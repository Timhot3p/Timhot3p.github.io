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313D8337-D75E-456D-9DEA-85746748836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LevelXp" sheetId="12" r:id="rId3"/>
    <sheet name="Wanted + hydres" sheetId="10" state="hidden" r:id="rId4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67" i="11" l="1"/>
  <c r="AE366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AI452" i="11"/>
  <c r="AI453" i="11"/>
  <c r="AI454" i="11"/>
  <c r="AI455" i="11"/>
  <c r="AI456" i="11"/>
  <c r="AI457" i="11"/>
  <c r="AI458" i="11"/>
  <c r="AI459" i="11"/>
  <c r="AI460" i="11"/>
  <c r="AI461" i="11"/>
  <c r="AI462" i="11"/>
  <c r="AI463" i="11"/>
  <c r="AI464" i="11"/>
  <c r="AI465" i="11"/>
  <c r="AI466" i="11"/>
  <c r="AI467" i="11"/>
  <c r="AI468" i="11"/>
  <c r="AI469" i="11"/>
  <c r="AI470" i="11"/>
  <c r="AI471" i="11"/>
  <c r="AI472" i="11"/>
  <c r="AI473" i="11"/>
  <c r="AI474" i="11"/>
  <c r="AI475" i="11"/>
  <c r="AI476" i="11"/>
  <c r="AI477" i="11"/>
  <c r="AI478" i="11"/>
  <c r="AI479" i="11"/>
  <c r="AI480" i="11"/>
  <c r="AI481" i="11"/>
  <c r="AI482" i="11"/>
  <c r="AI483" i="11"/>
  <c r="AI484" i="11"/>
  <c r="AI485" i="11"/>
  <c r="AI486" i="11"/>
  <c r="AI487" i="11"/>
  <c r="AI488" i="11"/>
  <c r="AI489" i="11"/>
  <c r="AI490" i="11"/>
  <c r="AI491" i="11"/>
  <c r="AI492" i="11"/>
  <c r="AI493" i="11"/>
  <c r="AI494" i="11"/>
  <c r="AI495" i="11"/>
  <c r="AI496" i="11"/>
  <c r="AI497" i="11"/>
  <c r="AI498" i="11"/>
  <c r="AI499" i="11"/>
  <c r="AI500" i="11"/>
  <c r="AI501" i="11"/>
  <c r="AI502" i="11"/>
  <c r="AI503" i="11"/>
  <c r="AI504" i="11"/>
  <c r="AI505" i="11"/>
  <c r="AI506" i="11"/>
  <c r="AI507" i="11"/>
  <c r="AI508" i="11"/>
  <c r="AI509" i="11"/>
  <c r="AI510" i="11"/>
  <c r="AI511" i="11"/>
  <c r="AI512" i="11"/>
  <c r="AI513" i="11"/>
  <c r="AI514" i="11"/>
  <c r="AI515" i="11"/>
  <c r="AI516" i="11"/>
  <c r="AI517" i="11"/>
  <c r="AI518" i="11"/>
  <c r="AI519" i="11"/>
  <c r="AI520" i="11"/>
  <c r="AI521" i="11"/>
  <c r="AI522" i="11"/>
  <c r="AI523" i="11"/>
  <c r="AI524" i="11"/>
  <c r="AI525" i="11"/>
  <c r="AI526" i="11"/>
  <c r="AI527" i="11"/>
  <c r="AI528" i="11"/>
  <c r="AI529" i="11"/>
  <c r="AI530" i="11"/>
  <c r="AI531" i="11"/>
  <c r="AI532" i="11"/>
  <c r="AI533" i="11"/>
  <c r="AI534" i="11"/>
  <c r="AI535" i="11"/>
  <c r="AI536" i="11"/>
  <c r="AI537" i="11"/>
  <c r="AI538" i="11"/>
  <c r="AI539" i="11"/>
  <c r="AI540" i="11"/>
  <c r="AI541" i="11"/>
  <c r="AI542" i="11"/>
  <c r="AI543" i="11"/>
  <c r="AI544" i="11"/>
  <c r="AI545" i="11"/>
  <c r="AI546" i="11"/>
  <c r="AI547" i="11"/>
  <c r="AI548" i="11"/>
  <c r="AI549" i="11"/>
  <c r="AI550" i="11"/>
  <c r="AI551" i="11"/>
  <c r="AI552" i="11"/>
  <c r="AI553" i="11"/>
  <c r="AI554" i="11"/>
  <c r="AI555" i="11"/>
  <c r="AI556" i="11"/>
  <c r="AI557" i="11"/>
  <c r="AI558" i="11"/>
  <c r="AI559" i="11"/>
  <c r="AI560" i="11"/>
  <c r="AI561" i="11"/>
  <c r="AI562" i="11"/>
  <c r="AI563" i="11"/>
  <c r="AI564" i="11"/>
  <c r="AI565" i="11"/>
  <c r="AI566" i="11"/>
  <c r="AI567" i="11"/>
  <c r="AI568" i="11"/>
  <c r="AI569" i="11"/>
  <c r="AI570" i="11"/>
  <c r="AI571" i="11"/>
  <c r="AI572" i="11"/>
  <c r="AI573" i="11"/>
  <c r="AI574" i="11"/>
  <c r="AI575" i="11"/>
  <c r="AI576" i="11"/>
  <c r="AI577" i="11"/>
  <c r="AI578" i="11"/>
  <c r="AI579" i="11"/>
  <c r="AI580" i="11"/>
  <c r="AI581" i="11"/>
  <c r="AI582" i="11"/>
  <c r="AI583" i="11"/>
  <c r="AI584" i="11"/>
  <c r="AI585" i="11"/>
  <c r="AI586" i="11"/>
  <c r="AI587" i="11"/>
  <c r="AI588" i="11"/>
  <c r="AI589" i="11"/>
  <c r="AI590" i="11"/>
  <c r="AI591" i="11"/>
  <c r="AI592" i="11"/>
  <c r="AI593" i="11"/>
  <c r="AI594" i="11"/>
  <c r="AI595" i="11"/>
  <c r="AI596" i="11"/>
  <c r="AI597" i="11"/>
  <c r="AI598" i="11"/>
  <c r="AI599" i="11"/>
  <c r="AI600" i="11"/>
  <c r="AI601" i="11"/>
  <c r="AI602" i="11"/>
  <c r="AI603" i="11"/>
  <c r="AI604" i="11"/>
  <c r="AI605" i="11"/>
  <c r="AI606" i="11"/>
  <c r="AI607" i="11"/>
  <c r="AI608" i="11"/>
  <c r="AI609" i="11"/>
  <c r="AI610" i="11"/>
  <c r="AI611" i="11"/>
  <c r="AI612" i="11"/>
  <c r="AI613" i="11"/>
  <c r="AI614" i="11"/>
  <c r="AI615" i="11"/>
  <c r="AI616" i="11"/>
  <c r="AI617" i="11"/>
  <c r="AI618" i="11"/>
  <c r="AI619" i="11"/>
  <c r="AI620" i="11"/>
  <c r="AI621" i="11"/>
  <c r="AI622" i="11"/>
  <c r="AI623" i="11"/>
  <c r="AI624" i="11"/>
  <c r="AI625" i="11"/>
  <c r="AI626" i="11"/>
  <c r="AI627" i="11"/>
  <c r="AI628" i="11"/>
  <c r="AI629" i="11"/>
  <c r="AI630" i="11"/>
  <c r="AI631" i="11"/>
  <c r="AI632" i="11"/>
  <c r="AI633" i="11"/>
  <c r="AI634" i="11"/>
  <c r="AI635" i="11"/>
  <c r="AI636" i="11"/>
  <c r="AI637" i="11"/>
  <c r="AI638" i="11"/>
  <c r="AI639" i="11"/>
  <c r="AI640" i="11"/>
  <c r="AI641" i="11"/>
  <c r="AI642" i="11"/>
  <c r="AI643" i="11"/>
  <c r="AI644" i="11"/>
  <c r="AI645" i="11"/>
  <c r="AI646" i="11"/>
  <c r="AI647" i="11"/>
  <c r="AI648" i="11"/>
  <c r="AI649" i="11"/>
  <c r="AI650" i="11"/>
  <c r="AI651" i="11"/>
  <c r="AI652" i="11"/>
  <c r="AI653" i="11"/>
  <c r="AI654" i="11"/>
  <c r="AI655" i="11"/>
  <c r="AI656" i="11"/>
  <c r="AI657" i="11"/>
  <c r="AI658" i="11"/>
  <c r="AI659" i="11"/>
  <c r="AI660" i="11"/>
  <c r="AI661" i="11"/>
  <c r="AI662" i="11"/>
  <c r="AI663" i="11"/>
  <c r="AI664" i="11"/>
  <c r="AI665" i="11"/>
  <c r="AI666" i="11"/>
  <c r="AI667" i="11"/>
  <c r="AI668" i="11"/>
  <c r="AI669" i="11"/>
  <c r="AI670" i="11"/>
  <c r="AI671" i="11"/>
  <c r="AI672" i="11"/>
  <c r="AI673" i="11"/>
  <c r="AI674" i="11"/>
  <c r="AI675" i="11"/>
  <c r="AI676" i="11"/>
  <c r="AI677" i="11"/>
  <c r="AI678" i="11"/>
  <c r="AI679" i="11"/>
  <c r="AI680" i="11"/>
  <c r="AI681" i="11"/>
  <c r="AI682" i="11"/>
  <c r="AI683" i="11"/>
  <c r="AI684" i="11"/>
  <c r="AI685" i="11"/>
  <c r="AI686" i="11"/>
  <c r="AI687" i="11"/>
  <c r="AI688" i="11"/>
  <c r="AI689" i="11"/>
  <c r="AI690" i="11"/>
  <c r="AI691" i="11"/>
  <c r="AI692" i="11"/>
  <c r="AI693" i="11"/>
  <c r="AI694" i="11"/>
  <c r="AI695" i="11"/>
  <c r="AI696" i="11"/>
  <c r="AI697" i="11"/>
  <c r="AI698" i="11"/>
  <c r="AI699" i="11"/>
  <c r="AI700" i="11"/>
  <c r="AI701" i="11"/>
  <c r="AI702" i="11"/>
  <c r="AI703" i="11"/>
  <c r="AI704" i="11"/>
  <c r="AI705" i="11"/>
  <c r="AI706" i="11"/>
  <c r="AI707" i="11"/>
  <c r="AI708" i="11"/>
  <c r="AI709" i="11"/>
  <c r="AI710" i="11"/>
  <c r="AI711" i="11"/>
  <c r="AI712" i="11"/>
  <c r="AI713" i="11"/>
  <c r="AI714" i="11"/>
  <c r="AI715" i="11"/>
  <c r="AI716" i="11"/>
  <c r="AI717" i="11"/>
  <c r="AI718" i="11"/>
  <c r="AI719" i="11"/>
  <c r="AI720" i="11"/>
  <c r="AI721" i="11"/>
  <c r="AI722" i="11"/>
  <c r="AI723" i="11"/>
  <c r="AI724" i="11"/>
  <c r="AI725" i="11"/>
  <c r="AI726" i="11"/>
  <c r="AI727" i="11"/>
  <c r="AI728" i="11"/>
  <c r="AI729" i="11"/>
  <c r="AI730" i="11"/>
  <c r="AI731" i="11"/>
  <c r="AI732" i="11"/>
  <c r="AI733" i="11"/>
  <c r="AI734" i="11"/>
  <c r="AI735" i="11"/>
  <c r="AI736" i="11"/>
  <c r="AI737" i="11"/>
  <c r="AI738" i="11"/>
  <c r="AI739" i="11"/>
  <c r="AI740" i="11"/>
  <c r="AI741" i="11"/>
  <c r="AI742" i="11"/>
  <c r="AI743" i="11"/>
  <c r="AI744" i="11"/>
  <c r="AI745" i="11"/>
  <c r="AI746" i="11"/>
  <c r="AI747" i="11"/>
  <c r="AI748" i="11"/>
  <c r="AI749" i="11"/>
  <c r="AI750" i="11"/>
  <c r="AI751" i="11"/>
  <c r="AI752" i="11"/>
  <c r="AI753" i="11"/>
  <c r="AI754" i="11"/>
  <c r="AI755" i="11"/>
  <c r="AI756" i="11"/>
  <c r="AI757" i="11"/>
  <c r="AI758" i="11"/>
  <c r="AI759" i="11"/>
  <c r="AI760" i="11"/>
  <c r="AI761" i="11"/>
  <c r="AI762" i="11"/>
  <c r="AI763" i="11"/>
  <c r="AI764" i="11"/>
  <c r="AI765" i="11"/>
  <c r="AI766" i="11"/>
  <c r="AI767" i="11"/>
  <c r="AI768" i="11"/>
  <c r="AI769" i="11"/>
  <c r="AI770" i="11"/>
  <c r="AI771" i="11"/>
  <c r="AI772" i="11"/>
  <c r="AI773" i="11"/>
  <c r="AI774" i="11"/>
  <c r="AI775" i="11"/>
  <c r="AI776" i="11"/>
  <c r="AI777" i="11"/>
  <c r="AI778" i="11"/>
  <c r="AI779" i="11"/>
  <c r="AI780" i="11"/>
  <c r="AI781" i="11"/>
  <c r="AI782" i="11"/>
  <c r="AI783" i="11"/>
  <c r="AI784" i="11"/>
  <c r="AI785" i="11"/>
  <c r="AI786" i="11"/>
  <c r="AI787" i="11"/>
  <c r="AI788" i="11"/>
  <c r="AI789" i="11"/>
  <c r="AI790" i="11"/>
  <c r="AI791" i="11"/>
  <c r="AI792" i="11"/>
  <c r="AI793" i="11"/>
  <c r="AI794" i="11"/>
  <c r="AI795" i="11"/>
  <c r="AI796" i="11"/>
  <c r="AI797" i="11"/>
  <c r="AI798" i="11"/>
  <c r="AI799" i="11"/>
  <c r="AI800" i="11"/>
  <c r="AI801" i="11"/>
  <c r="AI2" i="11"/>
  <c r="AG347" i="11"/>
  <c r="AG348" i="11"/>
  <c r="AG349" i="11"/>
  <c r="AG350" i="11"/>
  <c r="AG351" i="11"/>
  <c r="AG352" i="11"/>
  <c r="AG353" i="11"/>
  <c r="AG354" i="11"/>
  <c r="AG355" i="11"/>
  <c r="AG367" i="11"/>
  <c r="AG368" i="11"/>
  <c r="AG369" i="11"/>
  <c r="AG370" i="11"/>
  <c r="AG371" i="11"/>
  <c r="AG372" i="11"/>
  <c r="AG373" i="11"/>
  <c r="AG374" i="11"/>
  <c r="AG375" i="11"/>
  <c r="AG797" i="11"/>
  <c r="AG796" i="11"/>
  <c r="AG795" i="11"/>
  <c r="AG794" i="11"/>
  <c r="AG793" i="11"/>
  <c r="AG792" i="11"/>
  <c r="AG791" i="11"/>
  <c r="AG790" i="11"/>
  <c r="AG789" i="11"/>
  <c r="AG788" i="11"/>
  <c r="AG787" i="11"/>
  <c r="AG786" i="11"/>
  <c r="AG785" i="11"/>
  <c r="AG784" i="11"/>
  <c r="AG783" i="11"/>
  <c r="AG782" i="11"/>
  <c r="AG781" i="11"/>
  <c r="AG780" i="11"/>
  <c r="AG779" i="11"/>
  <c r="AG778" i="11"/>
  <c r="AG777" i="11"/>
  <c r="AG776" i="11"/>
  <c r="AG775" i="11"/>
  <c r="AG774" i="11"/>
  <c r="AG773" i="11"/>
  <c r="AG772" i="11"/>
  <c r="AG771" i="11"/>
  <c r="AG770" i="11"/>
  <c r="AG769" i="11"/>
  <c r="AG768" i="11"/>
  <c r="AG767" i="11"/>
  <c r="AG766" i="11"/>
  <c r="AG765" i="11"/>
  <c r="AG764" i="11"/>
  <c r="AG763" i="11"/>
  <c r="AG762" i="11"/>
  <c r="AG761" i="11"/>
  <c r="AG760" i="11"/>
  <c r="AG759" i="11"/>
  <c r="AG758" i="11"/>
  <c r="AG757" i="11"/>
  <c r="AG756" i="11"/>
  <c r="AG755" i="11"/>
  <c r="AG754" i="11"/>
  <c r="AG753" i="11"/>
  <c r="AG752" i="11"/>
  <c r="AG751" i="11"/>
  <c r="AG750" i="11"/>
  <c r="AG749" i="11"/>
  <c r="AG748" i="11"/>
  <c r="AG747" i="11"/>
  <c r="AG746" i="11"/>
  <c r="AG745" i="11"/>
  <c r="AG744" i="11"/>
  <c r="AG743" i="11"/>
  <c r="AG742" i="11"/>
  <c r="AG741" i="11"/>
  <c r="AG740" i="11"/>
  <c r="AG739" i="11"/>
  <c r="AG738" i="11"/>
  <c r="AG737" i="11"/>
  <c r="AG736" i="11"/>
  <c r="AG735" i="11"/>
  <c r="AG734" i="11"/>
  <c r="AG733" i="11"/>
  <c r="AG732" i="11"/>
  <c r="AG731" i="11"/>
  <c r="AG730" i="11"/>
  <c r="AG729" i="11"/>
  <c r="AG728" i="11"/>
  <c r="AG727" i="11"/>
  <c r="AG726" i="11"/>
  <c r="AG725" i="11"/>
  <c r="AG724" i="11"/>
  <c r="AG723" i="11"/>
  <c r="AG722" i="11"/>
  <c r="AG721" i="11"/>
  <c r="AG720" i="11"/>
  <c r="AG719" i="11"/>
  <c r="AG718" i="11"/>
  <c r="AG717" i="11"/>
  <c r="AG716" i="11"/>
  <c r="AG715" i="11"/>
  <c r="AG714" i="11"/>
  <c r="AG713" i="11"/>
  <c r="AG712" i="11"/>
  <c r="AG711" i="11"/>
  <c r="AG710" i="11"/>
  <c r="AG709" i="11"/>
  <c r="AG708" i="11"/>
  <c r="AG707" i="11"/>
  <c r="AG706" i="11"/>
  <c r="AG705" i="11"/>
  <c r="AG704" i="11"/>
  <c r="AG703" i="11"/>
  <c r="AG702" i="11"/>
  <c r="AG701" i="11"/>
  <c r="AG700" i="11"/>
  <c r="AG699" i="11"/>
  <c r="AG698" i="11"/>
  <c r="AG697" i="11"/>
  <c r="AG696" i="11"/>
  <c r="AG695" i="11"/>
  <c r="AG694" i="11"/>
  <c r="AG693" i="11"/>
  <c r="AG692" i="11"/>
  <c r="AG691" i="11"/>
  <c r="AG690" i="11"/>
  <c r="AG689" i="11"/>
  <c r="AG688" i="11"/>
  <c r="AG687" i="11"/>
  <c r="AG686" i="11"/>
  <c r="AG685" i="11"/>
  <c r="AG684" i="11"/>
  <c r="AG683" i="11"/>
  <c r="AG682" i="11"/>
  <c r="AG681" i="11"/>
  <c r="AG680" i="11"/>
  <c r="AG679" i="11"/>
  <c r="AG678" i="11"/>
  <c r="AG677" i="11"/>
  <c r="AG676" i="11"/>
  <c r="AG675" i="11"/>
  <c r="AG674" i="11"/>
  <c r="AG673" i="11"/>
  <c r="AG672" i="11"/>
  <c r="AG671" i="11"/>
  <c r="AG670" i="11"/>
  <c r="AG669" i="11"/>
  <c r="AG668" i="11"/>
  <c r="AG667" i="11"/>
  <c r="AG666" i="11"/>
  <c r="AG665" i="11"/>
  <c r="AG664" i="11"/>
  <c r="AG663" i="11"/>
  <c r="AG662" i="11"/>
  <c r="AG661" i="11"/>
  <c r="AG660" i="11"/>
  <c r="AG659" i="11"/>
  <c r="AG658" i="11"/>
  <c r="AG657" i="11"/>
  <c r="AG656" i="11"/>
  <c r="AG655" i="11"/>
  <c r="AG654" i="11"/>
  <c r="AG653" i="11"/>
  <c r="AG652" i="11"/>
  <c r="AG651" i="11"/>
  <c r="AG650" i="11"/>
  <c r="AG649" i="11"/>
  <c r="AG648" i="11"/>
  <c r="AG647" i="11"/>
  <c r="AG646" i="11"/>
  <c r="AG645" i="11"/>
  <c r="AG644" i="11"/>
  <c r="AG643" i="11"/>
  <c r="AG642" i="11"/>
  <c r="AG641" i="11"/>
  <c r="AG640" i="11"/>
  <c r="AG639" i="11"/>
  <c r="AG638" i="11"/>
  <c r="AG637" i="11"/>
  <c r="AG636" i="11"/>
  <c r="AG635" i="11"/>
  <c r="AG634" i="11"/>
  <c r="AG633" i="11"/>
  <c r="AG632" i="11"/>
  <c r="AG631" i="11"/>
  <c r="AG630" i="11"/>
  <c r="AG629" i="11"/>
  <c r="AG628" i="11"/>
  <c r="AG627" i="11"/>
  <c r="AG626" i="11"/>
  <c r="AG625" i="11"/>
  <c r="AG624" i="11"/>
  <c r="AG623" i="11"/>
  <c r="AG622" i="11"/>
  <c r="AG621" i="11"/>
  <c r="AG620" i="11"/>
  <c r="AG619" i="11"/>
  <c r="AG618" i="11"/>
  <c r="AG617" i="11"/>
  <c r="AG616" i="11"/>
  <c r="AG615" i="11"/>
  <c r="AG614" i="11"/>
  <c r="AG613" i="11"/>
  <c r="AG612" i="11"/>
  <c r="AG611" i="11"/>
  <c r="AG610" i="11"/>
  <c r="AG609" i="11"/>
  <c r="AG608" i="11"/>
  <c r="AG607" i="11"/>
  <c r="AG606" i="11"/>
  <c r="AG605" i="11"/>
  <c r="AG604" i="11"/>
  <c r="AG603" i="11"/>
  <c r="AG602" i="11"/>
  <c r="AG601" i="11"/>
  <c r="AG600" i="11"/>
  <c r="AG599" i="11"/>
  <c r="AG598" i="11"/>
  <c r="AG597" i="11"/>
  <c r="AG596" i="11"/>
  <c r="AG595" i="11"/>
  <c r="AG594" i="11"/>
  <c r="AG593" i="11"/>
  <c r="AG592" i="11"/>
  <c r="AG591" i="11"/>
  <c r="AG590" i="11"/>
  <c r="AG589" i="11"/>
  <c r="AG588" i="11"/>
  <c r="AG587" i="11"/>
  <c r="AG586" i="11"/>
  <c r="AG585" i="11"/>
  <c r="AG584" i="11"/>
  <c r="AG583" i="11"/>
  <c r="AG582" i="11"/>
  <c r="AG581" i="11"/>
  <c r="AG580" i="11"/>
  <c r="AG579" i="11"/>
  <c r="AG578" i="11"/>
  <c r="AG577" i="11"/>
  <c r="AG576" i="11"/>
  <c r="AG575" i="11"/>
  <c r="AG574" i="11"/>
  <c r="AG573" i="11"/>
  <c r="AG572" i="11"/>
  <c r="AG571" i="11"/>
  <c r="AG570" i="11"/>
  <c r="AG569" i="11"/>
  <c r="AG568" i="11"/>
  <c r="AG567" i="11"/>
  <c r="AG566" i="11"/>
  <c r="AG565" i="11"/>
  <c r="AG564" i="11"/>
  <c r="AG563" i="11"/>
  <c r="AG562" i="11"/>
  <c r="AG561" i="11"/>
  <c r="AG560" i="11"/>
  <c r="AG559" i="11"/>
  <c r="AG558" i="11"/>
  <c r="AG557" i="11"/>
  <c r="AG556" i="11"/>
  <c r="AG555" i="11"/>
  <c r="AG554" i="11"/>
  <c r="AG553" i="11"/>
  <c r="AG552" i="11"/>
  <c r="AG551" i="11"/>
  <c r="AG550" i="11"/>
  <c r="AG549" i="11"/>
  <c r="AG548" i="11"/>
  <c r="AG547" i="11"/>
  <c r="AG546" i="11"/>
  <c r="AG545" i="11"/>
  <c r="AG544" i="11"/>
  <c r="AG543" i="11"/>
  <c r="AG542" i="11"/>
  <c r="AG541" i="11"/>
  <c r="AG540" i="11"/>
  <c r="AG539" i="11"/>
  <c r="AG538" i="11"/>
  <c r="AG537" i="11"/>
  <c r="AG536" i="11"/>
  <c r="AG535" i="11"/>
  <c r="AG534" i="11"/>
  <c r="AG533" i="11"/>
  <c r="AG532" i="11"/>
  <c r="AG531" i="11"/>
  <c r="AG530" i="11"/>
  <c r="AG529" i="11"/>
  <c r="AG528" i="11"/>
  <c r="AG527" i="11"/>
  <c r="AG526" i="11"/>
  <c r="AG525" i="11"/>
  <c r="AG524" i="11"/>
  <c r="AG523" i="11"/>
  <c r="AG522" i="11"/>
  <c r="AG521" i="11"/>
  <c r="AG520" i="11"/>
  <c r="AG519" i="11"/>
  <c r="AG518" i="11"/>
  <c r="AG517" i="11"/>
  <c r="AG516" i="11"/>
  <c r="AG515" i="11"/>
  <c r="AG514" i="11"/>
  <c r="AG513" i="11"/>
  <c r="AG512" i="11"/>
  <c r="AG511" i="11"/>
  <c r="AG510" i="11"/>
  <c r="AG509" i="11"/>
  <c r="AG508" i="11"/>
  <c r="AG507" i="11"/>
  <c r="AG506" i="11"/>
  <c r="AG501" i="11"/>
  <c r="AG496" i="11"/>
  <c r="AG495" i="11"/>
  <c r="AG494" i="11"/>
  <c r="AG493" i="11"/>
  <c r="AG492" i="11"/>
  <c r="AG491" i="11"/>
  <c r="AG490" i="11"/>
  <c r="AG489" i="11"/>
  <c r="AG488" i="11"/>
  <c r="AG487" i="11"/>
  <c r="AG486" i="11"/>
  <c r="AG481" i="11"/>
  <c r="AG476" i="11"/>
  <c r="AG475" i="11"/>
  <c r="AG474" i="11"/>
  <c r="AG473" i="11"/>
  <c r="AG472" i="11"/>
  <c r="AG471" i="11"/>
  <c r="AG470" i="11"/>
  <c r="AG469" i="11"/>
  <c r="AG468" i="11"/>
  <c r="AG467" i="11"/>
  <c r="AG466" i="11"/>
  <c r="AG465" i="11"/>
  <c r="AG464" i="11"/>
  <c r="AG463" i="11"/>
  <c r="AG462" i="11"/>
  <c r="AG461" i="11"/>
  <c r="AG460" i="11"/>
  <c r="AG459" i="11"/>
  <c r="AG458" i="11"/>
  <c r="AG457" i="11"/>
  <c r="AG456" i="11"/>
  <c r="AG455" i="11"/>
  <c r="AG454" i="11"/>
  <c r="AG453" i="11"/>
  <c r="AG452" i="11"/>
  <c r="AG451" i="11"/>
  <c r="AG450" i="11"/>
  <c r="AG449" i="11"/>
  <c r="AG448" i="11"/>
  <c r="AG447" i="11"/>
  <c r="AG446" i="11"/>
  <c r="AG445" i="11"/>
  <c r="AG444" i="11"/>
  <c r="AG443" i="11"/>
  <c r="AG442" i="11"/>
  <c r="AG441" i="11"/>
  <c r="AG440" i="11"/>
  <c r="AG439" i="11"/>
  <c r="AG438" i="11"/>
  <c r="AG437" i="11"/>
  <c r="AG436" i="11"/>
  <c r="AG435" i="11"/>
  <c r="AG434" i="11"/>
  <c r="AG433" i="11"/>
  <c r="AG432" i="11"/>
  <c r="AG431" i="11"/>
  <c r="AG430" i="11"/>
  <c r="AG429" i="11"/>
  <c r="AG428" i="11"/>
  <c r="AG427" i="11"/>
  <c r="AG426" i="11"/>
  <c r="AG425" i="11"/>
  <c r="AG424" i="11"/>
  <c r="AG423" i="11"/>
  <c r="AG422" i="11"/>
  <c r="AG421" i="11"/>
  <c r="AG420" i="11"/>
  <c r="AG419" i="11"/>
  <c r="AG418" i="11"/>
  <c r="AG417" i="11"/>
  <c r="AG416" i="11"/>
  <c r="AG415" i="11"/>
  <c r="AG414" i="11"/>
  <c r="AG413" i="11"/>
  <c r="AG412" i="11"/>
  <c r="AG411" i="11"/>
  <c r="AG410" i="11"/>
  <c r="AG409" i="11"/>
  <c r="AG408" i="11"/>
  <c r="AG407" i="11"/>
  <c r="AG406" i="11"/>
  <c r="AG405" i="11"/>
  <c r="AG404" i="11"/>
  <c r="AG403" i="11"/>
  <c r="AG402" i="11"/>
  <c r="AG401" i="11"/>
  <c r="AG400" i="11"/>
  <c r="AG399" i="11"/>
  <c r="AG398" i="11"/>
  <c r="AG397" i="11"/>
  <c r="AG396" i="11"/>
  <c r="AG395" i="11"/>
  <c r="AG394" i="11"/>
  <c r="AG393" i="11"/>
  <c r="AG392" i="11"/>
  <c r="AG391" i="11"/>
  <c r="AG390" i="11"/>
  <c r="AG389" i="11"/>
  <c r="AG388" i="11"/>
  <c r="AG387" i="11"/>
  <c r="AG386" i="11"/>
  <c r="AG385" i="11"/>
  <c r="AG384" i="11"/>
  <c r="AG383" i="11"/>
  <c r="AG382" i="11"/>
  <c r="AG381" i="11"/>
  <c r="AG380" i="11"/>
  <c r="AG379" i="11"/>
  <c r="AG378" i="11"/>
  <c r="AG377" i="11"/>
  <c r="AG376" i="11"/>
  <c r="AG366" i="11"/>
  <c r="AG365" i="11"/>
  <c r="AG364" i="11"/>
  <c r="AG363" i="11"/>
  <c r="AG362" i="11"/>
  <c r="AG361" i="11"/>
  <c r="AG360" i="11"/>
  <c r="AG359" i="11"/>
  <c r="AG358" i="11"/>
  <c r="AG357" i="11"/>
  <c r="AG356" i="11"/>
  <c r="AG346" i="11"/>
  <c r="AG345" i="11"/>
  <c r="AG344" i="11"/>
  <c r="AG343" i="11"/>
  <c r="AG342" i="11"/>
  <c r="AG341" i="11"/>
  <c r="AG340" i="11"/>
  <c r="AG339" i="11"/>
  <c r="AG338" i="11"/>
  <c r="AG337" i="11"/>
  <c r="AG336" i="11"/>
  <c r="AG335" i="11"/>
  <c r="AG334" i="11"/>
  <c r="AG333" i="11"/>
  <c r="AG332" i="11"/>
  <c r="AG331" i="11"/>
  <c r="AG330" i="11"/>
  <c r="AG329" i="11"/>
  <c r="AG328" i="11"/>
  <c r="AG327" i="11"/>
  <c r="AG326" i="11"/>
  <c r="AG325" i="11"/>
  <c r="AG324" i="11"/>
  <c r="AG323" i="11"/>
  <c r="AG322" i="11"/>
  <c r="AG321" i="11"/>
  <c r="AG320" i="11"/>
  <c r="AG319" i="11"/>
  <c r="AG318" i="11"/>
  <c r="AG317" i="11"/>
  <c r="AG316" i="11"/>
  <c r="AG315" i="11"/>
  <c r="AG314" i="11"/>
  <c r="AG313" i="11"/>
  <c r="AG312" i="11"/>
  <c r="AG311" i="11"/>
  <c r="AG310" i="11"/>
  <c r="AG309" i="11"/>
  <c r="AG308" i="11"/>
  <c r="AG307" i="11"/>
  <c r="AG306" i="11"/>
  <c r="AG305" i="11"/>
  <c r="AG304" i="11"/>
  <c r="AG303" i="11"/>
  <c r="AG302" i="11"/>
  <c r="AG301" i="11"/>
  <c r="AG300" i="11"/>
  <c r="AG299" i="11"/>
  <c r="AG298" i="11"/>
  <c r="AG297" i="11"/>
  <c r="AG296" i="11"/>
  <c r="AG295" i="11"/>
  <c r="AG294" i="11"/>
  <c r="AG293" i="11"/>
  <c r="AG292" i="11"/>
  <c r="AG291" i="11"/>
  <c r="AG290" i="11"/>
  <c r="AG289" i="11"/>
  <c r="AG288" i="11"/>
  <c r="AG287" i="11"/>
  <c r="AG286" i="11"/>
  <c r="AG285" i="11"/>
  <c r="AG284" i="11"/>
  <c r="AG283" i="11"/>
  <c r="AG282" i="11"/>
  <c r="AG281" i="11"/>
  <c r="AG280" i="11"/>
  <c r="AG279" i="11"/>
  <c r="AG278" i="11"/>
  <c r="AG277" i="11"/>
  <c r="AG276" i="11"/>
  <c r="AG275" i="11"/>
  <c r="AG274" i="11"/>
  <c r="AG273" i="11"/>
  <c r="AG272" i="11"/>
  <c r="AG271" i="11"/>
  <c r="AG270" i="11"/>
  <c r="AG269" i="11"/>
  <c r="AG268" i="11"/>
  <c r="AG267" i="11"/>
  <c r="AG266" i="11"/>
  <c r="AG265" i="11"/>
  <c r="AG264" i="11"/>
  <c r="AG263" i="11"/>
  <c r="AG262" i="11"/>
  <c r="AG261" i="11"/>
  <c r="AG260" i="11"/>
  <c r="AG259" i="11"/>
  <c r="AG258" i="11"/>
  <c r="AG257" i="11"/>
  <c r="AG256" i="11"/>
  <c r="AG255" i="11"/>
  <c r="AG254" i="11"/>
  <c r="AG253" i="11"/>
  <c r="AG252" i="11"/>
  <c r="AG251" i="11"/>
  <c r="AG250" i="11"/>
  <c r="AG249" i="11"/>
  <c r="AG248" i="11"/>
  <c r="AG247" i="11"/>
  <c r="AG246" i="11"/>
  <c r="AG245" i="11"/>
  <c r="AG244" i="11"/>
  <c r="AG243" i="11"/>
  <c r="AG242" i="11"/>
  <c r="AG241" i="11"/>
  <c r="AG240" i="11"/>
  <c r="AG239" i="11"/>
  <c r="AG238" i="11"/>
  <c r="AG237" i="11"/>
  <c r="AG236" i="11"/>
  <c r="AG235" i="11"/>
  <c r="AG234" i="11"/>
  <c r="AG233" i="11"/>
  <c r="AG232" i="11"/>
  <c r="AG231" i="11"/>
  <c r="AG230" i="11"/>
  <c r="AG229" i="11"/>
  <c r="AG228" i="11"/>
  <c r="AG227" i="11"/>
  <c r="AG226" i="11"/>
  <c r="AG225" i="11"/>
  <c r="AG224" i="11"/>
  <c r="AG223" i="11"/>
  <c r="AG222" i="11"/>
  <c r="AG221" i="11"/>
  <c r="AG220" i="11"/>
  <c r="AG219" i="11"/>
  <c r="AG218" i="11"/>
  <c r="AG217" i="11"/>
  <c r="AG216" i="11"/>
  <c r="AG215" i="11"/>
  <c r="AG214" i="11"/>
  <c r="AG213" i="11"/>
  <c r="AG212" i="11"/>
  <c r="AG211" i="11"/>
  <c r="AG210" i="11"/>
  <c r="AG209" i="11"/>
  <c r="AG208" i="11"/>
  <c r="AG207" i="11"/>
  <c r="AG206" i="11"/>
  <c r="AG205" i="11"/>
  <c r="AG204" i="11"/>
  <c r="AG203" i="11"/>
  <c r="AG202" i="11"/>
  <c r="AG201" i="11"/>
  <c r="AG200" i="11"/>
  <c r="AG199" i="11"/>
  <c r="AG198" i="11"/>
  <c r="AG197" i="11"/>
  <c r="AG196" i="11"/>
  <c r="AG195" i="11"/>
  <c r="AG194" i="11"/>
  <c r="AG193" i="11"/>
  <c r="AG192" i="11"/>
  <c r="AG191" i="11"/>
  <c r="AG190" i="11"/>
  <c r="AG189" i="11"/>
  <c r="AG188" i="11"/>
  <c r="AG187" i="11"/>
  <c r="AG186" i="11"/>
  <c r="AG185" i="11"/>
  <c r="AG184" i="11"/>
  <c r="AG183" i="11"/>
  <c r="AG182" i="11"/>
  <c r="AG181" i="11"/>
  <c r="AG180" i="11"/>
  <c r="AG179" i="11"/>
  <c r="AG178" i="11"/>
  <c r="AG177" i="11"/>
  <c r="AG176" i="11"/>
  <c r="AG175" i="11"/>
  <c r="AG174" i="11"/>
  <c r="AG173" i="11"/>
  <c r="AG172" i="11"/>
  <c r="AG171" i="11"/>
  <c r="AG170" i="11"/>
  <c r="AG169" i="11"/>
  <c r="AG168" i="11"/>
  <c r="AG167" i="11"/>
  <c r="AG166" i="11"/>
  <c r="AG165" i="11"/>
  <c r="AG164" i="11"/>
  <c r="AG163" i="11"/>
  <c r="AG162" i="11"/>
  <c r="AG161" i="11"/>
  <c r="AG160" i="11"/>
  <c r="AG159" i="11"/>
  <c r="AG158" i="11"/>
  <c r="AG157" i="11"/>
  <c r="AG156" i="11"/>
  <c r="AG155" i="11"/>
  <c r="AG154" i="11"/>
  <c r="AG153" i="11"/>
  <c r="AG152" i="11"/>
  <c r="AG151" i="11"/>
  <c r="AG150" i="11"/>
  <c r="AG149" i="11"/>
  <c r="AG148" i="11"/>
  <c r="AG147" i="11"/>
  <c r="AG146" i="11"/>
  <c r="AG145" i="11"/>
  <c r="AG144" i="11"/>
  <c r="AG143" i="11"/>
  <c r="AG142" i="11"/>
  <c r="AG141" i="11"/>
  <c r="AG140" i="11"/>
  <c r="AG139" i="11"/>
  <c r="AG138" i="11"/>
  <c r="AG137" i="11"/>
  <c r="AG136" i="11"/>
  <c r="AG135" i="11"/>
  <c r="AG134" i="11"/>
  <c r="AG133" i="11"/>
  <c r="AG132" i="11"/>
  <c r="AG131" i="11"/>
  <c r="AG130" i="11"/>
  <c r="AG129" i="11"/>
  <c r="AG128" i="11"/>
  <c r="AG127" i="11"/>
  <c r="AG126" i="11"/>
  <c r="AG125" i="11"/>
  <c r="AG124" i="11"/>
  <c r="AG123" i="11"/>
  <c r="AG122" i="11"/>
  <c r="AG121" i="11"/>
  <c r="AG120" i="11"/>
  <c r="AG119" i="11"/>
  <c r="AG118" i="11"/>
  <c r="AG117" i="11"/>
  <c r="AG116" i="11"/>
  <c r="AG115" i="11"/>
  <c r="AG114" i="11"/>
  <c r="AG113" i="11"/>
  <c r="AG112" i="11"/>
  <c r="AG111" i="11"/>
  <c r="AG110" i="11"/>
  <c r="AG109" i="11"/>
  <c r="AG108" i="11"/>
  <c r="AG107" i="11"/>
  <c r="AG106" i="11"/>
  <c r="AG105" i="11"/>
  <c r="AG104" i="11"/>
  <c r="AG103" i="11"/>
  <c r="AG102" i="11"/>
  <c r="AG101" i="11"/>
  <c r="AG100" i="11"/>
  <c r="AG99" i="11"/>
  <c r="AG98" i="11"/>
  <c r="AG97" i="11"/>
  <c r="AG96" i="11"/>
  <c r="AG95" i="11"/>
  <c r="AG94" i="11"/>
  <c r="AG93" i="11"/>
  <c r="AG92" i="11"/>
  <c r="AG91" i="11"/>
  <c r="AG90" i="11"/>
  <c r="AG89" i="11"/>
  <c r="AG88" i="11"/>
  <c r="AG87" i="11"/>
  <c r="AG86" i="11"/>
  <c r="AG85" i="11"/>
  <c r="AG84" i="11"/>
  <c r="AG83" i="11"/>
  <c r="AG82" i="11"/>
  <c r="AG81" i="11"/>
  <c r="AG80" i="11"/>
  <c r="AG79" i="11"/>
  <c r="AG78" i="11"/>
  <c r="AG77" i="11"/>
  <c r="AG76" i="11"/>
  <c r="AG75" i="11"/>
  <c r="AG74" i="11"/>
  <c r="AG73" i="11"/>
  <c r="AG72" i="11"/>
  <c r="AG71" i="11"/>
  <c r="AG70" i="11"/>
  <c r="AG69" i="11"/>
  <c r="AG68" i="11"/>
  <c r="AG67" i="11"/>
  <c r="AG66" i="11"/>
  <c r="AG65" i="11"/>
  <c r="AG64" i="11"/>
  <c r="AG63" i="11"/>
  <c r="AG62" i="11"/>
  <c r="AG61" i="11"/>
  <c r="AG60" i="11"/>
  <c r="AG59" i="11"/>
  <c r="AG58" i="11"/>
  <c r="AG57" i="11"/>
  <c r="AG56" i="11"/>
  <c r="AG55" i="11"/>
  <c r="AG54" i="11"/>
  <c r="AG53" i="11"/>
  <c r="AG52" i="11"/>
  <c r="AG51" i="11"/>
  <c r="AG50" i="11"/>
  <c r="AG49" i="11"/>
  <c r="AG48" i="11"/>
  <c r="AG47" i="11"/>
  <c r="AG46" i="11"/>
  <c r="AG45" i="11"/>
  <c r="AG44" i="11"/>
  <c r="AG43" i="11"/>
  <c r="AG42" i="11"/>
  <c r="AG41" i="11"/>
  <c r="AG40" i="11"/>
  <c r="AG39" i="11"/>
  <c r="AG38" i="11"/>
  <c r="AG37" i="11"/>
  <c r="AG36" i="11"/>
  <c r="AG35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G6" i="11"/>
  <c r="AE353" i="11"/>
  <c r="AF3" i="11"/>
  <c r="AF4" i="11"/>
  <c r="AF5" i="11"/>
  <c r="AF6" i="11"/>
  <c r="AF7" i="11"/>
  <c r="AF8" i="11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31" i="11"/>
  <c r="AF32" i="11"/>
  <c r="AF33" i="11"/>
  <c r="AF34" i="11"/>
  <c r="AF35" i="11"/>
  <c r="AF36" i="11"/>
  <c r="AF37" i="11"/>
  <c r="AF38" i="11"/>
  <c r="AF39" i="11"/>
  <c r="AF40" i="11"/>
  <c r="AF41" i="11"/>
  <c r="AF42" i="11"/>
  <c r="AF43" i="11"/>
  <c r="AF44" i="11"/>
  <c r="AF45" i="11"/>
  <c r="AF46" i="11"/>
  <c r="AF47" i="11"/>
  <c r="AF48" i="11"/>
  <c r="AF49" i="11"/>
  <c r="AF50" i="11"/>
  <c r="AF51" i="11"/>
  <c r="AF52" i="11"/>
  <c r="AF53" i="11"/>
  <c r="AF54" i="11"/>
  <c r="AF55" i="11"/>
  <c r="AF56" i="11"/>
  <c r="AF57" i="11"/>
  <c r="AF58" i="11"/>
  <c r="AF59" i="11"/>
  <c r="AF60" i="11"/>
  <c r="AF61" i="11"/>
  <c r="AF62" i="11"/>
  <c r="AF63" i="11"/>
  <c r="AF64" i="11"/>
  <c r="AF65" i="11"/>
  <c r="AF66" i="11"/>
  <c r="AF67" i="11"/>
  <c r="AF68" i="11"/>
  <c r="AF69" i="11"/>
  <c r="AF70" i="11"/>
  <c r="AF71" i="11"/>
  <c r="AF72" i="11"/>
  <c r="AF73" i="11"/>
  <c r="AF74" i="11"/>
  <c r="AF75" i="11"/>
  <c r="AF76" i="11"/>
  <c r="AF77" i="11"/>
  <c r="AF78" i="11"/>
  <c r="AF79" i="11"/>
  <c r="AF80" i="11"/>
  <c r="AF81" i="11"/>
  <c r="AF82" i="11"/>
  <c r="AF83" i="11"/>
  <c r="AF84" i="11"/>
  <c r="AF85" i="11"/>
  <c r="AF86" i="11"/>
  <c r="AF87" i="11"/>
  <c r="AF88" i="11"/>
  <c r="AF89" i="11"/>
  <c r="AF90" i="11"/>
  <c r="AF91" i="11"/>
  <c r="AF92" i="11"/>
  <c r="AF93" i="11"/>
  <c r="AF94" i="11"/>
  <c r="AF95" i="11"/>
  <c r="AF96" i="11"/>
  <c r="AF97" i="11"/>
  <c r="AF98" i="11"/>
  <c r="AF99" i="11"/>
  <c r="AF100" i="11"/>
  <c r="AF101" i="11"/>
  <c r="AF102" i="11"/>
  <c r="AF103" i="11"/>
  <c r="AF104" i="11"/>
  <c r="AF105" i="11"/>
  <c r="AF106" i="11"/>
  <c r="AF107" i="11"/>
  <c r="AF108" i="11"/>
  <c r="AF109" i="11"/>
  <c r="AF110" i="11"/>
  <c r="AF111" i="11"/>
  <c r="AF112" i="11"/>
  <c r="AF113" i="11"/>
  <c r="AF114" i="11"/>
  <c r="AF115" i="11"/>
  <c r="AF116" i="11"/>
  <c r="AF117" i="11"/>
  <c r="AF118" i="11"/>
  <c r="AF119" i="11"/>
  <c r="AF120" i="11"/>
  <c r="AF121" i="11"/>
  <c r="AF122" i="11"/>
  <c r="AF123" i="11"/>
  <c r="AF124" i="11"/>
  <c r="AF125" i="11"/>
  <c r="AF126" i="11"/>
  <c r="AF127" i="11"/>
  <c r="AF128" i="11"/>
  <c r="AF129" i="11"/>
  <c r="AF130" i="11"/>
  <c r="AF131" i="11"/>
  <c r="AF132" i="11"/>
  <c r="AF133" i="11"/>
  <c r="AF134" i="11"/>
  <c r="AF135" i="11"/>
  <c r="AF136" i="11"/>
  <c r="AF137" i="11"/>
  <c r="AF138" i="11"/>
  <c r="AF139" i="11"/>
  <c r="AF140" i="11"/>
  <c r="AF141" i="11"/>
  <c r="AF142" i="11"/>
  <c r="AF143" i="11"/>
  <c r="AF144" i="11"/>
  <c r="AF145" i="11"/>
  <c r="AF146" i="11"/>
  <c r="AF147" i="11"/>
  <c r="AF148" i="11"/>
  <c r="AF149" i="11"/>
  <c r="AF150" i="11"/>
  <c r="AF151" i="11"/>
  <c r="AF152" i="11"/>
  <c r="AF153" i="11"/>
  <c r="AF154" i="11"/>
  <c r="AF155" i="11"/>
  <c r="AF156" i="11"/>
  <c r="AF157" i="11"/>
  <c r="AF158" i="11"/>
  <c r="AF159" i="11"/>
  <c r="AF160" i="11"/>
  <c r="AF161" i="11"/>
  <c r="AF162" i="11"/>
  <c r="AF163" i="11"/>
  <c r="AF164" i="11"/>
  <c r="AF165" i="11"/>
  <c r="AF166" i="11"/>
  <c r="AF167" i="11"/>
  <c r="AF168" i="11"/>
  <c r="AF169" i="11"/>
  <c r="AF170" i="11"/>
  <c r="AF171" i="11"/>
  <c r="AF172" i="11"/>
  <c r="AF173" i="11"/>
  <c r="AF174" i="11"/>
  <c r="AF175" i="11"/>
  <c r="AF176" i="11"/>
  <c r="AF177" i="11"/>
  <c r="AF178" i="11"/>
  <c r="AF179" i="11"/>
  <c r="AF180" i="11"/>
  <c r="AF181" i="11"/>
  <c r="AF182" i="11"/>
  <c r="AF183" i="11"/>
  <c r="AF184" i="11"/>
  <c r="AF185" i="11"/>
  <c r="AF186" i="11"/>
  <c r="AF187" i="11"/>
  <c r="AF188" i="11"/>
  <c r="AF189" i="11"/>
  <c r="AF190" i="11"/>
  <c r="AF191" i="11"/>
  <c r="AF192" i="11"/>
  <c r="AF193" i="11"/>
  <c r="AF194" i="11"/>
  <c r="AF195" i="11"/>
  <c r="AF196" i="11"/>
  <c r="AF197" i="11"/>
  <c r="AF198" i="11"/>
  <c r="AF199" i="11"/>
  <c r="AF200" i="11"/>
  <c r="AF201" i="11"/>
  <c r="AF202" i="11"/>
  <c r="AF203" i="11"/>
  <c r="AF204" i="11"/>
  <c r="AF205" i="11"/>
  <c r="AF206" i="11"/>
  <c r="AF207" i="11"/>
  <c r="AF208" i="11"/>
  <c r="AF209" i="11"/>
  <c r="AF210" i="11"/>
  <c r="AF211" i="11"/>
  <c r="AF212" i="11"/>
  <c r="AF213" i="11"/>
  <c r="AF214" i="11"/>
  <c r="AF215" i="11"/>
  <c r="AF216" i="11"/>
  <c r="AF217" i="11"/>
  <c r="AF218" i="11"/>
  <c r="AF219" i="11"/>
  <c r="AF220" i="11"/>
  <c r="AF221" i="11"/>
  <c r="AF222" i="11"/>
  <c r="AF223" i="11"/>
  <c r="AF224" i="11"/>
  <c r="AF225" i="11"/>
  <c r="AF226" i="11"/>
  <c r="AF227" i="11"/>
  <c r="AF228" i="11"/>
  <c r="AF229" i="11"/>
  <c r="AF230" i="11"/>
  <c r="AF231" i="11"/>
  <c r="AF232" i="11"/>
  <c r="AF233" i="11"/>
  <c r="AF234" i="11"/>
  <c r="AF235" i="11"/>
  <c r="AF236" i="11"/>
  <c r="AF237" i="11"/>
  <c r="AF238" i="11"/>
  <c r="AF239" i="11"/>
  <c r="AF240" i="11"/>
  <c r="AF241" i="11"/>
  <c r="AF242" i="11"/>
  <c r="AF243" i="11"/>
  <c r="AF244" i="11"/>
  <c r="AF245" i="11"/>
  <c r="AF246" i="11"/>
  <c r="AF247" i="11"/>
  <c r="AF248" i="11"/>
  <c r="AF249" i="11"/>
  <c r="AF250" i="11"/>
  <c r="AF251" i="11"/>
  <c r="AF252" i="11"/>
  <c r="AF253" i="11"/>
  <c r="AF254" i="11"/>
  <c r="AF255" i="11"/>
  <c r="AF256" i="11"/>
  <c r="AF257" i="11"/>
  <c r="AF258" i="11"/>
  <c r="AF259" i="11"/>
  <c r="AF260" i="11"/>
  <c r="AF261" i="11"/>
  <c r="AF262" i="11"/>
  <c r="AF263" i="11"/>
  <c r="AF264" i="11"/>
  <c r="AF265" i="11"/>
  <c r="AF266" i="11"/>
  <c r="AF267" i="11"/>
  <c r="AF268" i="11"/>
  <c r="AF269" i="11"/>
  <c r="AF270" i="11"/>
  <c r="AF271" i="11"/>
  <c r="AF272" i="11"/>
  <c r="AF273" i="11"/>
  <c r="AF274" i="11"/>
  <c r="AF275" i="11"/>
  <c r="AF276" i="11"/>
  <c r="AF277" i="11"/>
  <c r="AF278" i="11"/>
  <c r="AF279" i="11"/>
  <c r="AF280" i="11"/>
  <c r="AF281" i="11"/>
  <c r="AF282" i="11"/>
  <c r="AF283" i="11"/>
  <c r="AF284" i="11"/>
  <c r="AF285" i="11"/>
  <c r="AF286" i="11"/>
  <c r="AF287" i="11"/>
  <c r="AF288" i="11"/>
  <c r="AF289" i="11"/>
  <c r="AF290" i="11"/>
  <c r="AF291" i="11"/>
  <c r="AF292" i="11"/>
  <c r="AF293" i="11"/>
  <c r="AF294" i="11"/>
  <c r="AF295" i="11"/>
  <c r="AF296" i="11"/>
  <c r="AF297" i="11"/>
  <c r="AF298" i="11"/>
  <c r="AF299" i="11"/>
  <c r="AF300" i="11"/>
  <c r="AF301" i="11"/>
  <c r="AF302" i="11"/>
  <c r="AF303" i="11"/>
  <c r="AF304" i="11"/>
  <c r="AF305" i="11"/>
  <c r="AF306" i="11"/>
  <c r="AF307" i="11"/>
  <c r="AF308" i="11"/>
  <c r="AF309" i="11"/>
  <c r="AF310" i="11"/>
  <c r="AF311" i="11"/>
  <c r="AF312" i="11"/>
  <c r="AF313" i="11"/>
  <c r="AF314" i="11"/>
  <c r="AF315" i="11"/>
  <c r="AF316" i="11"/>
  <c r="AF317" i="11"/>
  <c r="AF318" i="11"/>
  <c r="AF319" i="11"/>
  <c r="AF320" i="11"/>
  <c r="AF321" i="11"/>
  <c r="AF322" i="11"/>
  <c r="AF323" i="11"/>
  <c r="AF324" i="11"/>
  <c r="AF325" i="11"/>
  <c r="AF326" i="11"/>
  <c r="AF327" i="11"/>
  <c r="AF328" i="11"/>
  <c r="AF329" i="11"/>
  <c r="AF330" i="11"/>
  <c r="AF331" i="11"/>
  <c r="AF332" i="11"/>
  <c r="AF333" i="11"/>
  <c r="AF334" i="11"/>
  <c r="AF335" i="11"/>
  <c r="AF336" i="11"/>
  <c r="AF337" i="11"/>
  <c r="AF338" i="11"/>
  <c r="AF339" i="11"/>
  <c r="AF340" i="11"/>
  <c r="AF341" i="11"/>
  <c r="AF342" i="11"/>
  <c r="AF343" i="11"/>
  <c r="AF344" i="11"/>
  <c r="AF345" i="11"/>
  <c r="AF346" i="11"/>
  <c r="AF347" i="11"/>
  <c r="AF348" i="11"/>
  <c r="AF349" i="11"/>
  <c r="AF350" i="11"/>
  <c r="AF351" i="11"/>
  <c r="AF352" i="11"/>
  <c r="AF353" i="11"/>
  <c r="AF354" i="11"/>
  <c r="AF355" i="11"/>
  <c r="AF356" i="11"/>
  <c r="AF357" i="11"/>
  <c r="AF358" i="11"/>
  <c r="AF359" i="11"/>
  <c r="AF360" i="11"/>
  <c r="AF361" i="11"/>
  <c r="AF362" i="11"/>
  <c r="AF363" i="11"/>
  <c r="AF364" i="11"/>
  <c r="AF365" i="11"/>
  <c r="AF366" i="11"/>
  <c r="AF367" i="11"/>
  <c r="AF368" i="11"/>
  <c r="AF369" i="11"/>
  <c r="AF370" i="11"/>
  <c r="AF371" i="11"/>
  <c r="AF372" i="11"/>
  <c r="AF373" i="11"/>
  <c r="AF374" i="11"/>
  <c r="AF375" i="11"/>
  <c r="AF376" i="11"/>
  <c r="AF377" i="11"/>
  <c r="AF378" i="11"/>
  <c r="AF379" i="11"/>
  <c r="AF380" i="11"/>
  <c r="AF381" i="11"/>
  <c r="AF382" i="11"/>
  <c r="AF383" i="11"/>
  <c r="AF384" i="11"/>
  <c r="AF385" i="11"/>
  <c r="AF386" i="11"/>
  <c r="AF387" i="11"/>
  <c r="AF388" i="11"/>
  <c r="AF389" i="11"/>
  <c r="AF390" i="11"/>
  <c r="AF391" i="11"/>
  <c r="AF392" i="11"/>
  <c r="AF393" i="11"/>
  <c r="AF394" i="11"/>
  <c r="AF395" i="11"/>
  <c r="AF396" i="11"/>
  <c r="AF397" i="11"/>
  <c r="AF398" i="11"/>
  <c r="AF399" i="11"/>
  <c r="AF400" i="11"/>
  <c r="AF401" i="11"/>
  <c r="AF402" i="11"/>
  <c r="AF403" i="11"/>
  <c r="AF404" i="11"/>
  <c r="AF405" i="11"/>
  <c r="AF406" i="11"/>
  <c r="AF407" i="11"/>
  <c r="AF408" i="11"/>
  <c r="AF409" i="11"/>
  <c r="AF410" i="11"/>
  <c r="AF411" i="11"/>
  <c r="AF412" i="11"/>
  <c r="AF413" i="11"/>
  <c r="AF414" i="11"/>
  <c r="AF415" i="11"/>
  <c r="AF416" i="11"/>
  <c r="AF417" i="11"/>
  <c r="AF418" i="11"/>
  <c r="AF419" i="11"/>
  <c r="AF420" i="11"/>
  <c r="AF421" i="11"/>
  <c r="AF422" i="11"/>
  <c r="AF423" i="11"/>
  <c r="AF424" i="11"/>
  <c r="AF425" i="11"/>
  <c r="AF426" i="11"/>
  <c r="AF427" i="11"/>
  <c r="AF428" i="11"/>
  <c r="AF429" i="11"/>
  <c r="AF430" i="11"/>
  <c r="AF431" i="11"/>
  <c r="AF432" i="11"/>
  <c r="AF433" i="11"/>
  <c r="AF434" i="11"/>
  <c r="AF435" i="11"/>
  <c r="AF436" i="11"/>
  <c r="AF437" i="11"/>
  <c r="AF438" i="11"/>
  <c r="AF439" i="11"/>
  <c r="AF440" i="11"/>
  <c r="AF441" i="11"/>
  <c r="AF442" i="11"/>
  <c r="AF443" i="11"/>
  <c r="AF444" i="11"/>
  <c r="AF445" i="11"/>
  <c r="AF446" i="11"/>
  <c r="AF447" i="11"/>
  <c r="AF448" i="11"/>
  <c r="AF449" i="11"/>
  <c r="AF450" i="11"/>
  <c r="AF451" i="11"/>
  <c r="AF452" i="11"/>
  <c r="AF453" i="11"/>
  <c r="AF454" i="11"/>
  <c r="AF455" i="11"/>
  <c r="AF456" i="11"/>
  <c r="AF457" i="11"/>
  <c r="AF458" i="11"/>
  <c r="AF459" i="11"/>
  <c r="AF460" i="11"/>
  <c r="AF461" i="11"/>
  <c r="AF462" i="11"/>
  <c r="AF463" i="11"/>
  <c r="AF464" i="11"/>
  <c r="AF465" i="11"/>
  <c r="AF466" i="11"/>
  <c r="AF467" i="11"/>
  <c r="AF468" i="11"/>
  <c r="AF469" i="11"/>
  <c r="AF470" i="11"/>
  <c r="AF471" i="11"/>
  <c r="AF472" i="11"/>
  <c r="AF473" i="11"/>
  <c r="AF474" i="11"/>
  <c r="AF475" i="11"/>
  <c r="AF476" i="11"/>
  <c r="AF477" i="11"/>
  <c r="AF478" i="11"/>
  <c r="AF479" i="11"/>
  <c r="AF480" i="11"/>
  <c r="AF481" i="11"/>
  <c r="AF482" i="11"/>
  <c r="AF483" i="11"/>
  <c r="AF484" i="11"/>
  <c r="AF485" i="11"/>
  <c r="AF486" i="11"/>
  <c r="AF487" i="11"/>
  <c r="AF488" i="11"/>
  <c r="AF489" i="11"/>
  <c r="AF490" i="11"/>
  <c r="AF491" i="11"/>
  <c r="AF492" i="11"/>
  <c r="AF493" i="11"/>
  <c r="AF494" i="11"/>
  <c r="AF495" i="11"/>
  <c r="AF496" i="11"/>
  <c r="AF497" i="11"/>
  <c r="AF498" i="11"/>
  <c r="AF499" i="11"/>
  <c r="AF500" i="11"/>
  <c r="AF501" i="11"/>
  <c r="AF502" i="11"/>
  <c r="AF503" i="11"/>
  <c r="AF504" i="11"/>
  <c r="AF505" i="11"/>
  <c r="AF506" i="11"/>
  <c r="AF507" i="11"/>
  <c r="AF508" i="11"/>
  <c r="AF509" i="11"/>
  <c r="AF510" i="11"/>
  <c r="AF511" i="11"/>
  <c r="AF512" i="11"/>
  <c r="AF513" i="11"/>
  <c r="AF514" i="11"/>
  <c r="AF515" i="11"/>
  <c r="AF516" i="11"/>
  <c r="AF517" i="11"/>
  <c r="AF518" i="11"/>
  <c r="AF519" i="11"/>
  <c r="AF520" i="11"/>
  <c r="AF521" i="11"/>
  <c r="AF522" i="11"/>
  <c r="AF523" i="11"/>
  <c r="AF524" i="11"/>
  <c r="AF525" i="11"/>
  <c r="AF526" i="11"/>
  <c r="AF527" i="11"/>
  <c r="AF528" i="11"/>
  <c r="AF529" i="11"/>
  <c r="AF530" i="11"/>
  <c r="AF531" i="11"/>
  <c r="AF532" i="11"/>
  <c r="AF533" i="11"/>
  <c r="AF534" i="11"/>
  <c r="AF535" i="11"/>
  <c r="AF536" i="11"/>
  <c r="AF537" i="11"/>
  <c r="AF538" i="11"/>
  <c r="AF539" i="11"/>
  <c r="AF540" i="11"/>
  <c r="AF541" i="11"/>
  <c r="AF542" i="11"/>
  <c r="AF543" i="11"/>
  <c r="AF544" i="11"/>
  <c r="AF545" i="11"/>
  <c r="AF546" i="11"/>
  <c r="AF547" i="11"/>
  <c r="AF548" i="11"/>
  <c r="AF549" i="11"/>
  <c r="AF550" i="11"/>
  <c r="AF551" i="11"/>
  <c r="AF552" i="11"/>
  <c r="AF553" i="11"/>
  <c r="AF554" i="11"/>
  <c r="AF555" i="11"/>
  <c r="AF556" i="11"/>
  <c r="AF557" i="11"/>
  <c r="AF558" i="11"/>
  <c r="AF559" i="11"/>
  <c r="AF560" i="11"/>
  <c r="AF561" i="11"/>
  <c r="AF562" i="11"/>
  <c r="AF563" i="11"/>
  <c r="AF564" i="11"/>
  <c r="AF565" i="11"/>
  <c r="AF566" i="11"/>
  <c r="AF567" i="11"/>
  <c r="AF568" i="11"/>
  <c r="AF569" i="11"/>
  <c r="AF570" i="11"/>
  <c r="AF571" i="11"/>
  <c r="AF572" i="11"/>
  <c r="AF573" i="11"/>
  <c r="AF574" i="11"/>
  <c r="AF575" i="11"/>
  <c r="AF576" i="11"/>
  <c r="AF577" i="11"/>
  <c r="AF578" i="11"/>
  <c r="AF579" i="11"/>
  <c r="AF580" i="11"/>
  <c r="AF581" i="11"/>
  <c r="AF582" i="11"/>
  <c r="AF583" i="11"/>
  <c r="AF584" i="11"/>
  <c r="AF585" i="11"/>
  <c r="AF586" i="11"/>
  <c r="AF587" i="11"/>
  <c r="AF588" i="11"/>
  <c r="AF589" i="11"/>
  <c r="AF590" i="11"/>
  <c r="AF591" i="11"/>
  <c r="AF592" i="11"/>
  <c r="AF593" i="11"/>
  <c r="AF594" i="11"/>
  <c r="AF595" i="11"/>
  <c r="AF596" i="11"/>
  <c r="AF597" i="11"/>
  <c r="AF598" i="11"/>
  <c r="AF599" i="11"/>
  <c r="AF600" i="11"/>
  <c r="AF601" i="11"/>
  <c r="AF602" i="11"/>
  <c r="AF603" i="11"/>
  <c r="AF604" i="11"/>
  <c r="AF605" i="11"/>
  <c r="AF606" i="11"/>
  <c r="AF607" i="11"/>
  <c r="AF608" i="11"/>
  <c r="AF609" i="11"/>
  <c r="AF610" i="11"/>
  <c r="AF611" i="11"/>
  <c r="AF612" i="11"/>
  <c r="AF613" i="11"/>
  <c r="AF614" i="11"/>
  <c r="AF615" i="11"/>
  <c r="AF616" i="11"/>
  <c r="AF617" i="11"/>
  <c r="AF618" i="11"/>
  <c r="AF619" i="11"/>
  <c r="AF620" i="11"/>
  <c r="AF621" i="11"/>
  <c r="AF622" i="11"/>
  <c r="AF623" i="11"/>
  <c r="AF624" i="11"/>
  <c r="AF625" i="11"/>
  <c r="AF626" i="11"/>
  <c r="AF627" i="11"/>
  <c r="AF628" i="11"/>
  <c r="AF629" i="11"/>
  <c r="AF630" i="11"/>
  <c r="AF631" i="11"/>
  <c r="AF632" i="11"/>
  <c r="AF633" i="11"/>
  <c r="AF634" i="11"/>
  <c r="AF635" i="11"/>
  <c r="AF636" i="11"/>
  <c r="AF637" i="11"/>
  <c r="AF638" i="11"/>
  <c r="AF639" i="11"/>
  <c r="AF640" i="11"/>
  <c r="AF641" i="11"/>
  <c r="AF642" i="11"/>
  <c r="AF643" i="11"/>
  <c r="AF644" i="11"/>
  <c r="AF645" i="11"/>
  <c r="AF646" i="11"/>
  <c r="AF647" i="11"/>
  <c r="AF648" i="11"/>
  <c r="AF649" i="11"/>
  <c r="AF650" i="11"/>
  <c r="AF651" i="11"/>
  <c r="AF652" i="11"/>
  <c r="AF653" i="11"/>
  <c r="AF654" i="11"/>
  <c r="AF655" i="11"/>
  <c r="AF656" i="11"/>
  <c r="AF657" i="11"/>
  <c r="AF658" i="11"/>
  <c r="AF659" i="11"/>
  <c r="AF660" i="11"/>
  <c r="AF661" i="11"/>
  <c r="AF662" i="11"/>
  <c r="AF663" i="11"/>
  <c r="AF664" i="11"/>
  <c r="AF665" i="11"/>
  <c r="AF666" i="11"/>
  <c r="AF667" i="11"/>
  <c r="AF668" i="11"/>
  <c r="AF669" i="11"/>
  <c r="AF670" i="11"/>
  <c r="AF671" i="11"/>
  <c r="AF672" i="11"/>
  <c r="AF673" i="11"/>
  <c r="AF674" i="11"/>
  <c r="AF675" i="11"/>
  <c r="AF676" i="11"/>
  <c r="AF677" i="11"/>
  <c r="AF678" i="11"/>
  <c r="AF679" i="11"/>
  <c r="AF680" i="11"/>
  <c r="AF681" i="11"/>
  <c r="AF682" i="11"/>
  <c r="AF683" i="11"/>
  <c r="AF684" i="11"/>
  <c r="AF685" i="11"/>
  <c r="AF686" i="11"/>
  <c r="AF687" i="11"/>
  <c r="AF688" i="11"/>
  <c r="AF689" i="11"/>
  <c r="AF690" i="11"/>
  <c r="AF691" i="11"/>
  <c r="AF692" i="11"/>
  <c r="AF693" i="11"/>
  <c r="AF694" i="11"/>
  <c r="AF695" i="11"/>
  <c r="AF696" i="11"/>
  <c r="AF697" i="11"/>
  <c r="AF698" i="11"/>
  <c r="AF699" i="11"/>
  <c r="AF700" i="11"/>
  <c r="AF701" i="11"/>
  <c r="AF702" i="11"/>
  <c r="AF703" i="11"/>
  <c r="AF704" i="11"/>
  <c r="AF705" i="11"/>
  <c r="AF706" i="11"/>
  <c r="AF707" i="11"/>
  <c r="AF708" i="11"/>
  <c r="AF709" i="11"/>
  <c r="AF710" i="11"/>
  <c r="AF711" i="11"/>
  <c r="AF712" i="11"/>
  <c r="AF713" i="11"/>
  <c r="AF714" i="11"/>
  <c r="AF715" i="11"/>
  <c r="AF716" i="11"/>
  <c r="AF717" i="11"/>
  <c r="AF718" i="11"/>
  <c r="AF719" i="11"/>
  <c r="AF720" i="11"/>
  <c r="AF721" i="11"/>
  <c r="AF722" i="11"/>
  <c r="AF723" i="11"/>
  <c r="AF724" i="11"/>
  <c r="AF725" i="11"/>
  <c r="AF726" i="11"/>
  <c r="AF727" i="11"/>
  <c r="AF728" i="11"/>
  <c r="AF729" i="11"/>
  <c r="AF730" i="11"/>
  <c r="AF731" i="11"/>
  <c r="AF732" i="11"/>
  <c r="AF733" i="11"/>
  <c r="AF734" i="11"/>
  <c r="AF735" i="11"/>
  <c r="AF736" i="11"/>
  <c r="AF737" i="11"/>
  <c r="AF738" i="11"/>
  <c r="AF739" i="11"/>
  <c r="AF740" i="11"/>
  <c r="AF741" i="11"/>
  <c r="AF742" i="11"/>
  <c r="AF743" i="11"/>
  <c r="AF744" i="11"/>
  <c r="AF745" i="11"/>
  <c r="AF746" i="11"/>
  <c r="AF747" i="11"/>
  <c r="AF748" i="11"/>
  <c r="AF749" i="11"/>
  <c r="AF750" i="11"/>
  <c r="AF751" i="11"/>
  <c r="AF752" i="11"/>
  <c r="AF753" i="11"/>
  <c r="AF754" i="11"/>
  <c r="AF755" i="11"/>
  <c r="AF756" i="11"/>
  <c r="AF757" i="11"/>
  <c r="AF758" i="11"/>
  <c r="AF759" i="11"/>
  <c r="AF760" i="11"/>
  <c r="AF761" i="11"/>
  <c r="AF762" i="11"/>
  <c r="AF763" i="11"/>
  <c r="AF764" i="11"/>
  <c r="AF765" i="11"/>
  <c r="AF766" i="11"/>
  <c r="AF767" i="11"/>
  <c r="AF768" i="11"/>
  <c r="AF769" i="11"/>
  <c r="AF770" i="11"/>
  <c r="AF771" i="11"/>
  <c r="AF772" i="11"/>
  <c r="AF773" i="11"/>
  <c r="AF774" i="11"/>
  <c r="AF775" i="11"/>
  <c r="AF776" i="11"/>
  <c r="AF777" i="11"/>
  <c r="AF778" i="11"/>
  <c r="AF779" i="11"/>
  <c r="AF780" i="11"/>
  <c r="AF781" i="11"/>
  <c r="AF782" i="11"/>
  <c r="AF783" i="11"/>
  <c r="AF784" i="11"/>
  <c r="AF785" i="11"/>
  <c r="AF786" i="11"/>
  <c r="AF787" i="11"/>
  <c r="AF788" i="11"/>
  <c r="AF789" i="11"/>
  <c r="AF790" i="11"/>
  <c r="AF791" i="11"/>
  <c r="AF792" i="11"/>
  <c r="AF793" i="11"/>
  <c r="AF794" i="11"/>
  <c r="AF795" i="11"/>
  <c r="AF796" i="11"/>
  <c r="AF797" i="11"/>
  <c r="AF798" i="11"/>
  <c r="AF799" i="11"/>
  <c r="AF800" i="11"/>
  <c r="AF801" i="11"/>
  <c r="AF2" i="11"/>
  <c r="AH3" i="11" s="1"/>
  <c r="AD20" i="11"/>
  <c r="AD21" i="11"/>
  <c r="AD22" i="11"/>
  <c r="AD23" i="11"/>
  <c r="AE27" i="11" s="1"/>
  <c r="AD24" i="11"/>
  <c r="AE28" i="11" s="1"/>
  <c r="AD25" i="11"/>
  <c r="AE29" i="11" s="1"/>
  <c r="AD26" i="11"/>
  <c r="AD27" i="11"/>
  <c r="AD28" i="11"/>
  <c r="AD29" i="11"/>
  <c r="AD30" i="11"/>
  <c r="AD31" i="11"/>
  <c r="AD32" i="11"/>
  <c r="AD33" i="11"/>
  <c r="AD34" i="11"/>
  <c r="AD35" i="11"/>
  <c r="AE39" i="11" s="1"/>
  <c r="AD36" i="11"/>
  <c r="AE40" i="11" s="1"/>
  <c r="AD37" i="11"/>
  <c r="AE41" i="11" s="1"/>
  <c r="AD38" i="11"/>
  <c r="AD39" i="11"/>
  <c r="AD40" i="11"/>
  <c r="AD41" i="11"/>
  <c r="AD42" i="11"/>
  <c r="AD43" i="11"/>
  <c r="AD44" i="11"/>
  <c r="AD45" i="11"/>
  <c r="AD46" i="11"/>
  <c r="AD47" i="11"/>
  <c r="AE51" i="11" s="1"/>
  <c r="AD48" i="11"/>
  <c r="AE52" i="11" s="1"/>
  <c r="AD49" i="11"/>
  <c r="AE53" i="11" s="1"/>
  <c r="AD50" i="11"/>
  <c r="AD51" i="11"/>
  <c r="AD52" i="11"/>
  <c r="AD53" i="11"/>
  <c r="AD54" i="11"/>
  <c r="AD55" i="11"/>
  <c r="AD56" i="11"/>
  <c r="AD57" i="11"/>
  <c r="AD58" i="11"/>
  <c r="AD59" i="11"/>
  <c r="AE63" i="11" s="1"/>
  <c r="AD60" i="11"/>
  <c r="AE64" i="11" s="1"/>
  <c r="AD61" i="11"/>
  <c r="AE65" i="11" s="1"/>
  <c r="AD62" i="11"/>
  <c r="AD63" i="11"/>
  <c r="AD64" i="11"/>
  <c r="AD65" i="11"/>
  <c r="AD66" i="11"/>
  <c r="AD67" i="11"/>
  <c r="AD68" i="11"/>
  <c r="AD69" i="11"/>
  <c r="AD70" i="11"/>
  <c r="AD71" i="11"/>
  <c r="AE75" i="11" s="1"/>
  <c r="AD72" i="11"/>
  <c r="AE76" i="11" s="1"/>
  <c r="AD73" i="11"/>
  <c r="AE77" i="11" s="1"/>
  <c r="AD74" i="11"/>
  <c r="AD75" i="11"/>
  <c r="AD76" i="11"/>
  <c r="AD77" i="11"/>
  <c r="AD78" i="11"/>
  <c r="AD79" i="11"/>
  <c r="AD80" i="11"/>
  <c r="AD81" i="11"/>
  <c r="AD82" i="11"/>
  <c r="AD83" i="11"/>
  <c r="AE87" i="11" s="1"/>
  <c r="AD84" i="11"/>
  <c r="AE88" i="11" s="1"/>
  <c r="AD85" i="11"/>
  <c r="AE89" i="11" s="1"/>
  <c r="AD86" i="11"/>
  <c r="AD87" i="11"/>
  <c r="AD88" i="11"/>
  <c r="AD89" i="11"/>
  <c r="AD90" i="11"/>
  <c r="AD91" i="11"/>
  <c r="AD92" i="11"/>
  <c r="AD93" i="11"/>
  <c r="AD94" i="11"/>
  <c r="AD95" i="11"/>
  <c r="AE99" i="11" s="1"/>
  <c r="AD96" i="11"/>
  <c r="AE100" i="11" s="1"/>
  <c r="AD97" i="11"/>
  <c r="AE101" i="11" s="1"/>
  <c r="AD98" i="11"/>
  <c r="AD99" i="11"/>
  <c r="AD100" i="11"/>
  <c r="AD101" i="11"/>
  <c r="AD102" i="11"/>
  <c r="AD103" i="11"/>
  <c r="AD104" i="11"/>
  <c r="AD105" i="11"/>
  <c r="AD106" i="11"/>
  <c r="AD107" i="11"/>
  <c r="AE111" i="11" s="1"/>
  <c r="AD108" i="11"/>
  <c r="AE112" i="11" s="1"/>
  <c r="AD109" i="11"/>
  <c r="AE113" i="11" s="1"/>
  <c r="AD110" i="11"/>
  <c r="AD111" i="11"/>
  <c r="AD112" i="11"/>
  <c r="AD113" i="11"/>
  <c r="AD114" i="11"/>
  <c r="AD115" i="11"/>
  <c r="AD116" i="11"/>
  <c r="AD117" i="11"/>
  <c r="AD118" i="11"/>
  <c r="AD119" i="11"/>
  <c r="AE123" i="11" s="1"/>
  <c r="AD120" i="11"/>
  <c r="AE124" i="11" s="1"/>
  <c r="AD121" i="11"/>
  <c r="AE125" i="11" s="1"/>
  <c r="AD122" i="11"/>
  <c r="AD123" i="11"/>
  <c r="AD124" i="11"/>
  <c r="AD125" i="11"/>
  <c r="AD126" i="11"/>
  <c r="AD127" i="11"/>
  <c r="AD128" i="11"/>
  <c r="AD129" i="11"/>
  <c r="AD130" i="11"/>
  <c r="AD131" i="11"/>
  <c r="AE135" i="11" s="1"/>
  <c r="AD132" i="11"/>
  <c r="AE136" i="11" s="1"/>
  <c r="AD133" i="11"/>
  <c r="AE137" i="11" s="1"/>
  <c r="AD134" i="11"/>
  <c r="AD135" i="11"/>
  <c r="AD136" i="11"/>
  <c r="AD137" i="11"/>
  <c r="AD138" i="11"/>
  <c r="AD139" i="11"/>
  <c r="AD140" i="11"/>
  <c r="AD141" i="11"/>
  <c r="AD142" i="11"/>
  <c r="AD143" i="11"/>
  <c r="AE147" i="11" s="1"/>
  <c r="AD144" i="11"/>
  <c r="AE148" i="11" s="1"/>
  <c r="AD145" i="11"/>
  <c r="AE149" i="11" s="1"/>
  <c r="AD146" i="11"/>
  <c r="AD147" i="11"/>
  <c r="AD148" i="11"/>
  <c r="AD149" i="11"/>
  <c r="AD150" i="11"/>
  <c r="AD151" i="11"/>
  <c r="AD152" i="11"/>
  <c r="AD153" i="11"/>
  <c r="AD154" i="11"/>
  <c r="AD155" i="11"/>
  <c r="AE159" i="11" s="1"/>
  <c r="AD156" i="11"/>
  <c r="AE160" i="11" s="1"/>
  <c r="AD157" i="11"/>
  <c r="AE161" i="11" s="1"/>
  <c r="AD158" i="11"/>
  <c r="AD159" i="11"/>
  <c r="AD160" i="11"/>
  <c r="AD161" i="11"/>
  <c r="AD162" i="11"/>
  <c r="AD163" i="11"/>
  <c r="AD164" i="11"/>
  <c r="AD165" i="11"/>
  <c r="AD166" i="11"/>
  <c r="AD167" i="11"/>
  <c r="AE171" i="11" s="1"/>
  <c r="AD168" i="11"/>
  <c r="AE172" i="11" s="1"/>
  <c r="AD169" i="11"/>
  <c r="AE173" i="11" s="1"/>
  <c r="AD170" i="11"/>
  <c r="AD171" i="11"/>
  <c r="AD172" i="11"/>
  <c r="AD173" i="11"/>
  <c r="AD174" i="11"/>
  <c r="AD175" i="11"/>
  <c r="AD176" i="11"/>
  <c r="AD177" i="11"/>
  <c r="AD178" i="11"/>
  <c r="AD179" i="11"/>
  <c r="AE183" i="11" s="1"/>
  <c r="AD180" i="11"/>
  <c r="AE184" i="11" s="1"/>
  <c r="AD181" i="11"/>
  <c r="AE185" i="11" s="1"/>
  <c r="AD182" i="11"/>
  <c r="AD183" i="11"/>
  <c r="AD184" i="11"/>
  <c r="AD185" i="11"/>
  <c r="AD186" i="11"/>
  <c r="AD187" i="11"/>
  <c r="AD188" i="11"/>
  <c r="AD189" i="11"/>
  <c r="AD190" i="11"/>
  <c r="AD191" i="11"/>
  <c r="AE195" i="11" s="1"/>
  <c r="AD192" i="11"/>
  <c r="AE196" i="11" s="1"/>
  <c r="AD193" i="11"/>
  <c r="AE197" i="11" s="1"/>
  <c r="AD194" i="11"/>
  <c r="AD195" i="11"/>
  <c r="AD196" i="11"/>
  <c r="AD197" i="11"/>
  <c r="AD198" i="11"/>
  <c r="AD199" i="11"/>
  <c r="AD200" i="11"/>
  <c r="AD201" i="11"/>
  <c r="AD202" i="11"/>
  <c r="AD203" i="11"/>
  <c r="AE207" i="11" s="1"/>
  <c r="AD204" i="11"/>
  <c r="AE208" i="11" s="1"/>
  <c r="AD205" i="11"/>
  <c r="AE209" i="11" s="1"/>
  <c r="AD206" i="11"/>
  <c r="AD207" i="11"/>
  <c r="AD208" i="11"/>
  <c r="AD209" i="11"/>
  <c r="AD210" i="11"/>
  <c r="AD211" i="11"/>
  <c r="AD212" i="11"/>
  <c r="AD213" i="11"/>
  <c r="AD214" i="11"/>
  <c r="AD215" i="11"/>
  <c r="AE219" i="11" s="1"/>
  <c r="AD216" i="11"/>
  <c r="AE220" i="11" s="1"/>
  <c r="AD217" i="11"/>
  <c r="AE221" i="11" s="1"/>
  <c r="AD218" i="11"/>
  <c r="AD219" i="11"/>
  <c r="AD220" i="11"/>
  <c r="AD221" i="11"/>
  <c r="AD222" i="11"/>
  <c r="AD223" i="11"/>
  <c r="AD224" i="11"/>
  <c r="AD225" i="11"/>
  <c r="AD226" i="11"/>
  <c r="AD227" i="11"/>
  <c r="AE231" i="11" s="1"/>
  <c r="AD228" i="11"/>
  <c r="AE232" i="11" s="1"/>
  <c r="AD229" i="11"/>
  <c r="AE233" i="11" s="1"/>
  <c r="AD230" i="11"/>
  <c r="AD231" i="11"/>
  <c r="AD232" i="11"/>
  <c r="AD233" i="11"/>
  <c r="AD234" i="11"/>
  <c r="AD235" i="11"/>
  <c r="AD236" i="11"/>
  <c r="AD237" i="11"/>
  <c r="AD238" i="11"/>
  <c r="AD239" i="11"/>
  <c r="AE243" i="11" s="1"/>
  <c r="AD240" i="11"/>
  <c r="AE244" i="11" s="1"/>
  <c r="AD241" i="11"/>
  <c r="AE245" i="11" s="1"/>
  <c r="AD242" i="11"/>
  <c r="AD243" i="11"/>
  <c r="AD244" i="11"/>
  <c r="AD245" i="11"/>
  <c r="AD246" i="11"/>
  <c r="AD247" i="11"/>
  <c r="AD248" i="11"/>
  <c r="AD249" i="11"/>
  <c r="AD250" i="11"/>
  <c r="AD251" i="11"/>
  <c r="AE255" i="11" s="1"/>
  <c r="AD252" i="11"/>
  <c r="AE256" i="11" s="1"/>
  <c r="AD253" i="11"/>
  <c r="AE257" i="11" s="1"/>
  <c r="AD254" i="11"/>
  <c r="AD255" i="11"/>
  <c r="AD256" i="11"/>
  <c r="AD257" i="11"/>
  <c r="AD258" i="11"/>
  <c r="AD259" i="11"/>
  <c r="AD260" i="11"/>
  <c r="AD261" i="11"/>
  <c r="AD262" i="11"/>
  <c r="AD263" i="11"/>
  <c r="AE267" i="11" s="1"/>
  <c r="AD264" i="11"/>
  <c r="AE268" i="11" s="1"/>
  <c r="AD265" i="11"/>
  <c r="AE269" i="11" s="1"/>
  <c r="AD266" i="11"/>
  <c r="AD267" i="11"/>
  <c r="AD268" i="11"/>
  <c r="AD269" i="11"/>
  <c r="AD270" i="11"/>
  <c r="AD271" i="11"/>
  <c r="AD272" i="11"/>
  <c r="AD273" i="11"/>
  <c r="AD274" i="11"/>
  <c r="AD275" i="11"/>
  <c r="AE279" i="11" s="1"/>
  <c r="AD276" i="11"/>
  <c r="AE280" i="11" s="1"/>
  <c r="AD277" i="11"/>
  <c r="AE281" i="11" s="1"/>
  <c r="AD278" i="11"/>
  <c r="AD279" i="11"/>
  <c r="AD280" i="11"/>
  <c r="AD281" i="11"/>
  <c r="AD282" i="11"/>
  <c r="AD283" i="11"/>
  <c r="AD284" i="11"/>
  <c r="AD285" i="11"/>
  <c r="AD286" i="11"/>
  <c r="AD287" i="11"/>
  <c r="AE291" i="11" s="1"/>
  <c r="AD288" i="11"/>
  <c r="AE292" i="11" s="1"/>
  <c r="AD289" i="11"/>
  <c r="AE293" i="11" s="1"/>
  <c r="AD290" i="11"/>
  <c r="AD291" i="11"/>
  <c r="AD292" i="11"/>
  <c r="AD293" i="11"/>
  <c r="AD294" i="11"/>
  <c r="AD295" i="11"/>
  <c r="AD296" i="11"/>
  <c r="AD297" i="11"/>
  <c r="AD298" i="11"/>
  <c r="AD299" i="11"/>
  <c r="AE303" i="11" s="1"/>
  <c r="AD300" i="11"/>
  <c r="AE304" i="11" s="1"/>
  <c r="AD301" i="11"/>
  <c r="AE305" i="11" s="1"/>
  <c r="AD302" i="11"/>
  <c r="AD303" i="11"/>
  <c r="AD304" i="11"/>
  <c r="AD305" i="11"/>
  <c r="AD306" i="11"/>
  <c r="AD307" i="11"/>
  <c r="AD308" i="11"/>
  <c r="AD309" i="11"/>
  <c r="AD310" i="11"/>
  <c r="AD311" i="11"/>
  <c r="AE315" i="11" s="1"/>
  <c r="AD312" i="11"/>
  <c r="AE316" i="11" s="1"/>
  <c r="AD313" i="11"/>
  <c r="AE317" i="11" s="1"/>
  <c r="AD314" i="11"/>
  <c r="AD315" i="11"/>
  <c r="AD316" i="11"/>
  <c r="AD317" i="11"/>
  <c r="AD318" i="11"/>
  <c r="AD319" i="11"/>
  <c r="AD320" i="11"/>
  <c r="AD321" i="11"/>
  <c r="AD322" i="11"/>
  <c r="AD323" i="11"/>
  <c r="AE327" i="11" s="1"/>
  <c r="AD324" i="11"/>
  <c r="AE328" i="11" s="1"/>
  <c r="AD325" i="11"/>
  <c r="AE329" i="11" s="1"/>
  <c r="AD326" i="11"/>
  <c r="AD327" i="11"/>
  <c r="AD328" i="11"/>
  <c r="AD329" i="11"/>
  <c r="AD330" i="11"/>
  <c r="AD331" i="11"/>
  <c r="AD332" i="11"/>
  <c r="AD333" i="11"/>
  <c r="AD334" i="11"/>
  <c r="AD335" i="11"/>
  <c r="AE339" i="11" s="1"/>
  <c r="AD336" i="11"/>
  <c r="AE340" i="11" s="1"/>
  <c r="AD337" i="11"/>
  <c r="AE341" i="11" s="1"/>
  <c r="AD338" i="11"/>
  <c r="AD339" i="11"/>
  <c r="AD340" i="11"/>
  <c r="AD341" i="11"/>
  <c r="AD342" i="11"/>
  <c r="AD343" i="11"/>
  <c r="AD344" i="11"/>
  <c r="AD345" i="11"/>
  <c r="AD346" i="11"/>
  <c r="AE350" i="11" s="1"/>
  <c r="AD347" i="11"/>
  <c r="AE352" i="11" s="1"/>
  <c r="AD348" i="11"/>
  <c r="AD349" i="11"/>
  <c r="AD350" i="11"/>
  <c r="AD351" i="11"/>
  <c r="AE351" i="11" s="1"/>
  <c r="AD352" i="11"/>
  <c r="AD353" i="11"/>
  <c r="AD354" i="11"/>
  <c r="AD355" i="11"/>
  <c r="AD356" i="11"/>
  <c r="AD357" i="11"/>
  <c r="AD358" i="11"/>
  <c r="AD359" i="11"/>
  <c r="AE363" i="11" s="1"/>
  <c r="AD360" i="11"/>
  <c r="AE364" i="11" s="1"/>
  <c r="AD361" i="11"/>
  <c r="AE365" i="11" s="1"/>
  <c r="AD362" i="11"/>
  <c r="AD363" i="11"/>
  <c r="AD364" i="11"/>
  <c r="AD365" i="11"/>
  <c r="AD366" i="11"/>
  <c r="AD367" i="11"/>
  <c r="AD368" i="11"/>
  <c r="AD369" i="11"/>
  <c r="AD370" i="11"/>
  <c r="AD371" i="11"/>
  <c r="AE371" i="11" s="1"/>
  <c r="AD372" i="11"/>
  <c r="AE376" i="11" s="1"/>
  <c r="AD373" i="11"/>
  <c r="AE377" i="11" s="1"/>
  <c r="AD374" i="11"/>
  <c r="AD375" i="11"/>
  <c r="AD376" i="11"/>
  <c r="AD377" i="11"/>
  <c r="AD378" i="11"/>
  <c r="AD379" i="11"/>
  <c r="AD380" i="11"/>
  <c r="AD381" i="11"/>
  <c r="AD382" i="11"/>
  <c r="AD383" i="11"/>
  <c r="AE387" i="11" s="1"/>
  <c r="AD384" i="11"/>
  <c r="AE388" i="11" s="1"/>
  <c r="AD385" i="11"/>
  <c r="AE389" i="11" s="1"/>
  <c r="AD386" i="11"/>
  <c r="AD387" i="11"/>
  <c r="AD388" i="11"/>
  <c r="AD389" i="11"/>
  <c r="AD390" i="11"/>
  <c r="AD391" i="11"/>
  <c r="AD392" i="11"/>
  <c r="AD393" i="11"/>
  <c r="AD394" i="11"/>
  <c r="AD395" i="11"/>
  <c r="AE399" i="11" s="1"/>
  <c r="AD396" i="11"/>
  <c r="AE400" i="11" s="1"/>
  <c r="AD397" i="11"/>
  <c r="AE401" i="11" s="1"/>
  <c r="AD398" i="11"/>
  <c r="AD399" i="11"/>
  <c r="AD400" i="11"/>
  <c r="AD401" i="11"/>
  <c r="AD402" i="11"/>
  <c r="AD403" i="11"/>
  <c r="AD404" i="11"/>
  <c r="AD405" i="11"/>
  <c r="AD406" i="11"/>
  <c r="AD407" i="11"/>
  <c r="AE411" i="11" s="1"/>
  <c r="AD408" i="11"/>
  <c r="AE412" i="11" s="1"/>
  <c r="AD409" i="11"/>
  <c r="AE413" i="11" s="1"/>
  <c r="AD410" i="11"/>
  <c r="AD411" i="11"/>
  <c r="AD412" i="11"/>
  <c r="AD413" i="11"/>
  <c r="AD414" i="11"/>
  <c r="AD415" i="11"/>
  <c r="AD416" i="11"/>
  <c r="AD417" i="11"/>
  <c r="AD418" i="11"/>
  <c r="AD419" i="11"/>
  <c r="AE423" i="11" s="1"/>
  <c r="AD420" i="11"/>
  <c r="AE424" i="11" s="1"/>
  <c r="AD421" i="11"/>
  <c r="AE425" i="11" s="1"/>
  <c r="AD422" i="11"/>
  <c r="AD423" i="11"/>
  <c r="AD424" i="11"/>
  <c r="AD425" i="11"/>
  <c r="AD426" i="11"/>
  <c r="AD427" i="11"/>
  <c r="AD428" i="11"/>
  <c r="AD429" i="11"/>
  <c r="AD430" i="11"/>
  <c r="AD431" i="11"/>
  <c r="AE435" i="11" s="1"/>
  <c r="AD432" i="11"/>
  <c r="AE436" i="11" s="1"/>
  <c r="AD433" i="11"/>
  <c r="AE437" i="11" s="1"/>
  <c r="AD434" i="11"/>
  <c r="AD435" i="11"/>
  <c r="AD436" i="11"/>
  <c r="AD437" i="11"/>
  <c r="AD438" i="11"/>
  <c r="AD439" i="11"/>
  <c r="AD440" i="11"/>
  <c r="AD441" i="11"/>
  <c r="AD442" i="11"/>
  <c r="AD443" i="11"/>
  <c r="AE447" i="11" s="1"/>
  <c r="AD444" i="11"/>
  <c r="AE448" i="11" s="1"/>
  <c r="AD445" i="11"/>
  <c r="AE449" i="11" s="1"/>
  <c r="AD446" i="11"/>
  <c r="AD447" i="11"/>
  <c r="AD448" i="11"/>
  <c r="AD449" i="11"/>
  <c r="AD450" i="11"/>
  <c r="AD451" i="11"/>
  <c r="AD452" i="11"/>
  <c r="AD453" i="11"/>
  <c r="AD454" i="11"/>
  <c r="AD455" i="11"/>
  <c r="AE459" i="11" s="1"/>
  <c r="AD456" i="11"/>
  <c r="AE460" i="11" s="1"/>
  <c r="AD457" i="11"/>
  <c r="AE461" i="11" s="1"/>
  <c r="AD458" i="11"/>
  <c r="AD459" i="11"/>
  <c r="AD460" i="11"/>
  <c r="AD461" i="11"/>
  <c r="AD462" i="11"/>
  <c r="AD463" i="11"/>
  <c r="AD464" i="11"/>
  <c r="AD465" i="11"/>
  <c r="AD466" i="11"/>
  <c r="AD467" i="11"/>
  <c r="AE471" i="11" s="1"/>
  <c r="AD468" i="11"/>
  <c r="AE472" i="11" s="1"/>
  <c r="AD469" i="11"/>
  <c r="AE473" i="11" s="1"/>
  <c r="AD470" i="11"/>
  <c r="AD471" i="11"/>
  <c r="AD472" i="11"/>
  <c r="AD473" i="11"/>
  <c r="AD474" i="11"/>
  <c r="AD475" i="11"/>
  <c r="AD476" i="11"/>
  <c r="AD477" i="11"/>
  <c r="AD478" i="11"/>
  <c r="AD479" i="11"/>
  <c r="AD480" i="11"/>
  <c r="AE485" i="11" s="1"/>
  <c r="AD481" i="11"/>
  <c r="AE481" i="11" s="1"/>
  <c r="AD482" i="11"/>
  <c r="AD483" i="11"/>
  <c r="AD484" i="11"/>
  <c r="AD485" i="11"/>
  <c r="AD486" i="11"/>
  <c r="AD487" i="11"/>
  <c r="AD488" i="11"/>
  <c r="AD489" i="11"/>
  <c r="AD490" i="11"/>
  <c r="AD491" i="11"/>
  <c r="AD492" i="11"/>
  <c r="AE496" i="11" s="1"/>
  <c r="AD493" i="11"/>
  <c r="AD494" i="11"/>
  <c r="AD495" i="11"/>
  <c r="AD496" i="11"/>
  <c r="AD497" i="11"/>
  <c r="AD498" i="11"/>
  <c r="AD499" i="11"/>
  <c r="AD500" i="11"/>
  <c r="AD501" i="11"/>
  <c r="AE501" i="11" s="1"/>
  <c r="AD502" i="11"/>
  <c r="AE506" i="11" s="1"/>
  <c r="AD503" i="11"/>
  <c r="AD504" i="11"/>
  <c r="AE508" i="11" s="1"/>
  <c r="AD505" i="11"/>
  <c r="AE509" i="11" s="1"/>
  <c r="AD506" i="11"/>
  <c r="AD507" i="11"/>
  <c r="AD508" i="11"/>
  <c r="AD509" i="11"/>
  <c r="AD510" i="11"/>
  <c r="AD511" i="11"/>
  <c r="AD512" i="11"/>
  <c r="AD513" i="11"/>
  <c r="AD514" i="11"/>
  <c r="AE518" i="11" s="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E530" i="11" s="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E542" i="11" s="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E554" i="11" s="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E566" i="11" s="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E578" i="11" s="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E590" i="11" s="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E602" i="11" s="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E614" i="11" s="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E626" i="11" s="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E638" i="11" s="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E650" i="11" s="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E662" i="11" s="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E674" i="11" s="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E686" i="11" s="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E698" i="11" s="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E710" i="11" s="1"/>
  <c r="AD707" i="11"/>
  <c r="AD708" i="11"/>
  <c r="AD709" i="11"/>
  <c r="AD710" i="11"/>
  <c r="AD711" i="11"/>
  <c r="AD712" i="11"/>
  <c r="AD713" i="11"/>
  <c r="AD714" i="11"/>
  <c r="AD715" i="11"/>
  <c r="AD716" i="11"/>
  <c r="AD717" i="11"/>
  <c r="AD718" i="11"/>
  <c r="AE722" i="11" s="1"/>
  <c r="AD719" i="11"/>
  <c r="AD720" i="11"/>
  <c r="AD721" i="11"/>
  <c r="AD722" i="11"/>
  <c r="AD723" i="11"/>
  <c r="AD724" i="11"/>
  <c r="AD725" i="11"/>
  <c r="AD726" i="11"/>
  <c r="AD727" i="11"/>
  <c r="AD728" i="11"/>
  <c r="AD729" i="11"/>
  <c r="AD730" i="11"/>
  <c r="AE734" i="11" s="1"/>
  <c r="AD731" i="11"/>
  <c r="AD732" i="11"/>
  <c r="AD733" i="11"/>
  <c r="AD734" i="11"/>
  <c r="AD735" i="11"/>
  <c r="AD736" i="11"/>
  <c r="AD737" i="11"/>
  <c r="AD738" i="11"/>
  <c r="AD739" i="11"/>
  <c r="AD740" i="11"/>
  <c r="AD741" i="11"/>
  <c r="AD742" i="11"/>
  <c r="AE746" i="11" s="1"/>
  <c r="AD743" i="11"/>
  <c r="AD744" i="11"/>
  <c r="AD745" i="11"/>
  <c r="AD746" i="11"/>
  <c r="AD747" i="11"/>
  <c r="AD748" i="11"/>
  <c r="AD749" i="11"/>
  <c r="AD750" i="11"/>
  <c r="AD751" i="11"/>
  <c r="AD752" i="11"/>
  <c r="AD753" i="11"/>
  <c r="AD754" i="11"/>
  <c r="AE758" i="11" s="1"/>
  <c r="AD755" i="11"/>
  <c r="AD756" i="11"/>
  <c r="AD757" i="11"/>
  <c r="AD758" i="11"/>
  <c r="AD759" i="11"/>
  <c r="AD760" i="11"/>
  <c r="AD761" i="11"/>
  <c r="AD762" i="11"/>
  <c r="AD763" i="11"/>
  <c r="AD764" i="11"/>
  <c r="AD765" i="11"/>
  <c r="AD766" i="11"/>
  <c r="AE770" i="11" s="1"/>
  <c r="AD767" i="11"/>
  <c r="AD768" i="11"/>
  <c r="AD769" i="11"/>
  <c r="AD770" i="11"/>
  <c r="AD771" i="11"/>
  <c r="AD772" i="11"/>
  <c r="AD773" i="11"/>
  <c r="AD774" i="11"/>
  <c r="AD775" i="11"/>
  <c r="AD776" i="11"/>
  <c r="AE775" i="11" s="1"/>
  <c r="AD777" i="11"/>
  <c r="AD778" i="11"/>
  <c r="AE782" i="11" s="1"/>
  <c r="AD779" i="11"/>
  <c r="AD780" i="11"/>
  <c r="AD781" i="11"/>
  <c r="AD782" i="11"/>
  <c r="AD783" i="11"/>
  <c r="AD784" i="11"/>
  <c r="AD785" i="11"/>
  <c r="AD786" i="11"/>
  <c r="AD787" i="11"/>
  <c r="AD788" i="11"/>
  <c r="AD789" i="11"/>
  <c r="AD790" i="11"/>
  <c r="AE794" i="11" s="1"/>
  <c r="AD791" i="11"/>
  <c r="AD792" i="11"/>
  <c r="AD793" i="11"/>
  <c r="AD794" i="11"/>
  <c r="AD795" i="11"/>
  <c r="AD796" i="11"/>
  <c r="AD797" i="11"/>
  <c r="AD798" i="11"/>
  <c r="AD799" i="11"/>
  <c r="AD800" i="11"/>
  <c r="AD801" i="11"/>
  <c r="AD3" i="11"/>
  <c r="AE7" i="11" s="1"/>
  <c r="AD4" i="11"/>
  <c r="AD5" i="11"/>
  <c r="AD6" i="11"/>
  <c r="AD7" i="11"/>
  <c r="AD8" i="11"/>
  <c r="AD9" i="11"/>
  <c r="AD10" i="11"/>
  <c r="AD11" i="11"/>
  <c r="AD12" i="11"/>
  <c r="AD13" i="11"/>
  <c r="AE17" i="11" s="1"/>
  <c r="AD14" i="11"/>
  <c r="AD15" i="11"/>
  <c r="AE19" i="11" s="1"/>
  <c r="AD16" i="11"/>
  <c r="AD17" i="11"/>
  <c r="AD18" i="11"/>
  <c r="AD19" i="11"/>
  <c r="AD2" i="11"/>
  <c r="AG802" i="11" l="1"/>
  <c r="AE779" i="11"/>
  <c r="AE755" i="11"/>
  <c r="AE731" i="11"/>
  <c r="AE683" i="11"/>
  <c r="AE635" i="11"/>
  <c r="AE527" i="11"/>
  <c r="AE479" i="11"/>
  <c r="AE431" i="11"/>
  <c r="AE458" i="11"/>
  <c r="AE452" i="11"/>
  <c r="AE362" i="11"/>
  <c r="AE359" i="11"/>
  <c r="AE242" i="11"/>
  <c r="AE241" i="11"/>
  <c r="AE121" i="11"/>
  <c r="AE122" i="11"/>
  <c r="AE49" i="11"/>
  <c r="AE50" i="11"/>
  <c r="AE16" i="11"/>
  <c r="AE539" i="11"/>
  <c r="AE13" i="11"/>
  <c r="AE788" i="11"/>
  <c r="AE776" i="11"/>
  <c r="AE764" i="11"/>
  <c r="AE643" i="11"/>
  <c r="AE631" i="11"/>
  <c r="AE434" i="11"/>
  <c r="AE428" i="11"/>
  <c r="AE326" i="11"/>
  <c r="AE325" i="11"/>
  <c r="AE194" i="11"/>
  <c r="AE193" i="11"/>
  <c r="AE494" i="11"/>
  <c r="AE488" i="11"/>
  <c r="AE372" i="11"/>
  <c r="AE375" i="11"/>
  <c r="AE266" i="11"/>
  <c r="AE265" i="11"/>
  <c r="AE169" i="11"/>
  <c r="AE170" i="11"/>
  <c r="AE73" i="11"/>
  <c r="AE74" i="11"/>
  <c r="AE767" i="11"/>
  <c r="AE743" i="11"/>
  <c r="AE719" i="11"/>
  <c r="AE695" i="11"/>
  <c r="AE671" i="11"/>
  <c r="AE659" i="11"/>
  <c r="AE647" i="11"/>
  <c r="AE623" i="11"/>
  <c r="AE611" i="11"/>
  <c r="AE599" i="11"/>
  <c r="AE587" i="11"/>
  <c r="AE575" i="11"/>
  <c r="AE563" i="11"/>
  <c r="AE551" i="11"/>
  <c r="AE515" i="11"/>
  <c r="AE491" i="11"/>
  <c r="AE467" i="11"/>
  <c r="AE419" i="11"/>
  <c r="AE446" i="11"/>
  <c r="AE440" i="11"/>
  <c r="AE338" i="11"/>
  <c r="AE337" i="11"/>
  <c r="AE230" i="11"/>
  <c r="AE229" i="11"/>
  <c r="AE145" i="11"/>
  <c r="AE146" i="11"/>
  <c r="AE61" i="11"/>
  <c r="AE62" i="11"/>
  <c r="AE707" i="11"/>
  <c r="AE455" i="11"/>
  <c r="AE470" i="11"/>
  <c r="AE464" i="11"/>
  <c r="AE398" i="11"/>
  <c r="AE392" i="11"/>
  <c r="AE290" i="11"/>
  <c r="AE289" i="11"/>
  <c r="AE181" i="11"/>
  <c r="AE182" i="11"/>
  <c r="AE25" i="11"/>
  <c r="AE26" i="11"/>
  <c r="AE504" i="11"/>
  <c r="AE410" i="11"/>
  <c r="AE404" i="11"/>
  <c r="AE302" i="11"/>
  <c r="AE301" i="11"/>
  <c r="AE218" i="11"/>
  <c r="AE217" i="11"/>
  <c r="AE109" i="11"/>
  <c r="AE110" i="11"/>
  <c r="AE791" i="11"/>
  <c r="AE443" i="11"/>
  <c r="AE478" i="11"/>
  <c r="AE483" i="11"/>
  <c r="AE254" i="11"/>
  <c r="AE253" i="11"/>
  <c r="AE133" i="11"/>
  <c r="AE134" i="11"/>
  <c r="AE37" i="11"/>
  <c r="AE38" i="11"/>
  <c r="AE386" i="11"/>
  <c r="AE380" i="11"/>
  <c r="AE278" i="11"/>
  <c r="AE277" i="11"/>
  <c r="AE157" i="11"/>
  <c r="AE158" i="11"/>
  <c r="AE85" i="11"/>
  <c r="AE86" i="11"/>
  <c r="AE422" i="11"/>
  <c r="AE416" i="11"/>
  <c r="AE314" i="11"/>
  <c r="AE313" i="11"/>
  <c r="AE206" i="11"/>
  <c r="AE205" i="11"/>
  <c r="AE97" i="11"/>
  <c r="AE98" i="11"/>
  <c r="AE792" i="11"/>
  <c r="AE780" i="11"/>
  <c r="AE768" i="11"/>
  <c r="AE756" i="11"/>
  <c r="AE744" i="11"/>
  <c r="AE732" i="11"/>
  <c r="AE720" i="11"/>
  <c r="AE708" i="11"/>
  <c r="AE696" i="11"/>
  <c r="AE684" i="11"/>
  <c r="AE672" i="11"/>
  <c r="AE660" i="11"/>
  <c r="AE648" i="11"/>
  <c r="AE636" i="11"/>
  <c r="AE624" i="11"/>
  <c r="AE612" i="11"/>
  <c r="AE600" i="11"/>
  <c r="AE588" i="11"/>
  <c r="AE576" i="11"/>
  <c r="AE564" i="11"/>
  <c r="AE552" i="11"/>
  <c r="AE540" i="11"/>
  <c r="AE528" i="11"/>
  <c r="AE516" i="11"/>
  <c r="AE505" i="11"/>
  <c r="AE492" i="11"/>
  <c r="AE480" i="11"/>
  <c r="AE468" i="11"/>
  <c r="AE456" i="11"/>
  <c r="AE444" i="11"/>
  <c r="AE432" i="11"/>
  <c r="AE420" i="11"/>
  <c r="AE408" i="11"/>
  <c r="AE396" i="11"/>
  <c r="AE384" i="11"/>
  <c r="AE373" i="11"/>
  <c r="AE360" i="11"/>
  <c r="AE348" i="11"/>
  <c r="AE336" i="11"/>
  <c r="AE324" i="11"/>
  <c r="AE312" i="11"/>
  <c r="AE300" i="11"/>
  <c r="AE288" i="11"/>
  <c r="AE276" i="11"/>
  <c r="AE264" i="11"/>
  <c r="AE252" i="11"/>
  <c r="AE240" i="11"/>
  <c r="AE228" i="11"/>
  <c r="AE216" i="11"/>
  <c r="AE204" i="11"/>
  <c r="AE192" i="11"/>
  <c r="AE180" i="11"/>
  <c r="AE168" i="11"/>
  <c r="AE156" i="11"/>
  <c r="AE144" i="11"/>
  <c r="AE132" i="11"/>
  <c r="AE120" i="11"/>
  <c r="AE108" i="11"/>
  <c r="AE96" i="11"/>
  <c r="AE84" i="11"/>
  <c r="AE72" i="11"/>
  <c r="AE60" i="11"/>
  <c r="AE48" i="11"/>
  <c r="AE36" i="11"/>
  <c r="AE24" i="11"/>
  <c r="AE407" i="11"/>
  <c r="AE395" i="11"/>
  <c r="AE383" i="11"/>
  <c r="AE347" i="11"/>
  <c r="AE335" i="11"/>
  <c r="AE323" i="11"/>
  <c r="AE311" i="11"/>
  <c r="AE299" i="11"/>
  <c r="AE287" i="11"/>
  <c r="AE275" i="11"/>
  <c r="AE263" i="11"/>
  <c r="AE251" i="11"/>
  <c r="AE239" i="11"/>
  <c r="AE227" i="11"/>
  <c r="AE215" i="11"/>
  <c r="AE203" i="11"/>
  <c r="AE191" i="11"/>
  <c r="AE179" i="11"/>
  <c r="AE167" i="11"/>
  <c r="AE155" i="11"/>
  <c r="AE143" i="11"/>
  <c r="AE131" i="11"/>
  <c r="AE119" i="11"/>
  <c r="AE107" i="11"/>
  <c r="AE95" i="11"/>
  <c r="AE83" i="11"/>
  <c r="AE71" i="11"/>
  <c r="AE59" i="11"/>
  <c r="AE47" i="11"/>
  <c r="AE35" i="11"/>
  <c r="AE763" i="11"/>
  <c r="AE15" i="11"/>
  <c r="AE790" i="11"/>
  <c r="AE778" i="11"/>
  <c r="AE766" i="11"/>
  <c r="AE754" i="11"/>
  <c r="AE742" i="11"/>
  <c r="AE730" i="11"/>
  <c r="AE718" i="11"/>
  <c r="AE706" i="11"/>
  <c r="AE694" i="11"/>
  <c r="AE682" i="11"/>
  <c r="AE670" i="11"/>
  <c r="AE658" i="11"/>
  <c r="AE646" i="11"/>
  <c r="AE634" i="11"/>
  <c r="AE622" i="11"/>
  <c r="AE610" i="11"/>
  <c r="AE598" i="11"/>
  <c r="AE586" i="11"/>
  <c r="AE574" i="11"/>
  <c r="AE562" i="11"/>
  <c r="AE550" i="11"/>
  <c r="AE538" i="11"/>
  <c r="AE526" i="11"/>
  <c r="AE514" i="11"/>
  <c r="AE503" i="11"/>
  <c r="AE490" i="11"/>
  <c r="AE466" i="11"/>
  <c r="AE454" i="11"/>
  <c r="AE442" i="11"/>
  <c r="AE430" i="11"/>
  <c r="AE418" i="11"/>
  <c r="AE406" i="11"/>
  <c r="AE394" i="11"/>
  <c r="AE382" i="11"/>
  <c r="AE370" i="11"/>
  <c r="AE358" i="11"/>
  <c r="AE346" i="11"/>
  <c r="AE334" i="11"/>
  <c r="AE322" i="11"/>
  <c r="AE310" i="11"/>
  <c r="AE298" i="11"/>
  <c r="AE286" i="11"/>
  <c r="AE274" i="11"/>
  <c r="AE262" i="11"/>
  <c r="AE250" i="11"/>
  <c r="AE238" i="11"/>
  <c r="AE226" i="11"/>
  <c r="AE214" i="11"/>
  <c r="AE202" i="11"/>
  <c r="AE190" i="11"/>
  <c r="AE178" i="11"/>
  <c r="AE704" i="11"/>
  <c r="AE703" i="11"/>
  <c r="AE632" i="11"/>
  <c r="AE596" i="11"/>
  <c r="AE595" i="11"/>
  <c r="AE572" i="11"/>
  <c r="AE571" i="11"/>
  <c r="AE560" i="11"/>
  <c r="AE548" i="11"/>
  <c r="AE692" i="11"/>
  <c r="AE691" i="11"/>
  <c r="AE620" i="11"/>
  <c r="AE608" i="11"/>
  <c r="AE607" i="11"/>
  <c r="AE584" i="11"/>
  <c r="AE583" i="11"/>
  <c r="AE619" i="11"/>
  <c r="AE740" i="11"/>
  <c r="AE739" i="11"/>
  <c r="AE668" i="11"/>
  <c r="AE667" i="11"/>
  <c r="AE23" i="11"/>
  <c r="AE750" i="11"/>
  <c r="AE726" i="11"/>
  <c r="AE702" i="11"/>
  <c r="AE666" i="11"/>
  <c r="AE654" i="11"/>
  <c r="AE642" i="11"/>
  <c r="AE630" i="11"/>
  <c r="AE716" i="11"/>
  <c r="AE715" i="11"/>
  <c r="AE644" i="11"/>
  <c r="AE786" i="11"/>
  <c r="AE762" i="11"/>
  <c r="AE738" i="11"/>
  <c r="AE678" i="11"/>
  <c r="AE728" i="11"/>
  <c r="AE727" i="11"/>
  <c r="AE656" i="11"/>
  <c r="AE655" i="11"/>
  <c r="AE774" i="11"/>
  <c r="AE714" i="11"/>
  <c r="AE690" i="11"/>
  <c r="AE752" i="11"/>
  <c r="AE751" i="11"/>
  <c r="AE680" i="11"/>
  <c r="AE679" i="11"/>
  <c r="AE11" i="11"/>
  <c r="AE18" i="11"/>
  <c r="AE793" i="11"/>
  <c r="AE781" i="11"/>
  <c r="AE769" i="11"/>
  <c r="AE757" i="11"/>
  <c r="AE745" i="11"/>
  <c r="AE733" i="11"/>
  <c r="AE721" i="11"/>
  <c r="AE709" i="11"/>
  <c r="AE697" i="11"/>
  <c r="AE685" i="11"/>
  <c r="AE673" i="11"/>
  <c r="AE661" i="11"/>
  <c r="AE649" i="11"/>
  <c r="AE637" i="11"/>
  <c r="AE625" i="11"/>
  <c r="AE613" i="11"/>
  <c r="AE601" i="11"/>
  <c r="AE589" i="11"/>
  <c r="AE577" i="11"/>
  <c r="AE565" i="11"/>
  <c r="AE553" i="11"/>
  <c r="AE541" i="11"/>
  <c r="AE529" i="11"/>
  <c r="AE517" i="11"/>
  <c r="AE493" i="11"/>
  <c r="AE482" i="11"/>
  <c r="AE469" i="11"/>
  <c r="AE457" i="11"/>
  <c r="AE445" i="11"/>
  <c r="AE433" i="11"/>
  <c r="AE421" i="11"/>
  <c r="AE409" i="11"/>
  <c r="AE397" i="11"/>
  <c r="AE385" i="11"/>
  <c r="AE374" i="11"/>
  <c r="AE361" i="11"/>
  <c r="AE349" i="11"/>
  <c r="AE787" i="11"/>
  <c r="AE166" i="11"/>
  <c r="AE154" i="11"/>
  <c r="AE142" i="11"/>
  <c r="AE130" i="11"/>
  <c r="AE118" i="11"/>
  <c r="AE106" i="11"/>
  <c r="AE94" i="11"/>
  <c r="AE82" i="11"/>
  <c r="AE70" i="11"/>
  <c r="AE58" i="11"/>
  <c r="AE46" i="11"/>
  <c r="AE34" i="11"/>
  <c r="AE14" i="11"/>
  <c r="AE789" i="11"/>
  <c r="AE777" i="11"/>
  <c r="AE765" i="11"/>
  <c r="AE753" i="11"/>
  <c r="AE741" i="11"/>
  <c r="AE729" i="11"/>
  <c r="AE717" i="11"/>
  <c r="AE705" i="11"/>
  <c r="AE693" i="11"/>
  <c r="AE681" i="11"/>
  <c r="AE669" i="11"/>
  <c r="AE657" i="11"/>
  <c r="AE645" i="11"/>
  <c r="AE633" i="11"/>
  <c r="AE621" i="11"/>
  <c r="AE609" i="11"/>
  <c r="AE597" i="11"/>
  <c r="AE585" i="11"/>
  <c r="AE573" i="11"/>
  <c r="AE561" i="11"/>
  <c r="AE549" i="11"/>
  <c r="AE537" i="11"/>
  <c r="AE525" i="11"/>
  <c r="AE513" i="11"/>
  <c r="AE502" i="11"/>
  <c r="AE489" i="11"/>
  <c r="AE477" i="11"/>
  <c r="AE465" i="11"/>
  <c r="AE453" i="11"/>
  <c r="AE441" i="11"/>
  <c r="AE429" i="11"/>
  <c r="AE417" i="11"/>
  <c r="AE405" i="11"/>
  <c r="AE393" i="11"/>
  <c r="AE381" i="11"/>
  <c r="AE369" i="11"/>
  <c r="AE357" i="11"/>
  <c r="AE345" i="11"/>
  <c r="AE333" i="11"/>
  <c r="AE321" i="11"/>
  <c r="AE309" i="11"/>
  <c r="AE297" i="11"/>
  <c r="AE285" i="11"/>
  <c r="AE273" i="11"/>
  <c r="AE261" i="11"/>
  <c r="AE249" i="11"/>
  <c r="AE237" i="11"/>
  <c r="AE225" i="11"/>
  <c r="AE213" i="11"/>
  <c r="AE201" i="11"/>
  <c r="AE189" i="11"/>
  <c r="AE177" i="11"/>
  <c r="AE165" i="11"/>
  <c r="AE153" i="11"/>
  <c r="AE141" i="11"/>
  <c r="AE129" i="11"/>
  <c r="AE117" i="11"/>
  <c r="AE105" i="11"/>
  <c r="AE93" i="11"/>
  <c r="AE81" i="11"/>
  <c r="AE69" i="11"/>
  <c r="AE57" i="11"/>
  <c r="AE45" i="11"/>
  <c r="AE33" i="11"/>
  <c r="AE536" i="11"/>
  <c r="AE512" i="11"/>
  <c r="AE476" i="11"/>
  <c r="AE368" i="11"/>
  <c r="AE356" i="11"/>
  <c r="AE344" i="11"/>
  <c r="AE332" i="11"/>
  <c r="AE320" i="11"/>
  <c r="AE308" i="11"/>
  <c r="AE296" i="11"/>
  <c r="AE284" i="11"/>
  <c r="AE272" i="11"/>
  <c r="AE260" i="11"/>
  <c r="AE248" i="11"/>
  <c r="AE236" i="11"/>
  <c r="AE224" i="11"/>
  <c r="AE212" i="11"/>
  <c r="AE200" i="11"/>
  <c r="AE188" i="11"/>
  <c r="AE176" i="11"/>
  <c r="AE164" i="11"/>
  <c r="AE152" i="11"/>
  <c r="AE140" i="11"/>
  <c r="AE128" i="11"/>
  <c r="AE116" i="11"/>
  <c r="AE104" i="11"/>
  <c r="AE92" i="11"/>
  <c r="AE80" i="11"/>
  <c r="AE68" i="11"/>
  <c r="AE56" i="11"/>
  <c r="AE44" i="11"/>
  <c r="AE32" i="11"/>
  <c r="AE524" i="11"/>
  <c r="AE500" i="11"/>
  <c r="AD802" i="11"/>
  <c r="AE12" i="11"/>
  <c r="AE499" i="11"/>
  <c r="AE487" i="11"/>
  <c r="AE475" i="11"/>
  <c r="AE463" i="11"/>
  <c r="AE451" i="11"/>
  <c r="AE439" i="11"/>
  <c r="AE427" i="11"/>
  <c r="AE415" i="11"/>
  <c r="AE403" i="11"/>
  <c r="AE391" i="11"/>
  <c r="AE379" i="11"/>
  <c r="AE343" i="11"/>
  <c r="AE331" i="11"/>
  <c r="AE319" i="11"/>
  <c r="AE307" i="11"/>
  <c r="AE295" i="11"/>
  <c r="AE283" i="11"/>
  <c r="AE271" i="11"/>
  <c r="AE259" i="11"/>
  <c r="AE247" i="11"/>
  <c r="AE235" i="11"/>
  <c r="AE223" i="11"/>
  <c r="AE211" i="11"/>
  <c r="AE199" i="11"/>
  <c r="AE187" i="11"/>
  <c r="AE175" i="11"/>
  <c r="AE163" i="11"/>
  <c r="AE151" i="11"/>
  <c r="AE139" i="11"/>
  <c r="AE127" i="11"/>
  <c r="AE115" i="11"/>
  <c r="AE103" i="11"/>
  <c r="AE91" i="11"/>
  <c r="AE79" i="11"/>
  <c r="AE67" i="11"/>
  <c r="AE55" i="11"/>
  <c r="AE43" i="11"/>
  <c r="AE31" i="11"/>
  <c r="AE618" i="11"/>
  <c r="AE606" i="11"/>
  <c r="AE594" i="11"/>
  <c r="AE582" i="11"/>
  <c r="AE570" i="11"/>
  <c r="AE558" i="11"/>
  <c r="AE546" i="11"/>
  <c r="AE534" i="11"/>
  <c r="AE522" i="11"/>
  <c r="AE510" i="11"/>
  <c r="AE498" i="11"/>
  <c r="AE486" i="11"/>
  <c r="AE474" i="11"/>
  <c r="AE462" i="11"/>
  <c r="AE450" i="11"/>
  <c r="AE438" i="11"/>
  <c r="AE426" i="11"/>
  <c r="AE414" i="11"/>
  <c r="AE402" i="11"/>
  <c r="AE390" i="11"/>
  <c r="AE378" i="11"/>
  <c r="AE355" i="11"/>
  <c r="AE342" i="11"/>
  <c r="AE330" i="11"/>
  <c r="AE318" i="11"/>
  <c r="AE306" i="11"/>
  <c r="AE294" i="11"/>
  <c r="AE282" i="11"/>
  <c r="AE270" i="11"/>
  <c r="AE258" i="11"/>
  <c r="AE246" i="11"/>
  <c r="AE234" i="11"/>
  <c r="AE222" i="11"/>
  <c r="AE210" i="11"/>
  <c r="AE198" i="11"/>
  <c r="AE186" i="11"/>
  <c r="AE174" i="11"/>
  <c r="AE162" i="11"/>
  <c r="AE150" i="11"/>
  <c r="AE138" i="11"/>
  <c r="AE126" i="11"/>
  <c r="AE114" i="11"/>
  <c r="AE102" i="11"/>
  <c r="AE90" i="11"/>
  <c r="AE78" i="11"/>
  <c r="AE66" i="11"/>
  <c r="AE54" i="11"/>
  <c r="AE42" i="11"/>
  <c r="AE30" i="11"/>
  <c r="AE559" i="11"/>
  <c r="AE785" i="11"/>
  <c r="AE725" i="11"/>
  <c r="AE677" i="11"/>
  <c r="AE653" i="11"/>
  <c r="AE629" i="11"/>
  <c r="AE617" i="11"/>
  <c r="AE605" i="11"/>
  <c r="AE593" i="11"/>
  <c r="AE581" i="11"/>
  <c r="AE569" i="11"/>
  <c r="AE557" i="11"/>
  <c r="AE545" i="11"/>
  <c r="AE533" i="11"/>
  <c r="AE521" i="11"/>
  <c r="AE497" i="11"/>
  <c r="AE354" i="11"/>
  <c r="AE547" i="11"/>
  <c r="AE10" i="11"/>
  <c r="AE773" i="11"/>
  <c r="AE749" i="11"/>
  <c r="AE701" i="11"/>
  <c r="AE665" i="11"/>
  <c r="AE9" i="11"/>
  <c r="AE772" i="11"/>
  <c r="AE748" i="11"/>
  <c r="AE712" i="11"/>
  <c r="AE676" i="11"/>
  <c r="AE640" i="11"/>
  <c r="AE604" i="11"/>
  <c r="AE568" i="11"/>
  <c r="AE544" i="11"/>
  <c r="AE520" i="11"/>
  <c r="AE535" i="11"/>
  <c r="AE22" i="11"/>
  <c r="AE797" i="11"/>
  <c r="AE761" i="11"/>
  <c r="AE737" i="11"/>
  <c r="AE713" i="11"/>
  <c r="AE689" i="11"/>
  <c r="AE641" i="11"/>
  <c r="AE21" i="11"/>
  <c r="AE796" i="11"/>
  <c r="AE784" i="11"/>
  <c r="AE760" i="11"/>
  <c r="AE736" i="11"/>
  <c r="AE724" i="11"/>
  <c r="AE700" i="11"/>
  <c r="AE688" i="11"/>
  <c r="AE664" i="11"/>
  <c r="AE652" i="11"/>
  <c r="AE628" i="11"/>
  <c r="AE616" i="11"/>
  <c r="AE592" i="11"/>
  <c r="AE580" i="11"/>
  <c r="AE556" i="11"/>
  <c r="AE532" i="11"/>
  <c r="AE20" i="11"/>
  <c r="AE8" i="11"/>
  <c r="AE795" i="11"/>
  <c r="AE783" i="11"/>
  <c r="AE771" i="11"/>
  <c r="AE759" i="11"/>
  <c r="AE747" i="11"/>
  <c r="AE735" i="11"/>
  <c r="AE723" i="11"/>
  <c r="AE711" i="11"/>
  <c r="AE699" i="11"/>
  <c r="AE687" i="11"/>
  <c r="AE675" i="11"/>
  <c r="AE663" i="11"/>
  <c r="AE651" i="11"/>
  <c r="AE639" i="11"/>
  <c r="AE627" i="11"/>
  <c r="AE615" i="11"/>
  <c r="AE603" i="11"/>
  <c r="AE591" i="11"/>
  <c r="AE579" i="11"/>
  <c r="AE567" i="11"/>
  <c r="AE555" i="11"/>
  <c r="AE543" i="11"/>
  <c r="AE531" i="11"/>
  <c r="AE519" i="11"/>
  <c r="AE507" i="11"/>
  <c r="AE495" i="11"/>
  <c r="AE484" i="11"/>
  <c r="AE523" i="11"/>
  <c r="AE511" i="11"/>
  <c r="AE6" i="11"/>
  <c r="AH794" i="11"/>
  <c r="AH782" i="11"/>
  <c r="AH770" i="11"/>
  <c r="AH758" i="11"/>
  <c r="AH746" i="11"/>
  <c r="AH734" i="11"/>
  <c r="AH722" i="11"/>
  <c r="AH710" i="11"/>
  <c r="AH698" i="11"/>
  <c r="AH686" i="11"/>
  <c r="AH674" i="11"/>
  <c r="AH662" i="11"/>
  <c r="AH650" i="11"/>
  <c r="AH638" i="11"/>
  <c r="AH626" i="11"/>
  <c r="AH614" i="11"/>
  <c r="AH602" i="11"/>
  <c r="AH590" i="11"/>
  <c r="AH578" i="11"/>
  <c r="AH566" i="11"/>
  <c r="AH554" i="11"/>
  <c r="AH542" i="11"/>
  <c r="AH530" i="11"/>
  <c r="AH518" i="11"/>
  <c r="AH506" i="11"/>
  <c r="AH494" i="11"/>
  <c r="AH482" i="11"/>
  <c r="AH470" i="11"/>
  <c r="AH458" i="11"/>
  <c r="AH446" i="11"/>
  <c r="AH434" i="11"/>
  <c r="AH422" i="11"/>
  <c r="AH410" i="11"/>
  <c r="AH398" i="11"/>
  <c r="AH386" i="11"/>
  <c r="AH374" i="11"/>
  <c r="AH362" i="11"/>
  <c r="AH350" i="11"/>
  <c r="AH338" i="11"/>
  <c r="AH326" i="11"/>
  <c r="AH314" i="11"/>
  <c r="AH302" i="11"/>
  <c r="AH290" i="11"/>
  <c r="AH278" i="11"/>
  <c r="AH266" i="11"/>
  <c r="AH254" i="11"/>
  <c r="AH242" i="11"/>
  <c r="AH230" i="11"/>
  <c r="AH218" i="11"/>
  <c r="AH206" i="11"/>
  <c r="AH194" i="11"/>
  <c r="AH182" i="11"/>
  <c r="AH170" i="11"/>
  <c r="AH158" i="11"/>
  <c r="AH146" i="11"/>
  <c r="AH134" i="11"/>
  <c r="AH122" i="11"/>
  <c r="AH110" i="11"/>
  <c r="AH98" i="11"/>
  <c r="AH86" i="11"/>
  <c r="AH74" i="11"/>
  <c r="AH62" i="11"/>
  <c r="AH50" i="11"/>
  <c r="AH38" i="11"/>
  <c r="AH26" i="11"/>
  <c r="AH14" i="11"/>
  <c r="AH793" i="11"/>
  <c r="AH781" i="11"/>
  <c r="AH769" i="11"/>
  <c r="AH757" i="11"/>
  <c r="AH745" i="11"/>
  <c r="AH733" i="11"/>
  <c r="AH721" i="11"/>
  <c r="AH709" i="11"/>
  <c r="AH697" i="11"/>
  <c r="AH685" i="11"/>
  <c r="AH673" i="11"/>
  <c r="AH661" i="11"/>
  <c r="AH649" i="11"/>
  <c r="AH637" i="11"/>
  <c r="AH625" i="11"/>
  <c r="AH613" i="11"/>
  <c r="AH601" i="11"/>
  <c r="AH589" i="11"/>
  <c r="AH577" i="11"/>
  <c r="AH565" i="11"/>
  <c r="AH553" i="11"/>
  <c r="AH541" i="11"/>
  <c r="AH529" i="11"/>
  <c r="AH517" i="11"/>
  <c r="AH505" i="11"/>
  <c r="AH493" i="11"/>
  <c r="AH481" i="11"/>
  <c r="AH469" i="11"/>
  <c r="AH457" i="11"/>
  <c r="AH445" i="11"/>
  <c r="AH433" i="11"/>
  <c r="AH421" i="11"/>
  <c r="AH409" i="11"/>
  <c r="AH397" i="11"/>
  <c r="AH385" i="11"/>
  <c r="AH373" i="11"/>
  <c r="AH361" i="11"/>
  <c r="AH349" i="11"/>
  <c r="AH337" i="11"/>
  <c r="AH325" i="11"/>
  <c r="AH313" i="11"/>
  <c r="AH301" i="11"/>
  <c r="AH289" i="11"/>
  <c r="AH277" i="11"/>
  <c r="AH265" i="11"/>
  <c r="AH253" i="11"/>
  <c r="AH241" i="11"/>
  <c r="AH229" i="11"/>
  <c r="AH217" i="11"/>
  <c r="AH205" i="11"/>
  <c r="AH193" i="11"/>
  <c r="AH181" i="11"/>
  <c r="AH169" i="11"/>
  <c r="AH157" i="11"/>
  <c r="AH145" i="11"/>
  <c r="AH133" i="11"/>
  <c r="AH121" i="11"/>
  <c r="AH109" i="11"/>
  <c r="AH97" i="11"/>
  <c r="AH85" i="11"/>
  <c r="AH73" i="11"/>
  <c r="AH61" i="11"/>
  <c r="AH49" i="11"/>
  <c r="AH37" i="11"/>
  <c r="AH25" i="11"/>
  <c r="AH13" i="11"/>
  <c r="AH792" i="11"/>
  <c r="AH780" i="11"/>
  <c r="AH768" i="11"/>
  <c r="AH756" i="11"/>
  <c r="AH744" i="11"/>
  <c r="AH732" i="11"/>
  <c r="AH720" i="11"/>
  <c r="AH708" i="11"/>
  <c r="AH696" i="11"/>
  <c r="AH684" i="11"/>
  <c r="AH672" i="11"/>
  <c r="AH660" i="11"/>
  <c r="AH648" i="11"/>
  <c r="AH636" i="11"/>
  <c r="AH624" i="11"/>
  <c r="AH612" i="11"/>
  <c r="AH600" i="11"/>
  <c r="AH588" i="11"/>
  <c r="AH576" i="11"/>
  <c r="AH564" i="11"/>
  <c r="AH552" i="11"/>
  <c r="AH540" i="11"/>
  <c r="AH528" i="11"/>
  <c r="AH516" i="11"/>
  <c r="AH504" i="11"/>
  <c r="AH492" i="11"/>
  <c r="AH480" i="11"/>
  <c r="AH468" i="11"/>
  <c r="AH456" i="11"/>
  <c r="AH444" i="11"/>
  <c r="AH432" i="11"/>
  <c r="AH420" i="11"/>
  <c r="AH408" i="11"/>
  <c r="AH396" i="11"/>
  <c r="AH384" i="11"/>
  <c r="AH372" i="11"/>
  <c r="AH360" i="11"/>
  <c r="AH348" i="11"/>
  <c r="AH336" i="11"/>
  <c r="AH324" i="11"/>
  <c r="AH312" i="11"/>
  <c r="AH300" i="11"/>
  <c r="AH288" i="11"/>
  <c r="AH276" i="11"/>
  <c r="AH264" i="11"/>
  <c r="AH252" i="11"/>
  <c r="AH240" i="11"/>
  <c r="AH228" i="11"/>
  <c r="AH216" i="11"/>
  <c r="AH204" i="11"/>
  <c r="AH192" i="11"/>
  <c r="AH180" i="11"/>
  <c r="AH168" i="11"/>
  <c r="AH156" i="11"/>
  <c r="AH144" i="11"/>
  <c r="AH132" i="11"/>
  <c r="AH120" i="11"/>
  <c r="AH108" i="11"/>
  <c r="AH96" i="11"/>
  <c r="AH84" i="11"/>
  <c r="AH72" i="11"/>
  <c r="AH60" i="11"/>
  <c r="AH48" i="11"/>
  <c r="AH36" i="11"/>
  <c r="AH24" i="11"/>
  <c r="AH12" i="11"/>
  <c r="AF802" i="11"/>
  <c r="AH791" i="11"/>
  <c r="AH779" i="11"/>
  <c r="AH767" i="11"/>
  <c r="AH755" i="11"/>
  <c r="AH743" i="11"/>
  <c r="AH731" i="11"/>
  <c r="AH719" i="11"/>
  <c r="AH707" i="11"/>
  <c r="AH695" i="11"/>
  <c r="AH683" i="11"/>
  <c r="AH671" i="11"/>
  <c r="AH659" i="11"/>
  <c r="AH647" i="11"/>
  <c r="AH635" i="11"/>
  <c r="AH623" i="11"/>
  <c r="AH611" i="11"/>
  <c r="AH599" i="11"/>
  <c r="AH587" i="11"/>
  <c r="AH575" i="11"/>
  <c r="AH563" i="11"/>
  <c r="AH551" i="11"/>
  <c r="AH539" i="11"/>
  <c r="AH527" i="11"/>
  <c r="AH515" i="11"/>
  <c r="AH503" i="11"/>
  <c r="AH491" i="11"/>
  <c r="AH479" i="11"/>
  <c r="AH467" i="11"/>
  <c r="AH455" i="11"/>
  <c r="AH443" i="11"/>
  <c r="AH431" i="11"/>
  <c r="AH419" i="11"/>
  <c r="AH407" i="11"/>
  <c r="AH395" i="11"/>
  <c r="AH383" i="11"/>
  <c r="AH371" i="11"/>
  <c r="AH359" i="11"/>
  <c r="AH347" i="11"/>
  <c r="AH335" i="11"/>
  <c r="AH323" i="11"/>
  <c r="AH311" i="11"/>
  <c r="AH299" i="11"/>
  <c r="AH287" i="11"/>
  <c r="AH275" i="11"/>
  <c r="AH263" i="11"/>
  <c r="AH251" i="11"/>
  <c r="AH239" i="11"/>
  <c r="AH227" i="11"/>
  <c r="AH215" i="11"/>
  <c r="AH203" i="11"/>
  <c r="AH191" i="11"/>
  <c r="AH179" i="11"/>
  <c r="AH167" i="11"/>
  <c r="AH155" i="11"/>
  <c r="AH143" i="11"/>
  <c r="AH131" i="11"/>
  <c r="AH119" i="11"/>
  <c r="AH107" i="11"/>
  <c r="AH95" i="11"/>
  <c r="AH83" i="11"/>
  <c r="AH71" i="11"/>
  <c r="AH59" i="11"/>
  <c r="AH47" i="11"/>
  <c r="AH35" i="11"/>
  <c r="AH23" i="11"/>
  <c r="AH11" i="11"/>
  <c r="AH2" i="11"/>
  <c r="AH790" i="11"/>
  <c r="AH778" i="11"/>
  <c r="AH766" i="11"/>
  <c r="AH754" i="11"/>
  <c r="AH742" i="11"/>
  <c r="AH730" i="11"/>
  <c r="AH718" i="11"/>
  <c r="AH706" i="11"/>
  <c r="AH694" i="11"/>
  <c r="AH682" i="11"/>
  <c r="AH670" i="11"/>
  <c r="AH658" i="11"/>
  <c r="AH646" i="11"/>
  <c r="AH634" i="11"/>
  <c r="AH622" i="11"/>
  <c r="AH610" i="11"/>
  <c r="AH598" i="11"/>
  <c r="AH586" i="11"/>
  <c r="AH574" i="11"/>
  <c r="AH562" i="11"/>
  <c r="AH550" i="11"/>
  <c r="AH538" i="11"/>
  <c r="AH526" i="11"/>
  <c r="AH514" i="11"/>
  <c r="AH502" i="11"/>
  <c r="AH490" i="11"/>
  <c r="AH478" i="11"/>
  <c r="AH466" i="11"/>
  <c r="AH454" i="11"/>
  <c r="AH442" i="11"/>
  <c r="AH430" i="11"/>
  <c r="AH418" i="11"/>
  <c r="AH406" i="11"/>
  <c r="AH394" i="11"/>
  <c r="AH382" i="11"/>
  <c r="AH370" i="11"/>
  <c r="AH358" i="11"/>
  <c r="AH346" i="11"/>
  <c r="AH334" i="11"/>
  <c r="AH322" i="11"/>
  <c r="AH310" i="11"/>
  <c r="AH298" i="11"/>
  <c r="AH286" i="11"/>
  <c r="AH274" i="11"/>
  <c r="AH262" i="11"/>
  <c r="AH250" i="11"/>
  <c r="AH238" i="11"/>
  <c r="AH226" i="11"/>
  <c r="AH214" i="11"/>
  <c r="AH202" i="11"/>
  <c r="AH190" i="11"/>
  <c r="AH178" i="11"/>
  <c r="AH166" i="11"/>
  <c r="AH154" i="11"/>
  <c r="AH142" i="11"/>
  <c r="AH130" i="11"/>
  <c r="AH118" i="11"/>
  <c r="AH106" i="11"/>
  <c r="AH94" i="11"/>
  <c r="AH82" i="11"/>
  <c r="AH70" i="11"/>
  <c r="AH58" i="11"/>
  <c r="AH46" i="11"/>
  <c r="AH34" i="11"/>
  <c r="AH22" i="11"/>
  <c r="AH10" i="11"/>
  <c r="AH801" i="11"/>
  <c r="AH789" i="11"/>
  <c r="AH777" i="11"/>
  <c r="AH765" i="11"/>
  <c r="AH753" i="11"/>
  <c r="AH741" i="11"/>
  <c r="AH729" i="11"/>
  <c r="AH717" i="11"/>
  <c r="AH705" i="11"/>
  <c r="AH693" i="11"/>
  <c r="AH681" i="11"/>
  <c r="AH669" i="11"/>
  <c r="AH657" i="11"/>
  <c r="AH645" i="11"/>
  <c r="AH633" i="11"/>
  <c r="AH621" i="11"/>
  <c r="AH609" i="11"/>
  <c r="AH597" i="11"/>
  <c r="AH585" i="11"/>
  <c r="AH573" i="11"/>
  <c r="AH561" i="11"/>
  <c r="AH549" i="11"/>
  <c r="AH537" i="11"/>
  <c r="AH525" i="11"/>
  <c r="AH513" i="11"/>
  <c r="AH501" i="11"/>
  <c r="AH489" i="11"/>
  <c r="AH477" i="11"/>
  <c r="AH465" i="11"/>
  <c r="AH453" i="11"/>
  <c r="AH441" i="11"/>
  <c r="AH429" i="11"/>
  <c r="AH417" i="11"/>
  <c r="AH405" i="11"/>
  <c r="AH393" i="11"/>
  <c r="AH381" i="11"/>
  <c r="AH369" i="11"/>
  <c r="AH357" i="11"/>
  <c r="AH345" i="11"/>
  <c r="AH333" i="11"/>
  <c r="AH321" i="11"/>
  <c r="AH309" i="11"/>
  <c r="AH297" i="11"/>
  <c r="AH285" i="11"/>
  <c r="AH273" i="11"/>
  <c r="AH261" i="11"/>
  <c r="AH249" i="11"/>
  <c r="AH237" i="11"/>
  <c r="AH225" i="11"/>
  <c r="AH213" i="11"/>
  <c r="AH201" i="11"/>
  <c r="AH189" i="11"/>
  <c r="AH177" i="11"/>
  <c r="AH165" i="11"/>
  <c r="AH153" i="11"/>
  <c r="AH141" i="11"/>
  <c r="AH129" i="11"/>
  <c r="AH117" i="11"/>
  <c r="AH105" i="11"/>
  <c r="AH93" i="11"/>
  <c r="AH81" i="11"/>
  <c r="AH69" i="11"/>
  <c r="AH57" i="11"/>
  <c r="AH45" i="11"/>
  <c r="AH33" i="11"/>
  <c r="AH21" i="11"/>
  <c r="AH9" i="11"/>
  <c r="AH800" i="11"/>
  <c r="AH788" i="11"/>
  <c r="AH776" i="11"/>
  <c r="AH764" i="11"/>
  <c r="AH752" i="11"/>
  <c r="AH740" i="11"/>
  <c r="AH728" i="11"/>
  <c r="AH716" i="11"/>
  <c r="AH704" i="11"/>
  <c r="AH692" i="11"/>
  <c r="AH680" i="11"/>
  <c r="AH668" i="11"/>
  <c r="AH656" i="11"/>
  <c r="AH644" i="11"/>
  <c r="AH632" i="11"/>
  <c r="AH620" i="11"/>
  <c r="AH608" i="11"/>
  <c r="AH596" i="11"/>
  <c r="AH584" i="11"/>
  <c r="AH572" i="11"/>
  <c r="AH560" i="11"/>
  <c r="AH548" i="11"/>
  <c r="AH536" i="11"/>
  <c r="AH524" i="11"/>
  <c r="AH512" i="11"/>
  <c r="AH500" i="11"/>
  <c r="AH488" i="11"/>
  <c r="AH476" i="11"/>
  <c r="AH464" i="11"/>
  <c r="AH452" i="11"/>
  <c r="AH440" i="11"/>
  <c r="AH428" i="11"/>
  <c r="AH416" i="11"/>
  <c r="AH404" i="11"/>
  <c r="AH392" i="11"/>
  <c r="AH380" i="11"/>
  <c r="AH368" i="11"/>
  <c r="AH356" i="11"/>
  <c r="AH344" i="11"/>
  <c r="AH332" i="11"/>
  <c r="AH320" i="11"/>
  <c r="AH308" i="11"/>
  <c r="AH296" i="11"/>
  <c r="AH284" i="11"/>
  <c r="AH272" i="11"/>
  <c r="AH260" i="11"/>
  <c r="AH248" i="11"/>
  <c r="AH236" i="11"/>
  <c r="AH224" i="11"/>
  <c r="AH212" i="11"/>
  <c r="AH200" i="11"/>
  <c r="AH188" i="11"/>
  <c r="AH176" i="11"/>
  <c r="AH164" i="11"/>
  <c r="AH152" i="11"/>
  <c r="AH140" i="11"/>
  <c r="AH128" i="11"/>
  <c r="AH116" i="11"/>
  <c r="AH104" i="11"/>
  <c r="AH92" i="11"/>
  <c r="AH80" i="11"/>
  <c r="AH68" i="11"/>
  <c r="AH56" i="11"/>
  <c r="AH44" i="11"/>
  <c r="AH32" i="11"/>
  <c r="AH20" i="11"/>
  <c r="AH8" i="11"/>
  <c r="AH799" i="11"/>
  <c r="AH787" i="11"/>
  <c r="AH775" i="11"/>
  <c r="AH763" i="11"/>
  <c r="AH751" i="11"/>
  <c r="AH739" i="11"/>
  <c r="AH727" i="11"/>
  <c r="AH715" i="11"/>
  <c r="AH703" i="11"/>
  <c r="AH691" i="11"/>
  <c r="AH679" i="11"/>
  <c r="AH667" i="11"/>
  <c r="AH655" i="11"/>
  <c r="AH643" i="11"/>
  <c r="AH631" i="11"/>
  <c r="AH619" i="11"/>
  <c r="AH607" i="11"/>
  <c r="AH595" i="11"/>
  <c r="AH583" i="11"/>
  <c r="AH571" i="11"/>
  <c r="AH559" i="11"/>
  <c r="AH547" i="11"/>
  <c r="AH535" i="11"/>
  <c r="AH523" i="11"/>
  <c r="AH511" i="11"/>
  <c r="AH499" i="11"/>
  <c r="AH487" i="11"/>
  <c r="AH475" i="11"/>
  <c r="AH463" i="11"/>
  <c r="AH451" i="11"/>
  <c r="AH439" i="11"/>
  <c r="AH427" i="11"/>
  <c r="AH415" i="11"/>
  <c r="AH403" i="11"/>
  <c r="AH391" i="11"/>
  <c r="AH379" i="11"/>
  <c r="AH367" i="11"/>
  <c r="AH355" i="11"/>
  <c r="AH343" i="11"/>
  <c r="AH331" i="11"/>
  <c r="AH319" i="11"/>
  <c r="AH307" i="11"/>
  <c r="AH295" i="11"/>
  <c r="AH283" i="11"/>
  <c r="AH271" i="11"/>
  <c r="AH259" i="11"/>
  <c r="AH247" i="11"/>
  <c r="AH235" i="11"/>
  <c r="AH223" i="11"/>
  <c r="AH211" i="11"/>
  <c r="AH199" i="11"/>
  <c r="AH187" i="11"/>
  <c r="AH175" i="11"/>
  <c r="AH163" i="11"/>
  <c r="AH151" i="11"/>
  <c r="AH139" i="11"/>
  <c r="AH127" i="11"/>
  <c r="AH115" i="11"/>
  <c r="AH103" i="11"/>
  <c r="AH91" i="11"/>
  <c r="AH79" i="11"/>
  <c r="AH67" i="11"/>
  <c r="AH55" i="11"/>
  <c r="AH43" i="11"/>
  <c r="AH31" i="11"/>
  <c r="AH19" i="11"/>
  <c r="AH7" i="11"/>
  <c r="AH798" i="11"/>
  <c r="AH786" i="11"/>
  <c r="AH774" i="11"/>
  <c r="AH762" i="11"/>
  <c r="AH750" i="11"/>
  <c r="AH738" i="11"/>
  <c r="AH726" i="11"/>
  <c r="AH714" i="11"/>
  <c r="AH702" i="11"/>
  <c r="AH690" i="11"/>
  <c r="AH678" i="11"/>
  <c r="AH666" i="11"/>
  <c r="AH654" i="11"/>
  <c r="AH642" i="11"/>
  <c r="AH630" i="11"/>
  <c r="AH618" i="11"/>
  <c r="AH606" i="11"/>
  <c r="AH594" i="11"/>
  <c r="AH582" i="11"/>
  <c r="AH570" i="11"/>
  <c r="AH558" i="11"/>
  <c r="AH546" i="11"/>
  <c r="AH534" i="11"/>
  <c r="AH522" i="11"/>
  <c r="AH510" i="11"/>
  <c r="AH498" i="11"/>
  <c r="AH486" i="11"/>
  <c r="AH474" i="11"/>
  <c r="AH462" i="11"/>
  <c r="AH450" i="11"/>
  <c r="AH438" i="11"/>
  <c r="AH426" i="11"/>
  <c r="AH414" i="11"/>
  <c r="AH402" i="11"/>
  <c r="AH390" i="11"/>
  <c r="AH378" i="11"/>
  <c r="AH366" i="11"/>
  <c r="AH354" i="11"/>
  <c r="AH342" i="11"/>
  <c r="AH330" i="11"/>
  <c r="AH318" i="11"/>
  <c r="AH306" i="11"/>
  <c r="AH294" i="11"/>
  <c r="AH282" i="11"/>
  <c r="AH270" i="11"/>
  <c r="AH258" i="11"/>
  <c r="AH246" i="11"/>
  <c r="AH234" i="11"/>
  <c r="AH222" i="11"/>
  <c r="AH210" i="11"/>
  <c r="AH198" i="11"/>
  <c r="AH186" i="11"/>
  <c r="AH174" i="11"/>
  <c r="AH162" i="11"/>
  <c r="AH150" i="11"/>
  <c r="AH138" i="11"/>
  <c r="AH126" i="11"/>
  <c r="AH114" i="11"/>
  <c r="AH102" i="11"/>
  <c r="AH90" i="11"/>
  <c r="AH78" i="11"/>
  <c r="AH66" i="11"/>
  <c r="AH54" i="11"/>
  <c r="AH42" i="11"/>
  <c r="AH30" i="11"/>
  <c r="AH18" i="11"/>
  <c r="AH6" i="11"/>
  <c r="AH797" i="11"/>
  <c r="AH785" i="11"/>
  <c r="AH773" i="11"/>
  <c r="AH761" i="11"/>
  <c r="AH749" i="11"/>
  <c r="AH737" i="11"/>
  <c r="AH725" i="11"/>
  <c r="AH713" i="11"/>
  <c r="AH701" i="11"/>
  <c r="AH689" i="11"/>
  <c r="AH677" i="11"/>
  <c r="AH665" i="11"/>
  <c r="AH653" i="11"/>
  <c r="AH641" i="11"/>
  <c r="AH629" i="11"/>
  <c r="AH617" i="11"/>
  <c r="AH605" i="11"/>
  <c r="AH593" i="11"/>
  <c r="AH581" i="11"/>
  <c r="AH569" i="11"/>
  <c r="AH557" i="11"/>
  <c r="AH545" i="11"/>
  <c r="AH533" i="11"/>
  <c r="AH521" i="11"/>
  <c r="AH509" i="11"/>
  <c r="AH497" i="11"/>
  <c r="AH485" i="11"/>
  <c r="AH473" i="11"/>
  <c r="AH461" i="11"/>
  <c r="AH449" i="11"/>
  <c r="AH437" i="11"/>
  <c r="AH425" i="11"/>
  <c r="AH413" i="11"/>
  <c r="AH401" i="11"/>
  <c r="AH389" i="11"/>
  <c r="AH377" i="11"/>
  <c r="AH365" i="11"/>
  <c r="AH353" i="11"/>
  <c r="AH341" i="11"/>
  <c r="AH329" i="11"/>
  <c r="AH317" i="11"/>
  <c r="AH305" i="11"/>
  <c r="AH293" i="11"/>
  <c r="AH281" i="11"/>
  <c r="AH269" i="11"/>
  <c r="AH257" i="11"/>
  <c r="AH245" i="11"/>
  <c r="AH233" i="11"/>
  <c r="AH221" i="11"/>
  <c r="AH209" i="11"/>
  <c r="AH197" i="11"/>
  <c r="AH185" i="11"/>
  <c r="AH173" i="11"/>
  <c r="AH161" i="11"/>
  <c r="AH149" i="11"/>
  <c r="AH137" i="11"/>
  <c r="AH125" i="11"/>
  <c r="AH113" i="11"/>
  <c r="AH101" i="11"/>
  <c r="AH89" i="11"/>
  <c r="AH77" i="11"/>
  <c r="AH65" i="11"/>
  <c r="AH53" i="11"/>
  <c r="AH41" i="11"/>
  <c r="AH29" i="11"/>
  <c r="AH17" i="11"/>
  <c r="AH5" i="11"/>
  <c r="AH796" i="11"/>
  <c r="AH784" i="11"/>
  <c r="AH772" i="11"/>
  <c r="AH760" i="11"/>
  <c r="AH748" i="11"/>
  <c r="AH736" i="11"/>
  <c r="AH724" i="11"/>
  <c r="AH712" i="11"/>
  <c r="AH700" i="11"/>
  <c r="AH688" i="11"/>
  <c r="AH676" i="11"/>
  <c r="AH664" i="11"/>
  <c r="AH652" i="11"/>
  <c r="AH640" i="11"/>
  <c r="AH628" i="11"/>
  <c r="AH616" i="11"/>
  <c r="AH604" i="11"/>
  <c r="AH592" i="11"/>
  <c r="AH580" i="11"/>
  <c r="AH568" i="11"/>
  <c r="AH556" i="11"/>
  <c r="AH544" i="11"/>
  <c r="AH532" i="11"/>
  <c r="AH520" i="11"/>
  <c r="AH508" i="11"/>
  <c r="AH496" i="11"/>
  <c r="AH484" i="11"/>
  <c r="AH472" i="11"/>
  <c r="AH460" i="11"/>
  <c r="AH448" i="11"/>
  <c r="AH436" i="11"/>
  <c r="AH424" i="11"/>
  <c r="AH412" i="11"/>
  <c r="AH400" i="11"/>
  <c r="AH388" i="11"/>
  <c r="AH376" i="11"/>
  <c r="AH364" i="11"/>
  <c r="AH352" i="11"/>
  <c r="AH340" i="11"/>
  <c r="AH328" i="11"/>
  <c r="AH316" i="11"/>
  <c r="AH304" i="11"/>
  <c r="AH292" i="11"/>
  <c r="AH280" i="11"/>
  <c r="AH268" i="11"/>
  <c r="AH256" i="11"/>
  <c r="AH244" i="11"/>
  <c r="AH232" i="11"/>
  <c r="AH220" i="11"/>
  <c r="AH208" i="11"/>
  <c r="AH196" i="11"/>
  <c r="AH184" i="11"/>
  <c r="AH172" i="11"/>
  <c r="AH160" i="11"/>
  <c r="AH148" i="11"/>
  <c r="AH136" i="11"/>
  <c r="AH124" i="11"/>
  <c r="AH112" i="11"/>
  <c r="AH100" i="11"/>
  <c r="AH88" i="11"/>
  <c r="AH76" i="11"/>
  <c r="AH64" i="11"/>
  <c r="AH52" i="11"/>
  <c r="AH40" i="11"/>
  <c r="AH28" i="11"/>
  <c r="AH16" i="11"/>
  <c r="AH4" i="11"/>
  <c r="AH795" i="11"/>
  <c r="AH783" i="11"/>
  <c r="AH771" i="11"/>
  <c r="AH759" i="11"/>
  <c r="AH747" i="11"/>
  <c r="AH735" i="11"/>
  <c r="AH723" i="11"/>
  <c r="AH711" i="11"/>
  <c r="AH699" i="11"/>
  <c r="AH687" i="11"/>
  <c r="AH675" i="11"/>
  <c r="AH663" i="11"/>
  <c r="AH651" i="11"/>
  <c r="AH639" i="11"/>
  <c r="AH627" i="11"/>
  <c r="AH615" i="11"/>
  <c r="AH603" i="11"/>
  <c r="AH591" i="11"/>
  <c r="AH579" i="11"/>
  <c r="AH567" i="11"/>
  <c r="AH555" i="11"/>
  <c r="AH543" i="11"/>
  <c r="AH531" i="11"/>
  <c r="AH519" i="11"/>
  <c r="AH507" i="11"/>
  <c r="AH495" i="11"/>
  <c r="AH483" i="11"/>
  <c r="AH471" i="11"/>
  <c r="AH459" i="11"/>
  <c r="AH447" i="11"/>
  <c r="AH435" i="11"/>
  <c r="AH423" i="11"/>
  <c r="AH411" i="11"/>
  <c r="AH399" i="11"/>
  <c r="AH387" i="11"/>
  <c r="AH375" i="11"/>
  <c r="AH363" i="11"/>
  <c r="AH351" i="11"/>
  <c r="AH339" i="11"/>
  <c r="AH327" i="11"/>
  <c r="AH315" i="11"/>
  <c r="AH303" i="11"/>
  <c r="AH291" i="11"/>
  <c r="AH279" i="11"/>
  <c r="AH267" i="11"/>
  <c r="AH255" i="11"/>
  <c r="AH243" i="11"/>
  <c r="AH231" i="11"/>
  <c r="AH219" i="11"/>
  <c r="AH207" i="11"/>
  <c r="AH195" i="11"/>
  <c r="AH183" i="11"/>
  <c r="AH171" i="11"/>
  <c r="AH159" i="11"/>
  <c r="AH147" i="11"/>
  <c r="AH135" i="11"/>
  <c r="AH123" i="11"/>
  <c r="AH111" i="11"/>
  <c r="AH99" i="11"/>
  <c r="AH87" i="11"/>
  <c r="AH75" i="11"/>
  <c r="AH63" i="11"/>
  <c r="AH51" i="11"/>
  <c r="AH39" i="11"/>
  <c r="AH27" i="11"/>
  <c r="AH15" i="11"/>
  <c r="F20" i="12"/>
  <c r="F30" i="12"/>
  <c r="F40" i="12"/>
  <c r="F50" i="12"/>
  <c r="F60" i="12"/>
  <c r="F70" i="12"/>
  <c r="F80" i="12"/>
  <c r="F90" i="12"/>
  <c r="F100" i="12"/>
  <c r="F110" i="12"/>
  <c r="F120" i="12"/>
  <c r="V146" i="11" s="1"/>
  <c r="F130" i="12"/>
  <c r="F140" i="12"/>
  <c r="F150" i="12"/>
  <c r="F160" i="12"/>
  <c r="F170" i="12"/>
  <c r="F180" i="12"/>
  <c r="F190" i="12"/>
  <c r="F200" i="12"/>
  <c r="F210" i="12"/>
  <c r="F220" i="12"/>
  <c r="F230" i="12"/>
  <c r="F240" i="12"/>
  <c r="V208" i="11" s="1"/>
  <c r="F250" i="12"/>
  <c r="F260" i="12"/>
  <c r="F270" i="12"/>
  <c r="F280" i="12"/>
  <c r="F290" i="12"/>
  <c r="F300" i="12"/>
  <c r="F310" i="12"/>
  <c r="F320" i="12"/>
  <c r="F330" i="12"/>
  <c r="F340" i="12"/>
  <c r="F350" i="12"/>
  <c r="F360" i="12"/>
  <c r="F370" i="12"/>
  <c r="F380" i="12"/>
  <c r="V327" i="11" s="1"/>
  <c r="F390" i="12"/>
  <c r="F400" i="12"/>
  <c r="F410" i="12"/>
  <c r="F420" i="12"/>
  <c r="F430" i="12"/>
  <c r="F440" i="12"/>
  <c r="F450" i="12"/>
  <c r="F460" i="12"/>
  <c r="F470" i="12"/>
  <c r="F480" i="12"/>
  <c r="F490" i="12"/>
  <c r="F500" i="12"/>
  <c r="V450" i="11" s="1"/>
  <c r="F510" i="12"/>
  <c r="F520" i="12"/>
  <c r="F530" i="12"/>
  <c r="F540" i="12"/>
  <c r="F550" i="12"/>
  <c r="F560" i="12"/>
  <c r="F570" i="12"/>
  <c r="F580" i="12"/>
  <c r="F590" i="12"/>
  <c r="F600" i="12"/>
  <c r="F610" i="12"/>
  <c r="F620" i="12"/>
  <c r="V471" i="11" s="1"/>
  <c r="F630" i="12"/>
  <c r="F640" i="12"/>
  <c r="F650" i="12"/>
  <c r="F660" i="12"/>
  <c r="F670" i="12"/>
  <c r="F680" i="12"/>
  <c r="F690" i="12"/>
  <c r="F700" i="12"/>
  <c r="F710" i="12"/>
  <c r="F720" i="12"/>
  <c r="F730" i="12"/>
  <c r="F740" i="12"/>
  <c r="V504" i="11" s="1"/>
  <c r="F750" i="12"/>
  <c r="F760" i="12"/>
  <c r="F770" i="12"/>
  <c r="F780" i="12"/>
  <c r="F790" i="12"/>
  <c r="F800" i="12"/>
  <c r="F810" i="12"/>
  <c r="F820" i="12"/>
  <c r="F830" i="12"/>
  <c r="F840" i="12"/>
  <c r="F850" i="12"/>
  <c r="F860" i="12"/>
  <c r="V534" i="11" s="1"/>
  <c r="F870" i="12"/>
  <c r="F880" i="12"/>
  <c r="F890" i="12"/>
  <c r="F900" i="12"/>
  <c r="F910" i="12"/>
  <c r="F920" i="12"/>
  <c r="F930" i="12"/>
  <c r="F940" i="12"/>
  <c r="F950" i="12"/>
  <c r="F960" i="12"/>
  <c r="F970" i="12"/>
  <c r="F980" i="12"/>
  <c r="F990" i="12"/>
  <c r="F1000" i="12"/>
  <c r="V110" i="11"/>
  <c r="V113" i="11"/>
  <c r="V119" i="11"/>
  <c r="V122" i="11"/>
  <c r="V124" i="11"/>
  <c r="V129" i="11"/>
  <c r="V131" i="11"/>
  <c r="V135" i="11"/>
  <c r="V138" i="11"/>
  <c r="V141" i="11"/>
  <c r="V151" i="11"/>
  <c r="V153" i="11"/>
  <c r="V157" i="11"/>
  <c r="V162" i="11"/>
  <c r="V164" i="11"/>
  <c r="V169" i="11"/>
  <c r="V176" i="11"/>
  <c r="V182" i="11"/>
  <c r="V191" i="11"/>
  <c r="V196" i="11"/>
  <c r="V204" i="11"/>
  <c r="V218" i="11"/>
  <c r="V226" i="11"/>
  <c r="V236" i="11"/>
  <c r="V244" i="11"/>
  <c r="V250" i="11"/>
  <c r="V258" i="11"/>
  <c r="V265" i="11"/>
  <c r="V275" i="11"/>
  <c r="V287" i="11"/>
  <c r="V295" i="11"/>
  <c r="V304" i="11"/>
  <c r="V315" i="11"/>
  <c r="V321" i="11"/>
  <c r="V337" i="11"/>
  <c r="V343" i="11"/>
  <c r="V353" i="11"/>
  <c r="V362" i="11"/>
  <c r="V378" i="11"/>
  <c r="V393" i="11"/>
  <c r="V402" i="11"/>
  <c r="V416" i="11"/>
  <c r="V435" i="11"/>
  <c r="V448" i="11"/>
  <c r="V449" i="11"/>
  <c r="V451" i="11"/>
  <c r="V454" i="11"/>
  <c r="V455" i="11"/>
  <c r="V456" i="11"/>
  <c r="V460" i="11"/>
  <c r="V461" i="11"/>
  <c r="V462" i="11"/>
  <c r="V464" i="11"/>
  <c r="V465" i="11"/>
  <c r="V466" i="11"/>
  <c r="V470" i="11"/>
  <c r="V472" i="11"/>
  <c r="V473" i="11"/>
  <c r="V474" i="11"/>
  <c r="V475" i="11"/>
  <c r="V477" i="11"/>
  <c r="V479" i="11"/>
  <c r="V481" i="11"/>
  <c r="V485" i="11"/>
  <c r="V488" i="11"/>
  <c r="V491" i="11"/>
  <c r="V502" i="11"/>
  <c r="V509" i="11"/>
  <c r="V511" i="11"/>
  <c r="V513" i="11"/>
  <c r="V515" i="11"/>
  <c r="V517" i="11"/>
  <c r="V520" i="11"/>
  <c r="V521" i="11"/>
  <c r="V523" i="11"/>
  <c r="V525" i="11"/>
  <c r="V529" i="11"/>
  <c r="V532" i="11"/>
  <c r="V536" i="11"/>
  <c r="V538" i="11"/>
  <c r="V543" i="11"/>
  <c r="V545" i="11"/>
  <c r="V546" i="11"/>
  <c r="V549" i="11"/>
  <c r="V551" i="11"/>
  <c r="V553" i="11"/>
  <c r="V554" i="11"/>
  <c r="V558" i="11"/>
  <c r="V559" i="11"/>
  <c r="V560" i="11"/>
  <c r="V561" i="11"/>
  <c r="V562" i="11"/>
  <c r="V108" i="11"/>
  <c r="F10" i="12"/>
  <c r="V3" i="11"/>
  <c r="V4" i="11"/>
  <c r="V5" i="11"/>
  <c r="V6" i="11"/>
  <c r="V7" i="11"/>
  <c r="V8" i="11"/>
  <c r="V9" i="11"/>
  <c r="V16" i="11"/>
  <c r="V17" i="11"/>
  <c r="V10" i="11"/>
  <c r="V11" i="11"/>
  <c r="V12" i="11"/>
  <c r="V13" i="11"/>
  <c r="V14" i="11"/>
  <c r="V15" i="11"/>
  <c r="V18" i="11"/>
  <c r="V19" i="11"/>
  <c r="V26" i="11"/>
  <c r="V28" i="11"/>
  <c r="V20" i="11"/>
  <c r="V21" i="11"/>
  <c r="V22" i="11"/>
  <c r="V23" i="11"/>
  <c r="V24" i="11"/>
  <c r="V25" i="11"/>
  <c r="V27" i="11"/>
  <c r="V29" i="11"/>
  <c r="V37" i="11"/>
  <c r="V38" i="11"/>
  <c r="V30" i="11"/>
  <c r="V31" i="11"/>
  <c r="V32" i="11"/>
  <c r="V33" i="11"/>
  <c r="V34" i="11"/>
  <c r="V35" i="11"/>
  <c r="V36" i="11"/>
  <c r="V44" i="11"/>
  <c r="V46" i="11"/>
  <c r="V49" i="11"/>
  <c r="V39" i="11"/>
  <c r="V40" i="11"/>
  <c r="V41" i="11"/>
  <c r="V42" i="11"/>
  <c r="V43" i="11"/>
  <c r="V45" i="11"/>
  <c r="V47" i="11"/>
  <c r="V48" i="11"/>
  <c r="V50" i="11"/>
  <c r="V51" i="11"/>
  <c r="V52" i="11"/>
  <c r="V53" i="11"/>
  <c r="V54" i="11"/>
  <c r="V55" i="11"/>
  <c r="V56" i="11"/>
  <c r="V57" i="11"/>
  <c r="V58" i="11"/>
  <c r="V59" i="11"/>
  <c r="V60" i="11"/>
  <c r="V68" i="11"/>
  <c r="V61" i="11"/>
  <c r="V62" i="11"/>
  <c r="V63" i="11"/>
  <c r="V64" i="11"/>
  <c r="V65" i="11"/>
  <c r="V66" i="11"/>
  <c r="V67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2" i="11"/>
  <c r="V91" i="11"/>
  <c r="V93" i="11"/>
  <c r="V94" i="11"/>
  <c r="V95" i="11"/>
  <c r="V96" i="11"/>
  <c r="V97" i="11"/>
  <c r="V98" i="11"/>
  <c r="V99" i="11"/>
  <c r="V100" i="11"/>
  <c r="V101" i="11"/>
  <c r="V104" i="11"/>
  <c r="V105" i="11"/>
  <c r="V107" i="11"/>
  <c r="V109" i="11"/>
  <c r="V111" i="11"/>
  <c r="V112" i="11"/>
  <c r="V120" i="11"/>
  <c r="V121" i="11"/>
  <c r="V123" i="11"/>
  <c r="V127" i="11"/>
  <c r="V128" i="11"/>
  <c r="V130" i="11"/>
  <c r="V136" i="11"/>
  <c r="V137" i="11"/>
  <c r="V139" i="11"/>
  <c r="V148" i="11"/>
  <c r="V150" i="11"/>
  <c r="V154" i="11"/>
  <c r="V156" i="11"/>
  <c r="V161" i="11"/>
  <c r="V167" i="11"/>
  <c r="V171" i="11"/>
  <c r="V180" i="11"/>
  <c r="V183" i="11"/>
  <c r="V194" i="11"/>
  <c r="V200" i="11"/>
  <c r="V201" i="11"/>
  <c r="V245" i="11"/>
  <c r="V256" i="11"/>
  <c r="V294" i="11"/>
  <c r="V132" i="11"/>
  <c r="V143" i="11"/>
  <c r="V152" i="11"/>
  <c r="V213" i="11"/>
  <c r="V220" i="11"/>
  <c r="V223" i="11"/>
  <c r="V292" i="11"/>
  <c r="V334" i="11"/>
  <c r="V388" i="11"/>
  <c r="V390" i="11"/>
  <c r="V251" i="11"/>
  <c r="V259" i="11"/>
  <c r="V268" i="11"/>
  <c r="V276" i="11"/>
  <c r="V277" i="11"/>
  <c r="V302" i="11"/>
  <c r="V307" i="11"/>
  <c r="V347" i="11"/>
  <c r="V349" i="11"/>
  <c r="V350" i="11"/>
  <c r="V210" i="11"/>
  <c r="V217" i="11"/>
  <c r="V219" i="11"/>
  <c r="V252" i="11"/>
  <c r="V280" i="11"/>
  <c r="V303" i="11"/>
  <c r="V310" i="11"/>
  <c r="V312" i="11"/>
  <c r="V368" i="11"/>
  <c r="V370" i="11"/>
  <c r="V238" i="11"/>
  <c r="V282" i="11"/>
  <c r="V283" i="11"/>
  <c r="V365" i="11"/>
  <c r="V371" i="11"/>
  <c r="V453" i="11"/>
  <c r="V452" i="11"/>
  <c r="V483" i="11"/>
  <c r="V489" i="11"/>
  <c r="V550" i="11"/>
  <c r="V243" i="11"/>
  <c r="V335" i="11"/>
  <c r="V372" i="11"/>
  <c r="V395" i="11"/>
  <c r="V419" i="11"/>
  <c r="V490" i="11"/>
  <c r="V531" i="11"/>
  <c r="V542" i="11"/>
  <c r="V564" i="11"/>
  <c r="V565" i="11"/>
  <c r="V263" i="11"/>
  <c r="V285" i="11"/>
  <c r="V288" i="11"/>
  <c r="V339" i="11"/>
  <c r="V341" i="11"/>
  <c r="V355" i="11"/>
  <c r="V377" i="11"/>
  <c r="V413" i="11"/>
  <c r="V412" i="11"/>
  <c r="V422" i="11"/>
  <c r="V181" i="11"/>
  <c r="V184" i="11"/>
  <c r="V188" i="11"/>
  <c r="V209" i="11"/>
  <c r="V216" i="11"/>
  <c r="V229" i="11"/>
  <c r="V237" i="11"/>
  <c r="V246" i="11"/>
  <c r="V255" i="11"/>
  <c r="V266" i="11"/>
  <c r="V270" i="11"/>
  <c r="V278" i="11"/>
  <c r="V290" i="11"/>
  <c r="V291" i="11"/>
  <c r="V305" i="11"/>
  <c r="V306" i="11"/>
  <c r="V330" i="11"/>
  <c r="V331" i="11"/>
  <c r="V332" i="11"/>
  <c r="V342" i="11"/>
  <c r="V354" i="11"/>
  <c r="V366" i="11"/>
  <c r="V367" i="11"/>
  <c r="V369" i="11"/>
  <c r="V374" i="11"/>
  <c r="V382" i="11"/>
  <c r="V383" i="11"/>
  <c r="V389" i="11"/>
  <c r="V391" i="11"/>
  <c r="V399" i="11"/>
  <c r="V405" i="11"/>
  <c r="V406" i="11"/>
  <c r="V407" i="11"/>
  <c r="V409" i="11"/>
  <c r="V410" i="11"/>
  <c r="V420" i="11"/>
  <c r="V421" i="11"/>
  <c r="V424" i="11"/>
  <c r="V437" i="11"/>
  <c r="V438" i="11"/>
  <c r="V601" i="11"/>
  <c r="V605" i="11"/>
  <c r="V602" i="11"/>
  <c r="V603" i="11"/>
  <c r="V609" i="11"/>
  <c r="V604" i="11"/>
  <c r="V606" i="11"/>
  <c r="V607" i="11"/>
  <c r="V608" i="11"/>
  <c r="V610" i="11"/>
  <c r="V392" i="11"/>
  <c r="V394" i="11"/>
  <c r="V408" i="11"/>
  <c r="V411" i="11"/>
  <c r="V445" i="11"/>
  <c r="V457" i="11"/>
  <c r="V458" i="11"/>
  <c r="V459" i="11"/>
  <c r="V501" i="11"/>
  <c r="V503" i="11"/>
  <c r="V351" i="11"/>
  <c r="V352" i="11"/>
  <c r="V357" i="11"/>
  <c r="V375" i="11"/>
  <c r="V376" i="11"/>
  <c r="V427" i="11"/>
  <c r="V426" i="11"/>
  <c r="V428" i="11"/>
  <c r="V506" i="11"/>
  <c r="V505" i="11"/>
  <c r="V397" i="11"/>
  <c r="V414" i="11"/>
  <c r="V415" i="11"/>
  <c r="V446" i="11"/>
  <c r="V447" i="11"/>
  <c r="V468" i="11"/>
  <c r="V469" i="11"/>
  <c r="V516" i="11"/>
  <c r="V535" i="11"/>
  <c r="V552" i="11"/>
  <c r="V298" i="11"/>
  <c r="V358" i="11"/>
  <c r="V359" i="11"/>
  <c r="V417" i="11"/>
  <c r="V418" i="11"/>
  <c r="V478" i="11"/>
  <c r="V510" i="11"/>
  <c r="V524" i="11"/>
  <c r="V537" i="11"/>
  <c r="V539" i="11"/>
  <c r="V102" i="11"/>
  <c r="V103" i="11"/>
  <c r="V106" i="11"/>
  <c r="V114" i="11"/>
  <c r="V116" i="11"/>
  <c r="V115" i="11"/>
  <c r="V118" i="11"/>
  <c r="V117" i="11"/>
  <c r="V125" i="11"/>
  <c r="V140" i="11"/>
  <c r="V126" i="11"/>
  <c r="V133" i="11"/>
  <c r="V134" i="11"/>
  <c r="V142" i="11"/>
  <c r="V144" i="11"/>
  <c r="V145" i="11"/>
  <c r="V147" i="11"/>
  <c r="V159" i="11"/>
  <c r="V165" i="11"/>
  <c r="V166" i="11"/>
  <c r="V149" i="11"/>
  <c r="V155" i="11"/>
  <c r="V158" i="11"/>
  <c r="V160" i="11"/>
  <c r="V163" i="11"/>
  <c r="V168" i="11"/>
  <c r="V170" i="11"/>
  <c r="V177" i="11"/>
  <c r="V178" i="11"/>
  <c r="V179" i="11"/>
  <c r="V185" i="11"/>
  <c r="V172" i="11"/>
  <c r="V173" i="11"/>
  <c r="V174" i="11"/>
  <c r="V175" i="11"/>
  <c r="V186" i="11"/>
  <c r="V187" i="11"/>
  <c r="V189" i="11"/>
  <c r="V195" i="11"/>
  <c r="V197" i="11"/>
  <c r="V190" i="11"/>
  <c r="V192" i="11"/>
  <c r="V193" i="11"/>
  <c r="V198" i="11"/>
  <c r="V199" i="11"/>
  <c r="V202" i="11"/>
  <c r="V203" i="11"/>
  <c r="V205" i="11"/>
  <c r="V206" i="11"/>
  <c r="V214" i="11"/>
  <c r="V207" i="11"/>
  <c r="V212" i="11"/>
  <c r="V211" i="11"/>
  <c r="V215" i="11"/>
  <c r="V221" i="11"/>
  <c r="V222" i="11"/>
  <c r="V231" i="11"/>
  <c r="V230" i="11"/>
  <c r="V239" i="11"/>
  <c r="V241" i="11"/>
  <c r="V224" i="11"/>
  <c r="V225" i="11"/>
  <c r="V227" i="11"/>
  <c r="V228" i="11"/>
  <c r="V232" i="11"/>
  <c r="V234" i="11"/>
  <c r="V233" i="11"/>
  <c r="V235" i="11"/>
  <c r="V240" i="11"/>
  <c r="V247" i="11"/>
  <c r="V242" i="11"/>
  <c r="V248" i="11"/>
  <c r="V249" i="11"/>
  <c r="V253" i="11"/>
  <c r="V254" i="11"/>
  <c r="V257" i="11"/>
  <c r="V260" i="11"/>
  <c r="V262" i="11"/>
  <c r="V261" i="11"/>
  <c r="V264" i="11"/>
  <c r="V267" i="11"/>
  <c r="V269" i="11"/>
  <c r="V271" i="11"/>
  <c r="V273" i="11"/>
  <c r="V272" i="11"/>
  <c r="V274" i="11"/>
  <c r="V279" i="11"/>
  <c r="V281" i="11"/>
  <c r="V284" i="11"/>
  <c r="V286" i="11"/>
  <c r="V289" i="11"/>
  <c r="V293" i="11"/>
  <c r="V296" i="11"/>
  <c r="V297" i="11"/>
  <c r="V299" i="11"/>
  <c r="V300" i="11"/>
  <c r="V301" i="11"/>
  <c r="V308" i="11"/>
  <c r="V311" i="11"/>
  <c r="V313" i="11"/>
  <c r="V309" i="11"/>
  <c r="V314" i="11"/>
  <c r="V316" i="11"/>
  <c r="V317" i="11"/>
  <c r="V318" i="11"/>
  <c r="V319" i="11"/>
  <c r="V323" i="11"/>
  <c r="V324" i="11"/>
  <c r="V325" i="11"/>
  <c r="V326" i="11"/>
  <c r="V320" i="11"/>
  <c r="V322" i="11"/>
  <c r="V328" i="11"/>
  <c r="V329" i="11"/>
  <c r="V333" i="11"/>
  <c r="V336" i="11"/>
  <c r="V338" i="11"/>
  <c r="V340" i="11"/>
  <c r="V344" i="11"/>
  <c r="V345" i="11"/>
  <c r="V346" i="11"/>
  <c r="V348" i="11"/>
  <c r="V361" i="11"/>
  <c r="V364" i="11"/>
  <c r="V373" i="11"/>
  <c r="V379" i="11"/>
  <c r="V380" i="11"/>
  <c r="V423" i="11"/>
  <c r="V436" i="11"/>
  <c r="V476" i="11"/>
  <c r="V356" i="11"/>
  <c r="V360" i="11"/>
  <c r="V384" i="11"/>
  <c r="V463" i="11"/>
  <c r="V467" i="11"/>
  <c r="V480" i="11"/>
  <c r="V541" i="11"/>
  <c r="V568" i="11"/>
  <c r="V574" i="11"/>
  <c r="V575" i="11"/>
  <c r="V401" i="11"/>
  <c r="V425" i="11"/>
  <c r="V444" i="11"/>
  <c r="V507" i="11"/>
  <c r="V508" i="11"/>
  <c r="V519" i="11"/>
  <c r="V540" i="11"/>
  <c r="V566" i="11"/>
  <c r="V571" i="11"/>
  <c r="V591" i="11"/>
  <c r="V639" i="11"/>
  <c r="V643" i="11"/>
  <c r="V644" i="11"/>
  <c r="V652" i="11"/>
  <c r="V653" i="11"/>
  <c r="V654" i="11"/>
  <c r="V656" i="11"/>
  <c r="V657" i="11"/>
  <c r="V658" i="11"/>
  <c r="V659" i="11"/>
  <c r="V660" i="11"/>
  <c r="V518" i="11"/>
  <c r="V526" i="11"/>
  <c r="V530" i="11"/>
  <c r="V547" i="11"/>
  <c r="V548" i="11"/>
  <c r="V563" i="11"/>
  <c r="V567" i="11"/>
  <c r="V572" i="11"/>
  <c r="V584" i="11"/>
  <c r="V585" i="11"/>
  <c r="V442" i="11"/>
  <c r="V487" i="11"/>
  <c r="V486" i="11"/>
  <c r="V512" i="11"/>
  <c r="V533" i="11"/>
  <c r="V555" i="11"/>
  <c r="V556" i="11"/>
  <c r="V557" i="11"/>
  <c r="V578" i="11"/>
  <c r="V579" i="11"/>
  <c r="V482" i="11"/>
  <c r="V544" i="11"/>
  <c r="V522" i="11"/>
  <c r="V573" i="11"/>
  <c r="V589" i="11"/>
  <c r="V637" i="11"/>
  <c r="V638" i="11"/>
  <c r="V648" i="11"/>
  <c r="V649" i="11"/>
  <c r="V662" i="11"/>
  <c r="V580" i="11"/>
  <c r="V613" i="11"/>
  <c r="V647" i="11"/>
  <c r="V650" i="11"/>
  <c r="V663" i="11"/>
  <c r="V664" i="11"/>
  <c r="V666" i="11"/>
  <c r="V669" i="11"/>
  <c r="V671" i="11"/>
  <c r="V672" i="11"/>
  <c r="V600" i="11"/>
  <c r="V611" i="11"/>
  <c r="V612" i="11"/>
  <c r="V634" i="11"/>
  <c r="V635" i="11"/>
  <c r="V655" i="11"/>
  <c r="V665" i="11"/>
  <c r="V667" i="11"/>
  <c r="V668" i="11"/>
  <c r="V670" i="11"/>
  <c r="V363" i="11"/>
  <c r="V381" i="11"/>
  <c r="V386" i="11"/>
  <c r="V385" i="11"/>
  <c r="V387" i="11"/>
  <c r="V396" i="11"/>
  <c r="V398" i="11"/>
  <c r="V400" i="11"/>
  <c r="V403" i="11"/>
  <c r="V404" i="11"/>
  <c r="V431" i="11"/>
  <c r="V429" i="11"/>
  <c r="V430" i="11"/>
  <c r="V432" i="11"/>
  <c r="V433" i="11"/>
  <c r="V434" i="11"/>
  <c r="V439" i="11"/>
  <c r="V440" i="11"/>
  <c r="V441" i="11"/>
  <c r="V443" i="11"/>
  <c r="V494" i="11"/>
  <c r="V492" i="11"/>
  <c r="V493" i="11"/>
  <c r="V495" i="11"/>
  <c r="V496" i="11"/>
  <c r="V497" i="11"/>
  <c r="V498" i="11"/>
  <c r="V499" i="11"/>
  <c r="V500" i="11"/>
  <c r="V514" i="11"/>
  <c r="V621" i="11"/>
  <c r="V622" i="11"/>
  <c r="V624" i="11"/>
  <c r="V623" i="11"/>
  <c r="V626" i="11"/>
  <c r="V625" i="11"/>
  <c r="V629" i="11"/>
  <c r="V627" i="11"/>
  <c r="V628" i="11"/>
  <c r="V630" i="11"/>
  <c r="V673" i="11"/>
  <c r="V674" i="11"/>
  <c r="V675" i="11"/>
  <c r="V676" i="11"/>
  <c r="V677" i="11"/>
  <c r="V678" i="11"/>
  <c r="V679" i="11"/>
  <c r="V680" i="11"/>
  <c r="V681" i="11"/>
  <c r="V682" i="11"/>
  <c r="V576" i="11"/>
  <c r="V577" i="11"/>
  <c r="V581" i="11"/>
  <c r="V582" i="11"/>
  <c r="V595" i="11"/>
  <c r="V596" i="11"/>
  <c r="V597" i="11"/>
  <c r="V598" i="11"/>
  <c r="V614" i="11"/>
  <c r="V615" i="11"/>
  <c r="V586" i="11"/>
  <c r="V587" i="11"/>
  <c r="V588" i="11"/>
  <c r="V593" i="11"/>
  <c r="V594" i="11"/>
  <c r="V631" i="11"/>
  <c r="V633" i="11"/>
  <c r="V636" i="11"/>
  <c r="V641" i="11"/>
  <c r="V646" i="11"/>
  <c r="V583" i="11"/>
  <c r="V592" i="11"/>
  <c r="V619" i="11"/>
  <c r="V620" i="11"/>
  <c r="V632" i="11"/>
  <c r="V640" i="11"/>
  <c r="V642" i="11"/>
  <c r="V645" i="11"/>
  <c r="V651" i="11"/>
  <c r="V661" i="11"/>
  <c r="V484" i="11"/>
  <c r="V527" i="11"/>
  <c r="V528" i="11"/>
  <c r="V569" i="11"/>
  <c r="V570" i="11"/>
  <c r="V590" i="11"/>
  <c r="V599" i="11"/>
  <c r="V616" i="11"/>
  <c r="V617" i="11"/>
  <c r="V618" i="11"/>
  <c r="V2" i="11"/>
  <c r="AE802" i="11" l="1"/>
  <c r="O286" i="11"/>
  <c r="O92" i="11"/>
  <c r="Q2" i="11" a="1"/>
  <c r="Q92" i="11" a="1"/>
  <c r="P286" i="11" a="1"/>
  <c r="P92" i="11" a="1"/>
  <c r="Q286" i="11" a="1"/>
  <c r="Q3" i="11" a="1"/>
  <c r="Q286" i="11" l="1"/>
  <c r="S286" i="11" s="1"/>
  <c r="U286" i="11" s="1"/>
  <c r="P286" i="11"/>
  <c r="R286" i="11" s="1"/>
  <c r="T286" i="11" s="1"/>
  <c r="Q92" i="11"/>
  <c r="S92" i="11" s="1"/>
  <c r="U92" i="11" s="1"/>
  <c r="P92" i="11"/>
  <c r="R92" i="11" s="1"/>
  <c r="T92" i="11" s="1"/>
  <c r="Q2" i="11"/>
  <c r="Q3" i="11"/>
  <c r="Q4" i="11" a="1"/>
  <c r="W286" i="11" l="1"/>
  <c r="X286" i="11" s="1"/>
  <c r="W92" i="11"/>
  <c r="Q4" i="11"/>
  <c r="O3" i="11"/>
  <c r="O4" i="11"/>
  <c r="O5" i="11"/>
  <c r="O6" i="11"/>
  <c r="O7" i="11"/>
  <c r="O8" i="11"/>
  <c r="O9" i="11"/>
  <c r="O16" i="11"/>
  <c r="O17" i="11"/>
  <c r="O10" i="11"/>
  <c r="O11" i="11"/>
  <c r="O12" i="11"/>
  <c r="O13" i="11"/>
  <c r="O14" i="11"/>
  <c r="O15" i="11"/>
  <c r="O18" i="11"/>
  <c r="O19" i="11"/>
  <c r="O26" i="11"/>
  <c r="O28" i="11"/>
  <c r="O20" i="11"/>
  <c r="O21" i="11"/>
  <c r="O22" i="11"/>
  <c r="O23" i="11"/>
  <c r="O24" i="11"/>
  <c r="O25" i="11"/>
  <c r="O27" i="11"/>
  <c r="O29" i="11"/>
  <c r="O37" i="11"/>
  <c r="O38" i="11"/>
  <c r="O30" i="11"/>
  <c r="O31" i="11"/>
  <c r="O32" i="11"/>
  <c r="O33" i="11"/>
  <c r="O34" i="11"/>
  <c r="O35" i="11"/>
  <c r="O36" i="11"/>
  <c r="O44" i="11"/>
  <c r="O46" i="11"/>
  <c r="O49" i="11"/>
  <c r="O39" i="11"/>
  <c r="O40" i="11"/>
  <c r="O41" i="11"/>
  <c r="O42" i="11"/>
  <c r="O43" i="11"/>
  <c r="O45" i="11"/>
  <c r="O47" i="11"/>
  <c r="O48" i="11"/>
  <c r="O50" i="11"/>
  <c r="O51" i="11"/>
  <c r="O52" i="11"/>
  <c r="O53" i="11"/>
  <c r="O54" i="11"/>
  <c r="O55" i="11"/>
  <c r="O56" i="11"/>
  <c r="O57" i="11"/>
  <c r="O58" i="11"/>
  <c r="O59" i="11"/>
  <c r="O60" i="11"/>
  <c r="O68" i="11"/>
  <c r="O61" i="11"/>
  <c r="O62" i="11"/>
  <c r="O63" i="11"/>
  <c r="O64" i="11"/>
  <c r="O65" i="11"/>
  <c r="O66" i="11"/>
  <c r="O67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3" i="11"/>
  <c r="O94" i="11"/>
  <c r="O95" i="11"/>
  <c r="O96" i="11"/>
  <c r="O97" i="11"/>
  <c r="O98" i="11"/>
  <c r="O99" i="11"/>
  <c r="O100" i="11"/>
  <c r="O101" i="11"/>
  <c r="O104" i="11"/>
  <c r="O105" i="11"/>
  <c r="O107" i="11"/>
  <c r="O109" i="11"/>
  <c r="O111" i="11"/>
  <c r="O112" i="11"/>
  <c r="O120" i="11"/>
  <c r="O121" i="11"/>
  <c r="O123" i="11"/>
  <c r="O127" i="11"/>
  <c r="O128" i="11"/>
  <c r="O130" i="11"/>
  <c r="O136" i="11"/>
  <c r="O137" i="11"/>
  <c r="O139" i="11"/>
  <c r="O148" i="11"/>
  <c r="O150" i="11"/>
  <c r="O154" i="11"/>
  <c r="O156" i="11"/>
  <c r="O161" i="11"/>
  <c r="O167" i="11"/>
  <c r="O171" i="11"/>
  <c r="O180" i="11"/>
  <c r="O183" i="11"/>
  <c r="O194" i="11"/>
  <c r="O200" i="11"/>
  <c r="O201" i="11"/>
  <c r="O245" i="11"/>
  <c r="O256" i="11"/>
  <c r="O294" i="11"/>
  <c r="O132" i="11"/>
  <c r="O143" i="11"/>
  <c r="O152" i="11"/>
  <c r="O213" i="11"/>
  <c r="O220" i="11"/>
  <c r="O223" i="11"/>
  <c r="O292" i="11"/>
  <c r="O334" i="11"/>
  <c r="O388" i="11"/>
  <c r="O390" i="11"/>
  <c r="O251" i="11"/>
  <c r="O259" i="11"/>
  <c r="O268" i="11"/>
  <c r="O276" i="11"/>
  <c r="O277" i="11"/>
  <c r="O302" i="11"/>
  <c r="O307" i="11"/>
  <c r="O347" i="11"/>
  <c r="O349" i="11"/>
  <c r="O350" i="11"/>
  <c r="O210" i="11"/>
  <c r="O217" i="11"/>
  <c r="O219" i="11"/>
  <c r="O252" i="11"/>
  <c r="O280" i="11"/>
  <c r="O303" i="11"/>
  <c r="O310" i="11"/>
  <c r="O312" i="11"/>
  <c r="O368" i="11"/>
  <c r="O370" i="11"/>
  <c r="O238" i="11"/>
  <c r="O282" i="11"/>
  <c r="O283" i="11"/>
  <c r="O365" i="11"/>
  <c r="O371" i="11"/>
  <c r="O453" i="11"/>
  <c r="O452" i="11"/>
  <c r="O483" i="11"/>
  <c r="O489" i="11"/>
  <c r="O550" i="11"/>
  <c r="O243" i="11"/>
  <c r="O335" i="11"/>
  <c r="O372" i="11"/>
  <c r="O395" i="11"/>
  <c r="O419" i="11"/>
  <c r="O490" i="11"/>
  <c r="O531" i="11"/>
  <c r="O542" i="11"/>
  <c r="O564" i="11"/>
  <c r="O565" i="11"/>
  <c r="O263" i="11"/>
  <c r="O285" i="11"/>
  <c r="O288" i="11"/>
  <c r="O339" i="11"/>
  <c r="O341" i="11"/>
  <c r="O355" i="11"/>
  <c r="O377" i="11"/>
  <c r="O413" i="11"/>
  <c r="O412" i="11"/>
  <c r="O422" i="11"/>
  <c r="O181" i="11"/>
  <c r="O184" i="11"/>
  <c r="O188" i="11"/>
  <c r="O209" i="11"/>
  <c r="O216" i="11"/>
  <c r="O229" i="11"/>
  <c r="O237" i="11"/>
  <c r="O246" i="11"/>
  <c r="O255" i="11"/>
  <c r="O266" i="11"/>
  <c r="O270" i="11"/>
  <c r="O278" i="11"/>
  <c r="O290" i="11"/>
  <c r="O291" i="11"/>
  <c r="O305" i="11"/>
  <c r="O306" i="11"/>
  <c r="O330" i="11"/>
  <c r="O331" i="11"/>
  <c r="O332" i="11"/>
  <c r="O342" i="11"/>
  <c r="O354" i="11"/>
  <c r="O366" i="11"/>
  <c r="O367" i="11"/>
  <c r="O369" i="11"/>
  <c r="O374" i="11"/>
  <c r="O382" i="11"/>
  <c r="O383" i="11"/>
  <c r="O389" i="11"/>
  <c r="O391" i="11"/>
  <c r="O399" i="11"/>
  <c r="O405" i="11"/>
  <c r="O406" i="11"/>
  <c r="O407" i="11"/>
  <c r="O409" i="11"/>
  <c r="O410" i="11"/>
  <c r="O420" i="11"/>
  <c r="O421" i="11"/>
  <c r="O424" i="11"/>
  <c r="O437" i="11"/>
  <c r="O438" i="11"/>
  <c r="O601" i="11"/>
  <c r="O605" i="11"/>
  <c r="O602" i="11"/>
  <c r="O603" i="11"/>
  <c r="O609" i="11"/>
  <c r="O604" i="11"/>
  <c r="O606" i="11"/>
  <c r="O607" i="11"/>
  <c r="O608" i="11"/>
  <c r="O610" i="11"/>
  <c r="O392" i="11"/>
  <c r="O394" i="11"/>
  <c r="O408" i="11"/>
  <c r="O411" i="11"/>
  <c r="O445" i="11"/>
  <c r="O457" i="11"/>
  <c r="O458" i="11"/>
  <c r="O459" i="11"/>
  <c r="O501" i="11"/>
  <c r="O503" i="11"/>
  <c r="O351" i="11"/>
  <c r="O352" i="11"/>
  <c r="O357" i="11"/>
  <c r="O375" i="11"/>
  <c r="O376" i="11"/>
  <c r="O427" i="11"/>
  <c r="O426" i="11"/>
  <c r="O428" i="11"/>
  <c r="O506" i="11"/>
  <c r="O505" i="11"/>
  <c r="O397" i="11"/>
  <c r="O414" i="11"/>
  <c r="O415" i="11"/>
  <c r="O446" i="11"/>
  <c r="O447" i="11"/>
  <c r="O468" i="11"/>
  <c r="O469" i="11"/>
  <c r="O516" i="11"/>
  <c r="O535" i="11"/>
  <c r="O552" i="11"/>
  <c r="O298" i="11"/>
  <c r="O358" i="11"/>
  <c r="O359" i="11"/>
  <c r="O417" i="11"/>
  <c r="O418" i="11"/>
  <c r="O478" i="11"/>
  <c r="O510" i="11"/>
  <c r="O524" i="11"/>
  <c r="O537" i="11"/>
  <c r="O539" i="11"/>
  <c r="O102" i="11"/>
  <c r="O103" i="11"/>
  <c r="O106" i="11"/>
  <c r="O114" i="11"/>
  <c r="O116" i="11"/>
  <c r="O115" i="11"/>
  <c r="O118" i="11"/>
  <c r="O117" i="11"/>
  <c r="O125" i="11"/>
  <c r="O140" i="11"/>
  <c r="O126" i="11"/>
  <c r="O133" i="11"/>
  <c r="O134" i="11"/>
  <c r="O142" i="11"/>
  <c r="O144" i="11"/>
  <c r="O145" i="11"/>
  <c r="O147" i="11"/>
  <c r="O159" i="11"/>
  <c r="O165" i="11"/>
  <c r="O166" i="11"/>
  <c r="O149" i="11"/>
  <c r="O155" i="11"/>
  <c r="O158" i="11"/>
  <c r="O160" i="11"/>
  <c r="O163" i="11"/>
  <c r="O168" i="11"/>
  <c r="O170" i="11"/>
  <c r="O177" i="11"/>
  <c r="O178" i="11"/>
  <c r="O179" i="11"/>
  <c r="O185" i="11"/>
  <c r="O172" i="11"/>
  <c r="O173" i="11"/>
  <c r="O174" i="11"/>
  <c r="O175" i="11"/>
  <c r="O186" i="11"/>
  <c r="O187" i="11"/>
  <c r="O189" i="11"/>
  <c r="O195" i="11"/>
  <c r="O197" i="11"/>
  <c r="O190" i="11"/>
  <c r="O192" i="11"/>
  <c r="O193" i="11"/>
  <c r="O198" i="11"/>
  <c r="O199" i="11"/>
  <c r="O202" i="11"/>
  <c r="O203" i="11"/>
  <c r="O205" i="11"/>
  <c r="O206" i="11"/>
  <c r="O214" i="11"/>
  <c r="O207" i="11"/>
  <c r="O212" i="11"/>
  <c r="O211" i="11"/>
  <c r="O215" i="11"/>
  <c r="O221" i="11"/>
  <c r="O222" i="11"/>
  <c r="O231" i="11"/>
  <c r="O230" i="11"/>
  <c r="O239" i="11"/>
  <c r="O241" i="11"/>
  <c r="O224" i="11"/>
  <c r="O225" i="11"/>
  <c r="O227" i="11"/>
  <c r="O228" i="11"/>
  <c r="O232" i="11"/>
  <c r="O234" i="11"/>
  <c r="O233" i="11"/>
  <c r="O235" i="11"/>
  <c r="O240" i="11"/>
  <c r="O247" i="11"/>
  <c r="O242" i="11"/>
  <c r="O248" i="11"/>
  <c r="O249" i="11"/>
  <c r="O253" i="11"/>
  <c r="O254" i="11"/>
  <c r="O257" i="11"/>
  <c r="O260" i="11"/>
  <c r="O262" i="11"/>
  <c r="O261" i="11"/>
  <c r="O264" i="11"/>
  <c r="O267" i="11"/>
  <c r="O269" i="11"/>
  <c r="O271" i="11"/>
  <c r="O273" i="11"/>
  <c r="O272" i="11"/>
  <c r="O274" i="11"/>
  <c r="O279" i="11"/>
  <c r="O281" i="11"/>
  <c r="O284" i="11"/>
  <c r="O289" i="11"/>
  <c r="O293" i="11"/>
  <c r="O296" i="11"/>
  <c r="O297" i="11"/>
  <c r="O299" i="11"/>
  <c r="O300" i="11"/>
  <c r="O301" i="11"/>
  <c r="O308" i="11"/>
  <c r="O311" i="11"/>
  <c r="O313" i="11"/>
  <c r="O309" i="11"/>
  <c r="O314" i="11"/>
  <c r="O316" i="11"/>
  <c r="O317" i="11"/>
  <c r="O318" i="11"/>
  <c r="O319" i="11"/>
  <c r="O323" i="11"/>
  <c r="O324" i="11"/>
  <c r="O325" i="11"/>
  <c r="O326" i="11"/>
  <c r="O320" i="11"/>
  <c r="O322" i="11"/>
  <c r="O328" i="11"/>
  <c r="O329" i="11"/>
  <c r="O333" i="11"/>
  <c r="O336" i="11"/>
  <c r="O338" i="11"/>
  <c r="O340" i="11"/>
  <c r="O344" i="11"/>
  <c r="O345" i="11"/>
  <c r="O346" i="11"/>
  <c r="O348" i="11"/>
  <c r="O361" i="11"/>
  <c r="O364" i="11"/>
  <c r="O373" i="11"/>
  <c r="O379" i="11"/>
  <c r="O380" i="11"/>
  <c r="O423" i="11"/>
  <c r="O436" i="11"/>
  <c r="O476" i="11"/>
  <c r="O356" i="11"/>
  <c r="O360" i="11"/>
  <c r="O384" i="11"/>
  <c r="O463" i="11"/>
  <c r="O467" i="11"/>
  <c r="O480" i="11"/>
  <c r="O541" i="11"/>
  <c r="O568" i="11"/>
  <c r="O574" i="11"/>
  <c r="O575" i="11"/>
  <c r="O401" i="11"/>
  <c r="O425" i="11"/>
  <c r="O444" i="11"/>
  <c r="O507" i="11"/>
  <c r="O508" i="11"/>
  <c r="O519" i="11"/>
  <c r="O540" i="11"/>
  <c r="O566" i="11"/>
  <c r="O571" i="11"/>
  <c r="O591" i="11"/>
  <c r="O639" i="11"/>
  <c r="O643" i="11"/>
  <c r="O644" i="11"/>
  <c r="O652" i="11"/>
  <c r="O653" i="11"/>
  <c r="O654" i="11"/>
  <c r="O656" i="11"/>
  <c r="O657" i="11"/>
  <c r="O658" i="11"/>
  <c r="O659" i="11"/>
  <c r="O660" i="11"/>
  <c r="O518" i="11"/>
  <c r="O526" i="11"/>
  <c r="O530" i="11"/>
  <c r="O547" i="11"/>
  <c r="O548" i="11"/>
  <c r="O563" i="11"/>
  <c r="O567" i="11"/>
  <c r="O572" i="11"/>
  <c r="O584" i="11"/>
  <c r="O585" i="11"/>
  <c r="O442" i="11"/>
  <c r="O487" i="11"/>
  <c r="O486" i="11"/>
  <c r="O512" i="11"/>
  <c r="O533" i="11"/>
  <c r="O555" i="11"/>
  <c r="O556" i="11"/>
  <c r="O557" i="11"/>
  <c r="O578" i="11"/>
  <c r="O579" i="11"/>
  <c r="O482" i="11"/>
  <c r="O544" i="11"/>
  <c r="O522" i="11"/>
  <c r="O573" i="11"/>
  <c r="O589" i="11"/>
  <c r="O637" i="11"/>
  <c r="O638" i="11"/>
  <c r="O648" i="11"/>
  <c r="O649" i="11"/>
  <c r="O662" i="11"/>
  <c r="O580" i="11"/>
  <c r="O613" i="11"/>
  <c r="O647" i="11"/>
  <c r="O650" i="11"/>
  <c r="O663" i="11"/>
  <c r="O664" i="11"/>
  <c r="O666" i="11"/>
  <c r="O669" i="11"/>
  <c r="O671" i="11"/>
  <c r="O672" i="11"/>
  <c r="O600" i="11"/>
  <c r="O611" i="11"/>
  <c r="O612" i="11"/>
  <c r="O634" i="11"/>
  <c r="O635" i="11"/>
  <c r="O655" i="11"/>
  <c r="O665" i="11"/>
  <c r="O667" i="11"/>
  <c r="O668" i="11"/>
  <c r="O670" i="11"/>
  <c r="O363" i="11"/>
  <c r="O381" i="11"/>
  <c r="O386" i="11"/>
  <c r="O385" i="11"/>
  <c r="O387" i="11"/>
  <c r="O396" i="11"/>
  <c r="O398" i="11"/>
  <c r="O400" i="11"/>
  <c r="O403" i="11"/>
  <c r="O404" i="11"/>
  <c r="O431" i="11"/>
  <c r="O429" i="11"/>
  <c r="O430" i="11"/>
  <c r="O432" i="11"/>
  <c r="O433" i="11"/>
  <c r="O434" i="11"/>
  <c r="O439" i="11"/>
  <c r="O440" i="11"/>
  <c r="O441" i="11"/>
  <c r="O443" i="11"/>
  <c r="O494" i="11"/>
  <c r="O492" i="11"/>
  <c r="O493" i="11"/>
  <c r="O495" i="11"/>
  <c r="O496" i="11"/>
  <c r="O497" i="11"/>
  <c r="O498" i="11"/>
  <c r="O499" i="11"/>
  <c r="O500" i="11"/>
  <c r="O514" i="11"/>
  <c r="O621" i="11"/>
  <c r="O622" i="11"/>
  <c r="O624" i="11"/>
  <c r="O623" i="11"/>
  <c r="O626" i="11"/>
  <c r="O625" i="11"/>
  <c r="O629" i="11"/>
  <c r="O627" i="11"/>
  <c r="O628" i="11"/>
  <c r="O630" i="11"/>
  <c r="O673" i="11"/>
  <c r="O674" i="11"/>
  <c r="O675" i="11"/>
  <c r="O676" i="11"/>
  <c r="O677" i="11"/>
  <c r="O678" i="11"/>
  <c r="O679" i="11"/>
  <c r="O680" i="11"/>
  <c r="O681" i="11"/>
  <c r="O682" i="11"/>
  <c r="O576" i="11"/>
  <c r="O577" i="11"/>
  <c r="O581" i="11"/>
  <c r="O582" i="11"/>
  <c r="O595" i="11"/>
  <c r="O596" i="11"/>
  <c r="O597" i="11"/>
  <c r="O598" i="11"/>
  <c r="O614" i="11"/>
  <c r="O615" i="11"/>
  <c r="O586" i="11"/>
  <c r="O587" i="11"/>
  <c r="O588" i="11"/>
  <c r="O593" i="11"/>
  <c r="O594" i="11"/>
  <c r="O631" i="11"/>
  <c r="O633" i="11"/>
  <c r="O636" i="11"/>
  <c r="O641" i="11"/>
  <c r="O646" i="11"/>
  <c r="O583" i="11"/>
  <c r="O592" i="11"/>
  <c r="O619" i="11"/>
  <c r="O620" i="11"/>
  <c r="O632" i="11"/>
  <c r="O640" i="11"/>
  <c r="O642" i="11"/>
  <c r="O645" i="11"/>
  <c r="O651" i="11"/>
  <c r="O661" i="11"/>
  <c r="O484" i="11"/>
  <c r="O527" i="11"/>
  <c r="O528" i="11"/>
  <c r="O569" i="11"/>
  <c r="O570" i="11"/>
  <c r="O590" i="11"/>
  <c r="O599" i="11"/>
  <c r="O616" i="11"/>
  <c r="O617" i="11"/>
  <c r="O618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P401" i="11" a="1"/>
  <c r="P612" i="11" a="1"/>
  <c r="Q609" i="11" a="1"/>
  <c r="Q584" i="11" a="1"/>
  <c r="Q415" i="11" a="1"/>
  <c r="Q636" i="11" a="1"/>
  <c r="P39" i="11" a="1"/>
  <c r="P210" i="11" a="1"/>
  <c r="Q302" i="11" a="1"/>
  <c r="Q613" i="11" a="1"/>
  <c r="Q38" i="11" a="1"/>
  <c r="Q156" i="11" a="1"/>
  <c r="Q346" i="11" a="1"/>
  <c r="Q255" i="11" a="1"/>
  <c r="P484" i="11" a="1"/>
  <c r="Q308" i="11" a="1"/>
  <c r="P364" i="11" a="1"/>
  <c r="Q335" i="11" a="1"/>
  <c r="P417" i="11" a="1"/>
  <c r="Q382" i="11" a="1"/>
  <c r="Q620" i="11" a="1"/>
  <c r="Q297" i="11" a="1"/>
  <c r="Q336" i="11" a="1"/>
  <c r="Q634" i="11" a="1"/>
  <c r="P468" i="11" a="1"/>
  <c r="P467" i="11" a="1"/>
  <c r="Q19" i="11" a="1"/>
  <c r="P90" i="11" a="1"/>
  <c r="P584" i="11" a="1"/>
  <c r="P105" i="11" a="1"/>
  <c r="P372" i="11" a="1"/>
  <c r="P447" i="11" a="1"/>
  <c r="P533" i="11" a="1"/>
  <c r="P642" i="11" a="1"/>
  <c r="P365" i="11" a="1"/>
  <c r="P171" i="11" a="1"/>
  <c r="Q631" i="11" a="1"/>
  <c r="P282" i="11" a="1"/>
  <c r="Q592" i="11" a="1"/>
  <c r="Q224" i="11" a="1"/>
  <c r="Q228" i="11" a="1"/>
  <c r="P201" i="11" a="1"/>
  <c r="Q555" i="11" a="1"/>
  <c r="Q231" i="11" a="1"/>
  <c r="P36" i="11" a="1"/>
  <c r="P548" i="11" a="1"/>
  <c r="P83" i="11" a="1"/>
  <c r="Q512" i="11" a="1"/>
  <c r="P392" i="11" a="1"/>
  <c r="P671" i="11" a="1"/>
  <c r="Q240" i="11" a="1"/>
  <c r="Q412" i="11" a="1"/>
  <c r="Q413" i="11" a="1"/>
  <c r="Q115" i="11" a="1"/>
  <c r="P297" i="11" a="1"/>
  <c r="Q581" i="11" a="1"/>
  <c r="Q80" i="11" a="1"/>
  <c r="P334" i="11" a="1"/>
  <c r="Q377" i="11" a="1"/>
  <c r="P180" i="11" a="1"/>
  <c r="P322" i="11" a="1"/>
  <c r="P457" i="11" a="1"/>
  <c r="Q674" i="11" a="1"/>
  <c r="P599" i="11" a="1"/>
  <c r="Q624" i="11" a="1"/>
  <c r="P133" i="11" a="1"/>
  <c r="P330" i="11" a="1"/>
  <c r="P120" i="11" a="1"/>
  <c r="Q436" i="11" a="1"/>
  <c r="P452" i="11" a="1"/>
  <c r="Q612" i="11" a="1"/>
  <c r="Q232" i="11" a="1"/>
  <c r="Q379" i="11" a="1"/>
  <c r="Q365" i="11" a="1"/>
  <c r="P407" i="11" a="1"/>
  <c r="Q9" i="11" a="1"/>
  <c r="P547" i="11" a="1"/>
  <c r="P405" i="11" a="1"/>
  <c r="P675" i="11" a="1"/>
  <c r="P207" i="11" a="1"/>
  <c r="P635" i="11" a="1"/>
  <c r="Q331" i="11" a="1"/>
  <c r="Q359" i="11" a="1"/>
  <c r="Q372" i="11" a="1"/>
  <c r="Q345" i="11" a="1"/>
  <c r="Q391" i="11" a="1"/>
  <c r="P278" i="11" a="1"/>
  <c r="Q645" i="11" a="1"/>
  <c r="Q64" i="11" a="1"/>
  <c r="P658" i="11" a="1"/>
  <c r="Q121" i="11" a="1"/>
  <c r="Q577" i="11" a="1"/>
  <c r="Q107" i="11" a="1"/>
  <c r="Q569" i="11" a="1"/>
  <c r="P332" i="11" a="1"/>
  <c r="P14" i="11" a="1"/>
  <c r="P211" i="11" a="1"/>
  <c r="Q267" i="11" a="1"/>
  <c r="P496" i="11" a="1"/>
  <c r="P156" i="11" a="1"/>
  <c r="Q367" i="11" a="1"/>
  <c r="Q313" i="11" a="1"/>
  <c r="P480" i="11" a="1"/>
  <c r="Q103" i="11" a="1"/>
  <c r="P55" i="11" a="1"/>
  <c r="P261" i="11" a="1"/>
  <c r="P213" i="11" a="1"/>
  <c r="Q71" i="11" a="1"/>
  <c r="Q468" i="11" a="1"/>
  <c r="P262" i="11" a="1"/>
  <c r="P114" i="11" a="1"/>
  <c r="P573" i="11" a="1"/>
  <c r="Q325" i="11" a="1"/>
  <c r="Q278" i="11" a="1"/>
  <c r="P574" i="11" a="1"/>
  <c r="P388" i="11" a="1"/>
  <c r="P103" i="11" a="1"/>
  <c r="P111" i="11" a="1"/>
  <c r="Q424" i="11" a="1"/>
  <c r="Q20" i="11" a="1"/>
  <c r="P242" i="11" a="1"/>
  <c r="Q100" i="11" a="1"/>
  <c r="P360" i="11" a="1"/>
  <c r="P206" i="11" a="1"/>
  <c r="P101" i="11" a="1"/>
  <c r="P279" i="11" a="1"/>
  <c r="P285" i="11" a="1"/>
  <c r="Q256" i="11" a="1"/>
  <c r="Q269" i="11" a="1"/>
  <c r="Q252" i="11" a="1"/>
  <c r="P74" i="11" a="1"/>
  <c r="P668" i="11" a="1"/>
  <c r="Q280" i="11" a="1"/>
  <c r="P583" i="11" a="1"/>
  <c r="Q309" i="11" a="1"/>
  <c r="Q76" i="11" a="1"/>
  <c r="Q134" i="11" a="1"/>
  <c r="P51" i="11" a="1"/>
  <c r="Q596" i="11" a="1"/>
  <c r="Q185" i="11" a="1"/>
  <c r="Q273" i="11" a="1"/>
  <c r="P175" i="11" a="1"/>
  <c r="Q388" i="11" a="1"/>
  <c r="P22" i="11" a="1"/>
  <c r="P501" i="11" a="1"/>
  <c r="P34" i="11" a="1"/>
  <c r="P8" i="11" a="1"/>
  <c r="Q565" i="11" a="1"/>
  <c r="Q69" i="11" a="1"/>
  <c r="P615" i="11" a="1"/>
  <c r="Q418" i="11" a="1"/>
  <c r="Q261" i="11" a="1"/>
  <c r="Q590" i="11" a="1"/>
  <c r="P147" i="11" a="1"/>
  <c r="P413" i="11" a="1"/>
  <c r="P230" i="11" a="1"/>
  <c r="Q179" i="11" a="1"/>
  <c r="Q494" i="11" a="1"/>
  <c r="P557" i="11" a="1"/>
  <c r="Q330" i="11" a="1"/>
  <c r="P602" i="11" a="1"/>
  <c r="Q376" i="11" a="1"/>
  <c r="Q109" i="11" a="1"/>
  <c r="Q573" i="11" a="1"/>
  <c r="Q357" i="11" a="1"/>
  <c r="Q344" i="11" a="1"/>
  <c r="P669" i="11" a="1"/>
  <c r="Q148" i="11" a="1"/>
  <c r="Q233" i="11" a="1"/>
  <c r="Q369" i="11" a="1"/>
  <c r="Q90" i="11" a="1"/>
  <c r="P379" i="11" a="1"/>
  <c r="P283" i="11" a="1"/>
  <c r="Q650" i="11" a="1"/>
  <c r="P195" i="11" a="1"/>
  <c r="Q395" i="11" a="1"/>
  <c r="Q165" i="11" a="1"/>
  <c r="Q139" i="11" a="1"/>
  <c r="P144" i="11" a="1"/>
  <c r="P109" i="11" a="1"/>
  <c r="P300" i="11" a="1"/>
  <c r="P427" i="11" a="1"/>
  <c r="P535" i="11" a="1"/>
  <c r="P255" i="11" a="1"/>
  <c r="P621" i="11" a="1"/>
  <c r="Q467" i="11" a="1"/>
  <c r="P442" i="11" a="1"/>
  <c r="Q46" i="11" a="1"/>
  <c r="Q444" i="11" a="1"/>
  <c r="Q354" i="11" a="1"/>
  <c r="Q175" i="11" a="1"/>
  <c r="P117" i="11" a="1"/>
  <c r="P355" i="11" a="1"/>
  <c r="P198" i="11" a="1"/>
  <c r="Q431" i="11" a="1"/>
  <c r="P311" i="11" a="1"/>
  <c r="Q167" i="11" a="1"/>
  <c r="Q680" i="11" a="1"/>
  <c r="P4" i="11" a="1"/>
  <c r="Q245" i="11" a="1"/>
  <c r="Q361" i="11" a="1"/>
  <c r="Q429" i="11" a="1"/>
  <c r="P527" i="11" a="1"/>
  <c r="Q406" i="11" a="1"/>
  <c r="P356" i="11" a="1"/>
  <c r="Q324" i="11" a="1"/>
  <c r="Q537" i="11" a="1"/>
  <c r="P495" i="11" a="1"/>
  <c r="P298" i="11" a="1"/>
  <c r="P229" i="11" a="1"/>
  <c r="P324" i="11" a="1"/>
  <c r="Q89" i="11" a="1"/>
  <c r="P75" i="11" a="1"/>
  <c r="Q65" i="11" a="1"/>
  <c r="P665" i="11" a="1"/>
  <c r="P76" i="11" a="1"/>
  <c r="P572" i="11" a="1"/>
  <c r="P249" i="11" a="1"/>
  <c r="P486" i="11" a="1"/>
  <c r="Q582" i="11" a="1"/>
  <c r="Q678" i="11" a="1"/>
  <c r="P568" i="11" a="1"/>
  <c r="Q457" i="11" a="1"/>
  <c r="Q593" i="11" a="1"/>
  <c r="P458" i="11" a="1"/>
  <c r="P294" i="11" a="1"/>
  <c r="Q642" i="11" a="1"/>
  <c r="P566" i="11" a="1"/>
  <c r="P81" i="11" a="1"/>
  <c r="P386" i="11" a="1"/>
  <c r="P197" i="11" a="1"/>
  <c r="Q459" i="11" a="1"/>
  <c r="Q230" i="11" a="1"/>
  <c r="Q152" i="11" a="1"/>
  <c r="P680" i="11" a="1"/>
  <c r="P609" i="11" a="1"/>
  <c r="Q501" i="11" a="1"/>
  <c r="Q188" i="11" a="1"/>
  <c r="P380" i="11" a="1"/>
  <c r="Q298" i="11" a="1"/>
  <c r="P431" i="11" a="1"/>
  <c r="Q641" i="11" a="1"/>
  <c r="P38" i="11" a="1"/>
  <c r="P594" i="11" a="1"/>
  <c r="Q366" i="11" a="1"/>
  <c r="P26" i="11" a="1"/>
  <c r="Q677" i="11" a="1"/>
  <c r="Q371" i="11" a="1"/>
  <c r="P628" i="11" a="1"/>
  <c r="P235" i="11" a="1"/>
  <c r="Q183" i="11" a="1"/>
  <c r="P656" i="11" a="1"/>
  <c r="Q42" i="11" a="1"/>
  <c r="Q206" i="11" a="1"/>
  <c r="P309" i="11" a="1"/>
  <c r="Q67" i="11" a="1"/>
  <c r="Q155" i="11" a="1"/>
  <c r="P503" i="11" a="1"/>
  <c r="Q248" i="11" a="1"/>
  <c r="Q482" i="11" a="1"/>
  <c r="P194" i="11" a="1"/>
  <c r="P679" i="11" a="1"/>
  <c r="Q296" i="11" a="1"/>
  <c r="P676" i="11" a="1"/>
  <c r="Q149" i="11" a="1"/>
  <c r="P220" i="11" a="1"/>
  <c r="Q368" i="11" a="1"/>
  <c r="Q28" i="11" a="1"/>
  <c r="P61" i="11" a="1"/>
  <c r="Q374" i="11" a="1"/>
  <c r="P233" i="11" a="1"/>
  <c r="P72" i="11" a="1"/>
  <c r="P212" i="11" a="1"/>
  <c r="Q422" i="11" a="1"/>
  <c r="Q410" i="11" a="1"/>
  <c r="Q279" i="11" a="1"/>
  <c r="Q664" i="11" a="1"/>
  <c r="P607" i="11" a="1"/>
  <c r="Q159" i="11" a="1"/>
  <c r="P369" i="11" a="1"/>
  <c r="P507" i="11" a="1"/>
  <c r="Q123" i="11" a="1"/>
  <c r="P641" i="11" a="1"/>
  <c r="P121" i="11" a="1"/>
  <c r="P493" i="11" a="1"/>
  <c r="P390" i="11" a="1"/>
  <c r="Q276" i="11" a="1"/>
  <c r="Q625" i="11" a="1"/>
  <c r="P598" i="11" a="1"/>
  <c r="P537" i="11" a="1"/>
  <c r="Q428" i="11" a="1"/>
  <c r="P420" i="11" a="1"/>
  <c r="Q75" i="11" a="1"/>
  <c r="P580" i="11" a="1"/>
  <c r="Q606" i="11" a="1"/>
  <c r="P345" i="11" a="1"/>
  <c r="Q257" i="11" a="1"/>
  <c r="Q363" i="11" a="1"/>
  <c r="P70" i="11" a="1"/>
  <c r="P264" i="11" a="1"/>
  <c r="P260" i="11" a="1"/>
  <c r="P385" i="11" a="1"/>
  <c r="Q211" i="11" a="1"/>
  <c r="Q31" i="11" a="1"/>
  <c r="Q163" i="11" a="1"/>
  <c r="Q34" i="11" a="1"/>
  <c r="P426" i="11" a="1"/>
  <c r="P143" i="11" a="1"/>
  <c r="P7" i="11" a="1"/>
  <c r="Q193" i="11" a="1"/>
  <c r="Q659" i="11" a="1"/>
  <c r="Q483" i="11" a="1"/>
  <c r="Q348" i="11" a="1"/>
  <c r="P310" i="11" a="1"/>
  <c r="P3" i="11" a="1"/>
  <c r="Q106" i="11" a="1"/>
  <c r="Q202" i="11" a="1"/>
  <c r="Q499" i="11" a="1"/>
  <c r="P415" i="11" a="1"/>
  <c r="Q81" i="11" a="1"/>
  <c r="Q239" i="11" a="1"/>
  <c r="Q57" i="11" a="1"/>
  <c r="Q263" i="11" a="1"/>
  <c r="Q101" i="11" a="1"/>
  <c r="P91" i="11" a="1"/>
  <c r="Q568" i="11" a="1"/>
  <c r="Q215" i="11" a="1"/>
  <c r="P73" i="11" a="1"/>
  <c r="Q234" i="11" a="1"/>
  <c r="Q84" i="11" a="1"/>
  <c r="Q652" i="11" a="1"/>
  <c r="P647" i="11" a="1"/>
  <c r="P202" i="11" a="1"/>
  <c r="P23" i="11" a="1"/>
  <c r="Q621" i="11" a="1"/>
  <c r="Q300" i="11" a="1"/>
  <c r="Q633" i="11" a="1"/>
  <c r="Q142" i="11" a="1"/>
  <c r="Q268" i="11" a="1"/>
  <c r="P231" i="11" a="1"/>
  <c r="Q217" i="11" a="1"/>
  <c r="P463" i="11" a="1"/>
  <c r="P423" i="11" a="1"/>
  <c r="P603" i="11" a="1"/>
  <c r="P626" i="11" a="1"/>
  <c r="Q437" i="11" a="1"/>
  <c r="Q44" i="11" a="1"/>
  <c r="Q602" i="11" a="1"/>
  <c r="Q216" i="11" a="1"/>
  <c r="P418" i="11" a="1"/>
  <c r="Q597" i="11" a="1"/>
  <c r="Q399" i="11" a="1"/>
  <c r="P570" i="11" a="1"/>
  <c r="Q306" i="11" a="1"/>
  <c r="P136" i="11" a="1"/>
  <c r="P79" i="11" a="1"/>
  <c r="Q352" i="11" a="1"/>
  <c r="Q566" i="11" a="1"/>
  <c r="P126" i="11" a="1"/>
  <c r="P54" i="11" a="1"/>
  <c r="Q260" i="11" a="1"/>
  <c r="Q94" i="11" a="1"/>
  <c r="Q212" i="11" a="1"/>
  <c r="P248" i="11" a="1"/>
  <c r="P610" i="11" a="1"/>
  <c r="Q407" i="11" a="1"/>
  <c r="Q198" i="11" a="1"/>
  <c r="Q237" i="11" a="1"/>
  <c r="P348" i="11" a="1"/>
  <c r="P237" i="11" a="1"/>
  <c r="P89" i="11" a="1"/>
  <c r="Q518" i="11" a="1"/>
  <c r="P579" i="11" a="1"/>
  <c r="P638" i="11" a="1"/>
  <c r="P623" i="11" a="1"/>
  <c r="P155" i="11" a="1"/>
  <c r="P412" i="11" a="1"/>
  <c r="P593" i="11" a="1"/>
  <c r="P563" i="11" a="1"/>
  <c r="P31" i="11" a="1"/>
  <c r="P611" i="11" a="1"/>
  <c r="P53" i="11" a="1"/>
  <c r="Q432" i="11" a="1"/>
  <c r="P476" i="11" a="1"/>
  <c r="Q629" i="11" a="1"/>
  <c r="Q623" i="11" a="1"/>
  <c r="Q283" i="11" a="1"/>
  <c r="Q137" i="11" a="1"/>
  <c r="Q47" i="11" a="1"/>
  <c r="Q495" i="11" a="1"/>
  <c r="P291" i="11" a="1"/>
  <c r="P316" i="11" a="1"/>
  <c r="Q262" i="11" a="1"/>
  <c r="Q340" i="11" a="1"/>
  <c r="P288" i="11" a="1"/>
  <c r="P65" i="11" a="1"/>
  <c r="Q387" i="11" a="1"/>
  <c r="P508" i="11" a="1"/>
  <c r="Q604" i="11" a="1"/>
  <c r="P569" i="11" a="1"/>
  <c r="P394" i="11" a="1"/>
  <c r="Q572" i="11" a="1"/>
  <c r="P17" i="11" a="1"/>
  <c r="Q27" i="11" a="1"/>
  <c r="P239" i="11" a="1"/>
  <c r="Q78" i="11" a="1"/>
  <c r="Q195" i="11" a="1"/>
  <c r="Q88" i="11" a="1"/>
  <c r="Q492" i="11" a="1"/>
  <c r="Q61" i="11" a="1"/>
  <c r="Q442" i="11" a="1"/>
  <c r="Q563" i="11" a="1"/>
  <c r="P627" i="11" a="1"/>
  <c r="P419" i="11" a="1"/>
  <c r="Q223" i="11" a="1"/>
  <c r="Q653" i="11" a="1"/>
  <c r="P339" i="11" a="1"/>
  <c r="Q497" i="11" a="1"/>
  <c r="Q484" i="11" a="1"/>
  <c r="P27" i="11" a="1"/>
  <c r="Q380" i="11" a="1"/>
  <c r="Q589" i="11" a="1"/>
  <c r="P478" i="11" a="1"/>
  <c r="Q54" i="11" a="1"/>
  <c r="P177" i="11" a="1"/>
  <c r="Q79" i="11" a="1"/>
  <c r="P238" i="11" a="1"/>
  <c r="P95" i="11" a="1"/>
  <c r="P40" i="11" a="1"/>
  <c r="Q320" i="11" a="1"/>
  <c r="Q632" i="11" a="1"/>
  <c r="P375" i="11" a="1"/>
  <c r="Q574" i="11" a="1"/>
  <c r="P352" i="11" a="1"/>
  <c r="P93" i="11" a="1"/>
  <c r="P269" i="11" a="1"/>
  <c r="Q329" i="11" a="1"/>
  <c r="P397" i="11" a="1"/>
  <c r="Q669" i="11" a="1"/>
  <c r="P367" i="11" a="1"/>
  <c r="P587" i="11" a="1"/>
  <c r="P382" i="11" a="1"/>
  <c r="Q7" i="11" a="1"/>
  <c r="P149" i="11" a="1"/>
  <c r="Q657" i="11" a="1"/>
  <c r="Q668" i="11" a="1"/>
  <c r="Q174" i="11" a="1"/>
  <c r="P13" i="11" a="1"/>
  <c r="Q207" i="11" a="1"/>
  <c r="Q43" i="11" a="1"/>
  <c r="Q570" i="11" a="1"/>
  <c r="Q192" i="11" a="1"/>
  <c r="P373" i="11" a="1"/>
  <c r="Q628" i="11" a="1"/>
  <c r="Q394" i="11" a="1"/>
  <c r="Q72" i="11" a="1"/>
  <c r="Q272" i="11" a="1"/>
  <c r="P317" i="11" a="1"/>
  <c r="Q130" i="11" a="1"/>
  <c r="Q32" i="11" a="1"/>
  <c r="P490" i="11" a="1"/>
  <c r="Q526" i="11" a="1"/>
  <c r="P225" i="11" a="1"/>
  <c r="Q104" i="11" a="1"/>
  <c r="Q293" i="11" a="1"/>
  <c r="Q68" i="11" a="1"/>
  <c r="P102" i="11" a="1"/>
  <c r="Q505" i="11" a="1"/>
  <c r="P280" i="11" a="1"/>
  <c r="P439" i="11" a="1"/>
  <c r="P289" i="11" a="1"/>
  <c r="P80" i="11" a="1"/>
  <c r="Q11" i="11" a="1"/>
  <c r="P590" i="11" a="1"/>
  <c r="P274" i="11" a="1"/>
  <c r="P160" i="11" a="1"/>
  <c r="P666" i="11" a="1"/>
  <c r="P323" i="11" a="1"/>
  <c r="P246" i="11" a="1"/>
  <c r="Q40" i="11" a="1"/>
  <c r="P178" i="11" a="1"/>
  <c r="P571" i="11" a="1"/>
  <c r="P173" i="11" a="1"/>
  <c r="P550" i="11" a="1"/>
  <c r="Q301" i="11" a="1"/>
  <c r="Q56" i="11" a="1"/>
  <c r="Q463" i="11" a="1"/>
  <c r="P86" i="11" a="1"/>
  <c r="Q30" i="11" a="1"/>
  <c r="P384" i="11" a="1"/>
  <c r="P577" i="11" a="1"/>
  <c r="Q8" i="11" a="1"/>
  <c r="Q539" i="11" a="1"/>
  <c r="P374" i="11" a="1"/>
  <c r="P344" i="11" a="1"/>
  <c r="Q160" i="11" a="1"/>
  <c r="Q476" i="11" a="1"/>
  <c r="Q651" i="11" a="1"/>
  <c r="P240" i="11" a="1"/>
  <c r="P42" i="11" a="1"/>
  <c r="Q640" i="11" a="1"/>
  <c r="Q166" i="11" a="1"/>
  <c r="P58" i="11" a="1"/>
  <c r="Q643" i="11" a="1"/>
  <c r="P44" i="11" a="1"/>
  <c r="P425" i="11" a="1"/>
  <c r="Q173" i="11" a="1"/>
  <c r="Q25" i="11" a="1"/>
  <c r="Q426" i="11" a="1"/>
  <c r="P331" i="11" a="1"/>
  <c r="P340" i="11" a="1"/>
  <c r="Q397" i="11" a="1"/>
  <c r="P618" i="11" a="1"/>
  <c r="P619" i="11" a="1"/>
  <c r="Q347" i="11" a="1"/>
  <c r="Q682" i="11" a="1"/>
  <c r="P299" i="11" a="1"/>
  <c r="P263" i="11" a="1"/>
  <c r="P633" i="11" a="1"/>
  <c r="Q235" i="11" a="1"/>
  <c r="Q150" i="11" a="1"/>
  <c r="Q616" i="11" a="1"/>
  <c r="P123" i="11" a="1"/>
  <c r="Q351" i="11" a="1"/>
  <c r="Q587" i="11" a="1"/>
  <c r="P499" i="11" a="1"/>
  <c r="Q132" i="11" a="1"/>
  <c r="P433" i="11" a="1"/>
  <c r="Q421" i="11" a="1"/>
  <c r="Q385" i="11" a="1"/>
  <c r="P368" i="11" a="1"/>
  <c r="Q316" i="11" a="1"/>
  <c r="Q575" i="11" a="1"/>
  <c r="Q190" i="11" a="1"/>
  <c r="P59" i="11" a="1"/>
  <c r="Q400" i="11" a="1"/>
  <c r="P188" i="11" a="1"/>
  <c r="Q355" i="11" a="1"/>
  <c r="P514" i="11" a="1"/>
  <c r="P2" i="11" a="1"/>
  <c r="Q187" i="11" a="1"/>
  <c r="Q524" i="11" a="1"/>
  <c r="Q63" i="11" a="1"/>
  <c r="P588" i="11" a="1"/>
  <c r="P99" i="11" a="1"/>
  <c r="Q676" i="11" a="1"/>
  <c r="P303" i="11" a="1"/>
  <c r="Q670" i="11" a="1"/>
  <c r="Q221" i="11" a="1"/>
  <c r="P292" i="11" a="1"/>
  <c r="P498" i="11" a="1"/>
  <c r="Q289" i="11" a="1"/>
  <c r="Q646" i="11" a="1"/>
  <c r="Q396" i="11" a="1"/>
  <c r="Q98" i="11" a="1"/>
  <c r="Q74" i="11" a="1"/>
  <c r="P227" i="11" a="1"/>
  <c r="P351" i="11" a="1"/>
  <c r="Q16" i="11" a="1"/>
  <c r="Q140" i="11" a="1"/>
  <c r="P18" i="11" a="1"/>
  <c r="Q580" i="11" a="1"/>
  <c r="Q5" i="11" a="1"/>
  <c r="Q660" i="11" a="1"/>
  <c r="P649" i="11" a="1"/>
  <c r="Q51" i="11" a="1"/>
  <c r="Q214" i="11" a="1"/>
  <c r="P596" i="11" a="1"/>
  <c r="P469" i="11" a="1"/>
  <c r="Q291" i="11" a="1"/>
  <c r="Q199" i="11" a="1"/>
  <c r="P646" i="11" a="1"/>
  <c r="Q200" i="11" a="1"/>
  <c r="Q433" i="11" a="1"/>
  <c r="Q654" i="11" a="1"/>
  <c r="P107" i="11" a="1"/>
  <c r="P46" i="11" a="1"/>
  <c r="P228" i="11" a="1"/>
  <c r="Q452" i="11" a="1"/>
  <c r="Q548" i="11" a="1"/>
  <c r="P159" i="11" a="1"/>
  <c r="Q50" i="11" a="1"/>
  <c r="P224" i="11" a="1"/>
  <c r="Q171" i="11" a="1"/>
  <c r="P301" i="11" a="1"/>
  <c r="Q409" i="11" a="1"/>
  <c r="Q253" i="11" a="1"/>
  <c r="Q672" i="11" a="1"/>
  <c r="P132" i="11" a="1"/>
  <c r="P52" i="11" a="1"/>
  <c r="P361" i="11" a="1"/>
  <c r="P377" i="11" a="1"/>
  <c r="P542" i="11" a="1"/>
  <c r="Q299" i="11" a="1"/>
  <c r="Q246" i="11" a="1"/>
  <c r="P432" i="11" a="1"/>
  <c r="P199" i="11" a="1"/>
  <c r="P437" i="11" a="1"/>
  <c r="P48" i="11" a="1"/>
  <c r="Q172" i="11" a="1"/>
  <c r="Q161" i="11" a="1"/>
  <c r="Q386" i="11" a="1"/>
  <c r="P21" i="11" a="1"/>
  <c r="P185" i="11" a="1"/>
  <c r="Q370" i="11" a="1"/>
  <c r="Q29" i="11" a="1"/>
  <c r="P653" i="11" a="1"/>
  <c r="Q213" i="11" a="1"/>
  <c r="Q661" i="11" a="1"/>
  <c r="Q158" i="11" a="1"/>
  <c r="Q508" i="11" a="1"/>
  <c r="P616" i="11" a="1"/>
  <c r="Q663" i="11" a="1"/>
  <c r="Q530" i="11" a="1"/>
  <c r="P643" i="11" a="1"/>
  <c r="Q307" i="11" a="1"/>
  <c r="Q97" i="11" a="1"/>
  <c r="Q622" i="11" a="1"/>
  <c r="Q547" i="11" a="1"/>
  <c r="P406" i="11" a="1"/>
  <c r="Q594" i="11" a="1"/>
  <c r="P613" i="11" a="1"/>
  <c r="Q6" i="11" a="1"/>
  <c r="Q99" i="11" a="1"/>
  <c r="P526" i="11" a="1"/>
  <c r="Q615" i="11" a="1"/>
  <c r="Q630" i="11" a="1"/>
  <c r="Q180" i="11" a="1"/>
  <c r="P215" i="11" a="1"/>
  <c r="P223" i="11" a="1"/>
  <c r="P152" i="11" a="1"/>
  <c r="Q644" i="11" a="1"/>
  <c r="Q658" i="11" a="1"/>
  <c r="Q48" i="11" a="1"/>
  <c r="P30" i="11" a="1"/>
  <c r="Q247" i="11" a="1"/>
  <c r="Q425" i="11" a="1"/>
  <c r="Q86" i="11" a="1"/>
  <c r="Q12" i="11" a="1"/>
  <c r="Q82" i="11" a="1"/>
  <c r="P528" i="11" a="1"/>
  <c r="P518" i="11" a="1"/>
  <c r="P336" i="11" a="1"/>
  <c r="P589" i="11" a="1"/>
  <c r="Q649" i="11" a="1"/>
  <c r="Q177" i="11" a="1"/>
  <c r="P398" i="11" a="1"/>
  <c r="P205" i="11" a="1"/>
  <c r="P118" i="11" a="1"/>
  <c r="Q281" i="11" a="1"/>
  <c r="Q117" i="11" a="1"/>
  <c r="Q542" i="11" a="1"/>
  <c r="P318" i="11" a="1"/>
  <c r="Q292" i="11" a="1"/>
  <c r="Q375" i="11" a="1"/>
  <c r="Q503" i="11" a="1"/>
  <c r="Q184" i="11" a="1"/>
  <c r="P673" i="11" a="1"/>
  <c r="Q585" i="11" a="1"/>
  <c r="P270" i="11" a="1"/>
  <c r="P354" i="11" a="1"/>
  <c r="Q242" i="11" a="1"/>
  <c r="P399" i="11" a="1"/>
  <c r="Q194" i="11" a="1"/>
  <c r="P652" i="11" a="1"/>
  <c r="Q605" i="11" a="1"/>
  <c r="P184" i="11" a="1"/>
  <c r="Q145" i="11" a="1"/>
  <c r="Q398" i="11" a="1"/>
  <c r="Q583" i="11" a="1"/>
  <c r="P60" i="11" a="1"/>
  <c r="P376" i="11" a="1"/>
  <c r="P16" i="11" a="1"/>
  <c r="Q220" i="11" a="1"/>
  <c r="P10" i="11" a="1"/>
  <c r="P341" i="11" a="1"/>
  <c r="Q608" i="11" a="1"/>
  <c r="Q294" i="11" a="1"/>
  <c r="Q434" i="11" a="1"/>
  <c r="Q73" i="11" a="1"/>
  <c r="P453" i="11" a="1"/>
  <c r="P516" i="11" a="1"/>
  <c r="P193" i="11" a="1"/>
  <c r="P84" i="11" a="1"/>
  <c r="Q567" i="11" a="1"/>
  <c r="P650" i="11" a="1"/>
  <c r="P578" i="11" a="1"/>
  <c r="Q181" i="11" a="1"/>
  <c r="Q595" i="11" a="1"/>
  <c r="Q282" i="11" a="1"/>
  <c r="P552" i="11" a="1"/>
  <c r="Q611" i="11" a="1"/>
  <c r="P168" i="11" a="1"/>
  <c r="Q486" i="11" a="1"/>
  <c r="Q478" i="11" a="1"/>
  <c r="Q317" i="11" a="1"/>
  <c r="Q430" i="11" a="1"/>
  <c r="Q14" i="11" a="1"/>
  <c r="P35" i="11" a="1"/>
  <c r="Q227" i="11" a="1"/>
  <c r="Q665" i="11" a="1"/>
  <c r="P15" i="11" a="1"/>
  <c r="Q23" i="11" a="1"/>
  <c r="Q22" i="11" a="1"/>
  <c r="P622" i="11" a="1"/>
  <c r="P519" i="11" a="1"/>
  <c r="P654" i="11" a="1"/>
  <c r="Q480" i="11" a="1"/>
  <c r="P247" i="11" a="1"/>
  <c r="Q403" i="11" a="1"/>
  <c r="P371" i="11" a="1"/>
  <c r="Q222" i="11" a="1"/>
  <c r="P544" i="11" a="1"/>
  <c r="P436" i="11" a="1"/>
  <c r="P257" i="11" a="1"/>
  <c r="Q102" i="11" a="1"/>
  <c r="Q270" i="11" a="1"/>
  <c r="P600" i="11" a="1"/>
  <c r="Q535" i="11" a="1"/>
  <c r="P592" i="11" a="1"/>
  <c r="P359" i="11" a="1"/>
  <c r="P601" i="11" a="1"/>
  <c r="P112" i="11" a="1"/>
  <c r="P370" i="11" a="1"/>
  <c r="P387" i="11" a="1"/>
  <c r="P127" i="11" a="1"/>
  <c r="P492" i="11" a="1"/>
  <c r="P410" i="11" a="1"/>
  <c r="P32" i="11" a="1"/>
  <c r="P581" i="11" a="1"/>
  <c r="P645" i="11" a="1"/>
  <c r="P29" i="11" a="1"/>
  <c r="Q52" i="11" a="1"/>
  <c r="P181" i="11" a="1"/>
  <c r="Q53" i="11" a="1"/>
  <c r="P595" i="11" a="1"/>
  <c r="P430" i="11" a="1"/>
  <c r="Q439" i="11" a="1"/>
  <c r="P608" i="11" a="1"/>
  <c r="P296" i="11" a="1"/>
  <c r="P82" i="11" a="1"/>
  <c r="Q626" i="11" a="1"/>
  <c r="Q469" i="11" a="1"/>
  <c r="Q147" i="11" a="1"/>
  <c r="P443" i="11" a="1"/>
  <c r="P319" i="11" a="1"/>
  <c r="Q401" i="11" a="1"/>
  <c r="P381" i="11" a="1"/>
  <c r="P66" i="11" a="1"/>
  <c r="Q36" i="11" a="1"/>
  <c r="P50" i="11" a="1"/>
  <c r="Q675" i="11" a="1"/>
  <c r="P630" i="11" a="1"/>
  <c r="Q318" i="11" a="1"/>
  <c r="P440" i="11" a="1"/>
  <c r="P273" i="11" a="1"/>
  <c r="P681" i="11" a="1"/>
  <c r="Q143" i="11" a="1"/>
  <c r="P494" i="11" a="1"/>
  <c r="Q552" i="11" a="1"/>
  <c r="Q522" i="11" a="1"/>
  <c r="P660" i="11" a="1"/>
  <c r="P634" i="11" a="1"/>
  <c r="Q271" i="11" a="1"/>
  <c r="Q655" i="11" a="1"/>
  <c r="P209" i="11" a="1"/>
  <c r="Q24" i="11" a="1"/>
  <c r="P347" i="11" a="1"/>
  <c r="Q550" i="11" a="1"/>
  <c r="P674" i="11" a="1"/>
  <c r="P625" i="11" a="1"/>
  <c r="Q285" i="11" a="1"/>
  <c r="Q114" i="11" a="1"/>
  <c r="P541" i="11" a="1"/>
  <c r="P252" i="11" a="1"/>
  <c r="Q541" i="11" a="1"/>
  <c r="Q333" i="11" a="1"/>
  <c r="Q15" i="11" a="1"/>
  <c r="P556" i="11" a="1"/>
  <c r="P661" i="11" a="1"/>
  <c r="P167" i="11" a="1"/>
  <c r="Q598" i="11" a="1"/>
  <c r="P358" i="11" a="1"/>
  <c r="P500" i="11" a="1"/>
  <c r="Q18" i="11" a="1"/>
  <c r="P161" i="11" a="1"/>
  <c r="Q178" i="11" a="1"/>
  <c r="Q328" i="11" a="1"/>
  <c r="Q26" i="11" a="1"/>
  <c r="P591" i="11" a="1"/>
  <c r="Q319" i="11" a="1"/>
  <c r="P33" i="11" a="1"/>
  <c r="P128" i="11" a="1"/>
  <c r="Q85" i="11" a="1"/>
  <c r="Q510" i="11" a="1"/>
  <c r="Q487" i="11" a="1"/>
  <c r="P272" i="11" a="1"/>
  <c r="Q87" i="11" a="1"/>
  <c r="P446" i="11" a="1"/>
  <c r="P245" i="11" a="1"/>
  <c r="Q427" i="11" a="1"/>
  <c r="Q62" i="11" a="1"/>
  <c r="Q41" i="11" a="1"/>
  <c r="Q111" i="11" a="1"/>
  <c r="Q277" i="11" a="1"/>
  <c r="P41" i="11" a="1"/>
  <c r="Q133" i="11" a="1"/>
  <c r="P64" i="11" a="1"/>
  <c r="P567" i="11" a="1"/>
  <c r="P329" i="11" a="1"/>
  <c r="Q49" i="11" a="1"/>
  <c r="Q59" i="11" a="1"/>
  <c r="Q118" i="11" a="1"/>
  <c r="P219" i="11" a="1"/>
  <c r="Q540" i="11" a="1"/>
  <c r="Q96" i="11" a="1"/>
  <c r="P217" i="11" a="1"/>
  <c r="P37" i="11" a="1"/>
  <c r="P232" i="11" a="1"/>
  <c r="P441" i="11" a="1"/>
  <c r="Q614" i="11" a="1"/>
  <c r="Q311" i="11" a="1"/>
  <c r="Q556" i="11" a="1"/>
  <c r="P629" i="11" a="1"/>
  <c r="Q607" i="11" a="1"/>
  <c r="Q290" i="11" a="1"/>
  <c r="P414" i="11" a="1"/>
  <c r="P644" i="11" a="1"/>
  <c r="P586" i="11" a="1"/>
  <c r="P115" i="11" a="1"/>
  <c r="P522" i="11" a="1"/>
  <c r="Q408" i="11" a="1"/>
  <c r="Q506" i="11" a="1"/>
  <c r="P313" i="11" a="1"/>
  <c r="Q322" i="11" a="1"/>
  <c r="P395" i="11" a="1"/>
  <c r="P659" i="11" a="1"/>
  <c r="P268" i="11" a="1"/>
  <c r="P314" i="11" a="1"/>
  <c r="Q681" i="11" a="1"/>
  <c r="P43" i="11" a="1"/>
  <c r="P150" i="11" a="1"/>
  <c r="P505" i="11" a="1"/>
  <c r="Q533" i="11" a="1"/>
  <c r="P539" i="11" a="1"/>
  <c r="P192" i="11" a="1"/>
  <c r="P682" i="11" a="1"/>
  <c r="Q95" i="11" a="1"/>
  <c r="P497" i="11" a="1"/>
  <c r="P56" i="11" a="1"/>
  <c r="Q610" i="11" a="1"/>
  <c r="Q229" i="11" a="1"/>
  <c r="Q70" i="11" a="1"/>
  <c r="Q305" i="11" a="1"/>
  <c r="P139" i="11" a="1"/>
  <c r="Q637" i="11" a="1"/>
  <c r="Q666" i="11" a="1"/>
  <c r="P134" i="11" a="1"/>
  <c r="Q288" i="11" a="1"/>
  <c r="P575" i="11" a="1"/>
  <c r="P400" i="11" a="1"/>
  <c r="Q210" i="11" a="1"/>
  <c r="P411" i="11" a="1"/>
  <c r="Q617" i="11" a="1"/>
  <c r="Q414" i="11" a="1"/>
  <c r="Q500" i="11" a="1"/>
  <c r="P489" i="11" a="1"/>
  <c r="Q243" i="11" a="1"/>
  <c r="Q168" i="11" a="1"/>
  <c r="Q339" i="11" a="1"/>
  <c r="P28" i="11" a="1"/>
  <c r="P190" i="11" a="1"/>
  <c r="P346" i="11" a="1"/>
  <c r="P9" i="11" a="1"/>
  <c r="Q489" i="11" a="1"/>
  <c r="P307" i="11" a="1"/>
  <c r="P170" i="11" a="1"/>
  <c r="P605" i="11" a="1"/>
  <c r="Q342" i="11" a="1"/>
  <c r="P564" i="11" a="1"/>
  <c r="P320" i="11" a="1"/>
  <c r="Q417" i="11" a="1"/>
  <c r="Q619" i="11" a="1"/>
  <c r="P338" i="11" a="1"/>
  <c r="P94" i="11" a="1"/>
  <c r="P45" i="11" a="1"/>
  <c r="Q438" i="11" a="1"/>
  <c r="Q586" i="11" a="1"/>
  <c r="P271" i="11" a="1"/>
  <c r="Q516" i="11" a="1"/>
  <c r="Q419" i="11" a="1"/>
  <c r="Q588" i="11" a="1"/>
  <c r="P11" i="11" a="1"/>
  <c r="Q209" i="11" a="1"/>
  <c r="Q364" i="11" a="1"/>
  <c r="P655" i="11" a="1"/>
  <c r="P5" i="11" a="1"/>
  <c r="Q531" i="11" a="1"/>
  <c r="Q35" i="11" a="1"/>
  <c r="P349" i="11" a="1"/>
  <c r="P125" i="11" a="1"/>
  <c r="Q127" i="11" a="1"/>
  <c r="Q599" i="11" a="1"/>
  <c r="Q39" i="11" a="1"/>
  <c r="P510" i="11" a="1"/>
  <c r="P576" i="11" a="1"/>
  <c r="Q591" i="11" a="1"/>
  <c r="P404" i="11" a="1"/>
  <c r="Q251" i="11" a="1"/>
  <c r="P306" i="11" a="1"/>
  <c r="Q326" i="11" a="1"/>
  <c r="P639" i="11" a="1"/>
  <c r="Q55" i="11" a="1"/>
  <c r="Q557" i="11" a="1"/>
  <c r="P651" i="11" a="1"/>
  <c r="P333" i="11" a="1"/>
  <c r="P389" i="11" a="1"/>
  <c r="Q201" i="11" a="1"/>
  <c r="P266" i="11" a="1"/>
  <c r="Q671" i="11" a="1"/>
  <c r="Q603" i="11" a="1"/>
  <c r="P243" i="11" a="1"/>
  <c r="P482" i="11" a="1"/>
  <c r="Q154" i="11" a="1"/>
  <c r="P254" i="11" a="1"/>
  <c r="Q203" i="11" a="1"/>
  <c r="Q303" i="11" a="1"/>
  <c r="P506" i="11" a="1"/>
  <c r="Q496" i="11" a="1"/>
  <c r="P350" i="11" a="1"/>
  <c r="Q241" i="11" a="1"/>
  <c r="Q225" i="11" a="1"/>
  <c r="P597" i="11" a="1"/>
  <c r="Q445" i="11" a="1"/>
  <c r="P78" i="11" a="1"/>
  <c r="P234" i="11" a="1"/>
  <c r="P308" i="11" a="1"/>
  <c r="Q618" i="11" a="1"/>
  <c r="P158" i="11" a="1"/>
  <c r="P664" i="11" a="1"/>
  <c r="P678" i="11" a="1"/>
  <c r="P57" i="11" a="1"/>
  <c r="Q91" i="11" a="1"/>
  <c r="Q571" i="11" a="1"/>
  <c r="P77" i="11" a="1"/>
  <c r="Q447" i="11" a="1"/>
  <c r="P640" i="11" a="1"/>
  <c r="Q490" i="11" a="1"/>
  <c r="P632" i="11" a="1"/>
  <c r="Q219" i="11" a="1"/>
  <c r="Q334" i="11" a="1"/>
  <c r="P396" i="11" a="1"/>
  <c r="Q662" i="11" a="1"/>
  <c r="P19" i="11" a="1"/>
  <c r="P67" i="11" a="1"/>
  <c r="Q527" i="11" a="1"/>
  <c r="P565" i="11" a="1"/>
  <c r="Q60" i="11" a="1"/>
  <c r="P434" i="11" a="1"/>
  <c r="Q404" i="11" a="1"/>
  <c r="P403" i="11" a="1"/>
  <c r="P12" i="11" a="1"/>
  <c r="P445" i="11" a="1"/>
  <c r="P130" i="11" a="1"/>
  <c r="P614" i="11" a="1"/>
  <c r="Q17" i="11" a="1"/>
  <c r="P221" i="11" a="1"/>
  <c r="Q274" i="11" a="1"/>
  <c r="Q441" i="11" a="1"/>
  <c r="P25" i="11" a="1"/>
  <c r="P284" i="11" a="1"/>
  <c r="P281" i="11" a="1"/>
  <c r="P540" i="11" a="1"/>
  <c r="Q264" i="11" a="1"/>
  <c r="Q186" i="11" a="1"/>
  <c r="P85" i="11" a="1"/>
  <c r="Q507" i="11" a="1"/>
  <c r="Q564" i="11" a="1"/>
  <c r="Q144" i="11" a="1"/>
  <c r="Q453" i="11" a="1"/>
  <c r="Q639" i="11" a="1"/>
  <c r="P253" i="11" a="1"/>
  <c r="P429" i="11" a="1"/>
  <c r="P98" i="11" a="1"/>
  <c r="P512" i="11" a="1"/>
  <c r="P483" i="11" a="1"/>
  <c r="P422" i="11" a="1"/>
  <c r="P203" i="11" a="1"/>
  <c r="Q314" i="11" a="1"/>
  <c r="Q338" i="11" a="1"/>
  <c r="P328" i="11" a="1"/>
  <c r="P100" i="11" a="1"/>
  <c r="P88" i="11" a="1"/>
  <c r="P179" i="11" a="1"/>
  <c r="Q170" i="11" a="1"/>
  <c r="Q360" i="11" a="1"/>
  <c r="P241" i="11" a="1"/>
  <c r="Q392" i="11" a="1"/>
  <c r="P222" i="11" a="1"/>
  <c r="Q10" i="11" a="1"/>
  <c r="P648" i="11" a="1"/>
  <c r="P312" i="11" a="1"/>
  <c r="Q259" i="11" a="1"/>
  <c r="Q647" i="11" a="1"/>
  <c r="Q576" i="11" a="1"/>
  <c r="Q341" i="11" a="1"/>
  <c r="Q446" i="11" a="1"/>
  <c r="Q128" i="11" a="1"/>
  <c r="P96" i="11" a="1"/>
  <c r="P276" i="11" a="1"/>
  <c r="P325" i="11" a="1"/>
  <c r="P363" i="11" a="1"/>
  <c r="Q266" i="11" a="1"/>
  <c r="Q579" i="11" a="1"/>
  <c r="Q21" i="11" a="1"/>
  <c r="P116" i="11" a="1"/>
  <c r="Q443" i="11" a="1"/>
  <c r="Q77" i="11" a="1"/>
  <c r="Q93" i="11" a="1"/>
  <c r="Q120" i="11" a="1"/>
  <c r="P531" i="11" a="1"/>
  <c r="Q673" i="11" a="1"/>
  <c r="P604" i="11" a="1"/>
  <c r="P24" i="11" a="1"/>
  <c r="Q66" i="11" a="1"/>
  <c r="P582" i="11" a="1"/>
  <c r="Q116" i="11" a="1"/>
  <c r="P165" i="11" a="1"/>
  <c r="P87" i="11" a="1"/>
  <c r="Q411" i="11" a="1"/>
  <c r="P670" i="11" a="1"/>
  <c r="Q384" i="11" a="1"/>
  <c r="Q312" i="11" a="1"/>
  <c r="P335" i="11" a="1"/>
  <c r="P667" i="11" a="1"/>
  <c r="Q13" i="11" a="1"/>
  <c r="Q493" i="11" a="1"/>
  <c r="Q578" i="11" a="1"/>
  <c r="P438" i="11" a="1"/>
  <c r="P530" i="11" a="1"/>
  <c r="Q544" i="11" a="1"/>
  <c r="P166" i="11" a="1"/>
  <c r="Q126" i="11" a="1"/>
  <c r="Q33" i="11" a="1"/>
  <c r="Q58" i="11" a="1"/>
  <c r="P106" i="11" a="1"/>
  <c r="P428" i="11" a="1"/>
  <c r="P163" i="11" a="1"/>
  <c r="P408" i="11" a="1"/>
  <c r="P104" i="11" a="1"/>
  <c r="P259" i="11" a="1"/>
  <c r="P631" i="11" a="1"/>
  <c r="P154" i="11" a="1"/>
  <c r="P187" i="11" a="1"/>
  <c r="P620" i="11" a="1"/>
  <c r="P637" i="11" a="1"/>
  <c r="P487" i="11" a="1"/>
  <c r="Q349" i="11" a="1"/>
  <c r="P189" i="11" a="1"/>
  <c r="P342" i="11" a="1"/>
  <c r="Q405" i="11" a="1"/>
  <c r="Q600" i="11" a="1"/>
  <c r="P172" i="11" a="1"/>
  <c r="Q667" i="11" a="1"/>
  <c r="P62" i="11" a="1"/>
  <c r="Q389" i="11" a="1"/>
  <c r="Q627" i="11" a="1"/>
  <c r="Q284" i="11" a="1"/>
  <c r="Q254" i="11" a="1"/>
  <c r="P267" i="11" a="1"/>
  <c r="P617" i="11" a="1"/>
  <c r="P69" i="11" a="1"/>
  <c r="P357" i="11" a="1"/>
  <c r="P145" i="11" a="1"/>
  <c r="P216" i="11" a="1"/>
  <c r="Q440" i="11" a="1"/>
  <c r="Q238" i="11" a="1"/>
  <c r="P421" i="11" a="1"/>
  <c r="P326" i="11" a="1"/>
  <c r="P662" i="11" a="1"/>
  <c r="P256" i="11" a="1"/>
  <c r="P71" i="11" a="1"/>
  <c r="Q679" i="11" a="1"/>
  <c r="Q383" i="11" a="1"/>
  <c r="Q310" i="11" a="1"/>
  <c r="P97" i="11" a="1"/>
  <c r="P606" i="11" a="1"/>
  <c r="Q498" i="11" a="1"/>
  <c r="Q381" i="11" a="1"/>
  <c r="Q420" i="11" a="1"/>
  <c r="P200" i="11" a="1"/>
  <c r="P305" i="11" a="1"/>
  <c r="P174" i="11" a="1"/>
  <c r="P302" i="11" a="1"/>
  <c r="P677" i="11" a="1"/>
  <c r="P383" i="11" a="1"/>
  <c r="Q45" i="11" a="1"/>
  <c r="Q205" i="11" a="1"/>
  <c r="P672" i="11" a="1"/>
  <c r="Q249" i="11" a="1"/>
  <c r="P585" i="11" a="1"/>
  <c r="Q648" i="11" a="1"/>
  <c r="P142" i="11" a="1"/>
  <c r="Q332" i="11" a="1"/>
  <c r="Q601" i="11" a="1"/>
  <c r="P366" i="11" a="1"/>
  <c r="Q373" i="11" a="1"/>
  <c r="P424" i="11" a="1"/>
  <c r="P636" i="11" a="1"/>
  <c r="Q112" i="11" a="1"/>
  <c r="P47" i="11" a="1"/>
  <c r="P524" i="11" a="1"/>
  <c r="Q105" i="11" a="1"/>
  <c r="Q519" i="11" a="1"/>
  <c r="P391" i="11" a="1"/>
  <c r="P68" i="11" a="1"/>
  <c r="Q423" i="11" a="1"/>
  <c r="P6" i="11" a="1"/>
  <c r="Q37" i="11" a="1"/>
  <c r="Q358" i="11" a="1"/>
  <c r="Q197" i="11" a="1"/>
  <c r="Q323" i="11" a="1"/>
  <c r="Q350" i="11" a="1"/>
  <c r="P49" i="11" a="1"/>
  <c r="Q528" i="11" a="1"/>
  <c r="P137" i="11" a="1"/>
  <c r="P183" i="11" a="1"/>
  <c r="P657" i="11" a="1"/>
  <c r="P555" i="11" a="1"/>
  <c r="P293" i="11" a="1"/>
  <c r="P290" i="11" a="1"/>
  <c r="P20" i="11" a="1"/>
  <c r="P277" i="11" a="1"/>
  <c r="Q638" i="11" a="1"/>
  <c r="Q514" i="11" a="1"/>
  <c r="P444" i="11" a="1"/>
  <c r="Q83" i="11" a="1"/>
  <c r="P186" i="11" a="1"/>
  <c r="P63" i="11" a="1"/>
  <c r="Q458" i="11" a="1"/>
  <c r="P663" i="11" a="1"/>
  <c r="Q189" i="11" a="1"/>
  <c r="P459" i="11" a="1"/>
  <c r="Q125" i="11" a="1"/>
  <c r="Q390" i="11" a="1"/>
  <c r="P409" i="11" a="1"/>
  <c r="P251" i="11" a="1"/>
  <c r="Q656" i="11" a="1"/>
  <c r="Q136" i="11" a="1"/>
  <c r="P140" i="11" a="1"/>
  <c r="Q635" i="11" a="1"/>
  <c r="P214" i="11" a="1"/>
  <c r="P148" i="11" a="1"/>
  <c r="Q356" i="11" a="1"/>
  <c r="P624" i="11" a="1"/>
  <c r="X92" i="11" l="1"/>
  <c r="Q665" i="11"/>
  <c r="Q442" i="11"/>
  <c r="S442" i="11" s="1"/>
  <c r="U442" i="11" s="1"/>
  <c r="Q480" i="11"/>
  <c r="Q313" i="11"/>
  <c r="S313" i="11" s="1"/>
  <c r="U313" i="11" s="1"/>
  <c r="Q227" i="11"/>
  <c r="S227" i="11" s="1"/>
  <c r="U227" i="11" s="1"/>
  <c r="Q170" i="11"/>
  <c r="S170" i="11" s="1"/>
  <c r="U170" i="11" s="1"/>
  <c r="Q617" i="11"/>
  <c r="S617" i="11" s="1"/>
  <c r="U617" i="11" s="1"/>
  <c r="Q528" i="11"/>
  <c r="S528" i="11" s="1"/>
  <c r="U528" i="11" s="1"/>
  <c r="Q642" i="11"/>
  <c r="S642" i="11" s="1"/>
  <c r="U642" i="11" s="1"/>
  <c r="Q583" i="11"/>
  <c r="S583" i="11" s="1"/>
  <c r="U583" i="11" s="1"/>
  <c r="Q594" i="11"/>
  <c r="S594" i="11" s="1"/>
  <c r="U594" i="11" s="1"/>
  <c r="Q614" i="11"/>
  <c r="Q581" i="11"/>
  <c r="Q679" i="11"/>
  <c r="S679" i="11" s="1"/>
  <c r="U679" i="11" s="1"/>
  <c r="Q673" i="11"/>
  <c r="Q626" i="11"/>
  <c r="S626" i="11" s="1"/>
  <c r="U626" i="11" s="1"/>
  <c r="Q500" i="11"/>
  <c r="S500" i="11" s="1"/>
  <c r="U500" i="11" s="1"/>
  <c r="Q493" i="11"/>
  <c r="S493" i="11" s="1"/>
  <c r="U493" i="11" s="1"/>
  <c r="Q439" i="11"/>
  <c r="S439" i="11" s="1"/>
  <c r="U439" i="11" s="1"/>
  <c r="Q431" i="11"/>
  <c r="S431" i="11" s="1"/>
  <c r="U431" i="11" s="1"/>
  <c r="Q387" i="11"/>
  <c r="S387" i="11" s="1"/>
  <c r="U387" i="11" s="1"/>
  <c r="Q634" i="11"/>
  <c r="S634" i="11" s="1"/>
  <c r="U634" i="11" s="1"/>
  <c r="Q572" i="11"/>
  <c r="S572" i="11" s="1"/>
  <c r="U572" i="11" s="1"/>
  <c r="Q384" i="11"/>
  <c r="S384" i="11" s="1"/>
  <c r="U384" i="11" s="1"/>
  <c r="Q301" i="11"/>
  <c r="Q241" i="11"/>
  <c r="Q160" i="11"/>
  <c r="Q600" i="11"/>
  <c r="S600" i="11" s="1"/>
  <c r="U600" i="11" s="1"/>
  <c r="Q548" i="11"/>
  <c r="S548" i="11" s="1"/>
  <c r="U548" i="11" s="1"/>
  <c r="Q476" i="11"/>
  <c r="S476" i="11" s="1"/>
  <c r="U476" i="11" s="1"/>
  <c r="Q297" i="11"/>
  <c r="S297" i="11" s="1"/>
  <c r="U297" i="11" s="1"/>
  <c r="Q231" i="11"/>
  <c r="S231" i="11" s="1"/>
  <c r="U231" i="11" s="1"/>
  <c r="Q149" i="11"/>
  <c r="S149" i="11" s="1"/>
  <c r="U149" i="11" s="1"/>
  <c r="Q616" i="11"/>
  <c r="S616" i="11" s="1"/>
  <c r="U616" i="11" s="1"/>
  <c r="Q527" i="11"/>
  <c r="S527" i="11" s="1"/>
  <c r="U527" i="11" s="1"/>
  <c r="Q640" i="11"/>
  <c r="S640" i="11" s="1"/>
  <c r="U640" i="11" s="1"/>
  <c r="Q646" i="11"/>
  <c r="S646" i="11" s="1"/>
  <c r="U646" i="11" s="1"/>
  <c r="Q593" i="11"/>
  <c r="Q598" i="11"/>
  <c r="S598" i="11" s="1"/>
  <c r="U598" i="11" s="1"/>
  <c r="Q577" i="11"/>
  <c r="S577" i="11" s="1"/>
  <c r="U577" i="11" s="1"/>
  <c r="Q678" i="11"/>
  <c r="S678" i="11" s="1"/>
  <c r="U678" i="11" s="1"/>
  <c r="Q630" i="11"/>
  <c r="S630" i="11" s="1"/>
  <c r="U630" i="11" s="1"/>
  <c r="Q623" i="11"/>
  <c r="S623" i="11" s="1"/>
  <c r="U623" i="11" s="1"/>
  <c r="Q499" i="11"/>
  <c r="S499" i="11" s="1"/>
  <c r="U499" i="11" s="1"/>
  <c r="Q492" i="11"/>
  <c r="S492" i="11" s="1"/>
  <c r="U492" i="11" s="1"/>
  <c r="Q434" i="11"/>
  <c r="S434" i="11" s="1"/>
  <c r="U434" i="11" s="1"/>
  <c r="Q404" i="11"/>
  <c r="S404" i="11" s="1"/>
  <c r="U404" i="11" s="1"/>
  <c r="Q385" i="11"/>
  <c r="S385" i="11" s="1"/>
  <c r="U385" i="11" s="1"/>
  <c r="Q669" i="11"/>
  <c r="Q526" i="11"/>
  <c r="Q380" i="11"/>
  <c r="S380" i="11" s="1"/>
  <c r="U380" i="11" s="1"/>
  <c r="Q289" i="11"/>
  <c r="S289" i="11" s="1"/>
  <c r="U289" i="11" s="1"/>
  <c r="Q215" i="11"/>
  <c r="S215" i="11" s="1"/>
  <c r="U215" i="11" s="1"/>
  <c r="Q159" i="11"/>
  <c r="S159" i="11" s="1"/>
  <c r="U159" i="11" s="1"/>
  <c r="Q663" i="11"/>
  <c r="S663" i="11" s="1"/>
  <c r="U663" i="11" s="1"/>
  <c r="Q659" i="11"/>
  <c r="S659" i="11" s="1"/>
  <c r="U659" i="11" s="1"/>
  <c r="Q364" i="11"/>
  <c r="S364" i="11" s="1"/>
  <c r="U364" i="11" s="1"/>
  <c r="Q279" i="11"/>
  <c r="S279" i="11" s="1"/>
  <c r="U279" i="11" s="1"/>
  <c r="Q207" i="11"/>
  <c r="Q144" i="11"/>
  <c r="S144" i="11" s="1"/>
  <c r="U144" i="11" s="1"/>
  <c r="Q599" i="11"/>
  <c r="S599" i="11" s="1"/>
  <c r="U599" i="11" s="1"/>
  <c r="Q484" i="11"/>
  <c r="S484" i="11" s="1"/>
  <c r="U484" i="11" s="1"/>
  <c r="Q632" i="11"/>
  <c r="S632" i="11" s="1"/>
  <c r="U632" i="11" s="1"/>
  <c r="Q641" i="11"/>
  <c r="S641" i="11" s="1"/>
  <c r="U641" i="11" s="1"/>
  <c r="Q588" i="11"/>
  <c r="S588" i="11" s="1"/>
  <c r="U588" i="11" s="1"/>
  <c r="Q597" i="11"/>
  <c r="S597" i="11" s="1"/>
  <c r="U597" i="11" s="1"/>
  <c r="Q576" i="11"/>
  <c r="S576" i="11" s="1"/>
  <c r="U576" i="11" s="1"/>
  <c r="Q677" i="11"/>
  <c r="S677" i="11" s="1"/>
  <c r="U677" i="11" s="1"/>
  <c r="Q628" i="11"/>
  <c r="S628" i="11" s="1"/>
  <c r="U628" i="11" s="1"/>
  <c r="Q624" i="11"/>
  <c r="S624" i="11" s="1"/>
  <c r="U624" i="11" s="1"/>
  <c r="Q498" i="11"/>
  <c r="S498" i="11" s="1"/>
  <c r="U498" i="11" s="1"/>
  <c r="Q494" i="11"/>
  <c r="S494" i="11" s="1"/>
  <c r="U494" i="11" s="1"/>
  <c r="Q433" i="11"/>
  <c r="S433" i="11" s="1"/>
  <c r="U433" i="11" s="1"/>
  <c r="Q403" i="11"/>
  <c r="S403" i="11" s="1"/>
  <c r="U403" i="11" s="1"/>
  <c r="Q386" i="11"/>
  <c r="S386" i="11" s="1"/>
  <c r="U386" i="11" s="1"/>
  <c r="Q613" i="11"/>
  <c r="S613" i="11" s="1"/>
  <c r="U613" i="11" s="1"/>
  <c r="Q656" i="11"/>
  <c r="S656" i="11" s="1"/>
  <c r="U656" i="11" s="1"/>
  <c r="Q346" i="11"/>
  <c r="S346" i="11" s="1"/>
  <c r="U346" i="11" s="1"/>
  <c r="Q273" i="11"/>
  <c r="S273" i="11" s="1"/>
  <c r="U273" i="11" s="1"/>
  <c r="Q205" i="11"/>
  <c r="S205" i="11" s="1"/>
  <c r="U205" i="11" s="1"/>
  <c r="Q133" i="11"/>
  <c r="S133" i="11" s="1"/>
  <c r="U133" i="11" s="1"/>
  <c r="Q649" i="11"/>
  <c r="S649" i="11" s="1"/>
  <c r="U649" i="11" s="1"/>
  <c r="Q652" i="11"/>
  <c r="S652" i="11" s="1"/>
  <c r="U652" i="11" s="1"/>
  <c r="Q340" i="11"/>
  <c r="S340" i="11" s="1"/>
  <c r="U340" i="11" s="1"/>
  <c r="Q267" i="11"/>
  <c r="S267" i="11" s="1"/>
  <c r="U267" i="11" s="1"/>
  <c r="Q199" i="11"/>
  <c r="S199" i="11" s="1"/>
  <c r="U199" i="11" s="1"/>
  <c r="Q125" i="11"/>
  <c r="S125" i="11" s="1"/>
  <c r="U125" i="11" s="1"/>
  <c r="Q524" i="11"/>
  <c r="S524" i="11" s="1"/>
  <c r="U524" i="11" s="1"/>
  <c r="Q590" i="11"/>
  <c r="S590" i="11" s="1"/>
  <c r="U590" i="11" s="1"/>
  <c r="Q661" i="11"/>
  <c r="S661" i="11" s="1"/>
  <c r="U661" i="11" s="1"/>
  <c r="Q620" i="11"/>
  <c r="S620" i="11" s="1"/>
  <c r="U620" i="11" s="1"/>
  <c r="Q636" i="11"/>
  <c r="S636" i="11" s="1"/>
  <c r="U636" i="11" s="1"/>
  <c r="Q587" i="11"/>
  <c r="S587" i="11" s="1"/>
  <c r="U587" i="11" s="1"/>
  <c r="Q596" i="11"/>
  <c r="S596" i="11" s="1"/>
  <c r="U596" i="11" s="1"/>
  <c r="Q682" i="11"/>
  <c r="S682" i="11" s="1"/>
  <c r="U682" i="11" s="1"/>
  <c r="Q676" i="11"/>
  <c r="S676" i="11" s="1"/>
  <c r="U676" i="11" s="1"/>
  <c r="Q627" i="11"/>
  <c r="S627" i="11" s="1"/>
  <c r="U627" i="11" s="1"/>
  <c r="Q622" i="11"/>
  <c r="S622" i="11" s="1"/>
  <c r="U622" i="11" s="1"/>
  <c r="Q497" i="11"/>
  <c r="S497" i="11" s="1"/>
  <c r="U497" i="11" s="1"/>
  <c r="Q443" i="11"/>
  <c r="S443" i="11" s="1"/>
  <c r="U443" i="11" s="1"/>
  <c r="Q432" i="11"/>
  <c r="S432" i="11" s="1"/>
  <c r="U432" i="11" s="1"/>
  <c r="Q400" i="11"/>
  <c r="S400" i="11" s="1"/>
  <c r="U400" i="11" s="1"/>
  <c r="Q381" i="11"/>
  <c r="S381" i="11" s="1"/>
  <c r="U381" i="11" s="1"/>
  <c r="Q637" i="11"/>
  <c r="S637" i="11" s="1"/>
  <c r="U637" i="11" s="1"/>
  <c r="Q639" i="11"/>
  <c r="S639" i="11" s="1"/>
  <c r="U639" i="11" s="1"/>
  <c r="Q333" i="11"/>
  <c r="S333" i="11" s="1"/>
  <c r="U333" i="11" s="1"/>
  <c r="Q262" i="11"/>
  <c r="S262" i="11" s="1"/>
  <c r="U262" i="11" s="1"/>
  <c r="Q192" i="11"/>
  <c r="S192" i="11" s="1"/>
  <c r="U192" i="11" s="1"/>
  <c r="Q115" i="11"/>
  <c r="S115" i="11" s="1"/>
  <c r="U115" i="11" s="1"/>
  <c r="Q418" i="11"/>
  <c r="S418" i="11" s="1"/>
  <c r="U418" i="11" s="1"/>
  <c r="Q522" i="11"/>
  <c r="S522" i="11" s="1"/>
  <c r="U522" i="11" s="1"/>
  <c r="Q566" i="11"/>
  <c r="S566" i="11" s="1"/>
  <c r="U566" i="11" s="1"/>
  <c r="Q322" i="11"/>
  <c r="S322" i="11" s="1"/>
  <c r="U322" i="11" s="1"/>
  <c r="Q254" i="11"/>
  <c r="S254" i="11" s="1"/>
  <c r="U254" i="11" s="1"/>
  <c r="Q195" i="11"/>
  <c r="S195" i="11" s="1"/>
  <c r="U195" i="11" s="1"/>
  <c r="Q106" i="11"/>
  <c r="S106" i="11" s="1"/>
  <c r="U106" i="11" s="1"/>
  <c r="Q358" i="11"/>
  <c r="S358" i="11" s="1"/>
  <c r="U358" i="11" s="1"/>
  <c r="Q570" i="11"/>
  <c r="S570" i="11" s="1"/>
  <c r="U570" i="11" s="1"/>
  <c r="Q651" i="11"/>
  <c r="S651" i="11" s="1"/>
  <c r="U651" i="11" s="1"/>
  <c r="Q619" i="11"/>
  <c r="S619" i="11" s="1"/>
  <c r="U619" i="11" s="1"/>
  <c r="Q633" i="11"/>
  <c r="S633" i="11" s="1"/>
  <c r="U633" i="11" s="1"/>
  <c r="Q586" i="11"/>
  <c r="S586" i="11" s="1"/>
  <c r="U586" i="11" s="1"/>
  <c r="Q595" i="11"/>
  <c r="S595" i="11" s="1"/>
  <c r="U595" i="11" s="1"/>
  <c r="Q681" i="11"/>
  <c r="S681" i="11" s="1"/>
  <c r="U681" i="11" s="1"/>
  <c r="Q675" i="11"/>
  <c r="S675" i="11" s="1"/>
  <c r="U675" i="11" s="1"/>
  <c r="Q629" i="11"/>
  <c r="S629" i="11" s="1"/>
  <c r="U629" i="11" s="1"/>
  <c r="Q621" i="11"/>
  <c r="S621" i="11" s="1"/>
  <c r="U621" i="11" s="1"/>
  <c r="Q496" i="11"/>
  <c r="S496" i="11" s="1"/>
  <c r="U496" i="11" s="1"/>
  <c r="Q441" i="11"/>
  <c r="S441" i="11" s="1"/>
  <c r="U441" i="11" s="1"/>
  <c r="Q430" i="11"/>
  <c r="S430" i="11" s="1"/>
  <c r="U430" i="11" s="1"/>
  <c r="Q398" i="11"/>
  <c r="S398" i="11" s="1"/>
  <c r="U398" i="11" s="1"/>
  <c r="Q363" i="11"/>
  <c r="S363" i="11" s="1"/>
  <c r="U363" i="11" s="1"/>
  <c r="Q579" i="11"/>
  <c r="S579" i="11" s="1"/>
  <c r="U579" i="11" s="1"/>
  <c r="Q508" i="11"/>
  <c r="S508" i="11" s="1"/>
  <c r="U508" i="11" s="1"/>
  <c r="Q325" i="11"/>
  <c r="S325" i="11" s="1"/>
  <c r="U325" i="11" s="1"/>
  <c r="Q248" i="11"/>
  <c r="S248" i="11" s="1"/>
  <c r="U248" i="11" s="1"/>
  <c r="Q186" i="11"/>
  <c r="S186" i="11" s="1"/>
  <c r="U186" i="11" s="1"/>
  <c r="Q535" i="11"/>
  <c r="S535" i="11" s="1"/>
  <c r="U535" i="11" s="1"/>
  <c r="Q556" i="11"/>
  <c r="S556" i="11" s="1"/>
  <c r="U556" i="11" s="1"/>
  <c r="Q425" i="11"/>
  <c r="S425" i="11" s="1"/>
  <c r="U425" i="11" s="1"/>
  <c r="Q319" i="11"/>
  <c r="S319" i="11" s="1"/>
  <c r="U319" i="11" s="1"/>
  <c r="Q240" i="11"/>
  <c r="S240" i="11" s="1"/>
  <c r="U240" i="11" s="1"/>
  <c r="Q173" i="11"/>
  <c r="S173" i="11" s="1"/>
  <c r="U173" i="11" s="1"/>
  <c r="Q468" i="11"/>
  <c r="S468" i="11" s="1"/>
  <c r="U468" i="11" s="1"/>
  <c r="Q618" i="11"/>
  <c r="S618" i="11" s="1"/>
  <c r="U618" i="11" s="1"/>
  <c r="Q569" i="11"/>
  <c r="S569" i="11" s="1"/>
  <c r="U569" i="11" s="1"/>
  <c r="Q645" i="11"/>
  <c r="S645" i="11" s="1"/>
  <c r="U645" i="11" s="1"/>
  <c r="Q592" i="11"/>
  <c r="S592" i="11" s="1"/>
  <c r="U592" i="11" s="1"/>
  <c r="Q631" i="11"/>
  <c r="S631" i="11" s="1"/>
  <c r="U631" i="11" s="1"/>
  <c r="Q615" i="11"/>
  <c r="S615" i="11" s="1"/>
  <c r="U615" i="11" s="1"/>
  <c r="Q582" i="11"/>
  <c r="S582" i="11" s="1"/>
  <c r="U582" i="11" s="1"/>
  <c r="Q680" i="11"/>
  <c r="S680" i="11" s="1"/>
  <c r="U680" i="11" s="1"/>
  <c r="Q674" i="11"/>
  <c r="S674" i="11" s="1"/>
  <c r="U674" i="11" s="1"/>
  <c r="Q625" i="11"/>
  <c r="S625" i="11" s="1"/>
  <c r="U625" i="11" s="1"/>
  <c r="Q514" i="11"/>
  <c r="S514" i="11" s="1"/>
  <c r="U514" i="11" s="1"/>
  <c r="Q495" i="11"/>
  <c r="S495" i="11" s="1"/>
  <c r="U495" i="11" s="1"/>
  <c r="Q440" i="11"/>
  <c r="S440" i="11" s="1"/>
  <c r="U440" i="11" s="1"/>
  <c r="Q429" i="11"/>
  <c r="S429" i="11" s="1"/>
  <c r="U429" i="11" s="1"/>
  <c r="Q396" i="11"/>
  <c r="S396" i="11" s="1"/>
  <c r="U396" i="11" s="1"/>
  <c r="Q670" i="11"/>
  <c r="S670" i="11" s="1"/>
  <c r="U670" i="11" s="1"/>
  <c r="Q512" i="11"/>
  <c r="S512" i="11" s="1"/>
  <c r="U512" i="11" s="1"/>
  <c r="Q574" i="11"/>
  <c r="S574" i="11" s="1"/>
  <c r="U574" i="11" s="1"/>
  <c r="Q316" i="11"/>
  <c r="S316" i="11" s="1"/>
  <c r="U316" i="11" s="1"/>
  <c r="Q234" i="11"/>
  <c r="S234" i="11" s="1"/>
  <c r="U234" i="11" s="1"/>
  <c r="Q179" i="11"/>
  <c r="S179" i="11" s="1"/>
  <c r="U179" i="11" s="1"/>
  <c r="Q668" i="11"/>
  <c r="S668" i="11" s="1"/>
  <c r="U668" i="11" s="1"/>
  <c r="Q612" i="11"/>
  <c r="S612" i="11" s="1"/>
  <c r="U612" i="11" s="1"/>
  <c r="Q666" i="11"/>
  <c r="S666" i="11" s="1"/>
  <c r="U666" i="11" s="1"/>
  <c r="Q580" i="11"/>
  <c r="S580" i="11" s="1"/>
  <c r="U580" i="11" s="1"/>
  <c r="Q589" i="11"/>
  <c r="Q578" i="11"/>
  <c r="S578" i="11" s="1"/>
  <c r="U578" i="11" s="1"/>
  <c r="Q486" i="11"/>
  <c r="S486" i="11" s="1"/>
  <c r="U486" i="11" s="1"/>
  <c r="Q567" i="11"/>
  <c r="S567" i="11" s="1"/>
  <c r="U567" i="11" s="1"/>
  <c r="Q518" i="11"/>
  <c r="S518" i="11" s="1"/>
  <c r="U518" i="11" s="1"/>
  <c r="Q654" i="11"/>
  <c r="S654" i="11" s="1"/>
  <c r="U654" i="11" s="1"/>
  <c r="Q591" i="11"/>
  <c r="S591" i="11" s="1"/>
  <c r="U591" i="11" s="1"/>
  <c r="Q507" i="11"/>
  <c r="S507" i="11" s="1"/>
  <c r="U507" i="11" s="1"/>
  <c r="Q568" i="11"/>
  <c r="S568" i="11" s="1"/>
  <c r="U568" i="11" s="1"/>
  <c r="Q360" i="11"/>
  <c r="S360" i="11" s="1"/>
  <c r="U360" i="11" s="1"/>
  <c r="Q379" i="11"/>
  <c r="S379" i="11" s="1"/>
  <c r="U379" i="11" s="1"/>
  <c r="Q345" i="11"/>
  <c r="S345" i="11" s="1"/>
  <c r="U345" i="11" s="1"/>
  <c r="Q329" i="11"/>
  <c r="S329" i="11" s="1"/>
  <c r="U329" i="11" s="1"/>
  <c r="Q324" i="11"/>
  <c r="Q314" i="11"/>
  <c r="S314" i="11" s="1"/>
  <c r="U314" i="11" s="1"/>
  <c r="Q300" i="11"/>
  <c r="S300" i="11" s="1"/>
  <c r="U300" i="11" s="1"/>
  <c r="Q284" i="11"/>
  <c r="S284" i="11" s="1"/>
  <c r="U284" i="11" s="1"/>
  <c r="Q271" i="11"/>
  <c r="S271" i="11" s="1"/>
  <c r="U271" i="11" s="1"/>
  <c r="Q260" i="11"/>
  <c r="S260" i="11" s="1"/>
  <c r="U260" i="11" s="1"/>
  <c r="Q242" i="11"/>
  <c r="S242" i="11" s="1"/>
  <c r="U242" i="11" s="1"/>
  <c r="Q232" i="11"/>
  <c r="S232" i="11" s="1"/>
  <c r="U232" i="11" s="1"/>
  <c r="Q239" i="11"/>
  <c r="S239" i="11" s="1"/>
  <c r="U239" i="11" s="1"/>
  <c r="Q211" i="11"/>
  <c r="S211" i="11" s="1"/>
  <c r="U211" i="11" s="1"/>
  <c r="Q203" i="11"/>
  <c r="S203" i="11" s="1"/>
  <c r="U203" i="11" s="1"/>
  <c r="Q190" i="11"/>
  <c r="S190" i="11" s="1"/>
  <c r="U190" i="11" s="1"/>
  <c r="Q175" i="11"/>
  <c r="S175" i="11" s="1"/>
  <c r="U175" i="11" s="1"/>
  <c r="Q178" i="11"/>
  <c r="S178" i="11" s="1"/>
  <c r="U178" i="11" s="1"/>
  <c r="Q158" i="11"/>
  <c r="S158" i="11" s="1"/>
  <c r="U158" i="11" s="1"/>
  <c r="Q147" i="11"/>
  <c r="S147" i="11" s="1"/>
  <c r="U147" i="11" s="1"/>
  <c r="Q126" i="11"/>
  <c r="S126" i="11" s="1"/>
  <c r="U126" i="11" s="1"/>
  <c r="Q116" i="11"/>
  <c r="S116" i="11" s="1"/>
  <c r="U116" i="11" s="1"/>
  <c r="Q539" i="11"/>
  <c r="S539" i="11" s="1"/>
  <c r="U539" i="11" s="1"/>
  <c r="Q417" i="11"/>
  <c r="S417" i="11" s="1"/>
  <c r="U417" i="11" s="1"/>
  <c r="Q516" i="11"/>
  <c r="S516" i="11" s="1"/>
  <c r="U516" i="11" s="1"/>
  <c r="Q414" i="11"/>
  <c r="S414" i="11" s="1"/>
  <c r="U414" i="11" s="1"/>
  <c r="Q427" i="11"/>
  <c r="Q503" i="11"/>
  <c r="Q411" i="11"/>
  <c r="S411" i="11" s="1"/>
  <c r="U411" i="11" s="1"/>
  <c r="Q607" i="11"/>
  <c r="S607" i="11" s="1"/>
  <c r="U607" i="11" s="1"/>
  <c r="Q605" i="11"/>
  <c r="S605" i="11" s="1"/>
  <c r="U605" i="11" s="1"/>
  <c r="Q420" i="11"/>
  <c r="S420" i="11" s="1"/>
  <c r="U420" i="11" s="1"/>
  <c r="Q399" i="11"/>
  <c r="S399" i="11" s="1"/>
  <c r="U399" i="11" s="1"/>
  <c r="Q369" i="11"/>
  <c r="S369" i="11" s="1"/>
  <c r="U369" i="11" s="1"/>
  <c r="Q331" i="11"/>
  <c r="S331" i="11" s="1"/>
  <c r="U331" i="11" s="1"/>
  <c r="Q278" i="11"/>
  <c r="S278" i="11" s="1"/>
  <c r="U278" i="11" s="1"/>
  <c r="Q229" i="11"/>
  <c r="S229" i="11" s="1"/>
  <c r="U229" i="11" s="1"/>
  <c r="Q422" i="11"/>
  <c r="S422" i="11" s="1"/>
  <c r="U422" i="11" s="1"/>
  <c r="Q339" i="11"/>
  <c r="S339" i="11" s="1"/>
  <c r="U339" i="11" s="1"/>
  <c r="Q542" i="11"/>
  <c r="S542" i="11" s="1"/>
  <c r="U542" i="11" s="1"/>
  <c r="Q335" i="11"/>
  <c r="Q453" i="11"/>
  <c r="S453" i="11" s="1"/>
  <c r="U453" i="11" s="1"/>
  <c r="Q370" i="11"/>
  <c r="S370" i="11" s="1"/>
  <c r="U370" i="11" s="1"/>
  <c r="Q252" i="11"/>
  <c r="S252" i="11" s="1"/>
  <c r="U252" i="11" s="1"/>
  <c r="Q347" i="11"/>
  <c r="S347" i="11" s="1"/>
  <c r="U347" i="11" s="1"/>
  <c r="Q259" i="11"/>
  <c r="S259" i="11" s="1"/>
  <c r="U259" i="11" s="1"/>
  <c r="Q223" i="11"/>
  <c r="S223" i="11" s="1"/>
  <c r="U223" i="11" s="1"/>
  <c r="Q294" i="11"/>
  <c r="S294" i="11" s="1"/>
  <c r="U294" i="11" s="1"/>
  <c r="Q183" i="11"/>
  <c r="S183" i="11" s="1"/>
  <c r="U183" i="11" s="1"/>
  <c r="Q154" i="11"/>
  <c r="S154" i="11" s="1"/>
  <c r="U154" i="11" s="1"/>
  <c r="Q130" i="11"/>
  <c r="Q112" i="11"/>
  <c r="S112" i="11" s="1"/>
  <c r="U112" i="11" s="1"/>
  <c r="Q101" i="11"/>
  <c r="S101" i="11" s="1"/>
  <c r="U101" i="11" s="1"/>
  <c r="Q95" i="11"/>
  <c r="S95" i="11" s="1"/>
  <c r="U95" i="11" s="1"/>
  <c r="Q88" i="11"/>
  <c r="S88" i="11" s="1"/>
  <c r="U88" i="11" s="1"/>
  <c r="Q82" i="11"/>
  <c r="S82" i="11" s="1"/>
  <c r="U82" i="11" s="1"/>
  <c r="Q76" i="11"/>
  <c r="S76" i="11" s="1"/>
  <c r="U76" i="11" s="1"/>
  <c r="Q70" i="11"/>
  <c r="S70" i="11" s="1"/>
  <c r="U70" i="11" s="1"/>
  <c r="Q63" i="11"/>
  <c r="S63" i="11" s="1"/>
  <c r="U63" i="11" s="1"/>
  <c r="Q58" i="11"/>
  <c r="S58" i="11" s="1"/>
  <c r="U58" i="11" s="1"/>
  <c r="Q52" i="11"/>
  <c r="S52" i="11" s="1"/>
  <c r="U52" i="11" s="1"/>
  <c r="Q43" i="11"/>
  <c r="S43" i="11" s="1"/>
  <c r="U43" i="11" s="1"/>
  <c r="Q46" i="11"/>
  <c r="S46" i="11" s="1"/>
  <c r="U46" i="11" s="1"/>
  <c r="Q32" i="11"/>
  <c r="Q27" i="11"/>
  <c r="S27" i="11" s="1"/>
  <c r="U27" i="11" s="1"/>
  <c r="Q20" i="11"/>
  <c r="S20" i="11" s="1"/>
  <c r="U20" i="11" s="1"/>
  <c r="Q14" i="11"/>
  <c r="S14" i="11" s="1"/>
  <c r="U14" i="11" s="1"/>
  <c r="Q16" i="11"/>
  <c r="S16" i="11" s="1"/>
  <c r="U16" i="11" s="1"/>
  <c r="Q667" i="11"/>
  <c r="S667" i="11" s="1"/>
  <c r="U667" i="11" s="1"/>
  <c r="Q611" i="11"/>
  <c r="S611" i="11" s="1"/>
  <c r="U611" i="11" s="1"/>
  <c r="Q664" i="11"/>
  <c r="S664" i="11" s="1"/>
  <c r="U664" i="11" s="1"/>
  <c r="Q662" i="11"/>
  <c r="S662" i="11" s="1"/>
  <c r="U662" i="11" s="1"/>
  <c r="Q573" i="11"/>
  <c r="S573" i="11" s="1"/>
  <c r="U573" i="11" s="1"/>
  <c r="Q557" i="11"/>
  <c r="S557" i="11" s="1"/>
  <c r="U557" i="11" s="1"/>
  <c r="Q487" i="11"/>
  <c r="Q563" i="11"/>
  <c r="S563" i="11" s="1"/>
  <c r="U563" i="11" s="1"/>
  <c r="Q660" i="11"/>
  <c r="Q653" i="11"/>
  <c r="S653" i="11" s="1"/>
  <c r="U653" i="11" s="1"/>
  <c r="Q571" i="11"/>
  <c r="S571" i="11" s="1"/>
  <c r="U571" i="11" s="1"/>
  <c r="Q444" i="11"/>
  <c r="S444" i="11" s="1"/>
  <c r="U444" i="11" s="1"/>
  <c r="Q541" i="11"/>
  <c r="S541" i="11" s="1"/>
  <c r="U541" i="11" s="1"/>
  <c r="Q356" i="11"/>
  <c r="S356" i="11" s="1"/>
  <c r="U356" i="11" s="1"/>
  <c r="Q373" i="11"/>
  <c r="S373" i="11" s="1"/>
  <c r="U373" i="11" s="1"/>
  <c r="Q344" i="11"/>
  <c r="S344" i="11" s="1"/>
  <c r="U344" i="11" s="1"/>
  <c r="Q328" i="11"/>
  <c r="S328" i="11" s="1"/>
  <c r="U328" i="11" s="1"/>
  <c r="Q323" i="11"/>
  <c r="S323" i="11" s="1"/>
  <c r="U323" i="11" s="1"/>
  <c r="Q309" i="11"/>
  <c r="S309" i="11" s="1"/>
  <c r="U309" i="11" s="1"/>
  <c r="Q299" i="11"/>
  <c r="S299" i="11" s="1"/>
  <c r="U299" i="11" s="1"/>
  <c r="Q281" i="11"/>
  <c r="S281" i="11" s="1"/>
  <c r="U281" i="11" s="1"/>
  <c r="Q269" i="11"/>
  <c r="S269" i="11" s="1"/>
  <c r="U269" i="11" s="1"/>
  <c r="Q257" i="11"/>
  <c r="S257" i="11" s="1"/>
  <c r="U257" i="11" s="1"/>
  <c r="Q247" i="11"/>
  <c r="S247" i="11" s="1"/>
  <c r="U247" i="11" s="1"/>
  <c r="Q228" i="11"/>
  <c r="S228" i="11" s="1"/>
  <c r="U228" i="11" s="1"/>
  <c r="Q230" i="11"/>
  <c r="S230" i="11" s="1"/>
  <c r="U230" i="11" s="1"/>
  <c r="Q212" i="11"/>
  <c r="S212" i="11" s="1"/>
  <c r="U212" i="11" s="1"/>
  <c r="Q202" i="11"/>
  <c r="S202" i="11" s="1"/>
  <c r="U202" i="11" s="1"/>
  <c r="Q197" i="11"/>
  <c r="S197" i="11" s="1"/>
  <c r="U197" i="11" s="1"/>
  <c r="Q174" i="11"/>
  <c r="S174" i="11" s="1"/>
  <c r="U174" i="11" s="1"/>
  <c r="Q177" i="11"/>
  <c r="Q155" i="11"/>
  <c r="Q145" i="11"/>
  <c r="S145" i="11" s="1"/>
  <c r="U145" i="11" s="1"/>
  <c r="Q140" i="11"/>
  <c r="S140" i="11" s="1"/>
  <c r="U140" i="11" s="1"/>
  <c r="Q114" i="11"/>
  <c r="S114" i="11" s="1"/>
  <c r="U114" i="11" s="1"/>
  <c r="Q537" i="11"/>
  <c r="S537" i="11" s="1"/>
  <c r="U537" i="11" s="1"/>
  <c r="Q359" i="11"/>
  <c r="S359" i="11" s="1"/>
  <c r="U359" i="11" s="1"/>
  <c r="Q469" i="11"/>
  <c r="S469" i="11" s="1"/>
  <c r="U469" i="11" s="1"/>
  <c r="Q397" i="11"/>
  <c r="S397" i="11" s="1"/>
  <c r="U397" i="11" s="1"/>
  <c r="Q376" i="11"/>
  <c r="S376" i="11" s="1"/>
  <c r="U376" i="11" s="1"/>
  <c r="Q501" i="11"/>
  <c r="S501" i="11" s="1"/>
  <c r="U501" i="11" s="1"/>
  <c r="Q408" i="11"/>
  <c r="S408" i="11" s="1"/>
  <c r="U408" i="11" s="1"/>
  <c r="Q606" i="11"/>
  <c r="S606" i="11" s="1"/>
  <c r="U606" i="11" s="1"/>
  <c r="Q601" i="11"/>
  <c r="S601" i="11" s="1"/>
  <c r="U601" i="11" s="1"/>
  <c r="Q410" i="11"/>
  <c r="S410" i="11" s="1"/>
  <c r="U410" i="11" s="1"/>
  <c r="Q391" i="11"/>
  <c r="S391" i="11" s="1"/>
  <c r="U391" i="11" s="1"/>
  <c r="Q367" i="11"/>
  <c r="S367" i="11" s="1"/>
  <c r="U367" i="11" s="1"/>
  <c r="Q330" i="11"/>
  <c r="S330" i="11" s="1"/>
  <c r="U330" i="11" s="1"/>
  <c r="Q270" i="11"/>
  <c r="S270" i="11" s="1"/>
  <c r="U270" i="11" s="1"/>
  <c r="Q216" i="11"/>
  <c r="S216" i="11" s="1"/>
  <c r="U216" i="11" s="1"/>
  <c r="Q412" i="11"/>
  <c r="S412" i="11" s="1"/>
  <c r="U412" i="11" s="1"/>
  <c r="Q288" i="11"/>
  <c r="S288" i="11" s="1"/>
  <c r="U288" i="11" s="1"/>
  <c r="Q531" i="11"/>
  <c r="S531" i="11" s="1"/>
  <c r="U531" i="11" s="1"/>
  <c r="Q243" i="11"/>
  <c r="S243" i="11" s="1"/>
  <c r="U243" i="11" s="1"/>
  <c r="Q371" i="11"/>
  <c r="S371" i="11" s="1"/>
  <c r="U371" i="11" s="1"/>
  <c r="Q368" i="11"/>
  <c r="S368" i="11" s="1"/>
  <c r="U368" i="11" s="1"/>
  <c r="Q219" i="11"/>
  <c r="S219" i="11" s="1"/>
  <c r="U219" i="11" s="1"/>
  <c r="Q307" i="11"/>
  <c r="S307" i="11" s="1"/>
  <c r="U307" i="11" s="1"/>
  <c r="Q251" i="11"/>
  <c r="S251" i="11" s="1"/>
  <c r="U251" i="11" s="1"/>
  <c r="Q220" i="11"/>
  <c r="S220" i="11" s="1"/>
  <c r="U220" i="11" s="1"/>
  <c r="Q256" i="11"/>
  <c r="S256" i="11" s="1"/>
  <c r="U256" i="11" s="1"/>
  <c r="Q180" i="11"/>
  <c r="S180" i="11" s="1"/>
  <c r="U180" i="11" s="1"/>
  <c r="Q150" i="11"/>
  <c r="S150" i="11" s="1"/>
  <c r="U150" i="11" s="1"/>
  <c r="Q128" i="11"/>
  <c r="S128" i="11" s="1"/>
  <c r="U128" i="11" s="1"/>
  <c r="Q111" i="11"/>
  <c r="S111" i="11" s="1"/>
  <c r="U111" i="11" s="1"/>
  <c r="Q100" i="11"/>
  <c r="S100" i="11" s="1"/>
  <c r="U100" i="11" s="1"/>
  <c r="Q94" i="11"/>
  <c r="S94" i="11" s="1"/>
  <c r="U94" i="11" s="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2" i="11"/>
  <c r="S62" i="11" s="1"/>
  <c r="U62" i="11" s="1"/>
  <c r="Q57" i="11"/>
  <c r="S57" i="11" s="1"/>
  <c r="U57" i="11" s="1"/>
  <c r="Q51" i="11"/>
  <c r="S51" i="11" s="1"/>
  <c r="U51" i="11" s="1"/>
  <c r="Q42" i="11"/>
  <c r="S42" i="11" s="1"/>
  <c r="U42" i="11" s="1"/>
  <c r="Q44" i="11"/>
  <c r="S44" i="11" s="1"/>
  <c r="U44" i="11" s="1"/>
  <c r="Q31" i="11"/>
  <c r="S31" i="11" s="1"/>
  <c r="U31" i="11" s="1"/>
  <c r="Q25" i="11"/>
  <c r="S25" i="11" s="1"/>
  <c r="U25" i="11" s="1"/>
  <c r="Q28" i="11"/>
  <c r="S28" i="11" s="1"/>
  <c r="U28" i="11" s="1"/>
  <c r="Q13" i="11"/>
  <c r="S13" i="11" s="1"/>
  <c r="U13" i="11" s="1"/>
  <c r="Q9" i="11"/>
  <c r="S9" i="11" s="1"/>
  <c r="U9" i="11" s="1"/>
  <c r="Q505" i="11"/>
  <c r="S505" i="11" s="1"/>
  <c r="U505" i="11" s="1"/>
  <c r="Q375" i="11"/>
  <c r="S375" i="11" s="1"/>
  <c r="U375" i="11" s="1"/>
  <c r="Q459" i="11"/>
  <c r="S459" i="11" s="1"/>
  <c r="U459" i="11" s="1"/>
  <c r="Q394" i="11"/>
  <c r="S394" i="11" s="1"/>
  <c r="U394" i="11" s="1"/>
  <c r="Q604" i="11"/>
  <c r="S604" i="11" s="1"/>
  <c r="U604" i="11" s="1"/>
  <c r="Q438" i="11"/>
  <c r="S438" i="11" s="1"/>
  <c r="U438" i="11" s="1"/>
  <c r="Q409" i="11"/>
  <c r="S409" i="11" s="1"/>
  <c r="U409" i="11" s="1"/>
  <c r="Q389" i="11"/>
  <c r="S389" i="11" s="1"/>
  <c r="U389" i="11" s="1"/>
  <c r="Q366" i="11"/>
  <c r="S366" i="11" s="1"/>
  <c r="U366" i="11" s="1"/>
  <c r="Q306" i="11"/>
  <c r="S306" i="11" s="1"/>
  <c r="U306" i="11" s="1"/>
  <c r="Q266" i="11"/>
  <c r="S266" i="11" s="1"/>
  <c r="U266" i="11" s="1"/>
  <c r="Q209" i="11"/>
  <c r="S209" i="11" s="1"/>
  <c r="U209" i="11" s="1"/>
  <c r="Q413" i="11"/>
  <c r="S413" i="11" s="1"/>
  <c r="U413" i="11" s="1"/>
  <c r="Q285" i="11"/>
  <c r="S285" i="11" s="1"/>
  <c r="U285" i="11" s="1"/>
  <c r="Q490" i="11"/>
  <c r="S490" i="11" s="1"/>
  <c r="U490" i="11" s="1"/>
  <c r="Q550" i="11"/>
  <c r="S550" i="11" s="1"/>
  <c r="U550" i="11" s="1"/>
  <c r="Q365" i="11"/>
  <c r="S365" i="11" s="1"/>
  <c r="U365" i="11" s="1"/>
  <c r="Q312" i="11"/>
  <c r="S312" i="11" s="1"/>
  <c r="U312" i="11" s="1"/>
  <c r="Q217" i="11"/>
  <c r="S217" i="11" s="1"/>
  <c r="U217" i="11" s="1"/>
  <c r="Q302" i="11"/>
  <c r="S302" i="11" s="1"/>
  <c r="U302" i="11" s="1"/>
  <c r="Q390" i="11"/>
  <c r="S390" i="11" s="1"/>
  <c r="U390" i="11" s="1"/>
  <c r="Q213" i="11"/>
  <c r="S213" i="11" s="1"/>
  <c r="U213" i="11" s="1"/>
  <c r="Q245" i="11"/>
  <c r="S245" i="11" s="1"/>
  <c r="U245" i="11" s="1"/>
  <c r="Q171" i="11"/>
  <c r="S171" i="11" s="1"/>
  <c r="U171" i="11" s="1"/>
  <c r="Q148" i="11"/>
  <c r="S148" i="11" s="1"/>
  <c r="U148" i="11" s="1"/>
  <c r="Q127" i="11"/>
  <c r="S127" i="11" s="1"/>
  <c r="U127" i="11" s="1"/>
  <c r="Q109" i="11"/>
  <c r="S109" i="11" s="1"/>
  <c r="U109" i="11" s="1"/>
  <c r="Q99" i="11"/>
  <c r="S99" i="11" s="1"/>
  <c r="U99" i="11" s="1"/>
  <c r="Q93" i="11"/>
  <c r="S93" i="11" s="1"/>
  <c r="U93" i="11" s="1"/>
  <c r="Q86" i="11"/>
  <c r="S86" i="11" s="1"/>
  <c r="U86" i="11" s="1"/>
  <c r="Q80" i="11"/>
  <c r="S80" i="11" s="1"/>
  <c r="U80" i="11" s="1"/>
  <c r="Q74" i="11"/>
  <c r="S74" i="11" s="1"/>
  <c r="U74" i="11" s="1"/>
  <c r="Q67" i="11"/>
  <c r="S67" i="11" s="1"/>
  <c r="U67" i="11" s="1"/>
  <c r="Q61" i="11"/>
  <c r="S61" i="11" s="1"/>
  <c r="U61" i="11" s="1"/>
  <c r="Q56" i="11"/>
  <c r="S56" i="11" s="1"/>
  <c r="U56" i="11" s="1"/>
  <c r="Q50" i="11"/>
  <c r="S50" i="11" s="1"/>
  <c r="U50" i="11" s="1"/>
  <c r="Q41" i="11"/>
  <c r="S41" i="11" s="1"/>
  <c r="U41" i="11" s="1"/>
  <c r="Q36" i="11"/>
  <c r="S36" i="11" s="1"/>
  <c r="U36" i="11" s="1"/>
  <c r="Q30" i="11"/>
  <c r="S30" i="11" s="1"/>
  <c r="U30" i="11" s="1"/>
  <c r="Q24" i="11"/>
  <c r="S24" i="11" s="1"/>
  <c r="U24" i="11" s="1"/>
  <c r="Q26" i="11"/>
  <c r="S26" i="11" s="1"/>
  <c r="U26" i="11" s="1"/>
  <c r="Q12" i="11"/>
  <c r="S12" i="11" s="1"/>
  <c r="U12" i="11" s="1"/>
  <c r="Q8" i="11"/>
  <c r="S8" i="11" s="1"/>
  <c r="U8" i="11" s="1"/>
  <c r="Q655" i="11"/>
  <c r="S655" i="11" s="1"/>
  <c r="U655" i="11" s="1"/>
  <c r="Q672" i="11"/>
  <c r="S672" i="11" s="1"/>
  <c r="U672" i="11" s="1"/>
  <c r="Q650" i="11"/>
  <c r="S650" i="11" s="1"/>
  <c r="U650" i="11" s="1"/>
  <c r="Q648" i="11"/>
  <c r="S648" i="11" s="1"/>
  <c r="U648" i="11" s="1"/>
  <c r="Q544" i="11"/>
  <c r="S544" i="11" s="1"/>
  <c r="U544" i="11" s="1"/>
  <c r="Q555" i="11"/>
  <c r="S555" i="11" s="1"/>
  <c r="U555" i="11" s="1"/>
  <c r="Q585" i="11"/>
  <c r="S585" i="11" s="1"/>
  <c r="U585" i="11" s="1"/>
  <c r="Q547" i="11"/>
  <c r="S547" i="11" s="1"/>
  <c r="U547" i="11" s="1"/>
  <c r="Q658" i="11"/>
  <c r="S658" i="11" s="1"/>
  <c r="U658" i="11" s="1"/>
  <c r="Q644" i="11"/>
  <c r="S644" i="11" s="1"/>
  <c r="U644" i="11" s="1"/>
  <c r="Q540" i="11"/>
  <c r="S540" i="11" s="1"/>
  <c r="U540" i="11" s="1"/>
  <c r="Q401" i="11"/>
  <c r="S401" i="11" s="1"/>
  <c r="U401" i="11" s="1"/>
  <c r="Q467" i="11"/>
  <c r="S467" i="11" s="1"/>
  <c r="U467" i="11" s="1"/>
  <c r="Q436" i="11"/>
  <c r="S436" i="11" s="1"/>
  <c r="U436" i="11" s="1"/>
  <c r="Q361" i="11"/>
  <c r="S361" i="11" s="1"/>
  <c r="U361" i="11" s="1"/>
  <c r="Q338" i="11"/>
  <c r="S338" i="11" s="1"/>
  <c r="U338" i="11" s="1"/>
  <c r="Q320" i="11"/>
  <c r="S320" i="11" s="1"/>
  <c r="U320" i="11" s="1"/>
  <c r="Q318" i="11"/>
  <c r="S318" i="11" s="1"/>
  <c r="U318" i="11" s="1"/>
  <c r="Q311" i="11"/>
  <c r="S311" i="11" s="1"/>
  <c r="U311" i="11" s="1"/>
  <c r="Q296" i="11"/>
  <c r="S296" i="11" s="1"/>
  <c r="U296" i="11" s="1"/>
  <c r="Q274" i="11"/>
  <c r="S274" i="11" s="1"/>
  <c r="U274" i="11" s="1"/>
  <c r="Q264" i="11"/>
  <c r="S264" i="11" s="1"/>
  <c r="U264" i="11" s="1"/>
  <c r="Q253" i="11"/>
  <c r="S253" i="11" s="1"/>
  <c r="U253" i="11" s="1"/>
  <c r="Q235" i="11"/>
  <c r="S235" i="11" s="1"/>
  <c r="U235" i="11" s="1"/>
  <c r="Q225" i="11"/>
  <c r="S225" i="11" s="1"/>
  <c r="U225" i="11" s="1"/>
  <c r="Q222" i="11"/>
  <c r="S222" i="11" s="1"/>
  <c r="U222" i="11" s="1"/>
  <c r="Q214" i="11"/>
  <c r="S214" i="11" s="1"/>
  <c r="U214" i="11" s="1"/>
  <c r="Q198" i="11"/>
  <c r="S198" i="11" s="1"/>
  <c r="U198" i="11" s="1"/>
  <c r="Q189" i="11"/>
  <c r="S189" i="11" s="1"/>
  <c r="U189" i="11" s="1"/>
  <c r="Q172" i="11"/>
  <c r="S172" i="11" s="1"/>
  <c r="U172" i="11" s="1"/>
  <c r="Q168" i="11"/>
  <c r="S168" i="11" s="1"/>
  <c r="U168" i="11" s="1"/>
  <c r="Q166" i="11"/>
  <c r="S166" i="11" s="1"/>
  <c r="U166" i="11" s="1"/>
  <c r="Q142" i="11"/>
  <c r="S142" i="11" s="1"/>
  <c r="U142" i="11" s="1"/>
  <c r="Q117" i="11"/>
  <c r="S117" i="11" s="1"/>
  <c r="U117" i="11" s="1"/>
  <c r="Q103" i="11"/>
  <c r="S103" i="11" s="1"/>
  <c r="U103" i="11" s="1"/>
  <c r="Q510" i="11"/>
  <c r="S510" i="11" s="1"/>
  <c r="U510" i="11" s="1"/>
  <c r="Q298" i="11"/>
  <c r="S298" i="11" s="1"/>
  <c r="U298" i="11" s="1"/>
  <c r="Q447" i="11"/>
  <c r="S447" i="11" s="1"/>
  <c r="U447" i="11" s="1"/>
  <c r="Q506" i="11"/>
  <c r="S506" i="11" s="1"/>
  <c r="U506" i="11" s="1"/>
  <c r="Q357" i="11"/>
  <c r="S357" i="11" s="1"/>
  <c r="U357" i="11" s="1"/>
  <c r="Q458" i="11"/>
  <c r="Q392" i="11"/>
  <c r="S392" i="11" s="1"/>
  <c r="U392" i="11" s="1"/>
  <c r="Q609" i="11"/>
  <c r="S609" i="11" s="1"/>
  <c r="U609" i="11" s="1"/>
  <c r="Q437" i="11"/>
  <c r="S437" i="11" s="1"/>
  <c r="U437" i="11" s="1"/>
  <c r="Q407" i="11"/>
  <c r="S407" i="11" s="1"/>
  <c r="U407" i="11" s="1"/>
  <c r="Q383" i="11"/>
  <c r="S383" i="11" s="1"/>
  <c r="U383" i="11" s="1"/>
  <c r="Q354" i="11"/>
  <c r="S354" i="11" s="1"/>
  <c r="U354" i="11" s="1"/>
  <c r="Q305" i="11"/>
  <c r="S305" i="11" s="1"/>
  <c r="U305" i="11" s="1"/>
  <c r="Q255" i="11"/>
  <c r="S255" i="11" s="1"/>
  <c r="U255" i="11" s="1"/>
  <c r="Q188" i="11"/>
  <c r="S188" i="11" s="1"/>
  <c r="U188" i="11" s="1"/>
  <c r="Q377" i="11"/>
  <c r="S377" i="11" s="1"/>
  <c r="U377" i="11" s="1"/>
  <c r="Q263" i="11"/>
  <c r="S263" i="11" s="1"/>
  <c r="U263" i="11" s="1"/>
  <c r="Q419" i="11"/>
  <c r="S419" i="11" s="1"/>
  <c r="U419" i="11" s="1"/>
  <c r="Q489" i="11"/>
  <c r="S489" i="11" s="1"/>
  <c r="U489" i="11" s="1"/>
  <c r="Q283" i="11"/>
  <c r="S283" i="11" s="1"/>
  <c r="U283" i="11" s="1"/>
  <c r="Q310" i="11"/>
  <c r="S310" i="11" s="1"/>
  <c r="U310" i="11" s="1"/>
  <c r="Q210" i="11"/>
  <c r="S210" i="11" s="1"/>
  <c r="U210" i="11" s="1"/>
  <c r="Q277" i="11"/>
  <c r="S277" i="11" s="1"/>
  <c r="U277" i="11" s="1"/>
  <c r="Q388" i="11"/>
  <c r="S388" i="11" s="1"/>
  <c r="U388" i="11" s="1"/>
  <c r="Q152" i="11"/>
  <c r="S152" i="11" s="1"/>
  <c r="U152" i="11" s="1"/>
  <c r="Q201" i="11"/>
  <c r="S201" i="11" s="1"/>
  <c r="U201" i="11" s="1"/>
  <c r="Q167" i="11"/>
  <c r="S167" i="11" s="1"/>
  <c r="U167" i="11" s="1"/>
  <c r="Q139" i="11"/>
  <c r="S139" i="11" s="1"/>
  <c r="U139" i="11" s="1"/>
  <c r="Q123" i="11"/>
  <c r="S123" i="11" s="1"/>
  <c r="U123" i="11" s="1"/>
  <c r="Q107" i="11"/>
  <c r="S107" i="11" s="1"/>
  <c r="U107" i="11" s="1"/>
  <c r="Q98" i="11"/>
  <c r="S98" i="11" s="1"/>
  <c r="U98" i="11" s="1"/>
  <c r="Q91" i="11"/>
  <c r="S91" i="11" s="1"/>
  <c r="U91" i="11" s="1"/>
  <c r="Q85" i="11"/>
  <c r="S85" i="11" s="1"/>
  <c r="U85" i="11" s="1"/>
  <c r="Q79" i="11"/>
  <c r="S79" i="11" s="1"/>
  <c r="U79" i="11" s="1"/>
  <c r="Q73" i="11"/>
  <c r="S73" i="11" s="1"/>
  <c r="U73" i="11" s="1"/>
  <c r="Q66" i="11"/>
  <c r="S66" i="11" s="1"/>
  <c r="U66" i="11" s="1"/>
  <c r="Q68" i="11"/>
  <c r="S68" i="11" s="1"/>
  <c r="U68" i="11" s="1"/>
  <c r="Q55" i="11"/>
  <c r="S55" i="11" s="1"/>
  <c r="U55" i="11" s="1"/>
  <c r="Q48" i="11"/>
  <c r="S48" i="11" s="1"/>
  <c r="U48" i="11" s="1"/>
  <c r="Q40" i="11"/>
  <c r="S40" i="11" s="1"/>
  <c r="U40" i="11" s="1"/>
  <c r="Q35" i="11"/>
  <c r="S35" i="11" s="1"/>
  <c r="U35" i="11" s="1"/>
  <c r="Q38" i="11"/>
  <c r="S38" i="11" s="1"/>
  <c r="U38" i="11" s="1"/>
  <c r="Q23" i="11"/>
  <c r="S23" i="11" s="1"/>
  <c r="U23" i="11" s="1"/>
  <c r="Q19" i="11"/>
  <c r="S19" i="11" s="1"/>
  <c r="U19" i="11" s="1"/>
  <c r="Q11" i="11"/>
  <c r="S11" i="11" s="1"/>
  <c r="U11" i="11" s="1"/>
  <c r="Q7" i="11"/>
  <c r="S7" i="11" s="1"/>
  <c r="U7" i="11" s="1"/>
  <c r="Q635" i="11"/>
  <c r="S635" i="11" s="1"/>
  <c r="U635" i="11" s="1"/>
  <c r="Q671" i="11"/>
  <c r="S671" i="11" s="1"/>
  <c r="U671" i="11" s="1"/>
  <c r="Q647" i="11"/>
  <c r="S647" i="11" s="1"/>
  <c r="U647" i="11" s="1"/>
  <c r="Q638" i="11"/>
  <c r="S638" i="11" s="1"/>
  <c r="U638" i="11" s="1"/>
  <c r="Q482" i="11"/>
  <c r="S482" i="11" s="1"/>
  <c r="U482" i="11" s="1"/>
  <c r="Q533" i="11"/>
  <c r="S533" i="11" s="1"/>
  <c r="U533" i="11" s="1"/>
  <c r="Q584" i="11"/>
  <c r="S584" i="11" s="1"/>
  <c r="U584" i="11" s="1"/>
  <c r="Q530" i="11"/>
  <c r="S530" i="11" s="1"/>
  <c r="U530" i="11" s="1"/>
  <c r="Q657" i="11"/>
  <c r="Q643" i="11"/>
  <c r="S643" i="11" s="1"/>
  <c r="U643" i="11" s="1"/>
  <c r="Q519" i="11"/>
  <c r="S519" i="11" s="1"/>
  <c r="U519" i="11" s="1"/>
  <c r="Q575" i="11"/>
  <c r="S575" i="11" s="1"/>
  <c r="U575" i="11" s="1"/>
  <c r="Q463" i="11"/>
  <c r="S463" i="11" s="1"/>
  <c r="U463" i="11" s="1"/>
  <c r="Q423" i="11"/>
  <c r="S423" i="11" s="1"/>
  <c r="U423" i="11" s="1"/>
  <c r="Q348" i="11"/>
  <c r="S348" i="11" s="1"/>
  <c r="U348" i="11" s="1"/>
  <c r="Q336" i="11"/>
  <c r="S336" i="11" s="1"/>
  <c r="U336" i="11" s="1"/>
  <c r="Q326" i="11"/>
  <c r="S326" i="11" s="1"/>
  <c r="U326" i="11" s="1"/>
  <c r="Q317" i="11"/>
  <c r="S317" i="11" s="1"/>
  <c r="U317" i="11" s="1"/>
  <c r="Q308" i="11"/>
  <c r="S308" i="11" s="1"/>
  <c r="U308" i="11" s="1"/>
  <c r="Q293" i="11"/>
  <c r="S293" i="11" s="1"/>
  <c r="U293" i="11" s="1"/>
  <c r="Q272" i="11"/>
  <c r="S272" i="11" s="1"/>
  <c r="U272" i="11" s="1"/>
  <c r="Q261" i="11"/>
  <c r="S261" i="11" s="1"/>
  <c r="U261" i="11" s="1"/>
  <c r="Q249" i="11"/>
  <c r="S249" i="11" s="1"/>
  <c r="U249" i="11" s="1"/>
  <c r="Q233" i="11"/>
  <c r="S233" i="11" s="1"/>
  <c r="U233" i="11" s="1"/>
  <c r="Q224" i="11"/>
  <c r="S224" i="11" s="1"/>
  <c r="U224" i="11" s="1"/>
  <c r="Q221" i="11"/>
  <c r="S221" i="11" s="1"/>
  <c r="U221" i="11" s="1"/>
  <c r="Q206" i="11"/>
  <c r="S206" i="11" s="1"/>
  <c r="U206" i="11" s="1"/>
  <c r="Q193" i="11"/>
  <c r="S193" i="11" s="1"/>
  <c r="U193" i="11" s="1"/>
  <c r="Q187" i="11"/>
  <c r="S187" i="11" s="1"/>
  <c r="U187" i="11" s="1"/>
  <c r="Q185" i="11"/>
  <c r="S185" i="11" s="1"/>
  <c r="U185" i="11" s="1"/>
  <c r="Q163" i="11"/>
  <c r="S163" i="11" s="1"/>
  <c r="U163" i="11" s="1"/>
  <c r="Q165" i="11"/>
  <c r="S165" i="11" s="1"/>
  <c r="U165" i="11" s="1"/>
  <c r="Q134" i="11"/>
  <c r="S134" i="11" s="1"/>
  <c r="U134" i="11" s="1"/>
  <c r="Q118" i="11"/>
  <c r="S118" i="11" s="1"/>
  <c r="U118" i="11" s="1"/>
  <c r="Q102" i="11"/>
  <c r="S102" i="11" s="1"/>
  <c r="U102" i="11" s="1"/>
  <c r="Q478" i="11"/>
  <c r="S478" i="11" s="1"/>
  <c r="U478" i="11" s="1"/>
  <c r="Q552" i="11"/>
  <c r="S552" i="11" s="1"/>
  <c r="U552" i="11" s="1"/>
  <c r="Q446" i="11"/>
  <c r="S446" i="11" s="1"/>
  <c r="U446" i="11" s="1"/>
  <c r="Q428" i="11"/>
  <c r="S428" i="11" s="1"/>
  <c r="U428" i="11" s="1"/>
  <c r="Q352" i="11"/>
  <c r="S352" i="11" s="1"/>
  <c r="U352" i="11" s="1"/>
  <c r="Q457" i="11"/>
  <c r="S457" i="11" s="1"/>
  <c r="U457" i="11" s="1"/>
  <c r="Q610" i="11"/>
  <c r="S610" i="11" s="1"/>
  <c r="U610" i="11" s="1"/>
  <c r="Q603" i="11"/>
  <c r="S603" i="11" s="1"/>
  <c r="U603" i="11" s="1"/>
  <c r="Q424" i="11"/>
  <c r="Q406" i="11"/>
  <c r="S406" i="11" s="1"/>
  <c r="U406" i="11" s="1"/>
  <c r="Q382" i="11"/>
  <c r="S382" i="11" s="1"/>
  <c r="U382" i="11" s="1"/>
  <c r="Q342" i="11"/>
  <c r="S342" i="11" s="1"/>
  <c r="U342" i="11" s="1"/>
  <c r="Q291" i="11"/>
  <c r="S291" i="11" s="1"/>
  <c r="U291" i="11" s="1"/>
  <c r="Q246" i="11"/>
  <c r="S246" i="11" s="1"/>
  <c r="U246" i="11" s="1"/>
  <c r="Q184" i="11"/>
  <c r="S184" i="11" s="1"/>
  <c r="U184" i="11" s="1"/>
  <c r="Q355" i="11"/>
  <c r="S355" i="11" s="1"/>
  <c r="U355" i="11" s="1"/>
  <c r="Q565" i="11"/>
  <c r="S565" i="11" s="1"/>
  <c r="U565" i="11" s="1"/>
  <c r="Q395" i="11"/>
  <c r="S395" i="11" s="1"/>
  <c r="U395" i="11" s="1"/>
  <c r="Q483" i="11"/>
  <c r="Q282" i="11"/>
  <c r="S282" i="11" s="1"/>
  <c r="U282" i="11" s="1"/>
  <c r="Q303" i="11"/>
  <c r="Q350" i="11"/>
  <c r="S350" i="11" s="1"/>
  <c r="U350" i="11" s="1"/>
  <c r="Q276" i="11"/>
  <c r="S276" i="11" s="1"/>
  <c r="U276" i="11" s="1"/>
  <c r="Q334" i="11"/>
  <c r="S334" i="11" s="1"/>
  <c r="U334" i="11" s="1"/>
  <c r="Q143" i="11"/>
  <c r="S143" i="11" s="1"/>
  <c r="U143" i="11" s="1"/>
  <c r="Q200" i="11"/>
  <c r="S200" i="11" s="1"/>
  <c r="U200" i="11" s="1"/>
  <c r="Q161" i="11"/>
  <c r="S161" i="11" s="1"/>
  <c r="U161" i="11" s="1"/>
  <c r="Q137" i="11"/>
  <c r="S137" i="11" s="1"/>
  <c r="U137" i="11" s="1"/>
  <c r="Q121" i="11"/>
  <c r="S121" i="11" s="1"/>
  <c r="U121" i="11" s="1"/>
  <c r="Q105" i="11"/>
  <c r="S105" i="11" s="1"/>
  <c r="U105" i="11" s="1"/>
  <c r="Q97" i="11"/>
  <c r="S97" i="11" s="1"/>
  <c r="U97" i="11" s="1"/>
  <c r="Q90" i="11"/>
  <c r="S90" i="11" s="1"/>
  <c r="U90" i="11" s="1"/>
  <c r="Q84" i="11"/>
  <c r="S84" i="11" s="1"/>
  <c r="U84" i="11" s="1"/>
  <c r="Q78" i="11"/>
  <c r="S78" i="11" s="1"/>
  <c r="U78" i="11" s="1"/>
  <c r="Q72" i="11"/>
  <c r="S72" i="11" s="1"/>
  <c r="U72" i="11" s="1"/>
  <c r="Q65" i="11"/>
  <c r="S65" i="11" s="1"/>
  <c r="U65" i="11" s="1"/>
  <c r="Q60" i="11"/>
  <c r="S60" i="11" s="1"/>
  <c r="U60" i="11" s="1"/>
  <c r="Q54" i="11"/>
  <c r="S54" i="11" s="1"/>
  <c r="U54" i="11" s="1"/>
  <c r="Q47" i="11"/>
  <c r="S47" i="11" s="1"/>
  <c r="U47" i="11" s="1"/>
  <c r="Q39" i="11"/>
  <c r="S39" i="11" s="1"/>
  <c r="U39" i="11" s="1"/>
  <c r="Q34" i="11"/>
  <c r="S34" i="11" s="1"/>
  <c r="U34" i="11" s="1"/>
  <c r="Q37" i="11"/>
  <c r="S37" i="11" s="1"/>
  <c r="U37" i="11" s="1"/>
  <c r="Q22" i="11"/>
  <c r="S22" i="11" s="1"/>
  <c r="U22" i="11" s="1"/>
  <c r="Q18" i="11"/>
  <c r="S18" i="11" s="1"/>
  <c r="U18" i="11" s="1"/>
  <c r="Q10" i="11"/>
  <c r="S10" i="11" s="1"/>
  <c r="U10" i="11" s="1"/>
  <c r="Q6" i="11"/>
  <c r="S6" i="11" s="1"/>
  <c r="U6" i="11" s="1"/>
  <c r="Q415" i="11"/>
  <c r="S415" i="11" s="1"/>
  <c r="U415" i="11" s="1"/>
  <c r="Q426" i="11"/>
  <c r="S426" i="11" s="1"/>
  <c r="U426" i="11" s="1"/>
  <c r="Q351" i="11"/>
  <c r="S351" i="11" s="1"/>
  <c r="U351" i="11" s="1"/>
  <c r="Q445" i="11"/>
  <c r="S445" i="11" s="1"/>
  <c r="U445" i="11" s="1"/>
  <c r="Q608" i="11"/>
  <c r="S608" i="11" s="1"/>
  <c r="U608" i="11" s="1"/>
  <c r="Q602" i="11"/>
  <c r="S602" i="11" s="1"/>
  <c r="U602" i="11" s="1"/>
  <c r="Q421" i="11"/>
  <c r="S421" i="11" s="1"/>
  <c r="U421" i="11" s="1"/>
  <c r="Q405" i="11"/>
  <c r="S405" i="11" s="1"/>
  <c r="U405" i="11" s="1"/>
  <c r="Q374" i="11"/>
  <c r="S374" i="11" s="1"/>
  <c r="U374" i="11" s="1"/>
  <c r="Q332" i="11"/>
  <c r="S332" i="11" s="1"/>
  <c r="U332" i="11" s="1"/>
  <c r="Q290" i="11"/>
  <c r="S290" i="11" s="1"/>
  <c r="U290" i="11" s="1"/>
  <c r="Q237" i="11"/>
  <c r="S237" i="11" s="1"/>
  <c r="U237" i="11" s="1"/>
  <c r="Q181" i="11"/>
  <c r="S181" i="11" s="1"/>
  <c r="U181" i="11" s="1"/>
  <c r="Q341" i="11"/>
  <c r="S341" i="11" s="1"/>
  <c r="U341" i="11" s="1"/>
  <c r="Q564" i="11"/>
  <c r="S564" i="11" s="1"/>
  <c r="U564" i="11" s="1"/>
  <c r="Q372" i="11"/>
  <c r="S372" i="11" s="1"/>
  <c r="U372" i="11" s="1"/>
  <c r="Q452" i="11"/>
  <c r="S452" i="11" s="1"/>
  <c r="U452" i="11" s="1"/>
  <c r="Q238" i="11"/>
  <c r="S238" i="11" s="1"/>
  <c r="U238" i="11" s="1"/>
  <c r="Q280" i="11"/>
  <c r="S280" i="11" s="1"/>
  <c r="U280" i="11" s="1"/>
  <c r="Q349" i="11"/>
  <c r="S349" i="11" s="1"/>
  <c r="U349" i="11" s="1"/>
  <c r="Q268" i="11"/>
  <c r="S268" i="11" s="1"/>
  <c r="U268" i="11" s="1"/>
  <c r="Q292" i="11"/>
  <c r="S292" i="11" s="1"/>
  <c r="U292" i="11" s="1"/>
  <c r="Q132" i="11"/>
  <c r="S132" i="11" s="1"/>
  <c r="U132" i="11" s="1"/>
  <c r="Q194" i="11"/>
  <c r="S194" i="11" s="1"/>
  <c r="U194" i="11" s="1"/>
  <c r="Q156" i="11"/>
  <c r="S156" i="11" s="1"/>
  <c r="U156" i="11" s="1"/>
  <c r="Q136" i="11"/>
  <c r="S136" i="11" s="1"/>
  <c r="U136" i="11" s="1"/>
  <c r="Q120" i="11"/>
  <c r="S120" i="11" s="1"/>
  <c r="U120" i="11" s="1"/>
  <c r="Q104" i="11"/>
  <c r="S104" i="11" s="1"/>
  <c r="U104" i="11" s="1"/>
  <c r="Q96" i="11"/>
  <c r="S96" i="11" s="1"/>
  <c r="U96" i="11" s="1"/>
  <c r="Q89" i="11"/>
  <c r="S89" i="11" s="1"/>
  <c r="U89" i="11" s="1"/>
  <c r="Q83" i="11"/>
  <c r="S83" i="11" s="1"/>
  <c r="U83" i="11" s="1"/>
  <c r="Q77" i="11"/>
  <c r="S77" i="11" s="1"/>
  <c r="U77" i="11" s="1"/>
  <c r="Q71" i="11"/>
  <c r="S71" i="11" s="1"/>
  <c r="U71" i="11" s="1"/>
  <c r="Q64" i="11"/>
  <c r="S64" i="11" s="1"/>
  <c r="U64" i="11" s="1"/>
  <c r="Q59" i="11"/>
  <c r="S59" i="11" s="1"/>
  <c r="U59" i="11" s="1"/>
  <c r="Q53" i="11"/>
  <c r="S53" i="11" s="1"/>
  <c r="U53" i="11" s="1"/>
  <c r="Q45" i="11"/>
  <c r="S45" i="11" s="1"/>
  <c r="U45" i="11" s="1"/>
  <c r="Q49" i="11"/>
  <c r="S49" i="11" s="1"/>
  <c r="U49" i="11" s="1"/>
  <c r="Q33" i="11"/>
  <c r="S33" i="11" s="1"/>
  <c r="U33" i="11" s="1"/>
  <c r="Q29" i="11"/>
  <c r="S29" i="11" s="1"/>
  <c r="U29" i="11" s="1"/>
  <c r="Q21" i="11"/>
  <c r="S21" i="11" s="1"/>
  <c r="U21" i="11" s="1"/>
  <c r="Q15" i="11"/>
  <c r="S15" i="11" s="1"/>
  <c r="U15" i="11" s="1"/>
  <c r="Q17" i="11"/>
  <c r="S17" i="11" s="1"/>
  <c r="U17" i="11" s="1"/>
  <c r="Q5" i="11"/>
  <c r="S5" i="11" s="1"/>
  <c r="U5" i="11" s="1"/>
  <c r="S660" i="11"/>
  <c r="U660" i="11" s="1"/>
  <c r="S335" i="11"/>
  <c r="U335" i="11" s="1"/>
  <c r="S614" i="11"/>
  <c r="U614" i="11" s="1"/>
  <c r="S581" i="11"/>
  <c r="U581" i="11" s="1"/>
  <c r="S673" i="11"/>
  <c r="U673" i="11" s="1"/>
  <c r="S324" i="11"/>
  <c r="U324" i="11" s="1"/>
  <c r="S427" i="11"/>
  <c r="U427" i="11" s="1"/>
  <c r="S301" i="11"/>
  <c r="U301" i="11" s="1"/>
  <c r="S593" i="11"/>
  <c r="U593" i="11" s="1"/>
  <c r="S669" i="11"/>
  <c r="U669" i="11" s="1"/>
  <c r="S657" i="11"/>
  <c r="U657" i="11" s="1"/>
  <c r="S665" i="11"/>
  <c r="U665" i="11" s="1"/>
  <c r="S480" i="11"/>
  <c r="U480" i="11" s="1"/>
  <c r="S130" i="11"/>
  <c r="U130" i="11" s="1"/>
  <c r="S503" i="11"/>
  <c r="U503" i="11" s="1"/>
  <c r="S589" i="11"/>
  <c r="U589" i="11" s="1"/>
  <c r="S207" i="11"/>
  <c r="U207" i="11" s="1"/>
  <c r="S32" i="11"/>
  <c r="U32" i="11" s="1"/>
  <c r="S241" i="11"/>
  <c r="U241" i="11" s="1"/>
  <c r="S458" i="11"/>
  <c r="U458" i="11" s="1"/>
  <c r="S160" i="11"/>
  <c r="U160" i="11" s="1"/>
  <c r="S487" i="11"/>
  <c r="U487" i="11" s="1"/>
  <c r="S526" i="11"/>
  <c r="U526" i="11" s="1"/>
  <c r="S424" i="11"/>
  <c r="U424" i="11" s="1"/>
  <c r="S483" i="11"/>
  <c r="U483" i="11" s="1"/>
  <c r="S303" i="11"/>
  <c r="U303" i="11" s="1"/>
  <c r="S4" i="11"/>
  <c r="U4" i="11" s="1"/>
  <c r="S177" i="11"/>
  <c r="U177" i="11" s="1"/>
  <c r="S155" i="11"/>
  <c r="U155" i="11" s="1"/>
  <c r="S3" i="11"/>
  <c r="U3" i="11" s="1"/>
  <c r="S2" i="11"/>
  <c r="U2" i="11" s="1"/>
  <c r="P592" i="11"/>
  <c r="R592" i="11" s="1"/>
  <c r="T592" i="11" s="1"/>
  <c r="P625" i="11"/>
  <c r="R625" i="11" s="1"/>
  <c r="T625" i="11" s="1"/>
  <c r="P396" i="11"/>
  <c r="R396" i="11" s="1"/>
  <c r="T396" i="11" s="1"/>
  <c r="P482" i="11"/>
  <c r="R482" i="11" s="1"/>
  <c r="T482" i="11" s="1"/>
  <c r="P262" i="11"/>
  <c r="R262" i="11" s="1"/>
  <c r="T262" i="11" s="1"/>
  <c r="P389" i="11"/>
  <c r="R389" i="11" s="1"/>
  <c r="T389" i="11" s="1"/>
  <c r="P591" i="11"/>
  <c r="R591" i="11" s="1"/>
  <c r="T591" i="11" s="1"/>
  <c r="P260" i="11"/>
  <c r="R260" i="11" s="1"/>
  <c r="T260" i="11" s="1"/>
  <c r="P611" i="11"/>
  <c r="R611" i="11" s="1"/>
  <c r="T611" i="11" s="1"/>
  <c r="P613" i="11"/>
  <c r="R613" i="11" s="1"/>
  <c r="T613" i="11" s="1"/>
  <c r="P544" i="11"/>
  <c r="R544" i="11" s="1"/>
  <c r="T544" i="11" s="1"/>
  <c r="P518" i="11"/>
  <c r="R518" i="11" s="1"/>
  <c r="T518" i="11" s="1"/>
  <c r="P643" i="11"/>
  <c r="R643" i="11" s="1"/>
  <c r="T643" i="11" s="1"/>
  <c r="P425" i="11"/>
  <c r="R425" i="11" s="1"/>
  <c r="T425" i="11" s="1"/>
  <c r="P356" i="11"/>
  <c r="R356" i="11" s="1"/>
  <c r="T356" i="11" s="1"/>
  <c r="P346" i="11"/>
  <c r="R346" i="11" s="1"/>
  <c r="T346" i="11" s="1"/>
  <c r="P320" i="11"/>
  <c r="R320" i="11" s="1"/>
  <c r="T320" i="11" s="1"/>
  <c r="P284" i="11"/>
  <c r="R284" i="11" s="1"/>
  <c r="T284" i="11" s="1"/>
  <c r="P261" i="11"/>
  <c r="R261" i="11" s="1"/>
  <c r="T261" i="11" s="1"/>
  <c r="P234" i="11"/>
  <c r="R234" i="11" s="1"/>
  <c r="T234" i="11" s="1"/>
  <c r="P206" i="11"/>
  <c r="R206" i="11" s="1"/>
  <c r="T206" i="11" s="1"/>
  <c r="P185" i="11"/>
  <c r="R185" i="11" s="1"/>
  <c r="T185" i="11" s="1"/>
  <c r="P125" i="11"/>
  <c r="R125" i="11" s="1"/>
  <c r="T125" i="11" s="1"/>
  <c r="P569" i="11"/>
  <c r="R569" i="11" s="1"/>
  <c r="T569" i="11" s="1"/>
  <c r="P615" i="11"/>
  <c r="R615" i="11" s="1"/>
  <c r="T615" i="11" s="1"/>
  <c r="P514" i="11"/>
  <c r="R514" i="11" s="1"/>
  <c r="T514" i="11" s="1"/>
  <c r="P429" i="11"/>
  <c r="R429" i="11" s="1"/>
  <c r="T429" i="11" s="1"/>
  <c r="P401" i="11"/>
  <c r="R401" i="11" s="1"/>
  <c r="T401" i="11" s="1"/>
  <c r="P326" i="11"/>
  <c r="R326" i="11" s="1"/>
  <c r="T326" i="11" s="1"/>
  <c r="P205" i="11"/>
  <c r="R205" i="11" s="1"/>
  <c r="T205" i="11" s="1"/>
  <c r="P74" i="11"/>
  <c r="R74" i="11" s="1"/>
  <c r="T74" i="11" s="1"/>
  <c r="P585" i="11"/>
  <c r="R585" i="11" s="1"/>
  <c r="T585" i="11" s="1"/>
  <c r="P617" i="11"/>
  <c r="R617" i="11" s="1"/>
  <c r="T617" i="11" s="1"/>
  <c r="P528" i="11"/>
  <c r="R528" i="11" s="1"/>
  <c r="T528" i="11" s="1"/>
  <c r="P642" i="11"/>
  <c r="R642" i="11" s="1"/>
  <c r="T642" i="11" s="1"/>
  <c r="P583" i="11"/>
  <c r="R583" i="11" s="1"/>
  <c r="T583" i="11" s="1"/>
  <c r="P594" i="11"/>
  <c r="R594" i="11" s="1"/>
  <c r="T594" i="11" s="1"/>
  <c r="P614" i="11"/>
  <c r="R614" i="11" s="1"/>
  <c r="T614" i="11" s="1"/>
  <c r="P581" i="11"/>
  <c r="R581" i="11" s="1"/>
  <c r="T581" i="11" s="1"/>
  <c r="P679" i="11"/>
  <c r="R679" i="11" s="1"/>
  <c r="T679" i="11" s="1"/>
  <c r="P673" i="11"/>
  <c r="R673" i="11" s="1"/>
  <c r="T673" i="11" s="1"/>
  <c r="P626" i="11"/>
  <c r="R626" i="11" s="1"/>
  <c r="T626" i="11" s="1"/>
  <c r="P500" i="11"/>
  <c r="R500" i="11" s="1"/>
  <c r="T500" i="11" s="1"/>
  <c r="P493" i="11"/>
  <c r="R493" i="11" s="1"/>
  <c r="T493" i="11" s="1"/>
  <c r="P439" i="11"/>
  <c r="R439" i="11" s="1"/>
  <c r="T439" i="11" s="1"/>
  <c r="P431" i="11"/>
  <c r="R431" i="11" s="1"/>
  <c r="T431" i="11" s="1"/>
  <c r="P387" i="11"/>
  <c r="R387" i="11" s="1"/>
  <c r="T387" i="11" s="1"/>
  <c r="P668" i="11"/>
  <c r="R668" i="11" s="1"/>
  <c r="T668" i="11" s="1"/>
  <c r="P672" i="11"/>
  <c r="R672" i="11" s="1"/>
  <c r="T672" i="11" s="1"/>
  <c r="P578" i="11"/>
  <c r="R578" i="11" s="1"/>
  <c r="T578" i="11" s="1"/>
  <c r="P584" i="11"/>
  <c r="R584" i="11" s="1"/>
  <c r="T584" i="11" s="1"/>
  <c r="P659" i="11"/>
  <c r="R659" i="11" s="1"/>
  <c r="T659" i="11" s="1"/>
  <c r="P571" i="11"/>
  <c r="R571" i="11" s="1"/>
  <c r="T571" i="11" s="1"/>
  <c r="P574" i="11"/>
  <c r="R574" i="11" s="1"/>
  <c r="T574" i="11" s="1"/>
  <c r="P436" i="11"/>
  <c r="R436" i="11" s="1"/>
  <c r="T436" i="11" s="1"/>
  <c r="P324" i="11"/>
  <c r="R324" i="11" s="1"/>
  <c r="T324" i="11" s="1"/>
  <c r="P308" i="11"/>
  <c r="R308" i="11" s="1"/>
  <c r="T308" i="11" s="1"/>
  <c r="P279" i="11"/>
  <c r="R279" i="11" s="1"/>
  <c r="T279" i="11" s="1"/>
  <c r="P225" i="11"/>
  <c r="R225" i="11" s="1"/>
  <c r="T225" i="11" s="1"/>
  <c r="P199" i="11"/>
  <c r="R199" i="11" s="1"/>
  <c r="T199" i="11" s="1"/>
  <c r="P170" i="11"/>
  <c r="R170" i="11" s="1"/>
  <c r="T170" i="11" s="1"/>
  <c r="P106" i="11"/>
  <c r="R106" i="11" s="1"/>
  <c r="T106" i="11" s="1"/>
  <c r="P459" i="11"/>
  <c r="R459" i="11" s="1"/>
  <c r="T459" i="11" s="1"/>
  <c r="P366" i="11"/>
  <c r="R366" i="11" s="1"/>
  <c r="T366" i="11" s="1"/>
  <c r="P490" i="11"/>
  <c r="R490" i="11" s="1"/>
  <c r="T490" i="11" s="1"/>
  <c r="P390" i="11"/>
  <c r="R390" i="11" s="1"/>
  <c r="T390" i="11" s="1"/>
  <c r="P109" i="11"/>
  <c r="R109" i="11" s="1"/>
  <c r="T109" i="11" s="1"/>
  <c r="P67" i="11"/>
  <c r="R67" i="11" s="1"/>
  <c r="T67" i="11" s="1"/>
  <c r="P30" i="11"/>
  <c r="R30" i="11" s="1"/>
  <c r="T30" i="11" s="1"/>
  <c r="P375" i="11"/>
  <c r="R375" i="11" s="1"/>
  <c r="T375" i="11" s="1"/>
  <c r="P662" i="11"/>
  <c r="R662" i="11" s="1"/>
  <c r="T662" i="11" s="1"/>
  <c r="P671" i="11"/>
  <c r="R671" i="11" s="1"/>
  <c r="T671" i="11" s="1"/>
  <c r="P649" i="11"/>
  <c r="R649" i="11" s="1"/>
  <c r="T649" i="11" s="1"/>
  <c r="P557" i="11"/>
  <c r="R557" i="11" s="1"/>
  <c r="T557" i="11" s="1"/>
  <c r="P572" i="11"/>
  <c r="R572" i="11" s="1"/>
  <c r="T572" i="11" s="1"/>
  <c r="P658" i="11"/>
  <c r="R658" i="11" s="1"/>
  <c r="T658" i="11" s="1"/>
  <c r="P568" i="11"/>
  <c r="R568" i="11" s="1"/>
  <c r="T568" i="11" s="1"/>
  <c r="P423" i="11"/>
  <c r="R423" i="11" s="1"/>
  <c r="T423" i="11" s="1"/>
  <c r="P340" i="11"/>
  <c r="R340" i="11" s="1"/>
  <c r="T340" i="11" s="1"/>
  <c r="P323" i="11"/>
  <c r="R323" i="11" s="1"/>
  <c r="T323" i="11" s="1"/>
  <c r="P301" i="11"/>
  <c r="R301" i="11" s="1"/>
  <c r="T301" i="11" s="1"/>
  <c r="P274" i="11"/>
  <c r="R274" i="11" s="1"/>
  <c r="T274" i="11" s="1"/>
  <c r="P254" i="11"/>
  <c r="R254" i="11" s="1"/>
  <c r="T254" i="11" s="1"/>
  <c r="P224" i="11"/>
  <c r="R224" i="11" s="1"/>
  <c r="T224" i="11" s="1"/>
  <c r="P193" i="11"/>
  <c r="R193" i="11" s="1"/>
  <c r="T193" i="11" s="1"/>
  <c r="P163" i="11"/>
  <c r="R163" i="11" s="1"/>
  <c r="T163" i="11" s="1"/>
  <c r="P102" i="11"/>
  <c r="R102" i="11" s="1"/>
  <c r="T102" i="11" s="1"/>
  <c r="P118" i="11"/>
  <c r="R118" i="11" s="1"/>
  <c r="T118" i="11" s="1"/>
  <c r="P616" i="11"/>
  <c r="R616" i="11" s="1"/>
  <c r="T616" i="11" s="1"/>
  <c r="P527" i="11"/>
  <c r="R527" i="11" s="1"/>
  <c r="T527" i="11" s="1"/>
  <c r="P640" i="11"/>
  <c r="R640" i="11" s="1"/>
  <c r="T640" i="11" s="1"/>
  <c r="P646" i="11"/>
  <c r="R646" i="11" s="1"/>
  <c r="T646" i="11" s="1"/>
  <c r="P593" i="11"/>
  <c r="R593" i="11" s="1"/>
  <c r="T593" i="11" s="1"/>
  <c r="P598" i="11"/>
  <c r="R598" i="11" s="1"/>
  <c r="T598" i="11" s="1"/>
  <c r="P577" i="11"/>
  <c r="R577" i="11" s="1"/>
  <c r="T577" i="11" s="1"/>
  <c r="P678" i="11"/>
  <c r="R678" i="11" s="1"/>
  <c r="T678" i="11" s="1"/>
  <c r="P630" i="11"/>
  <c r="R630" i="11" s="1"/>
  <c r="T630" i="11" s="1"/>
  <c r="P623" i="11"/>
  <c r="R623" i="11" s="1"/>
  <c r="T623" i="11" s="1"/>
  <c r="P499" i="11"/>
  <c r="R499" i="11" s="1"/>
  <c r="T499" i="11" s="1"/>
  <c r="P492" i="11"/>
  <c r="R492" i="11" s="1"/>
  <c r="T492" i="11" s="1"/>
  <c r="P434" i="11"/>
  <c r="R434" i="11" s="1"/>
  <c r="T434" i="11" s="1"/>
  <c r="P404" i="11"/>
  <c r="R404" i="11" s="1"/>
  <c r="T404" i="11" s="1"/>
  <c r="P385" i="11"/>
  <c r="R385" i="11" s="1"/>
  <c r="T385" i="11" s="1"/>
  <c r="P667" i="11"/>
  <c r="R667" i="11" s="1"/>
  <c r="T667" i="11" s="1"/>
  <c r="P669" i="11"/>
  <c r="R669" i="11" s="1"/>
  <c r="T669" i="11" s="1"/>
  <c r="P648" i="11"/>
  <c r="R648" i="11" s="1"/>
  <c r="T648" i="11" s="1"/>
  <c r="P567" i="11"/>
  <c r="R567" i="11" s="1"/>
  <c r="T567" i="11" s="1"/>
  <c r="P657" i="11"/>
  <c r="R657" i="11" s="1"/>
  <c r="T657" i="11" s="1"/>
  <c r="P566" i="11"/>
  <c r="R566" i="11" s="1"/>
  <c r="T566" i="11" s="1"/>
  <c r="P541" i="11"/>
  <c r="R541" i="11" s="1"/>
  <c r="T541" i="11" s="1"/>
  <c r="P380" i="11"/>
  <c r="R380" i="11" s="1"/>
  <c r="T380" i="11" s="1"/>
  <c r="P338" i="11"/>
  <c r="R338" i="11" s="1"/>
  <c r="T338" i="11" s="1"/>
  <c r="P300" i="11"/>
  <c r="R300" i="11" s="1"/>
  <c r="T300" i="11" s="1"/>
  <c r="P272" i="11"/>
  <c r="R272" i="11" s="1"/>
  <c r="T272" i="11" s="1"/>
  <c r="P253" i="11"/>
  <c r="R253" i="11" s="1"/>
  <c r="T253" i="11" s="1"/>
  <c r="P241" i="11"/>
  <c r="R241" i="11" s="1"/>
  <c r="T241" i="11" s="1"/>
  <c r="P192" i="11"/>
  <c r="R192" i="11" s="1"/>
  <c r="T192" i="11" s="1"/>
  <c r="P524" i="11"/>
  <c r="R524" i="11" s="1"/>
  <c r="T524" i="11" s="1"/>
  <c r="P394" i="11"/>
  <c r="R394" i="11" s="1"/>
  <c r="T394" i="11" s="1"/>
  <c r="P306" i="11"/>
  <c r="R306" i="11" s="1"/>
  <c r="T306" i="11" s="1"/>
  <c r="P550" i="11"/>
  <c r="R550" i="11" s="1"/>
  <c r="T550" i="11" s="1"/>
  <c r="P213" i="11"/>
  <c r="R213" i="11" s="1"/>
  <c r="T213" i="11" s="1"/>
  <c r="P99" i="11"/>
  <c r="R99" i="11" s="1"/>
  <c r="T99" i="11" s="1"/>
  <c r="P61" i="11"/>
  <c r="R61" i="11" s="1"/>
  <c r="T61" i="11" s="1"/>
  <c r="P24" i="11"/>
  <c r="R24" i="11" s="1"/>
  <c r="T24" i="11" s="1"/>
  <c r="P618" i="11"/>
  <c r="R618" i="11" s="1"/>
  <c r="T618" i="11" s="1"/>
  <c r="P631" i="11"/>
  <c r="R631" i="11" s="1"/>
  <c r="T631" i="11" s="1"/>
  <c r="P495" i="11"/>
  <c r="R495" i="11" s="1"/>
  <c r="T495" i="11" s="1"/>
  <c r="P670" i="11"/>
  <c r="R670" i="11" s="1"/>
  <c r="T670" i="11" s="1"/>
  <c r="P639" i="11"/>
  <c r="R639" i="11" s="1"/>
  <c r="T639" i="11" s="1"/>
  <c r="P313" i="11"/>
  <c r="R313" i="11" s="1"/>
  <c r="T313" i="11" s="1"/>
  <c r="P285" i="11"/>
  <c r="R285" i="11" s="1"/>
  <c r="T285" i="11" s="1"/>
  <c r="P575" i="11"/>
  <c r="R575" i="11" s="1"/>
  <c r="T575" i="11" s="1"/>
  <c r="P666" i="11"/>
  <c r="R666" i="11" s="1"/>
  <c r="T666" i="11" s="1"/>
  <c r="P638" i="11"/>
  <c r="R638" i="11" s="1"/>
  <c r="T638" i="11" s="1"/>
  <c r="P556" i="11"/>
  <c r="R556" i="11" s="1"/>
  <c r="T556" i="11" s="1"/>
  <c r="P563" i="11"/>
  <c r="R563" i="11" s="1"/>
  <c r="T563" i="11" s="1"/>
  <c r="P656" i="11"/>
  <c r="R656" i="11" s="1"/>
  <c r="T656" i="11" s="1"/>
  <c r="P540" i="11"/>
  <c r="R540" i="11" s="1"/>
  <c r="T540" i="11" s="1"/>
  <c r="P379" i="11"/>
  <c r="R379" i="11" s="1"/>
  <c r="T379" i="11" s="1"/>
  <c r="P336" i="11"/>
  <c r="R336" i="11" s="1"/>
  <c r="T336" i="11" s="1"/>
  <c r="P319" i="11"/>
  <c r="R319" i="11" s="1"/>
  <c r="T319" i="11" s="1"/>
  <c r="P299" i="11"/>
  <c r="R299" i="11" s="1"/>
  <c r="T299" i="11" s="1"/>
  <c r="P273" i="11"/>
  <c r="R273" i="11" s="1"/>
  <c r="T273" i="11" s="1"/>
  <c r="P249" i="11"/>
  <c r="R249" i="11" s="1"/>
  <c r="T249" i="11" s="1"/>
  <c r="P149" i="11"/>
  <c r="R149" i="11" s="1"/>
  <c r="T149" i="11" s="1"/>
  <c r="P179" i="11"/>
  <c r="R179" i="11" s="1"/>
  <c r="T179" i="11" s="1"/>
  <c r="P599" i="11"/>
  <c r="R599" i="11" s="1"/>
  <c r="T599" i="11" s="1"/>
  <c r="P484" i="11"/>
  <c r="R484" i="11" s="1"/>
  <c r="T484" i="11" s="1"/>
  <c r="P632" i="11"/>
  <c r="R632" i="11" s="1"/>
  <c r="T632" i="11" s="1"/>
  <c r="P641" i="11"/>
  <c r="R641" i="11" s="1"/>
  <c r="T641" i="11" s="1"/>
  <c r="P588" i="11"/>
  <c r="R588" i="11" s="1"/>
  <c r="T588" i="11" s="1"/>
  <c r="P597" i="11"/>
  <c r="R597" i="11" s="1"/>
  <c r="T597" i="11" s="1"/>
  <c r="P576" i="11"/>
  <c r="R576" i="11" s="1"/>
  <c r="T576" i="11" s="1"/>
  <c r="P677" i="11"/>
  <c r="R677" i="11" s="1"/>
  <c r="T677" i="11" s="1"/>
  <c r="P628" i="11"/>
  <c r="R628" i="11" s="1"/>
  <c r="T628" i="11" s="1"/>
  <c r="P624" i="11"/>
  <c r="R624" i="11" s="1"/>
  <c r="T624" i="11" s="1"/>
  <c r="P498" i="11"/>
  <c r="R498" i="11" s="1"/>
  <c r="T498" i="11" s="1"/>
  <c r="P494" i="11"/>
  <c r="R494" i="11" s="1"/>
  <c r="T494" i="11" s="1"/>
  <c r="P433" i="11"/>
  <c r="R433" i="11" s="1"/>
  <c r="T433" i="11" s="1"/>
  <c r="P403" i="11"/>
  <c r="R403" i="11" s="1"/>
  <c r="T403" i="11" s="1"/>
  <c r="P386" i="11"/>
  <c r="R386" i="11" s="1"/>
  <c r="T386" i="11" s="1"/>
  <c r="P665" i="11"/>
  <c r="R665" i="11" s="1"/>
  <c r="T665" i="11" s="1"/>
  <c r="P664" i="11"/>
  <c r="R664" i="11" s="1"/>
  <c r="T664" i="11" s="1"/>
  <c r="P637" i="11"/>
  <c r="R637" i="11" s="1"/>
  <c r="T637" i="11" s="1"/>
  <c r="P555" i="11"/>
  <c r="R555" i="11" s="1"/>
  <c r="T555" i="11" s="1"/>
  <c r="P654" i="11"/>
  <c r="R654" i="11" s="1"/>
  <c r="T654" i="11" s="1"/>
  <c r="P519" i="11"/>
  <c r="R519" i="11" s="1"/>
  <c r="T519" i="11" s="1"/>
  <c r="P480" i="11"/>
  <c r="R480" i="11" s="1"/>
  <c r="T480" i="11" s="1"/>
  <c r="P373" i="11"/>
  <c r="R373" i="11" s="1"/>
  <c r="T373" i="11" s="1"/>
  <c r="P333" i="11"/>
  <c r="R333" i="11" s="1"/>
  <c r="T333" i="11" s="1"/>
  <c r="P318" i="11"/>
  <c r="R318" i="11" s="1"/>
  <c r="T318" i="11" s="1"/>
  <c r="P271" i="11"/>
  <c r="R271" i="11" s="1"/>
  <c r="T271" i="11" s="1"/>
  <c r="P248" i="11"/>
  <c r="R248" i="11" s="1"/>
  <c r="T248" i="11" s="1"/>
  <c r="P231" i="11"/>
  <c r="R231" i="11" s="1"/>
  <c r="T231" i="11" s="1"/>
  <c r="P195" i="11"/>
  <c r="R195" i="11" s="1"/>
  <c r="T195" i="11" s="1"/>
  <c r="P165" i="11"/>
  <c r="R165" i="11" s="1"/>
  <c r="T165" i="11" s="1"/>
  <c r="P358" i="11"/>
  <c r="R358" i="11" s="1"/>
  <c r="T358" i="11" s="1"/>
  <c r="P604" i="11"/>
  <c r="R604" i="11" s="1"/>
  <c r="T604" i="11" s="1"/>
  <c r="P266" i="11"/>
  <c r="R266" i="11" s="1"/>
  <c r="T266" i="11" s="1"/>
  <c r="P365" i="11"/>
  <c r="R365" i="11" s="1"/>
  <c r="T365" i="11" s="1"/>
  <c r="P245" i="11"/>
  <c r="R245" i="11" s="1"/>
  <c r="T245" i="11" s="1"/>
  <c r="P93" i="11"/>
  <c r="R93" i="11" s="1"/>
  <c r="T93" i="11" s="1"/>
  <c r="P56" i="11"/>
  <c r="R56" i="11" s="1"/>
  <c r="T56" i="11" s="1"/>
  <c r="P26" i="11"/>
  <c r="R26" i="11" s="1"/>
  <c r="T26" i="11" s="1"/>
  <c r="P674" i="11"/>
  <c r="R674" i="11" s="1"/>
  <c r="T674" i="11" s="1"/>
  <c r="P660" i="11"/>
  <c r="R660" i="11" s="1"/>
  <c r="T660" i="11" s="1"/>
  <c r="P302" i="11"/>
  <c r="R302" i="11" s="1"/>
  <c r="T302" i="11" s="1"/>
  <c r="P600" i="11"/>
  <c r="R600" i="11" s="1"/>
  <c r="T600" i="11" s="1"/>
  <c r="P344" i="11"/>
  <c r="R344" i="11" s="1"/>
  <c r="T344" i="11" s="1"/>
  <c r="P655" i="11"/>
  <c r="R655" i="11" s="1"/>
  <c r="T655" i="11" s="1"/>
  <c r="P589" i="11"/>
  <c r="R589" i="11" s="1"/>
  <c r="T589" i="11" s="1"/>
  <c r="P533" i="11"/>
  <c r="R533" i="11" s="1"/>
  <c r="T533" i="11" s="1"/>
  <c r="P548" i="11"/>
  <c r="R548" i="11" s="1"/>
  <c r="T548" i="11" s="1"/>
  <c r="P653" i="11"/>
  <c r="R653" i="11" s="1"/>
  <c r="T653" i="11" s="1"/>
  <c r="P508" i="11"/>
  <c r="R508" i="11" s="1"/>
  <c r="T508" i="11" s="1"/>
  <c r="P467" i="11"/>
  <c r="R467" i="11" s="1"/>
  <c r="T467" i="11" s="1"/>
  <c r="P329" i="11"/>
  <c r="R329" i="11" s="1"/>
  <c r="T329" i="11" s="1"/>
  <c r="P317" i="11"/>
  <c r="R317" i="11" s="1"/>
  <c r="T317" i="11" s="1"/>
  <c r="P297" i="11"/>
  <c r="R297" i="11" s="1"/>
  <c r="T297" i="11" s="1"/>
  <c r="P269" i="11"/>
  <c r="R269" i="11" s="1"/>
  <c r="T269" i="11" s="1"/>
  <c r="P221" i="11"/>
  <c r="R221" i="11" s="1"/>
  <c r="T221" i="11" s="1"/>
  <c r="P187" i="11"/>
  <c r="R187" i="11" s="1"/>
  <c r="T187" i="11" s="1"/>
  <c r="P645" i="11"/>
  <c r="R645" i="11" s="1"/>
  <c r="T645" i="11" s="1"/>
  <c r="P582" i="11"/>
  <c r="R582" i="11" s="1"/>
  <c r="T582" i="11" s="1"/>
  <c r="P440" i="11"/>
  <c r="R440" i="11" s="1"/>
  <c r="T440" i="11" s="1"/>
  <c r="P580" i="11"/>
  <c r="R580" i="11" s="1"/>
  <c r="T580" i="11" s="1"/>
  <c r="P345" i="11"/>
  <c r="R345" i="11" s="1"/>
  <c r="T345" i="11" s="1"/>
  <c r="P281" i="11"/>
  <c r="R281" i="11" s="1"/>
  <c r="T281" i="11" s="1"/>
  <c r="P36" i="11"/>
  <c r="R36" i="11" s="1"/>
  <c r="T36" i="11" s="1"/>
  <c r="P579" i="11"/>
  <c r="R579" i="11" s="1"/>
  <c r="T579" i="11" s="1"/>
  <c r="P476" i="11"/>
  <c r="R476" i="11" s="1"/>
  <c r="T476" i="11" s="1"/>
  <c r="P227" i="11"/>
  <c r="R227" i="11" s="1"/>
  <c r="T227" i="11" s="1"/>
  <c r="P590" i="11"/>
  <c r="R590" i="11" s="1"/>
  <c r="T590" i="11" s="1"/>
  <c r="P661" i="11"/>
  <c r="R661" i="11" s="1"/>
  <c r="T661" i="11" s="1"/>
  <c r="P620" i="11"/>
  <c r="R620" i="11" s="1"/>
  <c r="T620" i="11" s="1"/>
  <c r="P636" i="11"/>
  <c r="R636" i="11" s="1"/>
  <c r="T636" i="11" s="1"/>
  <c r="P587" i="11"/>
  <c r="R587" i="11" s="1"/>
  <c r="T587" i="11" s="1"/>
  <c r="P596" i="11"/>
  <c r="R596" i="11" s="1"/>
  <c r="T596" i="11" s="1"/>
  <c r="P682" i="11"/>
  <c r="R682" i="11" s="1"/>
  <c r="T682" i="11" s="1"/>
  <c r="P676" i="11"/>
  <c r="R676" i="11" s="1"/>
  <c r="T676" i="11" s="1"/>
  <c r="P627" i="11"/>
  <c r="R627" i="11" s="1"/>
  <c r="T627" i="11" s="1"/>
  <c r="P622" i="11"/>
  <c r="R622" i="11" s="1"/>
  <c r="T622" i="11" s="1"/>
  <c r="P497" i="11"/>
  <c r="R497" i="11" s="1"/>
  <c r="T497" i="11" s="1"/>
  <c r="P443" i="11"/>
  <c r="R443" i="11" s="1"/>
  <c r="T443" i="11" s="1"/>
  <c r="P432" i="11"/>
  <c r="R432" i="11" s="1"/>
  <c r="T432" i="11" s="1"/>
  <c r="P400" i="11"/>
  <c r="R400" i="11" s="1"/>
  <c r="T400" i="11" s="1"/>
  <c r="P381" i="11"/>
  <c r="R381" i="11" s="1"/>
  <c r="T381" i="11" s="1"/>
  <c r="P635" i="11"/>
  <c r="R635" i="11" s="1"/>
  <c r="T635" i="11" s="1"/>
  <c r="P663" i="11"/>
  <c r="R663" i="11" s="1"/>
  <c r="T663" i="11" s="1"/>
  <c r="P573" i="11"/>
  <c r="R573" i="11" s="1"/>
  <c r="T573" i="11" s="1"/>
  <c r="P512" i="11"/>
  <c r="R512" i="11" s="1"/>
  <c r="T512" i="11" s="1"/>
  <c r="P547" i="11"/>
  <c r="R547" i="11" s="1"/>
  <c r="T547" i="11" s="1"/>
  <c r="P507" i="11"/>
  <c r="R507" i="11" s="1"/>
  <c r="T507" i="11" s="1"/>
  <c r="P463" i="11"/>
  <c r="R463" i="11" s="1"/>
  <c r="T463" i="11" s="1"/>
  <c r="P364" i="11"/>
  <c r="R364" i="11" s="1"/>
  <c r="T364" i="11" s="1"/>
  <c r="P328" i="11"/>
  <c r="R328" i="11" s="1"/>
  <c r="T328" i="11" s="1"/>
  <c r="P316" i="11"/>
  <c r="R316" i="11" s="1"/>
  <c r="T316" i="11" s="1"/>
  <c r="P296" i="11"/>
  <c r="R296" i="11" s="1"/>
  <c r="T296" i="11" s="1"/>
  <c r="P240" i="11"/>
  <c r="R240" i="11" s="1"/>
  <c r="T240" i="11" s="1"/>
  <c r="P215" i="11"/>
  <c r="R215" i="11" s="1"/>
  <c r="T215" i="11" s="1"/>
  <c r="P186" i="11"/>
  <c r="R186" i="11" s="1"/>
  <c r="T186" i="11" s="1"/>
  <c r="P144" i="11"/>
  <c r="R144" i="11" s="1"/>
  <c r="T144" i="11" s="1"/>
  <c r="P468" i="11"/>
  <c r="R468" i="11" s="1"/>
  <c r="T468" i="11" s="1"/>
  <c r="P438" i="11"/>
  <c r="R438" i="11" s="1"/>
  <c r="T438" i="11" s="1"/>
  <c r="P209" i="11"/>
  <c r="R209" i="11" s="1"/>
  <c r="T209" i="11" s="1"/>
  <c r="P312" i="11"/>
  <c r="R312" i="11" s="1"/>
  <c r="T312" i="11" s="1"/>
  <c r="P171" i="11"/>
  <c r="R171" i="11" s="1"/>
  <c r="T171" i="11" s="1"/>
  <c r="P86" i="11"/>
  <c r="R86" i="11" s="1"/>
  <c r="T86" i="11" s="1"/>
  <c r="P50" i="11"/>
  <c r="R50" i="11" s="1"/>
  <c r="T50" i="11" s="1"/>
  <c r="P12" i="11"/>
  <c r="R12" i="11" s="1"/>
  <c r="T12" i="11" s="1"/>
  <c r="P325" i="11"/>
  <c r="R325" i="11" s="1"/>
  <c r="T325" i="11" s="1"/>
  <c r="P634" i="11"/>
  <c r="R634" i="11" s="1"/>
  <c r="T634" i="11" s="1"/>
  <c r="P650" i="11"/>
  <c r="R650" i="11" s="1"/>
  <c r="T650" i="11" s="1"/>
  <c r="P486" i="11"/>
  <c r="R486" i="11" s="1"/>
  <c r="T486" i="11" s="1"/>
  <c r="P530" i="11"/>
  <c r="R530" i="11" s="1"/>
  <c r="T530" i="11" s="1"/>
  <c r="P652" i="11"/>
  <c r="R652" i="11" s="1"/>
  <c r="T652" i="11" s="1"/>
  <c r="P444" i="11"/>
  <c r="R444" i="11" s="1"/>
  <c r="T444" i="11" s="1"/>
  <c r="P384" i="11"/>
  <c r="R384" i="11" s="1"/>
  <c r="T384" i="11" s="1"/>
  <c r="P361" i="11"/>
  <c r="R361" i="11" s="1"/>
  <c r="T361" i="11" s="1"/>
  <c r="P314" i="11"/>
  <c r="R314" i="11" s="1"/>
  <c r="T314" i="11" s="1"/>
  <c r="P293" i="11"/>
  <c r="R293" i="11" s="1"/>
  <c r="T293" i="11" s="1"/>
  <c r="P267" i="11"/>
  <c r="R267" i="11" s="1"/>
  <c r="T267" i="11" s="1"/>
  <c r="P235" i="11"/>
  <c r="R235" i="11" s="1"/>
  <c r="T235" i="11" s="1"/>
  <c r="P134" i="11"/>
  <c r="R134" i="11" s="1"/>
  <c r="T134" i="11" s="1"/>
  <c r="P680" i="11"/>
  <c r="R680" i="11" s="1"/>
  <c r="T680" i="11" s="1"/>
  <c r="P442" i="11"/>
  <c r="R442" i="11" s="1"/>
  <c r="T442" i="11" s="1"/>
  <c r="P127" i="11"/>
  <c r="R127" i="11" s="1"/>
  <c r="T127" i="11" s="1"/>
  <c r="P311" i="11"/>
  <c r="R311" i="11" s="1"/>
  <c r="T311" i="11" s="1"/>
  <c r="P570" i="11"/>
  <c r="R570" i="11" s="1"/>
  <c r="T570" i="11" s="1"/>
  <c r="P651" i="11"/>
  <c r="R651" i="11" s="1"/>
  <c r="T651" i="11" s="1"/>
  <c r="P619" i="11"/>
  <c r="R619" i="11" s="1"/>
  <c r="T619" i="11" s="1"/>
  <c r="P633" i="11"/>
  <c r="R633" i="11" s="1"/>
  <c r="T633" i="11" s="1"/>
  <c r="P586" i="11"/>
  <c r="R586" i="11" s="1"/>
  <c r="T586" i="11" s="1"/>
  <c r="P595" i="11"/>
  <c r="R595" i="11" s="1"/>
  <c r="T595" i="11" s="1"/>
  <c r="P681" i="11"/>
  <c r="R681" i="11" s="1"/>
  <c r="T681" i="11" s="1"/>
  <c r="P675" i="11"/>
  <c r="R675" i="11" s="1"/>
  <c r="T675" i="11" s="1"/>
  <c r="P629" i="11"/>
  <c r="R629" i="11" s="1"/>
  <c r="T629" i="11" s="1"/>
  <c r="P621" i="11"/>
  <c r="R621" i="11" s="1"/>
  <c r="T621" i="11" s="1"/>
  <c r="P496" i="11"/>
  <c r="R496" i="11" s="1"/>
  <c r="T496" i="11" s="1"/>
  <c r="P441" i="11"/>
  <c r="R441" i="11" s="1"/>
  <c r="T441" i="11" s="1"/>
  <c r="P430" i="11"/>
  <c r="R430" i="11" s="1"/>
  <c r="T430" i="11" s="1"/>
  <c r="P398" i="11"/>
  <c r="R398" i="11" s="1"/>
  <c r="T398" i="11" s="1"/>
  <c r="P363" i="11"/>
  <c r="R363" i="11" s="1"/>
  <c r="T363" i="11" s="1"/>
  <c r="P612" i="11"/>
  <c r="R612" i="11" s="1"/>
  <c r="T612" i="11" s="1"/>
  <c r="P647" i="11"/>
  <c r="R647" i="11" s="1"/>
  <c r="T647" i="11" s="1"/>
  <c r="P522" i="11"/>
  <c r="R522" i="11" s="1"/>
  <c r="T522" i="11" s="1"/>
  <c r="P487" i="11"/>
  <c r="R487" i="11" s="1"/>
  <c r="T487" i="11" s="1"/>
  <c r="P526" i="11"/>
  <c r="R526" i="11" s="1"/>
  <c r="T526" i="11" s="1"/>
  <c r="P644" i="11"/>
  <c r="R644" i="11" s="1"/>
  <c r="T644" i="11" s="1"/>
  <c r="P360" i="11"/>
  <c r="R360" i="11" s="1"/>
  <c r="T360" i="11" s="1"/>
  <c r="P348" i="11"/>
  <c r="R348" i="11" s="1"/>
  <c r="T348" i="11" s="1"/>
  <c r="P322" i="11"/>
  <c r="R322" i="11" s="1"/>
  <c r="T322" i="11" s="1"/>
  <c r="P309" i="11"/>
  <c r="R309" i="11" s="1"/>
  <c r="T309" i="11" s="1"/>
  <c r="P289" i="11"/>
  <c r="R289" i="11" s="1"/>
  <c r="T289" i="11" s="1"/>
  <c r="P264" i="11"/>
  <c r="R264" i="11" s="1"/>
  <c r="T264" i="11" s="1"/>
  <c r="P233" i="11"/>
  <c r="R233" i="11" s="1"/>
  <c r="T233" i="11" s="1"/>
  <c r="P207" i="11"/>
  <c r="R207" i="11" s="1"/>
  <c r="T207" i="11" s="1"/>
  <c r="P173" i="11"/>
  <c r="R173" i="11" s="1"/>
  <c r="T173" i="11" s="1"/>
  <c r="P505" i="11"/>
  <c r="R505" i="11" s="1"/>
  <c r="T505" i="11" s="1"/>
  <c r="P409" i="11"/>
  <c r="R409" i="11" s="1"/>
  <c r="T409" i="11" s="1"/>
  <c r="P413" i="11"/>
  <c r="R413" i="11" s="1"/>
  <c r="T413" i="11" s="1"/>
  <c r="P217" i="11"/>
  <c r="R217" i="11" s="1"/>
  <c r="T217" i="11" s="1"/>
  <c r="P148" i="11"/>
  <c r="R148" i="11" s="1"/>
  <c r="T148" i="11" s="1"/>
  <c r="P80" i="11"/>
  <c r="R80" i="11" s="1"/>
  <c r="T80" i="11" s="1"/>
  <c r="P41" i="11"/>
  <c r="R41" i="11" s="1"/>
  <c r="T41" i="11" s="1"/>
  <c r="P8" i="11"/>
  <c r="R8" i="11" s="1"/>
  <c r="T8" i="11" s="1"/>
  <c r="P222" i="11"/>
  <c r="R222" i="11" s="1"/>
  <c r="T222" i="11" s="1"/>
  <c r="P214" i="11"/>
  <c r="R214" i="11" s="1"/>
  <c r="T214" i="11" s="1"/>
  <c r="P198" i="11"/>
  <c r="R198" i="11" s="1"/>
  <c r="T198" i="11" s="1"/>
  <c r="P189" i="11"/>
  <c r="R189" i="11" s="1"/>
  <c r="T189" i="11" s="1"/>
  <c r="P172" i="11"/>
  <c r="R172" i="11" s="1"/>
  <c r="T172" i="11" s="1"/>
  <c r="P168" i="11"/>
  <c r="R168" i="11" s="1"/>
  <c r="T168" i="11" s="1"/>
  <c r="P166" i="11"/>
  <c r="R166" i="11" s="1"/>
  <c r="T166" i="11" s="1"/>
  <c r="P142" i="11"/>
  <c r="R142" i="11" s="1"/>
  <c r="T142" i="11" s="1"/>
  <c r="P117" i="11"/>
  <c r="R117" i="11" s="1"/>
  <c r="T117" i="11" s="1"/>
  <c r="P103" i="11"/>
  <c r="R103" i="11" s="1"/>
  <c r="T103" i="11" s="1"/>
  <c r="P510" i="11"/>
  <c r="R510" i="11" s="1"/>
  <c r="T510" i="11" s="1"/>
  <c r="P298" i="11"/>
  <c r="R298" i="11" s="1"/>
  <c r="T298" i="11" s="1"/>
  <c r="P447" i="11"/>
  <c r="R447" i="11" s="1"/>
  <c r="T447" i="11" s="1"/>
  <c r="P506" i="11"/>
  <c r="R506" i="11" s="1"/>
  <c r="T506" i="11" s="1"/>
  <c r="P357" i="11"/>
  <c r="R357" i="11" s="1"/>
  <c r="T357" i="11" s="1"/>
  <c r="P458" i="11"/>
  <c r="R458" i="11" s="1"/>
  <c r="T458" i="11" s="1"/>
  <c r="P392" i="11"/>
  <c r="R392" i="11" s="1"/>
  <c r="T392" i="11" s="1"/>
  <c r="P609" i="11"/>
  <c r="R609" i="11" s="1"/>
  <c r="T609" i="11" s="1"/>
  <c r="P437" i="11"/>
  <c r="R437" i="11" s="1"/>
  <c r="T437" i="11" s="1"/>
  <c r="P407" i="11"/>
  <c r="R407" i="11" s="1"/>
  <c r="T407" i="11" s="1"/>
  <c r="P383" i="11"/>
  <c r="R383" i="11" s="1"/>
  <c r="T383" i="11" s="1"/>
  <c r="P354" i="11"/>
  <c r="R354" i="11" s="1"/>
  <c r="T354" i="11" s="1"/>
  <c r="P305" i="11"/>
  <c r="R305" i="11" s="1"/>
  <c r="T305" i="11" s="1"/>
  <c r="P255" i="11"/>
  <c r="R255" i="11" s="1"/>
  <c r="T255" i="11" s="1"/>
  <c r="P188" i="11"/>
  <c r="R188" i="11" s="1"/>
  <c r="T188" i="11" s="1"/>
  <c r="P377" i="11"/>
  <c r="R377" i="11" s="1"/>
  <c r="T377" i="11" s="1"/>
  <c r="P263" i="11"/>
  <c r="R263" i="11" s="1"/>
  <c r="T263" i="11" s="1"/>
  <c r="P419" i="11"/>
  <c r="R419" i="11" s="1"/>
  <c r="T419" i="11" s="1"/>
  <c r="P489" i="11"/>
  <c r="R489" i="11" s="1"/>
  <c r="T489" i="11" s="1"/>
  <c r="P283" i="11"/>
  <c r="R283" i="11" s="1"/>
  <c r="T283" i="11" s="1"/>
  <c r="P310" i="11"/>
  <c r="R310" i="11" s="1"/>
  <c r="T310" i="11" s="1"/>
  <c r="P210" i="11"/>
  <c r="R210" i="11" s="1"/>
  <c r="T210" i="11" s="1"/>
  <c r="P277" i="11"/>
  <c r="R277" i="11" s="1"/>
  <c r="T277" i="11" s="1"/>
  <c r="P388" i="11"/>
  <c r="R388" i="11" s="1"/>
  <c r="T388" i="11" s="1"/>
  <c r="P152" i="11"/>
  <c r="R152" i="11" s="1"/>
  <c r="T152" i="11" s="1"/>
  <c r="P201" i="11"/>
  <c r="R201" i="11" s="1"/>
  <c r="T201" i="11" s="1"/>
  <c r="P167" i="11"/>
  <c r="R167" i="11" s="1"/>
  <c r="T167" i="11" s="1"/>
  <c r="P139" i="11"/>
  <c r="R139" i="11" s="1"/>
  <c r="T139" i="11" s="1"/>
  <c r="P123" i="11"/>
  <c r="R123" i="11" s="1"/>
  <c r="T123" i="11" s="1"/>
  <c r="P107" i="11"/>
  <c r="R107" i="11" s="1"/>
  <c r="T107" i="11" s="1"/>
  <c r="P98" i="11"/>
  <c r="R98" i="11" s="1"/>
  <c r="T98" i="11" s="1"/>
  <c r="P91" i="11"/>
  <c r="R91" i="11" s="1"/>
  <c r="T91" i="11" s="1"/>
  <c r="P85" i="11"/>
  <c r="R85" i="11" s="1"/>
  <c r="T85" i="11" s="1"/>
  <c r="P79" i="11"/>
  <c r="R79" i="11" s="1"/>
  <c r="T79" i="11" s="1"/>
  <c r="P73" i="11"/>
  <c r="R73" i="11" s="1"/>
  <c r="T73" i="11" s="1"/>
  <c r="P66" i="11"/>
  <c r="R66" i="11" s="1"/>
  <c r="T66" i="11" s="1"/>
  <c r="P68" i="11"/>
  <c r="R68" i="11" s="1"/>
  <c r="T68" i="11" s="1"/>
  <c r="P55" i="11"/>
  <c r="R55" i="11" s="1"/>
  <c r="T55" i="11" s="1"/>
  <c r="P48" i="11"/>
  <c r="R48" i="11" s="1"/>
  <c r="T48" i="11" s="1"/>
  <c r="P40" i="11"/>
  <c r="R40" i="11" s="1"/>
  <c r="T40" i="11" s="1"/>
  <c r="P35" i="11"/>
  <c r="R35" i="11" s="1"/>
  <c r="T35" i="11" s="1"/>
  <c r="P38" i="11"/>
  <c r="R38" i="11" s="1"/>
  <c r="T38" i="11" s="1"/>
  <c r="P23" i="11"/>
  <c r="R23" i="11" s="1"/>
  <c r="T23" i="11" s="1"/>
  <c r="P19" i="11"/>
  <c r="R19" i="11" s="1"/>
  <c r="T19" i="11" s="1"/>
  <c r="P11" i="11"/>
  <c r="R11" i="11" s="1"/>
  <c r="T11" i="11" s="1"/>
  <c r="P7" i="11"/>
  <c r="R7" i="11" s="1"/>
  <c r="T7" i="11" s="1"/>
  <c r="P478" i="11"/>
  <c r="R478" i="11" s="1"/>
  <c r="T478" i="11" s="1"/>
  <c r="P552" i="11"/>
  <c r="R552" i="11" s="1"/>
  <c r="T552" i="11" s="1"/>
  <c r="P446" i="11"/>
  <c r="R446" i="11" s="1"/>
  <c r="T446" i="11" s="1"/>
  <c r="P428" i="11"/>
  <c r="R428" i="11" s="1"/>
  <c r="T428" i="11" s="1"/>
  <c r="P352" i="11"/>
  <c r="R352" i="11" s="1"/>
  <c r="T352" i="11" s="1"/>
  <c r="P457" i="11"/>
  <c r="R457" i="11" s="1"/>
  <c r="T457" i="11" s="1"/>
  <c r="P610" i="11"/>
  <c r="R610" i="11" s="1"/>
  <c r="T610" i="11" s="1"/>
  <c r="P603" i="11"/>
  <c r="R603" i="11" s="1"/>
  <c r="T603" i="11" s="1"/>
  <c r="P424" i="11"/>
  <c r="R424" i="11" s="1"/>
  <c r="T424" i="11" s="1"/>
  <c r="P406" i="11"/>
  <c r="R406" i="11" s="1"/>
  <c r="T406" i="11" s="1"/>
  <c r="P382" i="11"/>
  <c r="R382" i="11" s="1"/>
  <c r="T382" i="11" s="1"/>
  <c r="P342" i="11"/>
  <c r="R342" i="11" s="1"/>
  <c r="T342" i="11" s="1"/>
  <c r="P291" i="11"/>
  <c r="R291" i="11" s="1"/>
  <c r="T291" i="11" s="1"/>
  <c r="P246" i="11"/>
  <c r="R246" i="11" s="1"/>
  <c r="T246" i="11" s="1"/>
  <c r="P184" i="11"/>
  <c r="R184" i="11" s="1"/>
  <c r="T184" i="11" s="1"/>
  <c r="P355" i="11"/>
  <c r="R355" i="11" s="1"/>
  <c r="T355" i="11" s="1"/>
  <c r="P565" i="11"/>
  <c r="R565" i="11" s="1"/>
  <c r="T565" i="11" s="1"/>
  <c r="P395" i="11"/>
  <c r="R395" i="11" s="1"/>
  <c r="T395" i="11" s="1"/>
  <c r="P483" i="11"/>
  <c r="R483" i="11" s="1"/>
  <c r="T483" i="11" s="1"/>
  <c r="P282" i="11"/>
  <c r="R282" i="11" s="1"/>
  <c r="T282" i="11" s="1"/>
  <c r="P303" i="11"/>
  <c r="R303" i="11" s="1"/>
  <c r="T303" i="11" s="1"/>
  <c r="P350" i="11"/>
  <c r="R350" i="11" s="1"/>
  <c r="T350" i="11" s="1"/>
  <c r="P276" i="11"/>
  <c r="R276" i="11" s="1"/>
  <c r="T276" i="11" s="1"/>
  <c r="P334" i="11"/>
  <c r="R334" i="11" s="1"/>
  <c r="T334" i="11" s="1"/>
  <c r="P143" i="11"/>
  <c r="R143" i="11" s="1"/>
  <c r="T143" i="11" s="1"/>
  <c r="P200" i="11"/>
  <c r="R200" i="11" s="1"/>
  <c r="T200" i="11" s="1"/>
  <c r="P161" i="11"/>
  <c r="R161" i="11" s="1"/>
  <c r="T161" i="11" s="1"/>
  <c r="P137" i="11"/>
  <c r="R137" i="11" s="1"/>
  <c r="T137" i="11" s="1"/>
  <c r="P121" i="11"/>
  <c r="R121" i="11" s="1"/>
  <c r="T121" i="11" s="1"/>
  <c r="P105" i="11"/>
  <c r="R105" i="11" s="1"/>
  <c r="T105" i="11" s="1"/>
  <c r="P97" i="11"/>
  <c r="R97" i="11" s="1"/>
  <c r="T97" i="11" s="1"/>
  <c r="P90" i="11"/>
  <c r="R90" i="11" s="1"/>
  <c r="T90" i="11" s="1"/>
  <c r="P84" i="11"/>
  <c r="R84" i="11" s="1"/>
  <c r="T84" i="11" s="1"/>
  <c r="P78" i="11"/>
  <c r="R78" i="11" s="1"/>
  <c r="T78" i="11" s="1"/>
  <c r="P72" i="11"/>
  <c r="R72" i="11" s="1"/>
  <c r="T72" i="11" s="1"/>
  <c r="P65" i="11"/>
  <c r="R65" i="11" s="1"/>
  <c r="T65" i="11" s="1"/>
  <c r="P60" i="11"/>
  <c r="R60" i="11" s="1"/>
  <c r="T60" i="11" s="1"/>
  <c r="P54" i="11"/>
  <c r="R54" i="11" s="1"/>
  <c r="T54" i="11" s="1"/>
  <c r="P47" i="11"/>
  <c r="R47" i="11" s="1"/>
  <c r="T47" i="11" s="1"/>
  <c r="P39" i="11"/>
  <c r="R39" i="11" s="1"/>
  <c r="T39" i="11" s="1"/>
  <c r="P34" i="11"/>
  <c r="R34" i="11" s="1"/>
  <c r="T34" i="11" s="1"/>
  <c r="P37" i="11"/>
  <c r="R37" i="11" s="1"/>
  <c r="T37" i="11" s="1"/>
  <c r="P22" i="11"/>
  <c r="R22" i="11" s="1"/>
  <c r="T22" i="11" s="1"/>
  <c r="P18" i="11"/>
  <c r="R18" i="11" s="1"/>
  <c r="T18" i="11" s="1"/>
  <c r="P10" i="11"/>
  <c r="R10" i="11" s="1"/>
  <c r="T10" i="11" s="1"/>
  <c r="P6" i="11"/>
  <c r="R6" i="11" s="1"/>
  <c r="T6" i="11" s="1"/>
  <c r="P160" i="11"/>
  <c r="R160" i="11" s="1"/>
  <c r="T160" i="11" s="1"/>
  <c r="P159" i="11"/>
  <c r="R159" i="11" s="1"/>
  <c r="T159" i="11" s="1"/>
  <c r="P133" i="11"/>
  <c r="R133" i="11" s="1"/>
  <c r="T133" i="11" s="1"/>
  <c r="P115" i="11"/>
  <c r="R115" i="11" s="1"/>
  <c r="T115" i="11" s="1"/>
  <c r="P418" i="11"/>
  <c r="R418" i="11" s="1"/>
  <c r="T418" i="11" s="1"/>
  <c r="P535" i="11"/>
  <c r="R535" i="11" s="1"/>
  <c r="T535" i="11" s="1"/>
  <c r="P415" i="11"/>
  <c r="R415" i="11" s="1"/>
  <c r="T415" i="11" s="1"/>
  <c r="P426" i="11"/>
  <c r="R426" i="11" s="1"/>
  <c r="T426" i="11" s="1"/>
  <c r="P351" i="11"/>
  <c r="R351" i="11" s="1"/>
  <c r="T351" i="11" s="1"/>
  <c r="P445" i="11"/>
  <c r="R445" i="11" s="1"/>
  <c r="T445" i="11" s="1"/>
  <c r="P608" i="11"/>
  <c r="R608" i="11" s="1"/>
  <c r="T608" i="11" s="1"/>
  <c r="P602" i="11"/>
  <c r="R602" i="11" s="1"/>
  <c r="T602" i="11" s="1"/>
  <c r="P421" i="11"/>
  <c r="R421" i="11" s="1"/>
  <c r="T421" i="11" s="1"/>
  <c r="P405" i="11"/>
  <c r="R405" i="11" s="1"/>
  <c r="T405" i="11" s="1"/>
  <c r="P374" i="11"/>
  <c r="R374" i="11" s="1"/>
  <c r="T374" i="11" s="1"/>
  <c r="P332" i="11"/>
  <c r="R332" i="11" s="1"/>
  <c r="T332" i="11" s="1"/>
  <c r="P290" i="11"/>
  <c r="R290" i="11" s="1"/>
  <c r="T290" i="11" s="1"/>
  <c r="P237" i="11"/>
  <c r="R237" i="11" s="1"/>
  <c r="T237" i="11" s="1"/>
  <c r="P181" i="11"/>
  <c r="R181" i="11" s="1"/>
  <c r="T181" i="11" s="1"/>
  <c r="P341" i="11"/>
  <c r="R341" i="11" s="1"/>
  <c r="T341" i="11" s="1"/>
  <c r="P564" i="11"/>
  <c r="R564" i="11" s="1"/>
  <c r="T564" i="11" s="1"/>
  <c r="P372" i="11"/>
  <c r="R372" i="11" s="1"/>
  <c r="T372" i="11" s="1"/>
  <c r="P452" i="11"/>
  <c r="R452" i="11" s="1"/>
  <c r="T452" i="11" s="1"/>
  <c r="P238" i="11"/>
  <c r="R238" i="11" s="1"/>
  <c r="T238" i="11" s="1"/>
  <c r="P280" i="11"/>
  <c r="R280" i="11" s="1"/>
  <c r="T280" i="11" s="1"/>
  <c r="P349" i="11"/>
  <c r="R349" i="11" s="1"/>
  <c r="T349" i="11" s="1"/>
  <c r="P268" i="11"/>
  <c r="R268" i="11" s="1"/>
  <c r="T268" i="11" s="1"/>
  <c r="P292" i="11"/>
  <c r="R292" i="11" s="1"/>
  <c r="T292" i="11" s="1"/>
  <c r="P132" i="11"/>
  <c r="R132" i="11" s="1"/>
  <c r="T132" i="11" s="1"/>
  <c r="P194" i="11"/>
  <c r="R194" i="11" s="1"/>
  <c r="T194" i="11" s="1"/>
  <c r="P156" i="11"/>
  <c r="R156" i="11" s="1"/>
  <c r="T156" i="11" s="1"/>
  <c r="P136" i="11"/>
  <c r="R136" i="11" s="1"/>
  <c r="T136" i="11" s="1"/>
  <c r="P120" i="11"/>
  <c r="R120" i="11" s="1"/>
  <c r="T120" i="11" s="1"/>
  <c r="P104" i="11"/>
  <c r="R104" i="11" s="1"/>
  <c r="T104" i="11" s="1"/>
  <c r="P96" i="11"/>
  <c r="R96" i="11" s="1"/>
  <c r="T96" i="11" s="1"/>
  <c r="P89" i="11"/>
  <c r="R89" i="11" s="1"/>
  <c r="T89" i="11" s="1"/>
  <c r="P83" i="11"/>
  <c r="R83" i="11" s="1"/>
  <c r="T83" i="11" s="1"/>
  <c r="P77" i="11"/>
  <c r="R77" i="11" s="1"/>
  <c r="T77" i="11" s="1"/>
  <c r="P71" i="11"/>
  <c r="R71" i="11" s="1"/>
  <c r="T71" i="11" s="1"/>
  <c r="P64" i="11"/>
  <c r="R64" i="11" s="1"/>
  <c r="T64" i="11" s="1"/>
  <c r="P59" i="11"/>
  <c r="R59" i="11" s="1"/>
  <c r="T59" i="11" s="1"/>
  <c r="P53" i="11"/>
  <c r="R53" i="11" s="1"/>
  <c r="T53" i="11" s="1"/>
  <c r="P45" i="11"/>
  <c r="R45" i="11" s="1"/>
  <c r="T45" i="11" s="1"/>
  <c r="P49" i="11"/>
  <c r="R49" i="11" s="1"/>
  <c r="T49" i="11" s="1"/>
  <c r="P33" i="11"/>
  <c r="R33" i="11" s="1"/>
  <c r="T33" i="11" s="1"/>
  <c r="P29" i="11"/>
  <c r="R29" i="11" s="1"/>
  <c r="T29" i="11" s="1"/>
  <c r="P21" i="11"/>
  <c r="R21" i="11" s="1"/>
  <c r="T21" i="11" s="1"/>
  <c r="P15" i="11"/>
  <c r="R15" i="11" s="1"/>
  <c r="T15" i="11" s="1"/>
  <c r="P17" i="11"/>
  <c r="R17" i="11" s="1"/>
  <c r="T17" i="11" s="1"/>
  <c r="P5" i="11"/>
  <c r="R5" i="11" s="1"/>
  <c r="T5" i="11" s="1"/>
  <c r="P242" i="11"/>
  <c r="R242" i="11" s="1"/>
  <c r="T242" i="11" s="1"/>
  <c r="P232" i="11"/>
  <c r="R232" i="11" s="1"/>
  <c r="T232" i="11" s="1"/>
  <c r="P239" i="11"/>
  <c r="R239" i="11" s="1"/>
  <c r="T239" i="11" s="1"/>
  <c r="P211" i="11"/>
  <c r="R211" i="11" s="1"/>
  <c r="T211" i="11" s="1"/>
  <c r="P203" i="11"/>
  <c r="R203" i="11" s="1"/>
  <c r="T203" i="11" s="1"/>
  <c r="P190" i="11"/>
  <c r="R190" i="11" s="1"/>
  <c r="T190" i="11" s="1"/>
  <c r="P175" i="11"/>
  <c r="R175" i="11" s="1"/>
  <c r="T175" i="11" s="1"/>
  <c r="P178" i="11"/>
  <c r="R178" i="11" s="1"/>
  <c r="T178" i="11" s="1"/>
  <c r="P158" i="11"/>
  <c r="R158" i="11" s="1"/>
  <c r="T158" i="11" s="1"/>
  <c r="P147" i="11"/>
  <c r="R147" i="11" s="1"/>
  <c r="T147" i="11" s="1"/>
  <c r="P126" i="11"/>
  <c r="R126" i="11" s="1"/>
  <c r="T126" i="11" s="1"/>
  <c r="P116" i="11"/>
  <c r="R116" i="11" s="1"/>
  <c r="T116" i="11" s="1"/>
  <c r="P539" i="11"/>
  <c r="R539" i="11" s="1"/>
  <c r="T539" i="11" s="1"/>
  <c r="P417" i="11"/>
  <c r="R417" i="11" s="1"/>
  <c r="T417" i="11" s="1"/>
  <c r="P516" i="11"/>
  <c r="R516" i="11" s="1"/>
  <c r="T516" i="11" s="1"/>
  <c r="P414" i="11"/>
  <c r="R414" i="11" s="1"/>
  <c r="T414" i="11" s="1"/>
  <c r="P427" i="11"/>
  <c r="R427" i="11" s="1"/>
  <c r="T427" i="11" s="1"/>
  <c r="P503" i="11"/>
  <c r="R503" i="11" s="1"/>
  <c r="T503" i="11" s="1"/>
  <c r="P411" i="11"/>
  <c r="R411" i="11" s="1"/>
  <c r="T411" i="11" s="1"/>
  <c r="P607" i="11"/>
  <c r="R607" i="11" s="1"/>
  <c r="T607" i="11" s="1"/>
  <c r="P605" i="11"/>
  <c r="R605" i="11" s="1"/>
  <c r="T605" i="11" s="1"/>
  <c r="P420" i="11"/>
  <c r="R420" i="11" s="1"/>
  <c r="T420" i="11" s="1"/>
  <c r="P399" i="11"/>
  <c r="R399" i="11" s="1"/>
  <c r="T399" i="11" s="1"/>
  <c r="P369" i="11"/>
  <c r="R369" i="11" s="1"/>
  <c r="T369" i="11" s="1"/>
  <c r="P331" i="11"/>
  <c r="R331" i="11" s="1"/>
  <c r="T331" i="11" s="1"/>
  <c r="P278" i="11"/>
  <c r="R278" i="11" s="1"/>
  <c r="T278" i="11" s="1"/>
  <c r="P229" i="11"/>
  <c r="R229" i="11" s="1"/>
  <c r="T229" i="11" s="1"/>
  <c r="P422" i="11"/>
  <c r="R422" i="11" s="1"/>
  <c r="T422" i="11" s="1"/>
  <c r="P339" i="11"/>
  <c r="R339" i="11" s="1"/>
  <c r="T339" i="11" s="1"/>
  <c r="P542" i="11"/>
  <c r="R542" i="11" s="1"/>
  <c r="T542" i="11" s="1"/>
  <c r="P335" i="11"/>
  <c r="R335" i="11" s="1"/>
  <c r="T335" i="11" s="1"/>
  <c r="P453" i="11"/>
  <c r="R453" i="11" s="1"/>
  <c r="T453" i="11" s="1"/>
  <c r="P370" i="11"/>
  <c r="R370" i="11" s="1"/>
  <c r="T370" i="11" s="1"/>
  <c r="P252" i="11"/>
  <c r="R252" i="11" s="1"/>
  <c r="T252" i="11" s="1"/>
  <c r="P347" i="11"/>
  <c r="R347" i="11" s="1"/>
  <c r="T347" i="11" s="1"/>
  <c r="P259" i="11"/>
  <c r="R259" i="11" s="1"/>
  <c r="T259" i="11" s="1"/>
  <c r="P223" i="11"/>
  <c r="R223" i="11" s="1"/>
  <c r="T223" i="11" s="1"/>
  <c r="P294" i="11"/>
  <c r="R294" i="11" s="1"/>
  <c r="T294" i="11" s="1"/>
  <c r="P183" i="11"/>
  <c r="R183" i="11" s="1"/>
  <c r="T183" i="11" s="1"/>
  <c r="P154" i="11"/>
  <c r="R154" i="11" s="1"/>
  <c r="T154" i="11" s="1"/>
  <c r="P130" i="11"/>
  <c r="R130" i="11" s="1"/>
  <c r="T130" i="11" s="1"/>
  <c r="P112" i="11"/>
  <c r="R112" i="11" s="1"/>
  <c r="T112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3" i="11"/>
  <c r="R63" i="11" s="1"/>
  <c r="T63" i="11" s="1"/>
  <c r="P58" i="11"/>
  <c r="R58" i="11" s="1"/>
  <c r="T58" i="11" s="1"/>
  <c r="P52" i="11"/>
  <c r="R52" i="11" s="1"/>
  <c r="T52" i="11" s="1"/>
  <c r="P43" i="11"/>
  <c r="R43" i="11" s="1"/>
  <c r="T43" i="11" s="1"/>
  <c r="P46" i="11"/>
  <c r="R46" i="11" s="1"/>
  <c r="T46" i="11" s="1"/>
  <c r="P32" i="11"/>
  <c r="R32" i="11" s="1"/>
  <c r="T32" i="11" s="1"/>
  <c r="P27" i="11"/>
  <c r="R27" i="11" s="1"/>
  <c r="T27" i="11" s="1"/>
  <c r="P20" i="11"/>
  <c r="R20" i="11" s="1"/>
  <c r="T20" i="11" s="1"/>
  <c r="P14" i="11"/>
  <c r="R14" i="11" s="1"/>
  <c r="T14" i="11" s="1"/>
  <c r="P16" i="11"/>
  <c r="R16" i="11" s="1"/>
  <c r="T16" i="11" s="1"/>
  <c r="P4" i="11"/>
  <c r="R4" i="11" s="1"/>
  <c r="T4" i="11" s="1"/>
  <c r="P257" i="11"/>
  <c r="R257" i="11" s="1"/>
  <c r="T257" i="11" s="1"/>
  <c r="P247" i="11"/>
  <c r="R247" i="11" s="1"/>
  <c r="T247" i="11" s="1"/>
  <c r="P228" i="11"/>
  <c r="R228" i="11" s="1"/>
  <c r="T228" i="11" s="1"/>
  <c r="P230" i="11"/>
  <c r="R230" i="11" s="1"/>
  <c r="T230" i="11" s="1"/>
  <c r="P212" i="11"/>
  <c r="R212" i="11" s="1"/>
  <c r="T212" i="11" s="1"/>
  <c r="P202" i="11"/>
  <c r="R202" i="11" s="1"/>
  <c r="T202" i="11" s="1"/>
  <c r="P197" i="11"/>
  <c r="R197" i="11" s="1"/>
  <c r="T197" i="11" s="1"/>
  <c r="P174" i="11"/>
  <c r="R174" i="11" s="1"/>
  <c r="T174" i="11" s="1"/>
  <c r="P177" i="11"/>
  <c r="R177" i="11" s="1"/>
  <c r="T177" i="11" s="1"/>
  <c r="P155" i="11"/>
  <c r="R155" i="11" s="1"/>
  <c r="T155" i="11" s="1"/>
  <c r="P145" i="11"/>
  <c r="R145" i="11" s="1"/>
  <c r="T145" i="11" s="1"/>
  <c r="P140" i="11"/>
  <c r="R140" i="11" s="1"/>
  <c r="T140" i="11" s="1"/>
  <c r="P114" i="11"/>
  <c r="R114" i="11" s="1"/>
  <c r="T114" i="11" s="1"/>
  <c r="P537" i="11"/>
  <c r="R537" i="11" s="1"/>
  <c r="T537" i="11" s="1"/>
  <c r="P359" i="11"/>
  <c r="R359" i="11" s="1"/>
  <c r="T359" i="11" s="1"/>
  <c r="P469" i="11"/>
  <c r="R469" i="11" s="1"/>
  <c r="T469" i="11" s="1"/>
  <c r="P397" i="11"/>
  <c r="R397" i="11" s="1"/>
  <c r="T397" i="11" s="1"/>
  <c r="P376" i="11"/>
  <c r="R376" i="11" s="1"/>
  <c r="T376" i="11" s="1"/>
  <c r="P501" i="11"/>
  <c r="R501" i="11" s="1"/>
  <c r="T501" i="11" s="1"/>
  <c r="P408" i="11"/>
  <c r="R408" i="11" s="1"/>
  <c r="T408" i="11" s="1"/>
  <c r="P606" i="11"/>
  <c r="R606" i="11" s="1"/>
  <c r="T606" i="11" s="1"/>
  <c r="P601" i="11"/>
  <c r="R601" i="11" s="1"/>
  <c r="T601" i="11" s="1"/>
  <c r="P410" i="11"/>
  <c r="R410" i="11" s="1"/>
  <c r="T410" i="11" s="1"/>
  <c r="P391" i="11"/>
  <c r="R391" i="11" s="1"/>
  <c r="T391" i="11" s="1"/>
  <c r="P367" i="11"/>
  <c r="R367" i="11" s="1"/>
  <c r="T367" i="11" s="1"/>
  <c r="P330" i="11"/>
  <c r="R330" i="11" s="1"/>
  <c r="T330" i="11" s="1"/>
  <c r="P270" i="11"/>
  <c r="R270" i="11" s="1"/>
  <c r="T270" i="11" s="1"/>
  <c r="P216" i="11"/>
  <c r="R216" i="11" s="1"/>
  <c r="T216" i="11" s="1"/>
  <c r="P412" i="11"/>
  <c r="R412" i="11" s="1"/>
  <c r="T412" i="11" s="1"/>
  <c r="P288" i="11"/>
  <c r="R288" i="11" s="1"/>
  <c r="T288" i="11" s="1"/>
  <c r="P531" i="11"/>
  <c r="R531" i="11" s="1"/>
  <c r="T531" i="11" s="1"/>
  <c r="P243" i="11"/>
  <c r="R243" i="11" s="1"/>
  <c r="T243" i="11" s="1"/>
  <c r="P371" i="11"/>
  <c r="R371" i="11" s="1"/>
  <c r="T371" i="11" s="1"/>
  <c r="P368" i="11"/>
  <c r="R368" i="11" s="1"/>
  <c r="T368" i="11" s="1"/>
  <c r="P219" i="11"/>
  <c r="R219" i="11" s="1"/>
  <c r="T219" i="11" s="1"/>
  <c r="P307" i="11"/>
  <c r="R307" i="11" s="1"/>
  <c r="T307" i="11" s="1"/>
  <c r="P251" i="11"/>
  <c r="R251" i="11" s="1"/>
  <c r="T251" i="11" s="1"/>
  <c r="P220" i="11"/>
  <c r="R220" i="11" s="1"/>
  <c r="T220" i="11" s="1"/>
  <c r="P256" i="11"/>
  <c r="R256" i="11" s="1"/>
  <c r="T256" i="11" s="1"/>
  <c r="P180" i="11"/>
  <c r="R180" i="11" s="1"/>
  <c r="T180" i="11" s="1"/>
  <c r="P150" i="11"/>
  <c r="R150" i="11" s="1"/>
  <c r="T150" i="11" s="1"/>
  <c r="P128" i="11"/>
  <c r="R128" i="11" s="1"/>
  <c r="T128" i="11" s="1"/>
  <c r="P111" i="11"/>
  <c r="R111" i="11" s="1"/>
  <c r="T111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2" i="11"/>
  <c r="R62" i="11" s="1"/>
  <c r="T62" i="11" s="1"/>
  <c r="P57" i="11"/>
  <c r="R57" i="11" s="1"/>
  <c r="T57" i="11" s="1"/>
  <c r="P51" i="11"/>
  <c r="R51" i="11" s="1"/>
  <c r="T51" i="11" s="1"/>
  <c r="P42" i="11"/>
  <c r="R42" i="11" s="1"/>
  <c r="T42" i="11" s="1"/>
  <c r="P44" i="11"/>
  <c r="R44" i="11" s="1"/>
  <c r="T44" i="11" s="1"/>
  <c r="P31" i="11"/>
  <c r="R31" i="11" s="1"/>
  <c r="T31" i="11" s="1"/>
  <c r="P25" i="11"/>
  <c r="R25" i="11" s="1"/>
  <c r="T25" i="11" s="1"/>
  <c r="P28" i="11"/>
  <c r="R28" i="11" s="1"/>
  <c r="T28" i="11" s="1"/>
  <c r="P13" i="11"/>
  <c r="R13" i="11" s="1"/>
  <c r="T13" i="11" s="1"/>
  <c r="P9" i="11"/>
  <c r="R9" i="11" s="1"/>
  <c r="T9" i="11" s="1"/>
  <c r="P3" i="11"/>
  <c r="R3" i="11" s="1"/>
  <c r="T3" i="11" s="1"/>
  <c r="P2" i="11"/>
  <c r="R2" i="11" s="1"/>
  <c r="T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3" i="11" l="1"/>
  <c r="X3" i="11" s="1"/>
  <c r="W487" i="11"/>
  <c r="W427" i="11"/>
  <c r="W660" i="11"/>
  <c r="X660" i="11" s="1"/>
  <c r="W527" i="11"/>
  <c r="W80" i="11"/>
  <c r="W269" i="11"/>
  <c r="X269" i="11" s="1"/>
  <c r="W39" i="11"/>
  <c r="X39" i="11" s="1"/>
  <c r="W355" i="11"/>
  <c r="X355" i="11" s="1"/>
  <c r="W583" i="11"/>
  <c r="X583" i="11" s="1"/>
  <c r="W344" i="11"/>
  <c r="X344" i="11" s="1"/>
  <c r="W428" i="11"/>
  <c r="X428" i="11" s="1"/>
  <c r="W480" i="11"/>
  <c r="X480" i="11" s="1"/>
  <c r="W572" i="11"/>
  <c r="W675" i="11"/>
  <c r="X675" i="11" s="1"/>
  <c r="W615" i="11"/>
  <c r="W158" i="11"/>
  <c r="W411" i="11"/>
  <c r="X411" i="11" s="1"/>
  <c r="W301" i="11"/>
  <c r="X301" i="11" s="1"/>
  <c r="W626" i="11"/>
  <c r="W673" i="11"/>
  <c r="X673" i="11" s="1"/>
  <c r="W309" i="11"/>
  <c r="X309" i="11" s="1"/>
  <c r="W674" i="11"/>
  <c r="W284" i="11"/>
  <c r="X284" i="11" s="1"/>
  <c r="W389" i="11"/>
  <c r="W71" i="11"/>
  <c r="W658" i="11"/>
  <c r="X658" i="11" s="1"/>
  <c r="W346" i="11"/>
  <c r="X346" i="11" s="1"/>
  <c r="W653" i="11"/>
  <c r="X653" i="11" s="1"/>
  <c r="W4" i="11"/>
  <c r="X4" i="11" s="1"/>
  <c r="W557" i="11"/>
  <c r="X557" i="11" s="1"/>
  <c r="W84" i="11"/>
  <c r="X84" i="11" s="1"/>
  <c r="W303" i="11"/>
  <c r="X303" i="11" s="1"/>
  <c r="W620" i="11"/>
  <c r="X620" i="11" s="1"/>
  <c r="W12" i="11"/>
  <c r="W339" i="11"/>
  <c r="X339" i="11" s="1"/>
  <c r="W150" i="11"/>
  <c r="X150" i="11" s="1"/>
  <c r="W540" i="11"/>
  <c r="X540" i="11" s="1"/>
  <c r="W640" i="11"/>
  <c r="X640" i="11" s="1"/>
  <c r="W205" i="11"/>
  <c r="X205" i="11" s="1"/>
  <c r="W166" i="11"/>
  <c r="W425" i="11"/>
  <c r="X425" i="11" s="1"/>
  <c r="W283" i="11"/>
  <c r="W634" i="11"/>
  <c r="W636" i="11"/>
  <c r="X636" i="11" s="1"/>
  <c r="W556" i="11"/>
  <c r="X556" i="11" s="1"/>
  <c r="W621" i="11"/>
  <c r="X621" i="11" s="1"/>
  <c r="W492" i="11"/>
  <c r="W381" i="11"/>
  <c r="X381" i="11" s="1"/>
  <c r="W441" i="11"/>
  <c r="W637" i="11"/>
  <c r="X637" i="11" s="1"/>
  <c r="W264" i="11"/>
  <c r="W261" i="11"/>
  <c r="X261" i="11" s="1"/>
  <c r="W591" i="11"/>
  <c r="W322" i="11"/>
  <c r="X322" i="11" s="1"/>
  <c r="W584" i="11"/>
  <c r="X584" i="11" s="1"/>
  <c r="W680" i="11"/>
  <c r="X680" i="11" s="1"/>
  <c r="W186" i="11"/>
  <c r="W643" i="11"/>
  <c r="X643" i="11" s="1"/>
  <c r="W224" i="11"/>
  <c r="W568" i="11"/>
  <c r="X568" i="11" s="1"/>
  <c r="W644" i="11"/>
  <c r="X644" i="11" s="1"/>
  <c r="W486" i="11"/>
  <c r="X486" i="11" s="1"/>
  <c r="W676" i="11"/>
  <c r="W324" i="11"/>
  <c r="W493" i="11"/>
  <c r="X493" i="11" s="1"/>
  <c r="W155" i="11"/>
  <c r="X155" i="11" s="1"/>
  <c r="W177" i="11"/>
  <c r="W34" i="11"/>
  <c r="X34" i="11" s="1"/>
  <c r="W565" i="11"/>
  <c r="X565" i="11" s="1"/>
  <c r="W352" i="11"/>
  <c r="X352" i="11" s="1"/>
  <c r="W207" i="11"/>
  <c r="X207" i="11" s="1"/>
  <c r="W635" i="11"/>
  <c r="W498" i="11"/>
  <c r="W102" i="11"/>
  <c r="X102" i="11" s="1"/>
  <c r="W659" i="11"/>
  <c r="W359" i="11"/>
  <c r="X359" i="11" s="1"/>
  <c r="W2" i="11"/>
  <c r="W178" i="11"/>
  <c r="X178" i="11" s="1"/>
  <c r="W149" i="11"/>
  <c r="W73" i="11"/>
  <c r="W400" i="11"/>
  <c r="W661" i="11"/>
  <c r="X661" i="11" s="1"/>
  <c r="W655" i="11"/>
  <c r="X655" i="11" s="1"/>
  <c r="W519" i="11"/>
  <c r="X519" i="11" s="1"/>
  <c r="W614" i="11"/>
  <c r="X614" i="11" s="1"/>
  <c r="W83" i="11"/>
  <c r="W112" i="11"/>
  <c r="W316" i="11"/>
  <c r="X316" i="11" s="1"/>
  <c r="W573" i="11"/>
  <c r="X573" i="11" s="1"/>
  <c r="W78" i="11"/>
  <c r="X78" i="11" s="1"/>
  <c r="W430" i="11"/>
  <c r="X430" i="11" s="1"/>
  <c r="W576" i="11"/>
  <c r="X576" i="11" s="1"/>
  <c r="W313" i="11"/>
  <c r="W254" i="11"/>
  <c r="W463" i="11"/>
  <c r="W197" i="11"/>
  <c r="W319" i="11"/>
  <c r="W64" i="11"/>
  <c r="W97" i="11"/>
  <c r="W38" i="11"/>
  <c r="X38" i="11" s="1"/>
  <c r="W107" i="11"/>
  <c r="X107" i="11" s="1"/>
  <c r="W530" i="11"/>
  <c r="W300" i="11"/>
  <c r="X300" i="11" s="1"/>
  <c r="W233" i="11"/>
  <c r="X233" i="11" s="1"/>
  <c r="W279" i="11"/>
  <c r="W437" i="11"/>
  <c r="X437" i="11" s="1"/>
  <c r="W394" i="11"/>
  <c r="X394" i="11" s="1"/>
  <c r="W609" i="11"/>
  <c r="W457" i="11"/>
  <c r="W350" i="11"/>
  <c r="X350" i="11" s="1"/>
  <c r="W282" i="11"/>
  <c r="W412" i="11"/>
  <c r="W335" i="11"/>
  <c r="X335" i="11" s="1"/>
  <c r="W422" i="11"/>
  <c r="X422" i="11" s="1"/>
  <c r="W374" i="11"/>
  <c r="W229" i="11"/>
  <c r="X229" i="11" s="1"/>
  <c r="W23" i="11"/>
  <c r="X23" i="11" s="1"/>
  <c r="W180" i="11"/>
  <c r="X180" i="11" s="1"/>
  <c r="W27" i="11"/>
  <c r="W93" i="11"/>
  <c r="X93" i="11" s="1"/>
  <c r="W24" i="11"/>
  <c r="W26" i="11"/>
  <c r="X26" i="11" s="1"/>
  <c r="W37" i="11"/>
  <c r="X37" i="11" s="1"/>
  <c r="W43" i="11"/>
  <c r="X43" i="11" s="1"/>
  <c r="W6" i="11"/>
  <c r="X6" i="11" s="1"/>
  <c r="W85" i="11"/>
  <c r="W293" i="11"/>
  <c r="X293" i="11" s="1"/>
  <c r="W320" i="11"/>
  <c r="X320" i="11" s="1"/>
  <c r="W69" i="11"/>
  <c r="X69" i="11" s="1"/>
  <c r="W60" i="11"/>
  <c r="W541" i="11"/>
  <c r="W193" i="11"/>
  <c r="X193" i="11" s="1"/>
  <c r="W9" i="11"/>
  <c r="W81" i="11"/>
  <c r="W228" i="11"/>
  <c r="X228" i="11" s="1"/>
  <c r="W398" i="11"/>
  <c r="X398" i="11" s="1"/>
  <c r="W651" i="11"/>
  <c r="W273" i="11"/>
  <c r="X273" i="11" s="1"/>
  <c r="W285" i="11"/>
  <c r="X285" i="11" s="1"/>
  <c r="W678" i="11"/>
  <c r="X678" i="11" s="1"/>
  <c r="W96" i="11"/>
  <c r="X96" i="11" s="1"/>
  <c r="W50" i="11"/>
  <c r="W649" i="11"/>
  <c r="X649" i="11" s="1"/>
  <c r="W63" i="11"/>
  <c r="X63" i="11" s="1"/>
  <c r="W331" i="11"/>
  <c r="X331" i="11" s="1"/>
  <c r="W570" i="11"/>
  <c r="W171" i="11"/>
  <c r="W443" i="11"/>
  <c r="W299" i="11"/>
  <c r="W569" i="11"/>
  <c r="X569" i="11" s="1"/>
  <c r="W592" i="11"/>
  <c r="X592" i="11" s="1"/>
  <c r="W311" i="11"/>
  <c r="X311" i="11" s="1"/>
  <c r="W364" i="11"/>
  <c r="W476" i="11"/>
  <c r="W524" i="11"/>
  <c r="W225" i="11"/>
  <c r="X225" i="11" s="1"/>
  <c r="W642" i="11"/>
  <c r="X642" i="11" s="1"/>
  <c r="W518" i="11"/>
  <c r="W251" i="11"/>
  <c r="X251" i="11" s="1"/>
  <c r="W623" i="11"/>
  <c r="X623" i="11" s="1"/>
  <c r="W59" i="11"/>
  <c r="X59" i="11" s="1"/>
  <c r="W18" i="11"/>
  <c r="X18" i="11" s="1"/>
  <c r="W603" i="11"/>
  <c r="W317" i="11"/>
  <c r="X317" i="11" s="1"/>
  <c r="W195" i="11"/>
  <c r="X195" i="11" s="1"/>
  <c r="W664" i="11"/>
  <c r="W588" i="11"/>
  <c r="W336" i="11"/>
  <c r="W30" i="11"/>
  <c r="W21" i="11"/>
  <c r="W367" i="11"/>
  <c r="X367" i="11" s="1"/>
  <c r="W610" i="11"/>
  <c r="W360" i="11"/>
  <c r="W231" i="11"/>
  <c r="W495" i="11"/>
  <c r="W241" i="11"/>
  <c r="X241" i="11" s="1"/>
  <c r="W667" i="11"/>
  <c r="X667" i="11" s="1"/>
  <c r="W439" i="11"/>
  <c r="W105" i="11"/>
  <c r="W629" i="11"/>
  <c r="W248" i="11"/>
  <c r="W386" i="11"/>
  <c r="W632" i="11"/>
  <c r="W631" i="11"/>
  <c r="X631" i="11" s="1"/>
  <c r="W253" i="11"/>
  <c r="X253" i="11" s="1"/>
  <c r="W385" i="11"/>
  <c r="X385" i="11" s="1"/>
  <c r="W109" i="11"/>
  <c r="W42" i="11"/>
  <c r="X42" i="11" s="1"/>
  <c r="W512" i="11"/>
  <c r="X512" i="11" s="1"/>
  <c r="W508" i="11"/>
  <c r="W656" i="11"/>
  <c r="X656" i="11" s="1"/>
  <c r="W272" i="11"/>
  <c r="X272" i="11" s="1"/>
  <c r="W404" i="11"/>
  <c r="W74" i="11"/>
  <c r="W234" i="11"/>
  <c r="W51" i="11"/>
  <c r="W216" i="11"/>
  <c r="X216" i="11" s="1"/>
  <c r="W126" i="11"/>
  <c r="X126" i="11" s="1"/>
  <c r="W17" i="11"/>
  <c r="W137" i="11"/>
  <c r="X137" i="11" s="1"/>
  <c r="W134" i="11"/>
  <c r="X134" i="11" s="1"/>
  <c r="W596" i="11"/>
  <c r="X596" i="11" s="1"/>
  <c r="W563" i="11"/>
  <c r="X563" i="11" s="1"/>
  <c r="W434" i="11"/>
  <c r="X434" i="11" s="1"/>
  <c r="W616" i="11"/>
  <c r="W638" i="11"/>
  <c r="X638" i="11" s="1"/>
  <c r="W212" i="11"/>
  <c r="W57" i="11"/>
  <c r="W256" i="11"/>
  <c r="X256" i="11" s="1"/>
  <c r="W32" i="11"/>
  <c r="W15" i="11"/>
  <c r="X15" i="11" s="1"/>
  <c r="W89" i="11"/>
  <c r="X89" i="11" s="1"/>
  <c r="W47" i="11"/>
  <c r="W161" i="11"/>
  <c r="X161" i="11" s="1"/>
  <c r="W189" i="11"/>
  <c r="W663" i="11"/>
  <c r="X663" i="11" s="1"/>
  <c r="W14" i="11"/>
  <c r="W605" i="11"/>
  <c r="W242" i="11"/>
  <c r="W395" i="11"/>
  <c r="W340" i="11"/>
  <c r="W121" i="11"/>
  <c r="W409" i="11"/>
  <c r="W526" i="11"/>
  <c r="W345" i="11"/>
  <c r="X345" i="11" s="1"/>
  <c r="W56" i="11"/>
  <c r="X56" i="11" s="1"/>
  <c r="W423" i="11"/>
  <c r="W500" i="11"/>
  <c r="W548" i="11"/>
  <c r="W333" i="11"/>
  <c r="W494" i="11"/>
  <c r="W338" i="11"/>
  <c r="W571" i="11"/>
  <c r="X571" i="11" s="1"/>
  <c r="W599" i="11"/>
  <c r="W46" i="11"/>
  <c r="X46" i="11" s="1"/>
  <c r="W68" i="11"/>
  <c r="X68" i="11" s="1"/>
  <c r="W267" i="11"/>
  <c r="W582" i="11"/>
  <c r="X582" i="11" s="1"/>
  <c r="W533" i="11"/>
  <c r="W373" i="11"/>
  <c r="X373" i="11" s="1"/>
  <c r="W401" i="11"/>
  <c r="X401" i="11" s="1"/>
  <c r="W66" i="11"/>
  <c r="X66" i="11" s="1"/>
  <c r="W388" i="11"/>
  <c r="W612" i="11"/>
  <c r="X612" i="11" s="1"/>
  <c r="W633" i="11"/>
  <c r="W645" i="11"/>
  <c r="X645" i="11" s="1"/>
  <c r="W624" i="11"/>
  <c r="X624" i="11" s="1"/>
  <c r="W213" i="11"/>
  <c r="X213" i="11" s="1"/>
  <c r="W163" i="11"/>
  <c r="W429" i="11"/>
  <c r="X429" i="11" s="1"/>
  <c r="W52" i="11"/>
  <c r="X52" i="11" s="1"/>
  <c r="W65" i="11"/>
  <c r="W314" i="11"/>
  <c r="W628" i="11"/>
  <c r="W566" i="11"/>
  <c r="W514" i="11"/>
  <c r="W396" i="11"/>
  <c r="W72" i="11"/>
  <c r="X72" i="11" s="1"/>
  <c r="W289" i="11"/>
  <c r="X289" i="11" s="1"/>
  <c r="W671" i="11"/>
  <c r="X671" i="11" s="1"/>
  <c r="W625" i="11"/>
  <c r="W13" i="11"/>
  <c r="W87" i="11"/>
  <c r="W247" i="11"/>
  <c r="X247" i="11" s="1"/>
  <c r="W203" i="11"/>
  <c r="W11" i="11"/>
  <c r="X11" i="11" s="1"/>
  <c r="W310" i="11"/>
  <c r="X310" i="11" s="1"/>
  <c r="W384" i="11"/>
  <c r="X384" i="11" s="1"/>
  <c r="W328" i="11"/>
  <c r="X328" i="11" s="1"/>
  <c r="W600" i="11"/>
  <c r="W567" i="11"/>
  <c r="X567" i="11" s="1"/>
  <c r="W577" i="11"/>
  <c r="X577" i="11" s="1"/>
  <c r="W662" i="11"/>
  <c r="W668" i="11"/>
  <c r="W257" i="11"/>
  <c r="X257" i="11" s="1"/>
  <c r="W10" i="11"/>
  <c r="W19" i="11"/>
  <c r="X19" i="11" s="1"/>
  <c r="W91" i="11"/>
  <c r="X91" i="11" s="1"/>
  <c r="W444" i="11"/>
  <c r="W312" i="11"/>
  <c r="W648" i="11"/>
  <c r="W598" i="11"/>
  <c r="X598" i="11" s="1"/>
  <c r="W387" i="11"/>
  <c r="W433" i="11"/>
  <c r="X433" i="11" s="1"/>
  <c r="W239" i="11"/>
  <c r="X239" i="11" s="1"/>
  <c r="W132" i="11"/>
  <c r="X132" i="11" s="1"/>
  <c r="W290" i="11"/>
  <c r="X290" i="11" s="1"/>
  <c r="W90" i="11"/>
  <c r="W98" i="11"/>
  <c r="X98" i="11" s="1"/>
  <c r="W489" i="11"/>
  <c r="X489" i="11" s="1"/>
  <c r="W652" i="11"/>
  <c r="X652" i="11" s="1"/>
  <c r="W622" i="11"/>
  <c r="W579" i="11"/>
  <c r="W670" i="11"/>
  <c r="W192" i="11"/>
  <c r="X192" i="11" s="1"/>
  <c r="W681" i="11"/>
  <c r="X681" i="11" s="1"/>
  <c r="W82" i="11"/>
  <c r="W22" i="11"/>
  <c r="X22" i="11" s="1"/>
  <c r="W507" i="11"/>
  <c r="X507" i="11" s="1"/>
  <c r="W627" i="11"/>
  <c r="W665" i="11"/>
  <c r="X665" i="11" s="1"/>
  <c r="W646" i="11"/>
  <c r="W323" i="11"/>
  <c r="X323" i="11" s="1"/>
  <c r="W308" i="11"/>
  <c r="X308" i="11" s="1"/>
  <c r="W617" i="11"/>
  <c r="W262" i="11"/>
  <c r="W249" i="11"/>
  <c r="X249" i="11" s="1"/>
  <c r="W602" i="11"/>
  <c r="X602" i="11" s="1"/>
  <c r="W446" i="11"/>
  <c r="W414" i="11"/>
  <c r="W332" i="11"/>
  <c r="W383" i="11"/>
  <c r="W227" i="11"/>
  <c r="X227" i="11" s="1"/>
  <c r="W232" i="11"/>
  <c r="W221" i="11"/>
  <c r="X221" i="11" s="1"/>
  <c r="W292" i="11"/>
  <c r="W419" i="11"/>
  <c r="X419" i="11" s="1"/>
  <c r="W268" i="11"/>
  <c r="X268" i="11" s="1"/>
  <c r="W365" i="11"/>
  <c r="X365" i="11" s="1"/>
  <c r="W342" i="11"/>
  <c r="X342" i="11" s="1"/>
  <c r="W278" i="11"/>
  <c r="X278" i="11" s="1"/>
  <c r="W424" i="11"/>
  <c r="X424" i="11" s="1"/>
  <c r="W458" i="11"/>
  <c r="X458" i="11" s="1"/>
  <c r="W438" i="11"/>
  <c r="W503" i="11"/>
  <c r="X503" i="11" s="1"/>
  <c r="W406" i="11"/>
  <c r="X406" i="11" s="1"/>
  <c r="W199" i="11"/>
  <c r="W202" i="11"/>
  <c r="X202" i="11" s="1"/>
  <c r="W198" i="11"/>
  <c r="W469" i="11"/>
  <c r="X469" i="11" s="1"/>
  <c r="W133" i="11"/>
  <c r="X133" i="11" s="1"/>
  <c r="W397" i="11"/>
  <c r="X397" i="11" s="1"/>
  <c r="W506" i="11"/>
  <c r="X506" i="11" s="1"/>
  <c r="W174" i="11"/>
  <c r="X174" i="11" s="1"/>
  <c r="W179" i="11"/>
  <c r="W516" i="11"/>
  <c r="X516" i="11" s="1"/>
  <c r="W170" i="11"/>
  <c r="X170" i="11" s="1"/>
  <c r="W165" i="11"/>
  <c r="W117" i="11"/>
  <c r="X117" i="11" s="1"/>
  <c r="W173" i="11"/>
  <c r="W358" i="11"/>
  <c r="X358" i="11" s="1"/>
  <c r="W114" i="11"/>
  <c r="X114" i="11" s="1"/>
  <c r="W145" i="11"/>
  <c r="X145" i="11" s="1"/>
  <c r="W142" i="11"/>
  <c r="W382" i="11"/>
  <c r="W601" i="11"/>
  <c r="W392" i="11"/>
  <c r="X392" i="11" s="1"/>
  <c r="W608" i="11"/>
  <c r="X608" i="11" s="1"/>
  <c r="W510" i="11"/>
  <c r="X510" i="11" s="1"/>
  <c r="W280" i="11"/>
  <c r="W490" i="11"/>
  <c r="X490" i="11" s="1"/>
  <c r="W542" i="11"/>
  <c r="X542" i="11" s="1"/>
  <c r="W238" i="11"/>
  <c r="X238" i="11" s="1"/>
  <c r="W334" i="11"/>
  <c r="W550" i="11"/>
  <c r="X550" i="11" s="1"/>
  <c r="W294" i="11"/>
  <c r="X294" i="11" s="1"/>
  <c r="W276" i="11"/>
  <c r="X276" i="11" s="1"/>
  <c r="W368" i="11"/>
  <c r="W106" i="11"/>
  <c r="W115" i="11"/>
  <c r="W421" i="11"/>
  <c r="X421" i="11" s="1"/>
  <c r="W152" i="11"/>
  <c r="W305" i="11"/>
  <c r="W143" i="11"/>
  <c r="W291" i="11"/>
  <c r="X291" i="11" s="1"/>
  <c r="W478" i="11"/>
  <c r="W354" i="11"/>
  <c r="W219" i="11"/>
  <c r="W410" i="11"/>
  <c r="X410" i="11" s="1"/>
  <c r="W399" i="11"/>
  <c r="W418" i="11"/>
  <c r="X418" i="11" s="1"/>
  <c r="W209" i="11"/>
  <c r="W420" i="11"/>
  <c r="W483" i="11"/>
  <c r="X483" i="11" s="1"/>
  <c r="W103" i="11"/>
  <c r="X103" i="11" s="1"/>
  <c r="W116" i="11"/>
  <c r="W144" i="11"/>
  <c r="X144" i="11" s="1"/>
  <c r="W277" i="11"/>
  <c r="X277" i="11" s="1"/>
  <c r="W270" i="11"/>
  <c r="X270" i="11" s="1"/>
  <c r="W184" i="11"/>
  <c r="W298" i="11"/>
  <c r="X298" i="11" s="1"/>
  <c r="W452" i="11"/>
  <c r="W211" i="11"/>
  <c r="X211" i="11" s="1"/>
  <c r="W497" i="11"/>
  <c r="W297" i="11"/>
  <c r="W348" i="11"/>
  <c r="W496" i="11"/>
  <c r="X496" i="11" s="1"/>
  <c r="W669" i="11"/>
  <c r="X669" i="11" s="1"/>
  <c r="W593" i="11"/>
  <c r="W125" i="11"/>
  <c r="W544" i="11"/>
  <c r="X544" i="11" s="1"/>
  <c r="W252" i="11"/>
  <c r="X252" i="11" s="1"/>
  <c r="W641" i="11"/>
  <c r="W379" i="11"/>
  <c r="W357" i="11"/>
  <c r="X357" i="11" s="1"/>
  <c r="W611" i="11"/>
  <c r="X611" i="11" s="1"/>
  <c r="W5" i="11"/>
  <c r="X5" i="11" s="1"/>
  <c r="W77" i="11"/>
  <c r="W349" i="11"/>
  <c r="W405" i="11"/>
  <c r="X405" i="11" s="1"/>
  <c r="W271" i="11"/>
  <c r="W403" i="11"/>
  <c r="X403" i="11" s="1"/>
  <c r="W484" i="11"/>
  <c r="W618" i="11"/>
  <c r="W390" i="11"/>
  <c r="X390" i="11" s="1"/>
  <c r="W101" i="11"/>
  <c r="X101" i="11" s="1"/>
  <c r="W48" i="11"/>
  <c r="X48" i="11" s="1"/>
  <c r="W167" i="11"/>
  <c r="W188" i="11"/>
  <c r="W447" i="11"/>
  <c r="X447" i="11" s="1"/>
  <c r="W172" i="11"/>
  <c r="X172" i="11" s="1"/>
  <c r="W505" i="11"/>
  <c r="W580" i="11"/>
  <c r="X580" i="11" s="1"/>
  <c r="W318" i="11"/>
  <c r="W574" i="11"/>
  <c r="X574" i="11" s="1"/>
  <c r="W522" i="11"/>
  <c r="W595" i="11"/>
  <c r="X595" i="11" s="1"/>
  <c r="W235" i="11"/>
  <c r="W325" i="11"/>
  <c r="X325" i="11" s="1"/>
  <c r="W440" i="11"/>
  <c r="X440" i="11" s="1"/>
  <c r="W62" i="11"/>
  <c r="W220" i="11"/>
  <c r="W330" i="11"/>
  <c r="X330" i="11" s="1"/>
  <c r="W537" i="11"/>
  <c r="X537" i="11" s="1"/>
  <c r="W54" i="11"/>
  <c r="X54" i="11" s="1"/>
  <c r="W200" i="11"/>
  <c r="W246" i="11"/>
  <c r="W552" i="11"/>
  <c r="X552" i="11" s="1"/>
  <c r="W215" i="11"/>
  <c r="W679" i="11"/>
  <c r="X679" i="11" s="1"/>
  <c r="W29" i="11"/>
  <c r="X29" i="11" s="1"/>
  <c r="W104" i="11"/>
  <c r="X104" i="11" s="1"/>
  <c r="W372" i="11"/>
  <c r="W445" i="11"/>
  <c r="X445" i="11" s="1"/>
  <c r="W589" i="11"/>
  <c r="W666" i="11"/>
  <c r="X666" i="11" s="1"/>
  <c r="W75" i="11"/>
  <c r="W307" i="11"/>
  <c r="X307" i="11" s="1"/>
  <c r="W391" i="11"/>
  <c r="X391" i="11" s="1"/>
  <c r="W230" i="11"/>
  <c r="X230" i="11" s="1"/>
  <c r="W159" i="11"/>
  <c r="X159" i="11" s="1"/>
  <c r="W296" i="11"/>
  <c r="X296" i="11" s="1"/>
  <c r="W187" i="11"/>
  <c r="W417" i="11"/>
  <c r="X417" i="11" s="1"/>
  <c r="W190" i="11"/>
  <c r="X190" i="11" s="1"/>
  <c r="W160" i="11"/>
  <c r="X160" i="11" s="1"/>
  <c r="W7" i="11"/>
  <c r="X7" i="11" s="1"/>
  <c r="W79" i="11"/>
  <c r="W210" i="11"/>
  <c r="W407" i="11"/>
  <c r="X407" i="11" s="1"/>
  <c r="W8" i="11"/>
  <c r="X8" i="11" s="1"/>
  <c r="W361" i="11"/>
  <c r="X361" i="11" s="1"/>
  <c r="W432" i="11"/>
  <c r="X432" i="11" s="1"/>
  <c r="W590" i="11"/>
  <c r="X590" i="11" s="1"/>
  <c r="W306" i="11"/>
  <c r="X487" i="11"/>
  <c r="X427" i="11"/>
  <c r="X158" i="11"/>
  <c r="W222" i="11"/>
  <c r="W356" i="11"/>
  <c r="W41" i="11"/>
  <c r="X443" i="11"/>
  <c r="W70" i="11"/>
  <c r="W369" i="11"/>
  <c r="W148" i="11"/>
  <c r="W431" i="11"/>
  <c r="W528" i="11"/>
  <c r="X292" i="11"/>
  <c r="W67" i="11"/>
  <c r="W613" i="11"/>
  <c r="X166" i="11"/>
  <c r="X324" i="11"/>
  <c r="X412" i="11"/>
  <c r="W20" i="11"/>
  <c r="W95" i="11"/>
  <c r="W607" i="11"/>
  <c r="X527" i="11"/>
  <c r="W436" i="11"/>
  <c r="W260" i="11"/>
  <c r="W587" i="11"/>
  <c r="W326" i="11"/>
  <c r="W240" i="11"/>
  <c r="W482" i="11"/>
  <c r="W363" i="11"/>
  <c r="W619" i="11"/>
  <c r="W630" i="11"/>
  <c r="W657" i="11"/>
  <c r="W672" i="11"/>
  <c r="W594" i="11"/>
  <c r="W555" i="11"/>
  <c r="W597" i="11"/>
  <c r="W639" i="11"/>
  <c r="W185" i="11"/>
  <c r="W467" i="11"/>
  <c r="W168" i="11"/>
  <c r="W650" i="11"/>
  <c r="W682" i="11"/>
  <c r="W147" i="11"/>
  <c r="W118" i="11"/>
  <c r="W647" i="11"/>
  <c r="W586" i="11"/>
  <c r="W380" i="11"/>
  <c r="W499" i="11"/>
  <c r="W214" i="11"/>
  <c r="W581" i="11"/>
  <c r="W175" i="11"/>
  <c r="W575" i="11"/>
  <c r="W578" i="11"/>
  <c r="W654" i="11"/>
  <c r="W677" i="11"/>
  <c r="X677" i="11" s="1"/>
  <c r="W274" i="11"/>
  <c r="W140" i="11"/>
  <c r="W442" i="11"/>
  <c r="W329" i="11"/>
  <c r="W547" i="11"/>
  <c r="W281" i="11"/>
  <c r="W585" i="11"/>
  <c r="W206" i="11"/>
  <c r="W99" i="11"/>
  <c r="W459" i="11"/>
  <c r="W76" i="11"/>
  <c r="W36" i="11"/>
  <c r="W88" i="11"/>
  <c r="W413" i="11"/>
  <c r="W55" i="11"/>
  <c r="W201" i="11"/>
  <c r="W255" i="11"/>
  <c r="W245" i="11"/>
  <c r="W33" i="11"/>
  <c r="W120" i="11"/>
  <c r="W564" i="11"/>
  <c r="W351" i="11"/>
  <c r="W539" i="11"/>
  <c r="W28" i="11"/>
  <c r="W94" i="11"/>
  <c r="W371" i="11"/>
  <c r="W606" i="11"/>
  <c r="W35" i="11"/>
  <c r="W123" i="11"/>
  <c r="W263" i="11"/>
  <c r="W453" i="11"/>
  <c r="W40" i="11"/>
  <c r="W139" i="11"/>
  <c r="W377" i="11"/>
  <c r="W130" i="11"/>
  <c r="W154" i="11"/>
  <c r="W266" i="11"/>
  <c r="W183" i="11"/>
  <c r="W604" i="11"/>
  <c r="W58" i="11"/>
  <c r="W49" i="11"/>
  <c r="W136" i="11"/>
  <c r="W341" i="11"/>
  <c r="W426" i="11"/>
  <c r="W86" i="11"/>
  <c r="W223" i="11"/>
  <c r="W45" i="11"/>
  <c r="W156" i="11"/>
  <c r="W181" i="11"/>
  <c r="W415" i="11"/>
  <c r="W61" i="11"/>
  <c r="W366" i="11"/>
  <c r="W259" i="11"/>
  <c r="W53" i="11"/>
  <c r="W194" i="11"/>
  <c r="W237" i="11"/>
  <c r="W535" i="11"/>
  <c r="W302" i="11"/>
  <c r="W375" i="11"/>
  <c r="W25" i="11"/>
  <c r="W100" i="11"/>
  <c r="W243" i="11"/>
  <c r="W408" i="11"/>
  <c r="W347" i="11"/>
  <c r="W127" i="11"/>
  <c r="W31" i="11"/>
  <c r="W111" i="11"/>
  <c r="W531" i="11"/>
  <c r="W501" i="11"/>
  <c r="W16" i="11"/>
  <c r="W217" i="11"/>
  <c r="W44" i="11"/>
  <c r="W128" i="11"/>
  <c r="W288" i="11"/>
  <c r="W376" i="11"/>
  <c r="W370" i="11"/>
  <c r="W468" i="11"/>
  <c r="X615" i="11" l="1"/>
  <c r="X439" i="11"/>
  <c r="X219" i="11"/>
  <c r="X12" i="11"/>
  <c r="X73" i="11"/>
  <c r="X609" i="11"/>
  <c r="X395" i="11"/>
  <c r="X248" i="11"/>
  <c r="X143" i="11"/>
  <c r="X97" i="11"/>
  <c r="X364" i="11"/>
  <c r="X2" i="11"/>
  <c r="X271" i="11"/>
  <c r="X80" i="11"/>
  <c r="X659" i="11"/>
  <c r="X457" i="11"/>
  <c r="X635" i="11"/>
  <c r="X71" i="11"/>
  <c r="X566" i="11"/>
  <c r="X282" i="11"/>
  <c r="X676" i="11"/>
  <c r="X572" i="11"/>
  <c r="X197" i="11"/>
  <c r="X264" i="11"/>
  <c r="X319" i="11"/>
  <c r="X589" i="11"/>
  <c r="X498" i="11"/>
  <c r="X112" i="11"/>
  <c r="X404" i="11"/>
  <c r="X203" i="11"/>
  <c r="X389" i="11"/>
  <c r="X629" i="11"/>
  <c r="X591" i="11"/>
  <c r="X593" i="11"/>
  <c r="X441" i="11"/>
  <c r="X633" i="11"/>
  <c r="X610" i="11"/>
  <c r="X336" i="11"/>
  <c r="X9" i="11"/>
  <c r="X198" i="11"/>
  <c r="X626" i="11"/>
  <c r="X379" i="11"/>
  <c r="X674" i="11"/>
  <c r="X254" i="11"/>
  <c r="X438" i="11"/>
  <c r="X60" i="11"/>
  <c r="X508" i="11"/>
  <c r="X414" i="11"/>
  <c r="X492" i="11"/>
  <c r="X13" i="11"/>
  <c r="X10" i="11"/>
  <c r="X75" i="11"/>
  <c r="X27" i="11"/>
  <c r="X179" i="11"/>
  <c r="X541" i="11"/>
  <c r="X105" i="11"/>
  <c r="X533" i="11"/>
  <c r="X189" i="11"/>
  <c r="X524" i="11"/>
  <c r="X646" i="11"/>
  <c r="X632" i="11"/>
  <c r="X463" i="11"/>
  <c r="X668" i="11"/>
  <c r="X494" i="11"/>
  <c r="X588" i="11"/>
  <c r="X444" i="11"/>
  <c r="X313" i="11"/>
  <c r="X186" i="11"/>
  <c r="X224" i="11"/>
  <c r="X235" i="11"/>
  <c r="X617" i="11"/>
  <c r="X518" i="11"/>
  <c r="X163" i="11"/>
  <c r="X87" i="11"/>
  <c r="X446" i="11"/>
  <c r="X548" i="11"/>
  <c r="X616" i="11"/>
  <c r="X283" i="11"/>
  <c r="X24" i="11"/>
  <c r="X149" i="11"/>
  <c r="X314" i="11"/>
  <c r="X177" i="11"/>
  <c r="X14" i="11"/>
  <c r="X634" i="11"/>
  <c r="X30" i="11"/>
  <c r="X184" i="11"/>
  <c r="X280" i="11"/>
  <c r="X386" i="11"/>
  <c r="X333" i="11"/>
  <c r="X605" i="11"/>
  <c r="X64" i="11"/>
  <c r="X81" i="11"/>
  <c r="X21" i="11"/>
  <c r="X83" i="11"/>
  <c r="X628" i="11"/>
  <c r="X232" i="11"/>
  <c r="X570" i="11"/>
  <c r="X152" i="11"/>
  <c r="X526" i="11"/>
  <c r="X618" i="11"/>
  <c r="X484" i="11"/>
  <c r="X354" i="11"/>
  <c r="X167" i="11"/>
  <c r="X246" i="11"/>
  <c r="X530" i="11"/>
  <c r="X279" i="11"/>
  <c r="X625" i="11"/>
  <c r="X109" i="11"/>
  <c r="X82" i="11"/>
  <c r="X664" i="11"/>
  <c r="X476" i="11"/>
  <c r="X662" i="11"/>
  <c r="X79" i="11"/>
  <c r="X50" i="11"/>
  <c r="X17" i="11"/>
  <c r="X47" i="11"/>
  <c r="X267" i="11"/>
  <c r="X200" i="11"/>
  <c r="X318" i="11"/>
  <c r="X400" i="11"/>
  <c r="X125" i="11"/>
  <c r="X387" i="11"/>
  <c r="X121" i="11"/>
  <c r="X409" i="11"/>
  <c r="X242" i="11"/>
  <c r="X165" i="11"/>
  <c r="X199" i="11"/>
  <c r="X187" i="11"/>
  <c r="X374" i="11"/>
  <c r="X210" i="11"/>
  <c r="X334" i="11"/>
  <c r="X399" i="11"/>
  <c r="X51" i="11"/>
  <c r="X74" i="11"/>
  <c r="X171" i="11"/>
  <c r="X85" i="11"/>
  <c r="X57" i="11"/>
  <c r="X297" i="11"/>
  <c r="X603" i="11"/>
  <c r="X396" i="11"/>
  <c r="X648" i="11"/>
  <c r="X77" i="11"/>
  <c r="X495" i="11"/>
  <c r="X601" i="11"/>
  <c r="X651" i="11"/>
  <c r="X32" i="11"/>
  <c r="X670" i="11"/>
  <c r="X579" i="11"/>
  <c r="X497" i="11"/>
  <c r="X299" i="11"/>
  <c r="X514" i="11"/>
  <c r="X62" i="11"/>
  <c r="X234" i="11"/>
  <c r="X382" i="11"/>
  <c r="X212" i="11"/>
  <c r="X262" i="11"/>
  <c r="X338" i="11"/>
  <c r="X599" i="11"/>
  <c r="X348" i="11"/>
  <c r="X360" i="11"/>
  <c r="X622" i="11"/>
  <c r="X340" i="11"/>
  <c r="X600" i="11"/>
  <c r="X388" i="11"/>
  <c r="X231" i="11"/>
  <c r="X312" i="11"/>
  <c r="X306" i="11"/>
  <c r="X106" i="11"/>
  <c r="X173" i="11"/>
  <c r="X90" i="11"/>
  <c r="X65" i="11"/>
  <c r="X452" i="11"/>
  <c r="X332" i="11"/>
  <c r="X383" i="11"/>
  <c r="X423" i="11"/>
  <c r="X500" i="11"/>
  <c r="X522" i="11"/>
  <c r="X627" i="11"/>
  <c r="X420" i="11"/>
  <c r="X305" i="11"/>
  <c r="X142" i="11"/>
  <c r="X478" i="11"/>
  <c r="X115" i="11"/>
  <c r="X368" i="11"/>
  <c r="X372" i="11"/>
  <c r="X188" i="11"/>
  <c r="X116" i="11"/>
  <c r="X209" i="11"/>
  <c r="X349" i="11"/>
  <c r="X505" i="11"/>
  <c r="X220" i="11"/>
  <c r="X641" i="11"/>
  <c r="X215" i="11"/>
  <c r="X531" i="11"/>
  <c r="X100" i="11"/>
  <c r="X185" i="11"/>
  <c r="X20" i="11"/>
  <c r="X370" i="11"/>
  <c r="X111" i="11"/>
  <c r="X25" i="11"/>
  <c r="X237" i="11"/>
  <c r="X415" i="11"/>
  <c r="X49" i="11"/>
  <c r="X351" i="11"/>
  <c r="X281" i="11"/>
  <c r="X214" i="11"/>
  <c r="X639" i="11"/>
  <c r="X587" i="11"/>
  <c r="X263" i="11"/>
  <c r="X369" i="11"/>
  <c r="X53" i="11"/>
  <c r="X156" i="11"/>
  <c r="X266" i="11"/>
  <c r="X123" i="11"/>
  <c r="X120" i="11"/>
  <c r="X413" i="11"/>
  <c r="X329" i="11"/>
  <c r="X380" i="11"/>
  <c r="X555" i="11"/>
  <c r="X70" i="11"/>
  <c r="X45" i="11"/>
  <c r="X183" i="11"/>
  <c r="X35" i="11"/>
  <c r="X33" i="11"/>
  <c r="X88" i="11"/>
  <c r="X442" i="11"/>
  <c r="X586" i="11"/>
  <c r="X594" i="11"/>
  <c r="X136" i="11"/>
  <c r="X547" i="11"/>
  <c r="X67" i="11"/>
  <c r="X347" i="11"/>
  <c r="X86" i="11"/>
  <c r="X245" i="11"/>
  <c r="X36" i="11"/>
  <c r="X140" i="11"/>
  <c r="X647" i="11"/>
  <c r="X672" i="11"/>
  <c r="X528" i="11"/>
  <c r="X154" i="11"/>
  <c r="X585" i="11"/>
  <c r="X564" i="11"/>
  <c r="X376" i="11"/>
  <c r="X76" i="11"/>
  <c r="X274" i="11"/>
  <c r="X118" i="11"/>
  <c r="X657" i="11"/>
  <c r="X431" i="11"/>
  <c r="X539" i="11"/>
  <c r="X127" i="11"/>
  <c r="X288" i="11"/>
  <c r="X606" i="11"/>
  <c r="X147" i="11"/>
  <c r="X630" i="11"/>
  <c r="X613" i="11"/>
  <c r="X356" i="11"/>
  <c r="X535" i="11"/>
  <c r="X581" i="11"/>
  <c r="X597" i="11"/>
  <c r="X468" i="11"/>
  <c r="X128" i="11"/>
  <c r="X259" i="11"/>
  <c r="X604" i="11"/>
  <c r="X371" i="11"/>
  <c r="X255" i="11"/>
  <c r="X654" i="11"/>
  <c r="X682" i="11"/>
  <c r="X619" i="11"/>
  <c r="X41" i="11"/>
  <c r="X222" i="11"/>
  <c r="X260" i="11"/>
  <c r="X44" i="11"/>
  <c r="X217" i="11"/>
  <c r="X366" i="11"/>
  <c r="X223" i="11"/>
  <c r="X130" i="11"/>
  <c r="X94" i="11"/>
  <c r="X201" i="11"/>
  <c r="X459" i="11"/>
  <c r="X578" i="11"/>
  <c r="X650" i="11"/>
  <c r="X363" i="11"/>
  <c r="X436" i="11"/>
  <c r="X375" i="11"/>
  <c r="X40" i="11"/>
  <c r="X326" i="11"/>
  <c r="X499" i="11"/>
  <c r="X16" i="11"/>
  <c r="X408" i="11"/>
  <c r="X61" i="11"/>
  <c r="X426" i="11"/>
  <c r="X58" i="11"/>
  <c r="X377" i="11"/>
  <c r="X28" i="11"/>
  <c r="X55" i="11"/>
  <c r="X99" i="11"/>
  <c r="X575" i="11"/>
  <c r="X168" i="11"/>
  <c r="X482" i="11"/>
  <c r="X607" i="11"/>
  <c r="X31" i="11"/>
  <c r="X194" i="11"/>
  <c r="X181" i="11"/>
  <c r="X501" i="11"/>
  <c r="X243" i="11"/>
  <c r="X302" i="11"/>
  <c r="X341" i="11"/>
  <c r="X139" i="11"/>
  <c r="X453" i="11"/>
  <c r="X206" i="11"/>
  <c r="X175" i="11"/>
  <c r="X467" i="11"/>
  <c r="X240" i="11"/>
  <c r="X95" i="11"/>
  <c r="X14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<sst xmlns="http://schemas.openxmlformats.org/spreadsheetml/2006/main" count="17698" uniqueCount="8884">
  <si>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</si>
  <si>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</si>
  <si>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</si>
  <si>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</si>
  <si>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</si>
  <si>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</si>
  <si>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</si>
  <si>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</si>
  <si>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</si>
  <si>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</si>
  <si>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</si>
  <si>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</si>
  <si>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</si>
  <si>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</si>
  <si>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</si>
  <si>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</si>
  <si>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</si>
  <si>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</si>
  <si>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</si>
  <si>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</si>
  <si>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</si>
  <si>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</si>
  <si>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</si>
  <si>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</si>
  <si>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</si>
  <si>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</si>
  <si>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</si>
  <si>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</si>
  <si>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</si>
  <si>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</si>
  <si>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</si>
  <si>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</si>
  <si>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</si>
  <si>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</si>
  <si>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</si>
  <si>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</si>
  <si>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</si>
  <si>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</si>
  <si>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</si>
  <si>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</si>
  <si>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</si>
  <si>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</si>
  <si>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</si>
  <si>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</si>
  <si>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</si>
  <si>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</si>
  <si>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</si>
  <si>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</si>
  <si>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</si>
  <si>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</si>
  <si>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</si>
  <si>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</si>
  <si>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</si>
  <si>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</si>
  <si>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</si>
  <si>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</si>
  <si>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</si>
  <si>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</si>
  <si>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</si>
  <si>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</si>
  <si>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</si>
  <si>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</si>
  <si>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</si>
  <si>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</si>
  <si>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</si>
  <si>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</si>
  <si>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</si>
  <si>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</si>
  <si>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</si>
  <si>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</si>
  <si>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</si>
  <si>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</si>
  <si>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</si>
  <si>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</si>
  <si>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</si>
  <si>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</si>
  <si>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</si>
  <si>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</si>
  <si>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</si>
  <si>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</si>
  <si>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</si>
  <si>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</si>
  <si>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</si>
  <si>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</si>
  <si>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</si>
  <si>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</si>
  <si>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</si>
  <si>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</si>
  <si>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</si>
  <si>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</si>
  <si>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</si>
  <si>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</si>
  <si>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</si>
  <si>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</si>
  <si>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</si>
  <si>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</si>
  <si>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</si>
  <si>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</si>
  <si>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</si>
  <si>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</si>
  <si>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</si>
  <si>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</si>
  <si>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</si>
  <si>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</si>
  <si>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</si>
  <si>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</si>
  <si>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</si>
  <si>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</si>
  <si>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</si>
  <si>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</si>
  <si>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</si>
  <si>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</si>
  <si>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</si>
  <si>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</si>
  <si>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</si>
  <si>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</si>
  <si>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</si>
  <si>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</si>
  <si>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</si>
  <si>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</si>
  <si>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</si>
  <si>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</si>
  <si>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</si>
  <si>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</si>
  <si>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</si>
  <si>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</si>
  <si>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</si>
  <si>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</si>
  <si>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</si>
  <si>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</si>
  <si>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</si>
  <si>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</si>
  <si>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</si>
  <si>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</si>
  <si>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</si>
  <si>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</si>
  <si>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</si>
  <si>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</si>
  <si>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</si>
  <si>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</si>
  <si>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</si>
  <si>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</si>
  <si>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</si>
  <si>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</si>
  <si>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</si>
  <si>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</si>
  <si>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</si>
  <si>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</si>
  <si>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</si>
  <si>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</si>
  <si>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</si>
  <si>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</si>
  <si>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</si>
  <si>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</si>
  <si>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</si>
  <si>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</si>
  <si>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</si>
  <si>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</si>
  <si>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</si>
  <si>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</si>
  <si>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</si>
  <si>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</si>
  <si>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</si>
  <si>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</si>
  <si>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</si>
  <si>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</si>
  <si>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</si>
  <si>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</si>
  <si>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</si>
  <si>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</si>
  <si>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</si>
  <si>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</si>
  <si>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</si>
  <si>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</si>
  <si>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</si>
  <si>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</si>
  <si>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</si>
  <si>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</si>
  <si>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</si>
  <si>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</si>
  <si>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</si>
  <si>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</si>
  <si>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</si>
  <si>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</si>
  <si>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</si>
  <si>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</si>
  <si>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</si>
  <si>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</si>
  <si>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</si>
  <si>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</si>
  <si>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</si>
  <si>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</si>
  <si>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</si>
  <si>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</si>
  <si>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</si>
  <si>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</si>
  <si>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</si>
  <si>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</si>
  <si>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</si>
  <si>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</si>
  <si>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</si>
  <si>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</si>
  <si>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</si>
  <si>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</si>
  <si>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</si>
  <si>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</si>
  <si>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</si>
  <si>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</si>
  <si>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</si>
  <si>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</si>
  <si>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</si>
  <si>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</si>
  <si>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</si>
  <si>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</si>
  <si>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</si>
  <si>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</si>
  <si>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</si>
  <si>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</si>
  <si>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</si>
  <si>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</si>
  <si>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</si>
  <si>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</si>
  <si>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</si>
  <si>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</si>
  <si>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</si>
  <si>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</si>
  <si>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</si>
  <si>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</si>
  <si>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</si>
  <si>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</si>
  <si>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</si>
  <si>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</si>
  <si>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</si>
  <si>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</si>
  <si>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</si>
  <si>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</si>
  <si>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</si>
  <si>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</si>
  <si>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</si>
  <si>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</si>
  <si>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</si>
  <si>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</si>
  <si>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</si>
  <si>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</si>
  <si>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</si>
  <si>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</si>
  <si>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</si>
  <si>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</si>
  <si>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</si>
  <si>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</si>
  <si>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</si>
  <si>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</si>
  <si>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</si>
  <si>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</si>
  <si>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</si>
  <si>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</si>
  <si>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</si>
  <si>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</si>
  <si>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</si>
  <si>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</si>
  <si>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</si>
  <si>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</si>
  <si>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</si>
  <si>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</si>
  <si>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</si>
  <si>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</si>
  <si>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</si>
  <si>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</si>
  <si>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</si>
  <si>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</si>
  <si>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</si>
  <si>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</si>
  <si>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</si>
  <si>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</si>
  <si>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</si>
  <si>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</si>
  <si>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</si>
  <si>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</si>
  <si>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</si>
  <si>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</si>
  <si>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</si>
  <si>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</si>
  <si>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</si>
  <si>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</si>
  <si>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</si>
  <si>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</si>
  <si>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</si>
  <si>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</si>
  <si>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</si>
  <si>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</si>
  <si>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</si>
  <si>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</si>
  <si>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</si>
  <si>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</si>
  <si>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</si>
  <si>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</si>
  <si>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</si>
  <si>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</si>
  <si>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</si>
  <si>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</si>
  <si>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</si>
  <si>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</si>
  <si>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</si>
  <si>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</si>
  <si>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</si>
  <si>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</si>
  <si>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</si>
  <si>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</si>
  <si>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</si>
  <si>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</si>
  <si>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</si>
  <si>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</si>
  <si>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</si>
  <si>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</si>
  <si>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</si>
  <si>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</si>
  <si>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</si>
  <si>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</si>
  <si>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</si>
  <si>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</si>
  <si>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</si>
  <si>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</si>
  <si>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</si>
  <si>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</si>
  <si>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</si>
  <si>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</si>
  <si>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</si>
  <si>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</si>
  <si>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</si>
  <si>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</si>
  <si>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</si>
  <si>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</si>
  <si>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</si>
  <si>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</si>
  <si>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</si>
  <si>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</si>
  <si>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</si>
  <si>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</si>
  <si>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</si>
  <si>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</si>
  <si>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</si>
  <si>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</si>
  <si>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</si>
  <si>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</si>
  <si>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</si>
  <si>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</si>
  <si>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</si>
  <si>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</si>
  <si>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</si>
  <si>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</si>
  <si>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</si>
  <si>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</si>
  <si>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</si>
  <si>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</si>
  <si>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</si>
  <si>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</si>
  <si>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</si>
  <si>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</si>
  <si>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</si>
  <si>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</si>
  <si>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</si>
  <si>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</si>
  <si>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</si>
  <si>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</si>
  <si>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</si>
  <si>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</si>
  <si>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</si>
  <si>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</si>
  <si>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</si>
  <si>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</si>
  <si>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</si>
  <si>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</si>
  <si>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</si>
  <si>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</si>
  <si>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</si>
  <si>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</si>
  <si>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</si>
  <si>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</si>
  <si>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</si>
  <si>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</si>
  <si>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</si>
  <si>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</si>
  <si>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</si>
  <si>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</si>
  <si>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</si>
  <si>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</si>
  <si>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</si>
  <si>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</si>
  <si>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</si>
  <si>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</si>
  <si>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</si>
  <si>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</si>
  <si>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</si>
  <si>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</si>
  <si>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</si>
  <si>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</si>
  <si>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</si>
  <si>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</si>
  <si>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</si>
  <si>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</si>
  <si>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</si>
  <si>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</si>
  <si>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</si>
  <si>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</si>
  <si>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</si>
  <si>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</si>
  <si>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</si>
  <si>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</si>
  <si>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</si>
  <si>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</si>
  <si>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</si>
  <si>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</si>
  <si>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</si>
  <si>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</si>
  <si>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</si>
  <si>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</si>
  <si>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</si>
  <si>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</si>
  <si>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</si>
  <si>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</si>
  <si>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</si>
  <si>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</si>
  <si>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</si>
  <si>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</si>
  <si>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</si>
  <si>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</si>
  <si>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</si>
  <si>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</si>
  <si>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</si>
  <si>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</si>
  <si>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</si>
  <si>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</si>
  <si>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</si>
  <si>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</si>
  <si>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</si>
  <si>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</si>
  <si>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</si>
  <si>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</si>
  <si>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</si>
  <si>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</si>
  <si>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</si>
  <si>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</si>
  <si>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</si>
  <si>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</si>
  <si>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</si>
  <si>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</si>
  <si>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</si>
  <si>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</si>
  <si>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</si>
  <si>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</si>
  <si>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</si>
  <si>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</si>
  <si>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</si>
  <si>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</si>
  <si>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</si>
  <si>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</si>
  <si>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</si>
  <si>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</si>
  <si>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</si>
  <si>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</si>
  <si>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</si>
  <si>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</si>
  <si>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</si>
  <si>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</si>
  <si>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</si>
  <si>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</si>
  <si>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</si>
  <si>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</si>
  <si>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</si>
  <si>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</si>
  <si>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</si>
  <si>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</si>
  <si>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</si>
  <si>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</si>
  <si>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</si>
  <si>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</si>
  <si>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</si>
  <si>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</si>
  <si>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</si>
  <si>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</si>
  <si>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</si>
  <si>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</si>
  <si>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</si>
  <si>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</si>
  <si>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</si>
  <si>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</si>
  <si>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</si>
  <si>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</si>
  <si>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</si>
  <si>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</si>
  <si>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</si>
  <si>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</si>
  <si>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</si>
  <si>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</si>
  <si>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</si>
  <si>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</si>
  <si>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</si>
  <si>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</si>
  <si>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</si>
  <si>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</si>
  <si>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</si>
  <si>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</si>
  <si>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</si>
  <si>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</si>
  <si>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</si>
  <si>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</si>
  <si>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</si>
  <si>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</si>
  <si>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</si>
  <si>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</si>
  <si>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</si>
  <si>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</si>
  <si>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</si>
  <si>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</si>
  <si>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</si>
  <si>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</si>
  <si>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</si>
  <si>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</si>
  <si>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</si>
  <si>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</si>
  <si>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</si>
  <si>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</si>
  <si>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</si>
  <si>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</si>
  <si>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</si>
  <si>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</si>
  <si>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</si>
  <si>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</si>
  <si>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</si>
  <si>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</si>
  <si>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</si>
  <si>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</si>
  <si>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</si>
  <si>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</si>
  <si>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</si>
  <si>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</si>
  <si>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</si>
  <si>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</si>
  <si>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</si>
  <si>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</si>
  <si>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</si>
  <si>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</si>
  <si>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</si>
  <si>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</si>
  <si>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</si>
  <si>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</si>
  <si>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</si>
  <si>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</si>
  <si>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</si>
  <si>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</si>
  <si>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</si>
  <si>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</si>
  <si>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</si>
  <si>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</si>
  <si>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</si>
  <si>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</si>
  <si>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</si>
  <si>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</si>
  <si>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</si>
  <si>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</si>
  <si>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</si>
  <si>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</si>
  <si>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</si>
  <si>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</si>
  <si>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</si>
  <si>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</si>
  <si>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</si>
  <si>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</si>
  <si>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</si>
  <si>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</si>
  <si>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</si>
  <si>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</si>
  <si>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</si>
  <si>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</si>
  <si>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</si>
  <si>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</si>
  <si>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</si>
  <si>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</si>
  <si>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</si>
  <si>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</si>
  <si>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</si>
  <si>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</si>
  <si>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</si>
  <si>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</si>
  <si>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</si>
  <si>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</si>
  <si>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</si>
  <si>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</si>
  <si>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</si>
  <si>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</si>
  <si>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</si>
  <si>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</si>
  <si>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</si>
  <si>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</si>
  <si>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</si>
  <si>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</si>
  <si>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</si>
  <si>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</si>
  <si>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</si>
  <si>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</si>
  <si>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</si>
  <si>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</si>
  <si>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</si>
  <si>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</si>
  <si>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</si>
  <si>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</si>
  <si>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</si>
  <si>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</si>
  <si>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</si>
  <si>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</si>
  <si>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</si>
  <si>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</si>
  <si>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</si>
  <si>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</si>
  <si>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</si>
  <si>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</si>
  <si>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</si>
  <si>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</si>
  <si>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</si>
  <si>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</si>
  <si>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</si>
  <si>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</si>
  <si>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</si>
  <si>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</si>
  <si>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</si>
  <si>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</si>
  <si>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</si>
  <si>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</si>
  <si>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</si>
  <si>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</si>
  <si>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</si>
  <si>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</si>
  <si>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</si>
  <si>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</si>
  <si>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</si>
  <si>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</si>
  <si>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</si>
  <si>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</si>
  <si>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</si>
  <si>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</si>
  <si>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</si>
  <si>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</si>
  <si>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</si>
  <si>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</si>
  <si>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</si>
  <si>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</si>
  <si>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</si>
  <si>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</si>
  <si>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</si>
  <si>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</si>
  <si>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</si>
  <si>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</si>
  <si>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</si>
  <si>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</si>
  <si>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</si>
  <si>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</si>
  <si>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</si>
  <si>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</si>
  <si>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</si>
  <si>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</si>
  <si>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</si>
  <si>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</si>
  <si>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</si>
  <si>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</si>
  <si>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</si>
  <si>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</si>
  <si>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</si>
  <si>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</si>
  <si>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</si>
  <si>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</si>
  <si>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</si>
  <si>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</si>
  <si>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</si>
  <si>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</si>
  <si>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</si>
  <si>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</si>
  <si>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</si>
  <si>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</si>
  <si>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</si>
  <si>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</si>
  <si>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</si>
  <si>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</si>
  <si>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</si>
  <si>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</si>
  <si>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</si>
  <si>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</si>
  <si>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</si>
  <si>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</si>
  <si>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</si>
  <si>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</si>
  <si>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</si>
  <si>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</si>
  <si>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</si>
  <si>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</si>
  <si>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</si>
  <si>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</si>
  <si>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</si>
  <si>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</si>
  <si>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</si>
  <si>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</si>
  <si>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</si>
  <si>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</si>
  <si>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</si>
  <si>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</si>
  <si>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</si>
  <si>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</si>
  <si>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</si>
  <si>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</si>
  <si>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</si>
  <si>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</si>
  <si>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</si>
  <si>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</si>
  <si>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</si>
  <si>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</si>
  <si>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</si>
  <si>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</si>
  <si>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</si>
  <si>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</si>
  <si>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</si>
  <si>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</si>
  <si>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</si>
  <si>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</si>
  <si>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</si>
  <si>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</si>
  <si>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</si>
  <si>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</si>
  <si>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</si>
  <si>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</si>
  <si>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</si>
  <si>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</si>
  <si>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</si>
  <si>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</si>
  <si>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</si>
  <si>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</si>
  <si>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</si>
  <si>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</si>
  <si>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</si>
  <si>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</si>
  <si>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</si>
  <si>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</si>
  <si>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</si>
  <si>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</si>
  <si>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</si>
  <si>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</si>
  <si>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</si>
  <si>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</si>
  <si>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</si>
  <si>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</si>
  <si>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</si>
  <si>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</si>
  <si>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</si>
  <si>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</si>
  <si>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</si>
  <si>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</si>
  <si>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</si>
  <si>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</si>
  <si>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</si>
  <si>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</si>
  <si>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</si>
  <si>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</si>
  <si>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</si>
  <si>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</si>
  <si>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</si>
  <si>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</si>
  <si>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</si>
  <si>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</si>
  <si>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</si>
  <si>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</si>
  <si>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</si>
  <si>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</si>
  <si>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</si>
  <si>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</si>
  <si>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</si>
  <si>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</si>
  <si>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</si>
  <si>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</si>
  <si>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</si>
  <si>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</si>
  <si>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</si>
  <si>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</si>
  <si>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</si>
  <si>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</si>
  <si>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</si>
  <si>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</si>
  <si>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</si>
  <si>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</si>
  <si>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</si>
  <si>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</si>
  <si>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</si>
  <si>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</si>
  <si>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</si>
  <si>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</si>
  <si>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</si>
  <si>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</si>
  <si>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</si>
  <si>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</si>
  <si>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</si>
  <si>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</si>
  <si>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</si>
  <si>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</si>
  <si>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</si>
  <si>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</si>
  <si>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</si>
  <si>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</si>
  <si>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</si>
  <si>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</si>
  <si>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</si>
  <si>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</si>
  <si>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</si>
  <si>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</si>
  <si>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</si>
  <si>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</si>
  <si>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</si>
  <si>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</si>
  <si>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</si>
  <si>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</si>
  <si>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</si>
  <si>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</si>
  <si>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</si>
  <si>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</si>
  <si>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</si>
  <si>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</si>
  <si>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</si>
  <si>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</si>
  <si>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</si>
  <si>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</si>
  <si>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</si>
  <si>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</si>
  <si>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</si>
  <si>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</si>
  <si>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</si>
  <si>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</si>
  <si>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</si>
  <si>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</si>
  <si>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</si>
  <si>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</si>
  <si>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</si>
  <si>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</si>
  <si>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</si>
  <si>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</si>
  <si>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</si>
  <si>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</si>
  <si>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</si>
  <si>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</si>
  <si>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</si>
  <si>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</si>
  <si>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</si>
  <si>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</si>
  <si>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</si>
  <si>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</si>
  <si>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</si>
  <si>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</si>
  <si>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</si>
  <si>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</si>
  <si>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</si>
  <si>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</si>
  <si>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</si>
  <si>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</si>
  <si>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</si>
  <si>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</si>
  <si>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</si>
  <si>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</si>
  <si>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</si>
  <si>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</si>
  <si>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</si>
  <si>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</si>
  <si>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</si>
  <si>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</si>
  <si>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</si>
  <si>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</si>
  <si>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</si>
  <si>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</si>
  <si>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</si>
  <si>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</si>
  <si>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</si>
  <si>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</si>
  <si>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</si>
  <si>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</si>
  <si>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</si>
  <si>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</si>
  <si>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</si>
  <si>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</si>
  <si>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</si>
  <si>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</si>
  <si>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</si>
  <si>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</si>
  <si>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</si>
  <si>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</si>
  <si>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</si>
  <si>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</si>
  <si>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</si>
  <si>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</si>
  <si>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</si>
  <si>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</si>
  <si>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</si>
  <si>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</si>
  <si>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</si>
  <si>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</si>
  <si>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</si>
  <si>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</si>
  <si>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</si>
  <si>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</si>
  <si>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</si>
  <si>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</si>
  <si>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</si>
  <si>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</si>
  <si>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</si>
  <si>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</si>
  <si>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</si>
  <si>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</si>
  <si>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</si>
  <si>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</si>
  <si>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</si>
  <si>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</si>
  <si>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</si>
  <si>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</si>
  <si>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</si>
  <si>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</si>
  <si>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</si>
  <si>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</si>
  <si>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</si>
  <si>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</si>
  <si>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</si>
  <si>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</si>
  <si>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</si>
  <si>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</si>
  <si>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</si>
  <si>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</si>
  <si>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</si>
  <si>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</si>
  <si>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</si>
  <si>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</si>
  <si>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</si>
  <si>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</si>
  <si>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</si>
  <si>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</si>
  <si>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</si>
  <si>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</si>
  <si>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</si>
  <si>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</si>
  <si>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</si>
  <si>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</si>
  <si>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</si>
  <si>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</si>
  <si>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</si>
  <si>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</si>
  <si>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</si>
  <si>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</si>
  <si>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</si>
  <si>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</si>
  <si>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</si>
  <si>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</si>
  <si>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</si>
  <si>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</si>
  <si>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</si>
  <si>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</si>
  <si>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</si>
  <si>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</si>
  <si>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</si>
  <si>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</si>
  <si>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</si>
  <si>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</si>
  <si>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</si>
  <si>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</si>
  <si>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</si>
  <si>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</si>
  <si>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</si>
  <si>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</si>
  <si>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</si>
  <si>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</si>
  <si>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</si>
  <si>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</si>
  <si>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</si>
  <si>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</si>
  <si>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</si>
  <si>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</si>
  <si>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</si>
  <si>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</si>
  <si>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</si>
  <si>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</si>
  <si>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</si>
  <si>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</si>
  <si>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</si>
  <si>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</si>
  <si>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</si>
  <si>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</si>
  <si>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</si>
  <si>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</si>
  <si>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</si>
  <si>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</si>
  <si>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</si>
  <si>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</si>
  <si>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</si>
  <si>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</si>
  <si>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</si>
  <si>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</si>
  <si>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</si>
  <si>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</si>
  <si>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</si>
  <si>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</si>
  <si>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</si>
  <si>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</si>
  <si>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</si>
  <si>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</si>
  <si>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</si>
  <si>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</si>
  <si>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</si>
  <si>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</si>
  <si>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</si>
  <si>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</si>
  <si>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</si>
  <si>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</si>
  <si>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</si>
  <si>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</si>
  <si>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</si>
  <si>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</si>
  <si>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</si>
  <si>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</si>
  <si>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</si>
  <si>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</si>
  <si>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</si>
  <si>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</si>
  <si>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</si>
  <si>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</si>
  <si>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</si>
  <si>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</si>
  <si>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</si>
  <si>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</si>
  <si>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</si>
  <si>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</si>
  <si>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</si>
  <si>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</si>
  <si>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</si>
  <si>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</si>
  <si>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</si>
  <si>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</si>
  <si>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</si>
  <si>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</si>
  <si>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</si>
  <si>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</si>
  <si>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</si>
  <si>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</si>
  <si>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</si>
  <si>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</si>
  <si>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</si>
  <si>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</si>
  <si>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</si>
  <si>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</si>
  <si>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</si>
  <si>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</si>
  <si>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</si>
  <si>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</si>
  <si>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</si>
  <si>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</si>
  <si>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</si>
  <si>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</si>
  <si>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</si>
  <si>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</si>
  <si>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</si>
  <si>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</si>
  <si>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</si>
  <si>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</si>
  <si>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</si>
  <si>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</si>
  <si>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</si>
  <si>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</si>
  <si>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</si>
  <si>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</si>
  <si>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</si>
  <si>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</si>
  <si>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</si>
  <si>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</si>
  <si>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</si>
  <si>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</si>
  <si>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</si>
  <si>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</si>
  <si>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</si>
  <si>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</si>
  <si>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</si>
  <si>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</si>
  <si>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</si>
  <si>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</si>
  <si>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</si>
  <si>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</si>
  <si>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</si>
  <si>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</si>
  <si>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</si>
  <si>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</si>
  <si>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</si>
  <si>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</si>
  <si>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</si>
  <si>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</si>
  <si>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</si>
  <si>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</si>
  <si>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</si>
  <si>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</si>
  <si>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</si>
  <si>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</si>
  <si>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</si>
  <si>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</si>
  <si>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</si>
  <si>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</si>
  <si>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</si>
  <si>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</si>
  <si>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</si>
  <si>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</si>
  <si>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</si>
  <si>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</si>
  <si>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</si>
  <si>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</si>
  <si>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</si>
  <si>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</si>
  <si>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</si>
  <si>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</si>
  <si>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</si>
  <si>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</si>
  <si>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</si>
  <si>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</si>
  <si>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</si>
  <si>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</si>
  <si>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</si>
  <si>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</si>
  <si>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</si>
  <si>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</si>
  <si>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</si>
  <si>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</si>
  <si>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</si>
  <si>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</si>
  <si>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</si>
  <si>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</si>
  <si>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</si>
  <si>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</si>
  <si>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</si>
  <si>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</si>
  <si>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</si>
  <si>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</si>
  <si>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</si>
  <si>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</si>
  <si>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</si>
  <si>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</si>
  <si>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</si>
  <si>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</si>
  <si>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</si>
  <si>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</si>
  <si>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</si>
  <si>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</si>
  <si>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</si>
  <si>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</si>
  <si>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</si>
  <si>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</si>
  <si>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</si>
  <si>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</si>
  <si>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</si>
  <si>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</si>
  <si>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</si>
  <si>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</si>
  <si>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</si>
  <si>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</si>
  <si>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</si>
  <si>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</si>
  <si>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</si>
  <si>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</si>
  <si>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</si>
  <si>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</si>
  <si>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</si>
  <si>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</si>
  <si>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</si>
  <si>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</si>
  <si>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</si>
  <si>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</si>
  <si>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</si>
  <si>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</si>
  <si>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</si>
  <si>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</si>
  <si>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</si>
  <si>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</si>
  <si>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</si>
  <si>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</si>
  <si>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</si>
  <si>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</si>
  <si>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</si>
  <si>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</si>
  <si>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</si>
  <si>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</si>
  <si>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</si>
  <si>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</si>
  <si>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</si>
  <si>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</si>
  <si>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</si>
  <si>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</si>
  <si>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</si>
  <si>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</si>
  <si>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</si>
  <si>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</si>
  <si>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</si>
  <si>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</si>
  <si>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</si>
  <si>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</si>
  <si>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</si>
  <si>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</si>
  <si>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</si>
  <si>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</si>
  <si>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</si>
  <si>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</si>
  <si>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</si>
  <si>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</si>
  <si>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</si>
  <si>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</si>
  <si>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</si>
  <si>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</si>
  <si>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</si>
  <si>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</si>
  <si>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</si>
  <si>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</si>
  <si>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</si>
  <si>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</si>
  <si>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</si>
  <si>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</si>
  <si>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</si>
  <si>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</si>
  <si>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</si>
  <si>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</si>
  <si>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</si>
  <si>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</si>
  <si>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</si>
  <si>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</si>
  <si>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</si>
  <si>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</si>
  <si>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</si>
  <si>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</si>
  <si>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</si>
  <si>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</si>
  <si>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</si>
  <si>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</si>
  <si>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</si>
  <si>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</si>
  <si>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</si>
  <si>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</si>
  <si>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</si>
  <si>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</si>
  <si>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</si>
  <si>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</si>
  <si>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</si>
  <si>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</si>
  <si>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</si>
  <si>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</si>
  <si>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</si>
  <si>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</si>
  <si>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</si>
  <si>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</si>
  <si>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</si>
  <si>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</si>
  <si>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</si>
  <si>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</si>
  <si>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</si>
  <si>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</si>
  <si>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</si>
  <si>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</si>
  <si>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</si>
  <si>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</si>
  <si>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</si>
  <si>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</si>
  <si>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</si>
  <si>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</si>
  <si>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</si>
  <si>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</si>
  <si>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</si>
  <si>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</si>
  <si>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</si>
  <si>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</si>
  <si>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</si>
  <si>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</si>
  <si>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</si>
  <si>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</si>
  <si>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</si>
  <si>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</si>
  <si>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</si>
  <si>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</si>
  <si>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</si>
  <si>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</si>
  <si>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</si>
  <si>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</si>
  <si>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</si>
  <si>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</si>
  <si>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</si>
  <si>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</si>
  <si>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</si>
  <si>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</si>
  <si>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</si>
  <si>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</si>
  <si>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</si>
  <si>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</si>
  <si>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</si>
  <si>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</si>
  <si>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</si>
  <si>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</si>
  <si>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</si>
  <si>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</si>
  <si>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</si>
  <si>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</si>
  <si>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</si>
  <si>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</si>
  <si>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</si>
  <si>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</si>
  <si>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</si>
  <si>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</si>
  <si>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</si>
  <si>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</si>
  <si>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</si>
  <si>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</si>
  <si>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</si>
  <si>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</si>
  <si>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</si>
  <si>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</si>
  <si>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</si>
  <si>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</si>
  <si>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</si>
  <si>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</si>
  <si>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</si>
  <si>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</si>
  <si>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</si>
  <si>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</si>
  <si>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</si>
  <si>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</si>
  <si>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</si>
  <si>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</si>
  <si>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</si>
  <si>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</si>
  <si>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</si>
  <si>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</si>
  <si>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</si>
  <si>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</si>
  <si>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</si>
  <si>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</si>
  <si>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</si>
  <si>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</si>
  <si>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</si>
  <si>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</si>
  <si>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</si>
  <si>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</si>
  <si>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</si>
  <si>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</si>
  <si>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</si>
  <si>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</si>
  <si>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</si>
  <si>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</si>
  <si>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</si>
  <si>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</si>
  <si>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</si>
  <si>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</si>
  <si>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</si>
  <si>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</si>
  <si>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</si>
  <si>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</si>
  <si>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</si>
  <si>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</si>
  <si>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</si>
  <si>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</si>
  <si>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</si>
  <si>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</si>
  <si>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</si>
  <si>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</si>
  <si>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</si>
  <si>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</si>
  <si>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</si>
  <si>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</si>
  <si>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</si>
  <si>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</si>
  <si>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</si>
  <si>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</si>
  <si>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</si>
  <si>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</si>
  <si>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</si>
  <si>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</si>
  <si>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</si>
  <si>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</si>
  <si>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</si>
  <si>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</si>
  <si>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</si>
  <si>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</si>
  <si>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</si>
  <si>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</si>
  <si>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</si>
  <si>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</si>
  <si>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</si>
  <si>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</si>
  <si>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</si>
  <si>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</si>
  <si>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</si>
  <si>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</si>
  <si>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</si>
  <si>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</si>
  <si>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</si>
  <si>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</si>
  <si>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</si>
  <si>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</si>
  <si>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</si>
  <si>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</si>
  <si>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</si>
  <si>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</si>
  <si>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</si>
  <si>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</si>
  <si>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</si>
  <si>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</si>
  <si>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</si>
  <si>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</si>
  <si>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</si>
  <si>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</si>
  <si>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</si>
  <si>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</si>
  <si>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</si>
  <si>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</si>
  <si>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</si>
  <si>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</si>
  <si>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</si>
  <si>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</si>
  <si>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</si>
  <si>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</si>
  <si>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</si>
  <si>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</si>
  <si>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</si>
  <si>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</si>
  <si>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</si>
  <si>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</si>
  <si>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</si>
  <si>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</si>
  <si>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</si>
  <si>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</si>
  <si>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</si>
  <si>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</si>
  <si>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</si>
  <si>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</si>
  <si>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</si>
  <si>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</si>
  <si>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</si>
  <si>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</si>
  <si>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</si>
  <si>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</si>
  <si>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</si>
  <si>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</si>
  <si>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</si>
  <si>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</si>
  <si>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</si>
  <si>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</si>
  <si>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</si>
  <si>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</si>
  <si>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</si>
  <si>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</si>
  <si>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</si>
  <si>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</si>
  <si>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</si>
  <si>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</si>
  <si>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</si>
  <si>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</si>
  <si>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</si>
  <si>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</si>
  <si>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</si>
  <si>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</si>
  <si>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</si>
  <si>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</si>
  <si>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</si>
  <si>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</si>
  <si>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</si>
  <si>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</si>
  <si>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</si>
  <si>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</si>
  <si>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</si>
  <si>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</si>
  <si>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</si>
  <si>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</si>
  <si>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</si>
  <si>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</si>
  <si>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</si>
  <si>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</si>
  <si>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</si>
  <si>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</si>
  <si>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</si>
  <si>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</si>
  <si>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</si>
  <si>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</si>
  <si>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</si>
  <si>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</si>
  <si>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</si>
  <si>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</si>
  <si>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</si>
  <si>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</si>
  <si>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</si>
  <si>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</si>
  <si>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</si>
  <si>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</si>
  <si>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</si>
  <si>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</si>
  <si>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</si>
  <si>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</si>
  <si>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</si>
  <si>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</si>
  <si>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</si>
  <si>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</si>
  <si>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</si>
  <si>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</si>
  <si>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</si>
  <si>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</si>
  <si>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</si>
  <si>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</si>
  <si>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</si>
  <si>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</si>
  <si>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</si>
  <si>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</si>
  <si>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</si>
  <si>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</si>
  <si>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</si>
  <si>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</si>
  <si>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</si>
  <si>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</si>
  <si>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</si>
  <si>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</si>
  <si>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</si>
  <si>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</si>
  <si>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</si>
  <si>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</si>
  <si>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</si>
  <si>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</si>
  <si>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</si>
  <si>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</si>
  <si>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</si>
  <si>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</si>
  <si>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</si>
  <si>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</si>
  <si>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</si>
  <si>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</si>
  <si>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</si>
  <si>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</si>
  <si>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</si>
  <si>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</si>
  <si>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</si>
  <si>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</si>
  <si>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</si>
  <si>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</si>
  <si>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</si>
  <si>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</si>
  <si>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</si>
  <si>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</si>
  <si>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</si>
  <si>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</si>
  <si>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</si>
  <si>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</si>
  <si>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</si>
  <si>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</si>
  <si>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</si>
  <si>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</si>
  <si>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</si>
  <si>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</si>
  <si>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</si>
  <si>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</si>
  <si>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</si>
  <si>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</si>
  <si>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</si>
  <si>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</si>
  <si>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</si>
  <si>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</si>
  <si>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</si>
  <si>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</si>
  <si>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</si>
  <si>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</si>
  <si>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</si>
  <si>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</si>
  <si>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</si>
  <si>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</si>
  <si>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</si>
  <si>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</si>
  <si>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</si>
  <si>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</si>
  <si>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</si>
  <si>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</si>
  <si>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</si>
  <si>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</si>
  <si>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</si>
  <si>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</si>
  <si>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</si>
  <si>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</si>
  <si>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</si>
  <si>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</si>
  <si>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</si>
  <si>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</si>
  <si>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</si>
  <si>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</si>
  <si>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</si>
  <si>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</si>
  <si>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</si>
  <si>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</si>
  <si>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</si>
  <si>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</si>
  <si>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</si>
  <si>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</si>
  <si>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</si>
  <si>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</si>
  <si>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</si>
  <si>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</si>
  <si>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</si>
  <si>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</si>
  <si>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</si>
  <si>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</si>
  <si>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</si>
  <si>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</si>
  <si>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</si>
  <si>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</si>
  <si>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</si>
  <si>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</si>
  <si>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</si>
  <si>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</si>
  <si>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</si>
  <si>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</si>
  <si>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</si>
  <si>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</si>
  <si>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</si>
  <si>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</si>
  <si>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</si>
  <si>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</si>
  <si>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</si>
  <si>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</si>
  <si>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</si>
  <si>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</si>
  <si>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</si>
  <si>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</si>
  <si>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</si>
  <si>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</si>
  <si>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</si>
  <si>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</si>
  <si>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</si>
  <si>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</si>
  <si>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</si>
  <si>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</si>
  <si>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</si>
  <si>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</si>
  <si>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</si>
  <si>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</si>
  <si>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</si>
  <si>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</si>
  <si>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</si>
  <si>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</si>
  <si>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</si>
  <si>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</si>
  <si>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</si>
  <si>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</si>
  <si>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</si>
  <si>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</si>
  <si>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</si>
  <si>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</si>
  <si>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</si>
  <si>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</si>
  <si>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</si>
  <si>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</si>
  <si>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</si>
  <si>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</si>
  <si>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</si>
  <si>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</si>
  <si>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</si>
  <si>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</si>
  <si>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</si>
  <si>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</si>
  <si>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</si>
  <si>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</si>
  <si>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</si>
  <si>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</si>
  <si>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</si>
  <si>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</si>
  <si>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</si>
  <si>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</si>
  <si>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</si>
  <si>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</si>
  <si>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</si>
  <si>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</si>
  <si>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</si>
  <si>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</si>
  <si>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</si>
  <si>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</si>
  <si>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</si>
  <si>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</si>
  <si>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</si>
  <si>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</si>
  <si>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</si>
  <si>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</si>
  <si>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</si>
  <si>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</si>
  <si>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</si>
  <si>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</si>
  <si>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</si>
  <si>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</si>
  <si>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</si>
  <si>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</si>
  <si>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</si>
  <si>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</si>
  <si>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</si>
  <si>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</si>
  <si>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</si>
  <si>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</si>
  <si>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</si>
  <si>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</si>
  <si>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</si>
  <si>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</si>
  <si>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</si>
  <si>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</si>
  <si>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</si>
  <si>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</si>
  <si>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</si>
  <si>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</si>
  <si>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</si>
  <si>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</si>
  <si>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</si>
  <si>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</si>
  <si>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</si>
  <si>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</si>
  <si>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</si>
  <si>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</si>
  <si>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</si>
  <si>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</si>
  <si>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</si>
  <si>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</si>
  <si>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</si>
  <si>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</si>
  <si>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</si>
  <si>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</si>
  <si>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</si>
  <si>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</si>
  <si>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</si>
  <si>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</si>
  <si>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</si>
  <si>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</si>
  <si>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</si>
  <si>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</si>
  <si>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</si>
  <si>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</si>
  <si>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</si>
  <si>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</si>
  <si>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</si>
  <si>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</si>
  <si>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</si>
  <si>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</si>
  <si>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</si>
  <si>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</si>
  <si>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</si>
  <si>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</si>
  <si>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</si>
  <si>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</si>
  <si>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</si>
  <si>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</si>
  <si>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</si>
  <si>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</si>
  <si>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</si>
  <si>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</si>
  <si>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</si>
  <si>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</si>
  <si>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</si>
  <si>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</si>
  <si>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</si>
  <si>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</si>
  <si>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</si>
  <si>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</si>
  <si>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</si>
  <si>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</si>
  <si>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</si>
  <si>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</si>
  <si>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</si>
  <si>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</si>
  <si>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</si>
  <si>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</si>
  <si>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</si>
  <si>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</si>
  <si>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</si>
  <si>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</si>
  <si>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</si>
  <si>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</si>
  <si>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</si>
  <si>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</si>
  <si>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</si>
  <si>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</si>
  <si>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</si>
  <si>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</si>
  <si>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</si>
  <si>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</si>
  <si>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</si>
  <si>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</si>
  <si>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</si>
  <si>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</si>
  <si>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</si>
  <si>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</si>
  <si>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</si>
  <si>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</si>
  <si>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</si>
  <si>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</si>
  <si>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</si>
  <si>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</si>
  <si>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</si>
  <si>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</si>
  <si>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</si>
  <si>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</si>
  <si>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</si>
  <si>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</si>
  <si>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</si>
  <si>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</si>
  <si>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</si>
  <si>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</si>
  <si>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</si>
  <si>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</si>
  <si>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</si>
  <si>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</si>
  <si>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</si>
  <si>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</si>
  <si>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</si>
  <si>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</si>
  <si>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</si>
  <si>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</si>
  <si>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</si>
  <si>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</si>
  <si>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</si>
  <si>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</si>
  <si>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</si>
  <si>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</si>
  <si>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</si>
  <si>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</si>
  <si>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</si>
  <si>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</si>
  <si>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</si>
  <si>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</si>
  <si>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</si>
  <si>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</si>
  <si>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</si>
  <si>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</si>
  <si>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</si>
  <si>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</si>
  <si>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</si>
  <si>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</si>
  <si>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</si>
  <si>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</si>
  <si>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</si>
  <si>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</si>
  <si>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</si>
  <si>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</si>
  <si>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</si>
  <si>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</si>
  <si>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</si>
  <si>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</si>
  <si>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</si>
  <si>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</si>
  <si>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</si>
  <si>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</si>
  <si>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</si>
  <si>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</si>
  <si>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</si>
  <si>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</si>
  <si>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</si>
  <si>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</si>
  <si>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</si>
  <si>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</si>
  <si>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</si>
  <si>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</si>
  <si>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</si>
  <si>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</si>
  <si>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</si>
  <si>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</si>
  <si>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</si>
  <si>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</si>
  <si>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</si>
  <si>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</si>
  <si>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</si>
  <si>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</si>
  <si>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</si>
  <si>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</si>
  <si>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</si>
  <si>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</si>
  <si>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</si>
  <si>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</si>
  <si>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</si>
  <si>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</si>
  <si>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</si>
  <si>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</si>
  <si>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</si>
  <si>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</si>
  <si>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</si>
  <si>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</si>
  <si>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</si>
  <si>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</si>
  <si>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</si>
  <si>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</si>
  <si>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</si>
  <si>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</si>
  <si>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</si>
  <si>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</si>
  <si>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</si>
  <si>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</si>
  <si>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</si>
  <si>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</si>
  <si>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</si>
  <si>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</si>
  <si>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</si>
  <si>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</si>
  <si>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</si>
  <si>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</si>
  <si>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</si>
  <si>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</si>
  <si>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</si>
  <si>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</si>
  <si>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</si>
  <si>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</si>
  <si>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</si>
  <si>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</si>
  <si>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</si>
  <si>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</si>
  <si>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</si>
  <si>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</si>
  <si>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</si>
  <si>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</si>
  <si>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</si>
  <si>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</si>
  <si>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</si>
  <si>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</si>
  <si>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</si>
  <si>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</si>
  <si>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</si>
  <si>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</si>
  <si>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</si>
  <si>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</si>
  <si>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</si>
  <si>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</si>
  <si>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</si>
  <si>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</si>
  <si>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</si>
  <si>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</si>
  <si>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</si>
  <si>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</si>
  <si>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</si>
  <si>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</si>
  <si>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</si>
  <si>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</si>
  <si>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</si>
  <si>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</si>
  <si>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</si>
  <si>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</si>
  <si>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</si>
  <si>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</si>
  <si>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</si>
  <si>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</si>
  <si>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</si>
  <si>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</si>
  <si>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</si>
  <si>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</si>
  <si>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</si>
  <si>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</si>
  <si>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</si>
  <si>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</si>
  <si>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</si>
  <si>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</si>
  <si>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</si>
  <si>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</si>
  <si>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</si>
  <si>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</si>
  <si>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</si>
  <si>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</si>
  <si>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</si>
  <si>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</si>
  <si>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</si>
  <si>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</si>
  <si>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</si>
  <si>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</si>
  <si>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</si>
  <si>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</si>
  <si>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</si>
  <si>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</si>
  <si>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</si>
  <si>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</si>
  <si>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</si>
  <si>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</si>
  <si>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</si>
  <si>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</si>
  <si>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</si>
  <si>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</si>
  <si>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</si>
  <si>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</si>
  <si>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</si>
  <si>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</si>
  <si>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</si>
  <si>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</si>
  <si>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</si>
  <si>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</si>
  <si>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</si>
  <si>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</si>
  <si>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</si>
  <si>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</si>
  <si>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</si>
  <si>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</si>
  <si>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</si>
  <si>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</si>
  <si>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</si>
  <si>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</si>
  <si>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</si>
  <si>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</si>
  <si>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</si>
  <si>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</si>
  <si>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</si>
  <si>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</si>
  <si>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</si>
  <si>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</si>
  <si>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</si>
  <si>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</si>
  <si>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</si>
  <si>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</si>
  <si>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</si>
  <si>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</si>
  <si>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</si>
  <si>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</si>
  <si>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</si>
  <si>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</si>
  <si>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</si>
  <si>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</si>
  <si>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</si>
  <si>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</si>
  <si>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</si>
  <si>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</si>
  <si>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</si>
  <si>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</si>
  <si>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</si>
  <si>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</si>
  <si>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</si>
  <si>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</si>
  <si>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</si>
  <si>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</si>
  <si>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</si>
  <si>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</si>
  <si>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</si>
  <si>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</si>
  <si>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</si>
  <si>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</si>
  <si>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</si>
  <si>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</si>
  <si>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</si>
  <si>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</si>
  <si>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</si>
  <si>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</si>
  <si>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</si>
  <si>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</si>
  <si>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</si>
  <si>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</si>
  <si>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</si>
  <si>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</si>
  <si>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</si>
  <si>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</si>
  <si>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</si>
  <si>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</si>
  <si>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</si>
  <si>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</si>
  <si>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</si>
  <si>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</si>
  <si>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</si>
  <si>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</si>
  <si>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</si>
  <si>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</si>
  <si>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</si>
  <si>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</si>
  <si>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</si>
  <si>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</si>
  <si>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</si>
  <si>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</si>
  <si>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</si>
  <si>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</si>
  <si>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</si>
  <si>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</si>
  <si>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</si>
  <si>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</si>
  <si>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</si>
  <si>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</si>
  <si>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</si>
  <si>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</si>
  <si>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</si>
  <si>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</si>
  <si>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</si>
  <si>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</si>
  <si>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</si>
  <si>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</si>
  <si>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</si>
  <si>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</si>
  <si>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</si>
  <si>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</si>
  <si>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</si>
  <si>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</si>
  <si>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</si>
  <si>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</si>
  <si>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</si>
  <si>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</si>
  <si>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</si>
  <si>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</si>
  <si>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</si>
  <si>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</si>
  <si>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</si>
  <si>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</si>
  <si>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</si>
  <si>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</si>
  <si>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</si>
  <si>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</si>
  <si>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</si>
  <si>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</si>
  <si>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</si>
  <si>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</si>
  <si>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</si>
  <si>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</si>
  <si>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</si>
  <si>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</si>
  <si>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</si>
  <si>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</si>
  <si>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</si>
  <si>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</si>
  <si>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</si>
  <si>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</si>
  <si>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</si>
  <si>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</si>
  <si>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</si>
  <si>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</si>
  <si>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</si>
  <si>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</si>
  <si>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</si>
  <si>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</si>
  <si>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</si>
  <si>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</si>
  <si>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</si>
  <si>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</si>
  <si>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</si>
  <si>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</si>
  <si>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</si>
  <si>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</si>
  <si>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</si>
  <si>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</si>
  <si>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</si>
  <si>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</si>
  <si>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</si>
  <si>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</si>
  <si>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</si>
  <si>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</si>
  <si>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</si>
  <si>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</si>
  <si>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</si>
  <si>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</si>
  <si>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</si>
  <si>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</si>
  <si>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</si>
  <si>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</si>
  <si>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</si>
  <si>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</si>
  <si>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</si>
  <si>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</si>
  <si>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</si>
  <si>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</si>
  <si>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</si>
  <si>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</si>
  <si>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</si>
  <si>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</si>
  <si>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</si>
  <si>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</si>
  <si>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</si>
  <si>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</si>
  <si>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</si>
  <si>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</si>
  <si>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</si>
  <si>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</si>
  <si>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</si>
  <si>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</si>
  <si>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</si>
  <si>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</si>
  <si>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</si>
  <si>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</si>
  <si>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</si>
  <si>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</si>
  <si>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</si>
  <si>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</si>
  <si>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</si>
  <si>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</si>
  <si>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</si>
  <si>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</si>
  <si>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</si>
  <si>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</si>
  <si>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</si>
  <si>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</si>
  <si>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</si>
  <si>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</si>
  <si>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</si>
  <si>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</si>
  <si>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</si>
  <si>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</si>
  <si>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</si>
  <si>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</si>
  <si>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</si>
  <si>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</si>
  <si>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</si>
  <si>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</si>
  <si>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</si>
  <si>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</si>
  <si>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</si>
  <si>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</si>
  <si>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</si>
  <si>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</si>
  <si>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</si>
  <si>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</si>
  <si>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</si>
  <si>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</si>
  <si>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</si>
  <si>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</si>
  <si>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</si>
  <si>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</si>
  <si>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</si>
  <si>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</si>
  <si>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</si>
  <si>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</si>
  <si>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</si>
  <si>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</si>
  <si>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</si>
  <si>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</si>
  <si>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</si>
  <si>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</si>
  <si>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</si>
  <si>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</si>
  <si>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</si>
  <si>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</si>
  <si>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</si>
  <si>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</si>
  <si>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</si>
  <si>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</si>
  <si>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</si>
  <si>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</si>
  <si>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</si>
  <si>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</si>
  <si>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</si>
  <si>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</si>
  <si>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</si>
  <si>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</si>
  <si>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</si>
  <si>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</si>
  <si>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</si>
  <si>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</si>
  <si>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</si>
  <si>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</si>
  <si>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</si>
  <si>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</si>
  <si>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</si>
  <si>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</si>
  <si>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</si>
  <si>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</si>
  <si>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</si>
  <si>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</si>
  <si>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</si>
  <si>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</si>
  <si>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</si>
  <si>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</si>
  <si>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</si>
  <si>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</si>
  <si>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</si>
  <si>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</si>
  <si>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</si>
  <si>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</si>
  <si>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</si>
  <si>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</si>
  <si>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</si>
  <si>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</si>
  <si>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</si>
  <si>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</si>
  <si>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</si>
  <si>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</si>
  <si>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</si>
  <si>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</si>
  <si>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</si>
  <si>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</si>
  <si>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</si>
  <si>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</si>
  <si>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</si>
  <si>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</si>
  <si>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</si>
  <si>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</si>
  <si>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</si>
  <si>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</si>
  <si>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</si>
  <si>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</si>
  <si>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</si>
  <si>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</si>
  <si>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</si>
  <si>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</si>
  <si>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</si>
  <si>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</si>
  <si>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</si>
  <si>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</si>
  <si>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</si>
  <si>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</si>
  <si>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</si>
  <si>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</si>
  <si>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</si>
  <si>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</si>
  <si>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</si>
  <si>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</si>
  <si>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</si>
  <si>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</si>
  <si>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</si>
  <si>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</si>
  <si>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</si>
  <si>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</si>
  <si>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</si>
  <si>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</si>
  <si>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</si>
  <si>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</si>
  <si>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</si>
  <si>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</si>
  <si>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</si>
  <si>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</si>
  <si>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</si>
  <si>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</si>
  <si>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</si>
  <si>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</si>
  <si>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</si>
  <si>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</si>
  <si>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</si>
  <si>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</si>
  <si>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</si>
  <si>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</si>
  <si>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</si>
  <si>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</si>
  <si>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</si>
  <si>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</si>
  <si>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</si>
  <si>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</si>
  <si>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</si>
  <si>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</si>
  <si>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</si>
  <si>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</si>
  <si>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</si>
  <si>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</si>
  <si>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</si>
  <si>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</si>
  <si>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</si>
  <si>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</si>
  <si>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</si>
  <si>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</si>
  <si>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</si>
  <si>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</si>
  <si>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</si>
  <si>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</si>
  <si>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</si>
  <si>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</si>
  <si>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</si>
  <si>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</si>
  <si>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</si>
  <si>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</si>
  <si>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</si>
  <si>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</si>
  <si>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</si>
  <si>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</si>
  <si>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</si>
  <si>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</si>
  <si>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</si>
  <si>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</si>
  <si>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</si>
  <si>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</si>
  <si>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</si>
  <si>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</si>
  <si>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</si>
  <si>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</si>
  <si>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</si>
  <si>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</si>
  <si>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</si>
  <si>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</si>
  <si>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</si>
  <si>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</si>
  <si>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</si>
  <si>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</si>
  <si>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</si>
  <si>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</si>
  <si>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</si>
  <si>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</si>
  <si>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</si>
  <si>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</si>
  <si>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</si>
  <si>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</si>
  <si>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</si>
  <si>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</si>
  <si>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</si>
  <si>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</si>
  <si>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</si>
  <si>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</si>
  <si>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</si>
  <si>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</si>
  <si>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</si>
  <si>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</si>
  <si>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</si>
  <si>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</si>
  <si>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</si>
  <si>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</si>
  <si>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</si>
  <si>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</si>
  <si>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</si>
  <si>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</si>
  <si>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</si>
  <si>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</si>
  <si>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</si>
  <si>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</si>
  <si>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</si>
  <si>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</si>
  <si>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</si>
  <si>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</si>
  <si>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</si>
  <si>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</si>
  <si>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</si>
  <si>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</si>
  <si>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</si>
  <si>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</si>
  <si>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</si>
  <si>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</si>
  <si>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</si>
  <si>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</si>
  <si>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</si>
  <si>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</si>
  <si>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</si>
  <si>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</si>
  <si>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</si>
  <si>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</si>
  <si>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</si>
  <si>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</si>
  <si>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</si>
  <si>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</si>
  <si>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</si>
  <si>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</si>
  <si>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</si>
  <si>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</si>
  <si>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</si>
  <si>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</si>
  <si>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</si>
  <si>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</si>
  <si>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</si>
  <si>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</si>
  <si>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</si>
  <si>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</si>
  <si>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</si>
  <si>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</si>
  <si>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</si>
  <si>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</si>
  <si>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</si>
  <si>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</si>
  <si>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</si>
  <si>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</si>
  <si>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</si>
  <si>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</si>
  <si>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</si>
  <si>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</si>
  <si>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</si>
  <si>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</si>
  <si>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</si>
  <si>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</si>
  <si>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</si>
  <si>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</si>
  <si>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</si>
  <si>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</si>
  <si>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</si>
  <si>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</si>
  <si>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</si>
  <si>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</si>
  <si>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</si>
  <si>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</si>
  <si>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</si>
  <si>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</si>
  <si>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</si>
  <si>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</si>
  <si>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</si>
  <si>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</si>
  <si>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</si>
  <si>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</si>
  <si>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</si>
  <si>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</si>
  <si>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</si>
  <si>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</si>
  <si>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</si>
  <si>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</si>
  <si>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</si>
  <si>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</si>
  <si>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</si>
  <si>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</si>
  <si>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</si>
  <si>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</si>
  <si>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</si>
  <si>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</si>
  <si>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</si>
  <si>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</si>
  <si>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</si>
  <si>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</si>
  <si>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</si>
  <si>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</si>
  <si>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</si>
  <si>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</si>
  <si>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</si>
  <si>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</si>
  <si>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</si>
  <si>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</si>
  <si>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</si>
  <si>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</si>
  <si>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</si>
  <si>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</si>
  <si>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</si>
  <si>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</si>
  <si>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</si>
  <si>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</si>
  <si>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</si>
  <si>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</si>
  <si>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</si>
  <si>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</si>
  <si>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</si>
  <si>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</si>
  <si>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</si>
  <si>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</si>
  <si>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</si>
  <si>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</si>
  <si>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</si>
  <si>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</si>
  <si>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</si>
  <si>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</si>
  <si>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</si>
  <si>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</si>
  <si>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</si>
  <si>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</si>
  <si>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</si>
  <si>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</si>
  <si>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</si>
  <si>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</si>
  <si>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</si>
  <si>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</si>
  <si>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</si>
  <si>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</si>
  <si>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</si>
  <si>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</si>
  <si>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</si>
  <si>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</si>
  <si>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</si>
  <si>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</si>
  <si>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</si>
  <si>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</si>
  <si>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</si>
  <si>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</si>
  <si>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</si>
  <si>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</si>
  <si>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</si>
  <si>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</si>
  <si>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</si>
  <si>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</si>
  <si>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</si>
  <si>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</si>
  <si>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</si>
  <si>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</si>
  <si>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</si>
  <si>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</si>
  <si>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</si>
  <si>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</si>
  <si>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</si>
  <si>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</si>
  <si>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</si>
  <si>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</si>
  <si>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</si>
  <si>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</si>
  <si>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</si>
  <si>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</si>
  <si>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</si>
  <si>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</si>
  <si>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</si>
  <si>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</si>
  <si>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</si>
  <si>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</si>
  <si>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</si>
  <si>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</si>
  <si>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</si>
  <si>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</si>
  <si>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</si>
  <si>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</si>
  <si>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</si>
  <si>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</si>
  <si>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</si>
  <si>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</si>
  <si>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</si>
  <si>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</si>
  <si>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</si>
  <si>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</si>
  <si>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</si>
  <si>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</si>
  <si>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</si>
  <si>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</si>
  <si>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</si>
  <si>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</si>
  <si>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</si>
  <si>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</si>
  <si>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</si>
  <si>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</si>
  <si>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</si>
  <si>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</si>
  <si>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</si>
  <si>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</si>
  <si>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</si>
  <si>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</si>
  <si>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</si>
  <si>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</si>
  <si>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</si>
  <si>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</si>
  <si>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</si>
  <si>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</si>
  <si>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</si>
  <si>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</si>
  <si>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</si>
  <si>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</si>
  <si>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</si>
  <si>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</si>
  <si>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</si>
  <si>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</si>
  <si>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</si>
  <si>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</si>
  <si>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</si>
  <si>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</si>
  <si>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</si>
  <si>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</si>
  <si>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</si>
  <si>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</si>
  <si>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</si>
  <si>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</si>
  <si>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</si>
  <si>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</si>
  <si>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</si>
  <si>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</si>
  <si>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</si>
  <si>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</si>
  <si>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</si>
  <si>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</si>
  <si>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</si>
  <si>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</si>
  <si>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</si>
  <si>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</si>
  <si>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</si>
  <si>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</si>
  <si>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</si>
  <si>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</si>
  <si>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</si>
  <si>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</si>
  <si>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</si>
  <si>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</si>
  <si>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</si>
  <si>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</si>
  <si>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</si>
  <si>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</si>
  <si>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</si>
  <si>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</si>
  <si>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</si>
  <si>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</si>
  <si>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</si>
  <si>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</si>
  <si>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</si>
  <si>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</si>
  <si>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</si>
  <si>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</si>
  <si>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</si>
  <si>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</si>
  <si>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</si>
  <si>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</si>
  <si>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</si>
  <si>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</si>
  <si>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</si>
  <si>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</si>
  <si>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</si>
  <si>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</si>
  <si>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</si>
  <si>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</si>
  <si>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</si>
  <si>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</si>
  <si>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</si>
  <si>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</si>
  <si>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</si>
  <si>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</si>
  <si>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</si>
  <si>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</si>
  <si>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</si>
  <si>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</si>
  <si>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</si>
  <si>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</si>
  <si>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</si>
  <si>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</si>
  <si>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</si>
  <si>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</si>
  <si>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</si>
  <si>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</si>
  <si>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</si>
  <si>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</si>
  <si>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</si>
  <si>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</si>
  <si>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</si>
  <si>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</si>
  <si>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</si>
  <si>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</si>
  <si>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</si>
  <si>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</si>
  <si>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</si>
  <si>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</si>
  <si>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</si>
  <si>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</si>
  <si>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</si>
  <si>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</si>
  <si>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</si>
  <si>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</si>
  <si>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</si>
  <si>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</si>
  <si>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</si>
  <si>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</si>
  <si>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</si>
  <si>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</si>
  <si>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</si>
  <si>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</si>
  <si>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</si>
  <si>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</si>
  <si>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</si>
  <si>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</si>
  <si>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</si>
  <si>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</si>
  <si>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</si>
  <si>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</si>
  <si>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</si>
  <si>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</si>
  <si>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</si>
  <si>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</si>
  <si>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</si>
  <si>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</si>
  <si>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</si>
  <si>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</si>
  <si>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</si>
  <si>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</si>
  <si>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</si>
  <si>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</si>
  <si>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</si>
  <si>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</si>
  <si>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</si>
  <si>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</si>
  <si>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</si>
  <si>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</si>
  <si>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</si>
  <si>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</si>
  <si>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</si>
  <si>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</si>
  <si>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</si>
  <si>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</si>
  <si>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</si>
  <si>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</si>
  <si>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</si>
  <si>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</si>
  <si>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</si>
  <si>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</si>
  <si>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</si>
  <si>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</si>
  <si>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</si>
  <si>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</si>
  <si>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</si>
  <si>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</si>
  <si>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</si>
  <si>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</si>
  <si>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</si>
  <si>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</si>
  <si>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</si>
  <si>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</si>
  <si>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</si>
  <si>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</si>
  <si>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</si>
  <si>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</si>
  <si>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</si>
  <si>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</si>
  <si>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</si>
  <si>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</si>
  <si>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</si>
  <si>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</si>
  <si>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</si>
  <si>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</si>
  <si>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</si>
  <si>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</si>
  <si>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</si>
  <si>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</si>
  <si>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</si>
  <si>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</si>
  <si>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</si>
  <si>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</si>
  <si>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</si>
  <si>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</si>
  <si>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</si>
  <si>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</si>
  <si>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</si>
  <si>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</si>
  <si>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</si>
  <si>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</si>
  <si>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</si>
  <si>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</si>
  <si>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</si>
  <si>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</si>
  <si>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</si>
  <si>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</si>
  <si>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</si>
  <si>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</si>
  <si>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</si>
  <si>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</si>
  <si>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</si>
  <si>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</si>
  <si>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</si>
  <si>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</si>
  <si>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</si>
  <si>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</si>
  <si>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</si>
  <si>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</si>
  <si>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</si>
  <si>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</si>
  <si>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</si>
  <si>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</si>
  <si>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</si>
  <si>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</si>
  <si>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</si>
  <si>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</si>
  <si>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</si>
  <si>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</si>
  <si>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</si>
  <si>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</si>
  <si>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</si>
  <si>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</si>
  <si>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</si>
  <si>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</si>
  <si>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</si>
  <si>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</si>
  <si>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</si>
  <si>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</si>
  <si>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</si>
  <si>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</si>
  <si>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</si>
  <si>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</si>
  <si>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</si>
  <si>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</si>
  <si>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</si>
  <si>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</si>
  <si>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</si>
  <si>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</si>
  <si>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</si>
  <si>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</si>
  <si>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</si>
  <si>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</si>
  <si>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</si>
  <si>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</si>
  <si>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</si>
  <si>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</si>
  <si>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</si>
  <si>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</si>
  <si>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</si>
  <si>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</si>
  <si>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</si>
  <si>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</si>
  <si>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</si>
  <si>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</si>
  <si>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</si>
  <si>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</si>
  <si>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</si>
  <si>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</si>
  <si>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</si>
  <si>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</si>
  <si>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</si>
  <si>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</si>
  <si>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</si>
  <si>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</si>
  <si>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</si>
  <si>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</si>
  <si>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</si>
  <si>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</si>
  <si>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</si>
  <si>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</si>
  <si>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</si>
  <si>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</si>
  <si>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</si>
  <si>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</si>
  <si>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</si>
  <si>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</si>
  <si>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</si>
  <si>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</si>
  <si>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</si>
  <si>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</si>
  <si>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</si>
  <si>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</si>
  <si>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</si>
  <si>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</si>
  <si>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</si>
  <si>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</si>
  <si>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</si>
  <si>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</si>
  <si>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</si>
  <si>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</si>
  <si>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</si>
  <si>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</si>
  <si>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</si>
  <si>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</si>
  <si>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</si>
  <si>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</si>
  <si>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</si>
  <si>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</si>
  <si>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</si>
  <si>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</si>
  <si>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</si>
  <si>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</si>
  <si>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</si>
  <si>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</si>
  <si>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</si>
  <si>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</si>
  <si>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</si>
  <si>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</si>
  <si>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</si>
  <si>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</si>
  <si>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</si>
  <si>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</si>
  <si>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</si>
  <si>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</si>
  <si>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</si>
  <si>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</si>
  <si>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</si>
  <si>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</si>
  <si>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</si>
  <si>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</si>
  <si>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</si>
  <si>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</si>
  <si>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</si>
  <si>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</si>
  <si>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</si>
  <si>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</si>
  <si>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</si>
  <si>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</si>
  <si>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</si>
  <si>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</si>
  <si>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</si>
  <si>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</si>
  <si>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</si>
  <si>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</si>
  <si>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</si>
  <si>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</si>
  <si>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</si>
  <si>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</si>
  <si>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</si>
  <si>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</si>
  <si>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</si>
  <si>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</si>
  <si>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</si>
  <si>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</si>
  <si>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</si>
  <si>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</si>
  <si>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</si>
  <si>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</si>
  <si>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</si>
  <si>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</si>
  <si>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</si>
  <si>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</si>
  <si>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</si>
  <si>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</si>
  <si>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</si>
  <si>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</si>
  <si>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</si>
  <si>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</si>
  <si>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</si>
  <si>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</si>
  <si>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</si>
  <si>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</si>
  <si>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</si>
  <si>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</si>
  <si>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</si>
  <si>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</si>
  <si>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</si>
  <si>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</si>
  <si>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</si>
  <si>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</si>
  <si>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</si>
  <si>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</si>
  <si>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</si>
  <si>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</si>
  <si>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</si>
  <si>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</si>
  <si>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</si>
  <si>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</si>
  <si>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</si>
  <si>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</si>
  <si>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</si>
  <si>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</si>
  <si>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</si>
  <si>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</si>
  <si>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</si>
  <si>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</si>
  <si>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</si>
  <si>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</si>
  <si>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</si>
  <si>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</si>
  <si>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</si>
  <si>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</si>
  <si>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</si>
  <si>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</si>
  <si>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</si>
  <si>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</si>
  <si>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</si>
  <si>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</si>
  <si>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</si>
  <si>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</si>
  <si>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</si>
  <si>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</si>
  <si>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</si>
  <si>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</si>
  <si>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</si>
  <si>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</si>
  <si>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</si>
  <si>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</si>
  <si>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</si>
  <si>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</si>
  <si>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</si>
  <si>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</si>
  <si>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</si>
  <si>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</si>
  <si>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</si>
  <si>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</si>
  <si>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</si>
  <si>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</si>
  <si>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</si>
  <si>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</si>
  <si>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</si>
  <si>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</si>
  <si>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</si>
  <si>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</si>
  <si>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</si>
  <si>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</si>
  <si>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</si>
  <si>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</si>
  <si>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</si>
  <si>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</si>
  <si>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</si>
  <si>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</si>
  <si>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</si>
  <si>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</si>
  <si>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</si>
  <si>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</si>
  <si>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</si>
  <si>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</si>
  <si>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</si>
  <si>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</si>
  <si>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</si>
  <si>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</si>
  <si>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</si>
  <si>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</si>
  <si>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</si>
  <si>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</si>
  <si>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</si>
  <si>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</si>
  <si>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</si>
  <si>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</si>
  <si>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</si>
  <si>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</si>
  <si>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</si>
  <si>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</si>
  <si>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</si>
  <si>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</si>
  <si>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</si>
  <si>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</si>
  <si>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</si>
  <si>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</si>
  <si>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</si>
  <si>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</si>
  <si>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</si>
  <si>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</si>
  <si>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</si>
  <si>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</si>
  <si>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</si>
  <si>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</si>
  <si>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</si>
  <si>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</si>
  <si>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</si>
  <si>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</si>
  <si>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</si>
  <si>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</si>
  <si>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</si>
  <si>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</si>
  <si>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</si>
  <si>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</si>
  <si>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</si>
  <si>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</si>
  <si>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</si>
  <si>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</si>
  <si>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</si>
  <si>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</si>
  <si>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</si>
  <si>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</si>
  <si>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</si>
  <si>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</si>
  <si>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</si>
  <si>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</si>
  <si>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</si>
  <si>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</si>
  <si>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</si>
  <si>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</si>
  <si>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</si>
  <si>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</si>
  <si>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</si>
  <si>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</si>
  <si>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</si>
  <si>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</si>
  <si>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</si>
  <si>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</si>
  <si>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</si>
  <si>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</si>
  <si>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</si>
  <si>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</si>
  <si>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</si>
  <si>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</si>
  <si>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</si>
  <si>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</si>
  <si>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</si>
  <si>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</si>
  <si>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</si>
  <si>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</si>
  <si>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</si>
  <si>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</si>
  <si>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</si>
  <si>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</si>
  <si>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</si>
  <si>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</si>
  <si>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</si>
  <si>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</si>
  <si>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</si>
  <si>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</si>
  <si>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</si>
  <si>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</si>
  <si>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</si>
  <si>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</si>
  <si>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</si>
  <si>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</si>
  <si>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</si>
  <si>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</si>
  <si>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</si>
  <si>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</si>
  <si>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</si>
  <si>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</si>
  <si>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</si>
  <si>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</si>
  <si>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</si>
  <si>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</si>
  <si>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</si>
  <si>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</si>
  <si>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</si>
  <si>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</si>
  <si>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</si>
  <si>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</si>
  <si>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</si>
  <si>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</si>
  <si>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</si>
  <si>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</si>
  <si>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</si>
  <si>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</si>
  <si>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</si>
  <si>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</si>
  <si>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</si>
  <si>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</si>
  <si>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</si>
  <si>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</si>
  <si>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</si>
  <si>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</si>
  <si>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</si>
  <si>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</si>
  <si>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</si>
  <si>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</si>
  <si>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</si>
  <si>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</si>
  <si>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</si>
  <si>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</si>
  <si>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</si>
  <si>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</si>
  <si>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</si>
  <si>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</si>
  <si>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</si>
  <si>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</si>
  <si>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</si>
  <si>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</si>
  <si>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</si>
  <si>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</si>
  <si>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</si>
  <si>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</si>
  <si>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</si>
  <si>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</si>
  <si>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</si>
  <si>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</si>
  <si>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</si>
  <si>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</si>
  <si>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</si>
  <si>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</si>
  <si>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</si>
  <si>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</si>
  <si>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</si>
  <si>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</si>
  <si>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</si>
  <si>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</si>
  <si>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</si>
  <si>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</si>
  <si>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</si>
  <si>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</si>
  <si>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</si>
  <si>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</si>
  <si>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</si>
  <si>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</si>
  <si>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</si>
  <si>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</si>
  <si>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</si>
  <si>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</si>
  <si>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</si>
  <si>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</si>
  <si>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</si>
  <si>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</si>
  <si>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</si>
  <si>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</si>
  <si>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</si>
  <si>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</si>
  <si>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</si>
  <si>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</si>
  <si>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</si>
  <si>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</si>
  <si>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</si>
  <si>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</si>
  <si>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</si>
  <si>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</si>
  <si>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</si>
  <si>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</si>
  <si>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</si>
  <si>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</si>
  <si>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</si>
  <si>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</si>
  <si>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</si>
  <si>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</si>
  <si>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</si>
  <si>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</si>
  <si>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</si>
  <si>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</si>
  <si>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</si>
  <si>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</si>
  <si>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</si>
  <si>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</si>
  <si>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</si>
  <si>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</si>
  <si>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</si>
  <si>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</si>
  <si>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</si>
  <si>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</si>
  <si>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</si>
  <si>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</si>
  <si>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</si>
  <si>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</si>
  <si>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</si>
  <si>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</si>
  <si>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</si>
  <si>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</si>
  <si>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</si>
  <si>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</si>
  <si>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</si>
  <si>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</si>
  <si>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</si>
  <si>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</si>
  <si>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</si>
  <si>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</si>
  <si>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</si>
  <si>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</si>
  <si>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</si>
  <si>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</si>
  <si>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</si>
  <si>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</si>
  <si>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</si>
  <si>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</si>
  <si>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</si>
  <si>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</si>
  <si>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</si>
  <si>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</si>
  <si>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</si>
  <si>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</si>
  <si>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</si>
  <si>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</si>
  <si>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</si>
  <si>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</si>
  <si>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</si>
  <si>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</si>
  <si>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</si>
  <si>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</si>
  <si>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</si>
  <si>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</si>
  <si>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</si>
  <si>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</si>
  <si>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</si>
  <si>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</si>
  <si>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</si>
  <si>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</si>
  <si>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</si>
  <si>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</si>
  <si>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</si>
  <si>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</si>
  <si>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</si>
  <si>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</si>
  <si>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</si>
  <si>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</si>
  <si>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</si>
  <si>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</si>
  <si>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</si>
  <si>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</si>
  <si>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</si>
  <si>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</si>
  <si>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</si>
  <si>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</si>
  <si>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</si>
  <si>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</si>
  <si>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</si>
  <si>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</si>
  <si>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</si>
  <si>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</si>
  <si>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</si>
  <si>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</si>
  <si>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</si>
  <si>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</si>
  <si>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</si>
  <si>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</si>
  <si>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</si>
  <si>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</si>
  <si>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</si>
  <si>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</si>
  <si>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</si>
  <si>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</si>
  <si>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</si>
  <si>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</si>
  <si>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</si>
  <si>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</si>
  <si>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</si>
  <si>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</si>
  <si>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</si>
  <si>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</si>
  <si>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</si>
  <si>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</si>
  <si>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</si>
  <si>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</si>
  <si>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</si>
  <si>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</si>
  <si>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</si>
  <si>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</si>
  <si>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</si>
  <si>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</si>
  <si>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</si>
  <si>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</si>
  <si>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</si>
  <si>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</si>
  <si>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</si>
  <si>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</si>
  <si>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</si>
  <si>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</si>
  <si>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</si>
  <si>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</si>
  <si>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</si>
  <si>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</si>
  <si>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</si>
  <si>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</si>
  <si>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</si>
  <si>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</si>
  <si>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</si>
  <si>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</si>
  <si>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</si>
  <si>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</si>
  <si>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</si>
  <si>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</si>
  <si>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</si>
  <si>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</si>
  <si>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</si>
  <si>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</si>
  <si>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</si>
  <si>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</si>
  <si>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</si>
  <si>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</si>
  <si>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</si>
  <si>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</si>
  <si>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</si>
  <si>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</si>
  <si>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</si>
  <si>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</si>
  <si>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</si>
  <si>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</si>
  <si>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</si>
  <si>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</si>
  <si>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</si>
  <si>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</si>
  <si>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</si>
  <si>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</si>
  <si>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</si>
  <si>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</si>
  <si>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</si>
  <si>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</si>
  <si>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</si>
  <si>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</si>
  <si>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</si>
  <si>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</si>
  <si>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</si>
  <si>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</si>
  <si>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</si>
  <si>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</si>
  <si>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</si>
  <si>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</si>
  <si>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</si>
  <si>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</si>
  <si>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</si>
  <si>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</si>
  <si>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</si>
  <si>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</si>
  <si>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</si>
  <si>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</si>
  <si>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</si>
  <si>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</si>
  <si>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</si>
  <si>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</si>
  <si>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</si>
  <si>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</si>
  <si>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</si>
  <si>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</si>
  <si>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</si>
  <si>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</si>
  <si>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</si>
  <si>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</si>
  <si>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</si>
  <si>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</si>
  <si>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</si>
  <si>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</si>
  <si>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</si>
  <si>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</si>
  <si>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</si>
  <si>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</si>
  <si>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</si>
  <si>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</si>
  <si>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</si>
  <si>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</si>
  <si>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</si>
  <si>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</si>
  <si>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</si>
  <si>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</si>
  <si>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</si>
  <si>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</si>
  <si>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</si>
  <si>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</si>
  <si>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</si>
  <si>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</si>
  <si>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</si>
  <si>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</si>
  <si>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</si>
  <si>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</si>
  <si>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</si>
  <si>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</si>
  <si>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</si>
  <si>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</si>
  <si>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</si>
  <si>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</si>
  <si>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</si>
  <si>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</si>
  <si>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</si>
  <si>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</si>
  <si>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</si>
  <si>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</si>
  <si>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</si>
  <si>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</si>
  <si>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</si>
  <si>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</si>
  <si>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</si>
  <si>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</si>
  <si>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</si>
  <si>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</si>
  <si>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</si>
  <si>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</si>
  <si>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</si>
  <si>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</si>
  <si>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</si>
  <si>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</si>
  <si>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</si>
  <si>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</si>
  <si>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</si>
  <si>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</si>
  <si>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</si>
  <si>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</si>
  <si>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</si>
  <si>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</si>
  <si>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</si>
  <si>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</si>
  <si>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</si>
  <si>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</si>
  <si>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</si>
  <si>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</si>
  <si>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</si>
  <si>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</si>
  <si>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</si>
  <si>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</si>
  <si>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</si>
  <si>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</si>
  <si>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</si>
  <si>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</si>
  <si>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</si>
  <si>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</si>
  <si>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</si>
  <si>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</si>
  <si>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</si>
  <si>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</si>
  <si>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</si>
  <si>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</si>
  <si>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</si>
  <si>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</si>
  <si>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</si>
  <si>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</si>
  <si>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</si>
  <si>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</si>
  <si>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</si>
  <si>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</si>
  <si>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</si>
  <si>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</si>
  <si>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</si>
  <si>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</si>
  <si>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</si>
  <si>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</si>
  <si>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</si>
  <si>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</si>
  <si>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</si>
  <si>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</si>
  <si>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</si>
  <si>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</si>
  <si>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</si>
  <si>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</si>
  <si>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</si>
  <si>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</si>
  <si>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</si>
  <si>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</si>
  <si>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</si>
  <si>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</si>
  <si>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</si>
  <si>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</si>
  <si>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</si>
  <si>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</si>
  <si>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</si>
  <si>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</si>
  <si>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</si>
  <si>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</si>
  <si>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</si>
  <si>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</si>
  <si>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</si>
  <si>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</si>
  <si>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</si>
  <si>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</si>
  <si>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</si>
  <si>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</si>
  <si>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</si>
  <si>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</si>
  <si>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</si>
  <si>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</si>
  <si>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</si>
  <si>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</si>
  <si>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</si>
  <si>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</si>
  <si>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</si>
  <si>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</si>
  <si>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</si>
  <si>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</si>
  <si>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</si>
  <si>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</si>
  <si>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</si>
  <si>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</si>
  <si>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</si>
  <si>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</si>
  <si>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</si>
  <si>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</si>
  <si>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</si>
  <si>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</si>
  <si>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</si>
  <si>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</si>
  <si>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</si>
  <si>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</si>
  <si>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</si>
  <si>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</si>
  <si>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</si>
  <si>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</si>
  <si>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</si>
  <si>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</si>
  <si>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</si>
  <si>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</si>
  <si>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</si>
  <si>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</si>
  <si>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</si>
  <si>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</si>
  <si>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</si>
  <si>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</si>
  <si>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</si>
  <si>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</si>
  <si>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</si>
  <si>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</si>
  <si>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</si>
  <si>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</si>
  <si>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</si>
  <si>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</si>
  <si>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</si>
  <si>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</si>
  <si>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</si>
  <si>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</si>
  <si>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</si>
  <si>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</si>
  <si>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</si>
  <si>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</si>
  <si>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</si>
  <si>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</si>
  <si>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</si>
  <si>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</si>
  <si>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</si>
  <si>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</si>
  <si>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</si>
  <si>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</si>
  <si>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</si>
  <si>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</si>
  <si>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</si>
  <si>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</si>
  <si>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</si>
  <si>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</si>
  <si>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</si>
  <si>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</si>
  <si>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</si>
  <si>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</si>
  <si>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</si>
  <si>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</si>
  <si>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</si>
  <si>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</si>
  <si>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</si>
  <si>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</si>
  <si>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</si>
  <si>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</si>
  <si>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</si>
  <si>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</si>
  <si>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</si>
  <si>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</si>
  <si>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</si>
  <si>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</si>
  <si>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</si>
  <si>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</si>
  <si>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</si>
  <si>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</si>
  <si>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</si>
  <si>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</si>
  <si>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</si>
  <si>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</si>
  <si>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</si>
  <si>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</si>
  <si>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</si>
  <si>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</si>
  <si>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</si>
  <si>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</si>
  <si>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</si>
  <si>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</si>
  <si>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</si>
  <si>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</si>
  <si>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</si>
  <si>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</si>
  <si>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</si>
  <si>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</si>
  <si>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</si>
  <si>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</si>
  <si>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</si>
  <si>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</si>
  <si>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</si>
  <si>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</si>
  <si>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</si>
  <si>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</si>
  <si>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</si>
  <si>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</si>
  <si>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</si>
  <si>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</si>
  <si>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</si>
  <si>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</si>
  <si>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</si>
  <si>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</si>
  <si>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</si>
  <si>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</si>
  <si>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</si>
  <si>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</si>
  <si>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</si>
  <si>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</si>
  <si>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</si>
  <si>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</si>
  <si>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</si>
  <si>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</si>
  <si>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</si>
  <si>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</si>
  <si>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</si>
  <si>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</si>
  <si>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</si>
  <si>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</si>
  <si>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</si>
  <si>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</si>
  <si>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</si>
  <si>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</si>
  <si>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</si>
  <si>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</si>
  <si>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</si>
  <si>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</si>
  <si>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</si>
  <si>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</si>
  <si>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</si>
  <si>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</si>
  <si>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</si>
  <si>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</si>
  <si>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</si>
  <si>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</si>
  <si>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</si>
  <si>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</si>
  <si>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</si>
  <si>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</si>
  <si>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</si>
  <si>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</si>
  <si>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</si>
  <si>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</si>
  <si>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</si>
  <si>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</si>
  <si>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</si>
  <si>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</si>
  <si>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</si>
  <si>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</si>
  <si>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</si>
  <si>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</si>
  <si>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</si>
  <si>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</si>
  <si>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</si>
  <si>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</si>
  <si>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</si>
  <si>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</si>
  <si>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</si>
  <si>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</si>
  <si>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</si>
  <si>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</si>
  <si>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</si>
  <si>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</si>
  <si>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</si>
  <si>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</si>
  <si>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</si>
  <si>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</si>
  <si>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</si>
  <si>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</si>
  <si>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</si>
  <si>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</si>
  <si>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</si>
  <si>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</si>
  <si>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</si>
  <si>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</si>
  <si>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</si>
  <si>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</si>
  <si>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</si>
  <si>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</si>
  <si>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</si>
  <si>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</si>
  <si>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</si>
  <si>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</si>
  <si>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</si>
  <si>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</si>
  <si>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</si>
  <si>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</si>
  <si>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</si>
  <si>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</si>
  <si>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</si>
  <si>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</si>
  <si>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</si>
  <si>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</si>
  <si>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</si>
  <si>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</si>
  <si>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</si>
  <si>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</si>
  <si>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</si>
  <si>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</si>
  <si>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</si>
  <si>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</si>
  <si>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</si>
  <si>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</si>
  <si>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</si>
  <si>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</si>
  <si>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</si>
  <si>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</si>
  <si>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</si>
  <si>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</si>
  <si>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</si>
  <si>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</si>
  <si>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</si>
  <si>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</si>
  <si>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</si>
  <si>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</si>
  <si>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</si>
  <si>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</si>
  <si>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</si>
  <si>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</si>
  <si>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</si>
  <si>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</si>
  <si>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</si>
  <si>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</si>
  <si>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</si>
  <si>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</si>
  <si>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</si>
  <si>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</si>
  <si>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</si>
  <si>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</si>
  <si>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</si>
  <si>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</si>
  <si>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</si>
  <si>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</si>
  <si>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</si>
  <si>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</si>
  <si>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</si>
  <si>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</si>
  <si>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</si>
  <si>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</si>
  <si>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</si>
  <si>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</si>
  <si>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</si>
  <si>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</si>
  <si>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</si>
  <si>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</si>
  <si>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</si>
  <si>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</si>
  <si>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</si>
  <si>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</si>
  <si>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</si>
  <si>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</si>
  <si>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</si>
  <si>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</si>
  <si>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</si>
  <si>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</si>
  <si>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</si>
  <si>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</si>
  <si>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</si>
  <si>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</si>
  <si>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</si>
  <si>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</si>
  <si>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</si>
  <si>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</si>
  <si>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</si>
  <si>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</si>
  <si>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</si>
  <si>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</si>
  <si>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</si>
  <si>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</si>
  <si>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</si>
  <si>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</si>
  <si>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</si>
  <si>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</si>
  <si>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</si>
  <si>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</si>
  <si>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</si>
  <si>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</si>
  <si>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</si>
  <si>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</si>
  <si>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</si>
  <si>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</si>
  <si>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</si>
  <si>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</si>
  <si>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</si>
  <si>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</si>
  <si>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</si>
  <si>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</si>
  <si>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</si>
  <si>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</si>
  <si>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</si>
  <si>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</si>
  <si>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</si>
  <si>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</si>
  <si>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</si>
  <si>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</si>
  <si>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</si>
  <si>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</si>
  <si>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</si>
  <si>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</si>
  <si>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</si>
  <si>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</si>
  <si>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</si>
  <si>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</si>
  <si>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</si>
  <si>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</si>
  <si>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</si>
  <si>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</si>
  <si>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</si>
  <si>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</si>
  <si>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</si>
  <si>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</si>
  <si>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</si>
  <si>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</si>
  <si>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</si>
  <si>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</si>
  <si>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</si>
  <si>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</si>
  <si>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</si>
  <si>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</si>
  <si>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</si>
  <si>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</si>
  <si>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</si>
  <si>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</si>
  <si>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</si>
  <si>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</si>
  <si>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</si>
  <si>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</si>
  <si>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</si>
  <si>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</si>
  <si>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</si>
  <si>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</si>
  <si>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</si>
  <si>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</si>
  <si>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</si>
  <si>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</si>
  <si>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</si>
  <si>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</si>
  <si>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</si>
  <si>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</si>
  <si>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</si>
  <si>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</si>
  <si>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</si>
  <si>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</si>
  <si>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</si>
  <si>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</si>
  <si>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</si>
  <si>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</si>
  <si>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</si>
  <si>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</si>
  <si>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</si>
  <si>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</si>
  <si>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</si>
  <si>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</si>
  <si>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</si>
  <si>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</si>
  <si>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</si>
  <si>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</si>
  <si>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</si>
  <si>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</si>
  <si>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</si>
  <si>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</si>
  <si>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</si>
  <si>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</si>
  <si>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</si>
  <si>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</si>
  <si>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</si>
  <si>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</si>
  <si>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</si>
  <si>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</si>
  <si>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</si>
  <si>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</si>
  <si>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</si>
  <si>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</si>
  <si>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</si>
  <si>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</si>
  <si>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</si>
  <si>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</si>
  <si>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</si>
  <si>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</si>
  <si>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</si>
  <si>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</si>
  <si>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</si>
  <si>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</si>
  <si>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</si>
  <si>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</si>
  <si>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</si>
  <si>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</si>
  <si>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</si>
  <si>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</si>
  <si>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</si>
  <si>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</si>
  <si>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</si>
  <si>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</si>
  <si>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</si>
  <si>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</si>
  <si>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</si>
  <si>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</si>
  <si>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</si>
  <si>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</si>
  <si>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</si>
  <si>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</si>
  <si>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</si>
  <si>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</si>
  <si>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</si>
  <si>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</si>
  <si>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</si>
  <si>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</si>
  <si>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</si>
  <si>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</si>
  <si>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</si>
  <si>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</si>
  <si>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</si>
  <si>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</si>
  <si>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</si>
  <si>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</si>
  <si>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</si>
  <si>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</si>
  <si>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</si>
  <si>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</si>
  <si>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</si>
  <si>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</si>
  <si>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</si>
  <si>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</si>
  <si>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</si>
  <si>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</si>
  <si>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</si>
  <si>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</si>
  <si>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</si>
  <si>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</si>
  <si>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</si>
  <si>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</si>
  <si>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</si>
  <si>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</si>
  <si>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</si>
  <si>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</si>
  <si>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</si>
  <si>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</si>
  <si>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</si>
  <si>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</si>
  <si>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</si>
  <si>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</si>
  <si>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</si>
  <si>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</si>
  <si>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</si>
  <si>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</si>
  <si>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</si>
  <si>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</si>
  <si>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</si>
  <si>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</si>
  <si>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</si>
  <si>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</si>
  <si>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</si>
  <si>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</si>
  <si>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</si>
  <si>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</si>
  <si>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</si>
  <si>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</si>
  <si>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</si>
  <si>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</si>
  <si>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</si>
  <si>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</si>
  <si>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</si>
  <si>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</si>
  <si>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</si>
  <si>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</si>
  <si>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</si>
  <si>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</si>
  <si>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</si>
  <si>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</si>
  <si>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</si>
  <si>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</si>
  <si>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</si>
  <si>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</si>
  <si>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</si>
  <si>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</si>
  <si>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</si>
  <si>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</si>
  <si>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</si>
  <si>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</si>
  <si>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</si>
  <si>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</si>
  <si>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</si>
  <si>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</si>
  <si>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</si>
  <si>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</si>
  <si>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</si>
  <si>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</si>
  <si>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</si>
  <si>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</si>
  <si>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</si>
  <si>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</si>
  <si>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</si>
  <si>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</si>
  <si>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</si>
  <si>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</si>
  <si>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</si>
  <si>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</si>
  <si>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</si>
  <si>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</si>
  <si>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</si>
  <si>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</si>
  <si>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</si>
  <si>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</si>
  <si>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</si>
  <si>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</si>
  <si>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</si>
  <si>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</si>
  <si>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</si>
  <si>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</si>
  <si>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</si>
  <si>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</si>
  <si>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</si>
  <si>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</si>
  <si>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</si>
  <si>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</si>
  <si>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</si>
  <si>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</si>
  <si>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</si>
  <si>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</si>
  <si>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</si>
  <si>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</si>
  <si>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</si>
  <si>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</si>
  <si>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</si>
  <si>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</si>
  <si>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</si>
  <si>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</si>
  <si>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</si>
  <si>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</si>
  <si>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</si>
  <si>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</si>
  <si>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</si>
  <si>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</si>
  <si>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</si>
  <si>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</si>
  <si>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</si>
  <si>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</si>
  <si>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</si>
  <si>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</si>
  <si>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</si>
  <si>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</si>
  <si>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</si>
  <si>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</si>
  <si>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</si>
  <si>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</si>
  <si>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</si>
  <si>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</si>
  <si>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</si>
  <si>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</si>
  <si>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</si>
  <si>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</si>
  <si>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</si>
  <si>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</si>
  <si>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</si>
  <si>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</si>
  <si>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</si>
  <si>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</si>
  <si>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</si>
  <si>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</si>
  <si>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</si>
  <si>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</si>
  <si>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</si>
  <si>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</si>
  <si>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</si>
  <si>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</si>
  <si>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</si>
  <si>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</si>
  <si>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</si>
  <si>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</si>
  <si>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</si>
  <si>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</si>
  <si>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</si>
  <si>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</si>
  <si>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</si>
  <si>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</si>
  <si>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</si>
  <si>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</si>
  <si>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</si>
  <si>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</si>
  <si>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</si>
  <si>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</si>
  <si>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</si>
  <si>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</si>
  <si>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</si>
  <si>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</si>
  <si>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</si>
  <si>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</si>
  <si>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</si>
  <si>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</si>
  <si>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</si>
  <si>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</si>
  <si>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</si>
  <si>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</si>
  <si>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</si>
  <si>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</si>
  <si>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</si>
  <si>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</si>
  <si>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</si>
  <si>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</si>
  <si>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</si>
  <si>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</si>
  <si>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</si>
  <si>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</si>
  <si>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</si>
  <si>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</si>
  <si>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</si>
  <si>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</si>
  <si>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</si>
  <si>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</si>
  <si>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</si>
  <si>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</si>
  <si>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</si>
  <si>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</si>
  <si>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</si>
  <si>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</si>
  <si>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</si>
  <si>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</si>
  <si>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</si>
  <si>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</si>
  <si>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</si>
  <si>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</si>
  <si>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</si>
  <si>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</si>
  <si>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</si>
  <si>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</si>
  <si>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</si>
  <si>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</si>
  <si>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</si>
  <si>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</si>
  <si>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</si>
  <si>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</si>
  <si>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</si>
  <si>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</si>
  <si>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</si>
  <si>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</si>
  <si>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</si>
  <si>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</si>
  <si>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</si>
  <si>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</si>
  <si>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</si>
  <si>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</si>
  <si>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</si>
  <si>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</si>
  <si>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</si>
  <si>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</si>
  <si>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</si>
  <si>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</si>
  <si>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</si>
  <si>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</si>
  <si>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</si>
  <si>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</si>
  <si>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</si>
  <si>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</si>
  <si>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</si>
  <si>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</si>
  <si>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</si>
  <si>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</si>
  <si>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</si>
  <si>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</si>
  <si>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</si>
  <si>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</si>
  <si>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</si>
  <si>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</si>
  <si>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</si>
  <si>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</si>
  <si>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</si>
  <si>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</si>
  <si>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</si>
  <si>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</si>
  <si>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</si>
  <si>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</si>
  <si>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</si>
  <si>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</si>
  <si>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</si>
  <si>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</si>
  <si>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</si>
  <si>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</si>
  <si>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</si>
  <si>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</si>
  <si>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</si>
  <si>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</si>
  <si>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</si>
  <si>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</si>
  <si>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</si>
  <si>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</si>
  <si>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</si>
  <si>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</si>
  <si>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</si>
  <si>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</si>
  <si>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</si>
  <si>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</si>
  <si>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</si>
  <si>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</si>
  <si>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</si>
  <si>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</si>
  <si>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</si>
  <si>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</si>
  <si>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</si>
  <si>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</si>
  <si>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</si>
  <si>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</si>
  <si>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</si>
  <si>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</si>
  <si>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</si>
  <si>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</si>
  <si>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</si>
  <si>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</si>
  <si>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</si>
  <si>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</si>
  <si>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</si>
  <si>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</si>
  <si>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</si>
  <si>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</si>
  <si>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</si>
  <si>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</si>
  <si>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</si>
  <si>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</si>
  <si>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</si>
  <si>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</si>
  <si>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</si>
  <si>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</si>
  <si>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</si>
  <si>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</si>
  <si>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</si>
  <si>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</si>
  <si>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</si>
  <si>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</si>
  <si>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</si>
  <si>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</si>
  <si>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</si>
  <si>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</si>
  <si>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</si>
  <si>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</si>
  <si>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</si>
  <si>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</si>
  <si>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</si>
  <si>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</si>
  <si>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</si>
  <si>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</si>
  <si>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</si>
  <si>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</si>
  <si>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</si>
  <si>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</si>
  <si>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</si>
  <si>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</si>
  <si>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</si>
  <si>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</si>
  <si>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</si>
  <si>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</si>
  <si>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</si>
  <si>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</si>
  <si>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</si>
  <si>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</si>
  <si>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</si>
  <si>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</si>
  <si>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</si>
  <si>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</si>
  <si>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</si>
  <si>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</si>
  <si>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</si>
  <si>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</si>
  <si>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</si>
  <si>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</si>
  <si>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</si>
  <si>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</si>
  <si>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</si>
  <si>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</si>
  <si>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</si>
  <si>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</si>
  <si>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</si>
  <si>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</si>
  <si>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</si>
  <si>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</si>
  <si>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</si>
  <si>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</si>
  <si>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</si>
  <si>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</si>
  <si>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</si>
  <si>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</si>
  <si>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</si>
  <si>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</si>
  <si>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</si>
  <si>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</si>
  <si>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</si>
  <si>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</si>
  <si>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</si>
  <si>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</si>
  <si>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</si>
  <si>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</si>
  <si>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</si>
  <si>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</si>
  <si>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</si>
  <si>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</si>
  <si>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</si>
  <si>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</si>
  <si>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</si>
  <si>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</si>
  <si>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</si>
  <si>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</si>
  <si>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</si>
  <si>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</si>
  <si>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</si>
  <si>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</si>
  <si>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</si>
  <si>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</si>
  <si>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</si>
  <si>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</si>
  <si>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</si>
  <si>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</si>
  <si>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</si>
  <si>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</si>
  <si>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</si>
  <si>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</si>
  <si>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</si>
  <si>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</si>
  <si>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</si>
  <si>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</si>
  <si>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</si>
  <si>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</si>
  <si>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</si>
  <si>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</si>
  <si>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</si>
  <si>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</si>
  <si>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</si>
  <si>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</si>
  <si>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</si>
  <si>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</si>
  <si>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</si>
  <si>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</si>
  <si>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</si>
  <si>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</si>
  <si>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</si>
  <si>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</si>
  <si>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</si>
  <si>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</si>
  <si>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</si>
  <si>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</si>
  <si>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</si>
  <si>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</si>
  <si>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</si>
  <si>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</si>
  <si>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</si>
  <si>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</si>
  <si>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</si>
  <si>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</si>
  <si>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</si>
  <si>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</si>
  <si>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</si>
  <si>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</si>
  <si>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</si>
  <si>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</si>
  <si>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</si>
  <si>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</si>
  <si>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</si>
  <si>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</si>
  <si>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</si>
  <si>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</si>
  <si>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</si>
  <si>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</si>
  <si>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</si>
  <si>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</si>
  <si>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</si>
  <si>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</si>
  <si>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</si>
  <si>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</si>
  <si>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</si>
  <si>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</si>
  <si>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</si>
  <si>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</si>
  <si>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</si>
  <si>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</si>
  <si>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</si>
  <si>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</si>
  <si>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</si>
  <si>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</si>
  <si>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</si>
  <si>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</si>
  <si>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</si>
  <si>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</si>
  <si>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</si>
  <si>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</si>
  <si>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</si>
  <si>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</si>
  <si>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</si>
  <si>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</si>
  <si>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</si>
  <si>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</si>
  <si>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</si>
  <si>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</si>
  <si>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</si>
  <si>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</si>
  <si>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</si>
  <si>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</si>
  <si>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</si>
  <si>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</si>
  <si>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</si>
  <si>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</si>
  <si>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</si>
  <si>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</si>
  <si>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</si>
  <si>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</si>
  <si>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</si>
  <si>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</si>
  <si>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</si>
  <si>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</si>
  <si>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</si>
  <si>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</si>
  <si>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</si>
  <si>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</si>
  <si>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</si>
  <si>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</si>
  <si>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</si>
  <si>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</si>
  <si>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</si>
  <si>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</si>
  <si>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</si>
  <si>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</si>
  <si>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</si>
  <si>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</si>
  <si>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</si>
  <si>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</si>
  <si>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</si>
  <si>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</si>
  <si>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</si>
  <si>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</si>
  <si>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</si>
  <si>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</si>
  <si>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</si>
  <si>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</si>
  <si>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</si>
  <si>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</si>
  <si>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</si>
  <si>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</si>
  <si>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</si>
  <si>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</si>
  <si>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</si>
  <si>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</si>
  <si>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</si>
  <si>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</si>
  <si>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</si>
  <si>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</si>
  <si>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</si>
  <si>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</si>
  <si>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</si>
  <si>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</si>
  <si>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</si>
  <si>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</si>
  <si>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</si>
  <si>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</si>
  <si>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</si>
  <si>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</si>
  <si>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</si>
  <si>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</si>
  <si>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</si>
  <si>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</si>
  <si>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</si>
  <si>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</si>
  <si>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</si>
  <si>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</si>
  <si>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</si>
  <si>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</si>
  <si>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</si>
  <si>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</si>
  <si>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</si>
  <si>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</si>
  <si>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</si>
  <si>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</si>
  <si>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</si>
  <si>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</si>
  <si>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</si>
  <si>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</si>
  <si>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</si>
  <si>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</si>
  <si>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</si>
  <si>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</si>
  <si>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</si>
  <si>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</si>
  <si>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</si>
  <si>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</si>
  <si>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</si>
  <si>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</si>
  <si>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</si>
  <si>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</si>
  <si>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</si>
  <si>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</si>
  <si>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</si>
  <si>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</si>
  <si>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</si>
  <si>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</si>
  <si>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</si>
  <si>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</si>
  <si>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</si>
  <si>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</si>
  <si>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</si>
  <si>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</si>
  <si>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</si>
  <si>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</si>
  <si>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</si>
  <si>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</si>
  <si>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</si>
  <si>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</si>
  <si>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</si>
  <si>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</si>
  <si>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</si>
  <si>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</si>
  <si>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</si>
  <si>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</si>
  <si>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</si>
  <si>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</si>
  <si>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</si>
  <si>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</si>
  <si>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</si>
  <si>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</si>
  <si>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</si>
  <si>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</si>
  <si>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</si>
  <si>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</si>
  <si>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</si>
  <si>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</si>
  <si>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</si>
  <si>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</si>
  <si>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</si>
  <si>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</si>
  <si>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</si>
  <si>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</si>
  <si>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</si>
  <si>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</si>
  <si>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</si>
  <si>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</si>
  <si>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</si>
  <si>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</si>
  <si>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</si>
  <si>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</si>
  <si>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</si>
  <si>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</si>
  <si>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</si>
  <si>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</si>
  <si>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</si>
  <si>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</si>
  <si>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</si>
  <si>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</si>
  <si>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</si>
  <si>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</si>
  <si>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</si>
  <si>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</si>
  <si>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</si>
  <si>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</si>
  <si>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</si>
  <si>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</si>
  <si>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</si>
  <si>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</si>
  <si>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</si>
  <si>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</si>
  <si>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</si>
  <si>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</si>
  <si>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</si>
  <si>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</si>
  <si>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</si>
  <si>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</si>
  <si>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</si>
  <si>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</si>
  <si>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</si>
  <si>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</si>
  <si>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</si>
  <si>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</si>
  <si>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</si>
  <si>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</si>
  <si>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</si>
  <si>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</si>
  <si>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</si>
  <si>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</si>
  <si>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</si>
  <si>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</si>
  <si>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</si>
  <si>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</si>
  <si>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</si>
  <si>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</si>
  <si>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</si>
  <si>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</si>
  <si>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</si>
  <si>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</si>
  <si>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</si>
  <si>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</si>
  <si>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</si>
  <si>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</si>
  <si>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</si>
  <si>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</si>
  <si>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</si>
  <si>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</si>
  <si>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</si>
  <si>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</si>
  <si>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</si>
  <si>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</si>
  <si>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</si>
  <si>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</si>
  <si>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</si>
  <si>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</si>
  <si>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</si>
  <si>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</si>
  <si>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</si>
  <si>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</si>
  <si>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</si>
  <si>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</si>
  <si>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</si>
  <si>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</si>
  <si>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</si>
  <si>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</si>
  <si>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</si>
  <si>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</si>
  <si>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</si>
  <si>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</si>
  <si>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</si>
  <si>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</si>
  <si>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</si>
  <si>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</si>
  <si>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</si>
  <si>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</si>
  <si>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</si>
  <si>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</si>
  <si>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</si>
  <si>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</si>
  <si>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</si>
  <si>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</si>
  <si>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</si>
  <si>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</si>
  <si>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</si>
  <si>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</si>
  <si>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</si>
  <si>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</si>
  <si>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</si>
  <si>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</si>
  <si>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</si>
  <si>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</si>
  <si>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</si>
  <si>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</si>
  <si>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</si>
  <si>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</si>
  <si>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</si>
  <si>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</si>
  <si>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</si>
  <si>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</si>
  <si>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</si>
  <si>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</si>
  <si>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</si>
  <si>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</si>
  <si>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</si>
  <si>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</si>
  <si>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</si>
  <si>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</si>
  <si>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</si>
  <si>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</si>
  <si>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</si>
  <si>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</si>
  <si>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</si>
  <si>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</si>
  <si>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</si>
  <si>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</si>
  <si>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</si>
  <si>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</si>
  <si>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</si>
  <si>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</si>
  <si>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</si>
  <si>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</si>
  <si>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</si>
  <si>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</si>
  <si>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</si>
  <si>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</si>
  <si>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</si>
  <si>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</si>
  <si>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</si>
  <si>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</si>
  <si>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</si>
  <si>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</si>
  <si>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</si>
  <si>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</si>
  <si>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</si>
  <si>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</si>
  <si>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</si>
  <si>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</si>
  <si>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</si>
  <si>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</si>
  <si>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</si>
  <si>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</si>
  <si>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</si>
  <si>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</si>
  <si>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</si>
  <si>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</si>
  <si>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</si>
  <si>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</si>
  <si>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</si>
  <si>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</si>
  <si>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</si>
  <si>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</si>
  <si>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</si>
  <si>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</si>
  <si>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</si>
  <si>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</si>
  <si>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</si>
  <si>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</si>
  <si>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</si>
  <si>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</si>
  <si>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</si>
  <si>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</si>
  <si>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</si>
  <si>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</si>
  <si>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</si>
  <si>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</si>
  <si>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</si>
  <si>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</si>
  <si>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</si>
  <si>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</si>
  <si>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</si>
  <si>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</si>
  <si>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</si>
  <si>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</si>
  <si>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</si>
  <si>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</si>
  <si>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</si>
  <si>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</si>
  <si>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</si>
  <si>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</si>
  <si>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</si>
  <si>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</si>
  <si>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</si>
  <si>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</si>
  <si>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</si>
  <si>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</si>
  <si>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</si>
  <si>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</si>
  <si>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</si>
  <si>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</si>
  <si>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</si>
  <si>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</si>
  <si>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</si>
  <si>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</si>
  <si>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</si>
  <si>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</si>
  <si>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</si>
  <si>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</si>
  <si>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</si>
  <si>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</si>
  <si>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</si>
  <si>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</si>
  <si>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</si>
  <si>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</si>
  <si>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</si>
  <si>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</si>
  <si>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</si>
  <si>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</si>
  <si>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</si>
  <si>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</si>
  <si>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</si>
  <si>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</si>
  <si>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</si>
  <si>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</si>
  <si>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</si>
  <si>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</si>
  <si>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</si>
  <si>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</si>
  <si>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</si>
  <si>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</si>
  <si>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</si>
  <si>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</si>
  <si>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</si>
  <si>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</si>
  <si>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</si>
  <si>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</si>
  <si>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</si>
  <si>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</si>
  <si>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</si>
  <si>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</si>
  <si>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</si>
  <si>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</si>
  <si>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</si>
  <si>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</si>
  <si>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</si>
  <si>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</si>
  <si>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</si>
  <si>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</si>
  <si>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</si>
  <si>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</si>
  <si>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</si>
  <si>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</si>
  <si>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</si>
  <si>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</si>
  <si>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</si>
  <si>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</si>
  <si>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</si>
  <si>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</si>
  <si>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</si>
  <si>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</si>
  <si>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</si>
  <si>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</si>
  <si>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</si>
  <si>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</si>
  <si>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</si>
  <si>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</si>
  <si>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</si>
  <si>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</si>
  <si>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</si>
  <si>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</si>
  <si>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</si>
  <si>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</si>
  <si>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</si>
  <si>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</si>
  <si>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</si>
  <si>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</si>
  <si>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</si>
  <si>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</si>
  <si>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</si>
  <si>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</si>
  <si>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</si>
  <si>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</si>
  <si>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</si>
  <si>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</si>
  <si>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</si>
  <si>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</si>
  <si>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</si>
  <si>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</si>
  <si>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</si>
  <si>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</si>
  <si>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</si>
  <si>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</si>
  <si>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</si>
  <si>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</si>
  <si>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</si>
  <si>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</si>
  <si>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</si>
  <si>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</si>
  <si>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</si>
  <si>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</si>
  <si>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</si>
  <si>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</si>
  <si>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</si>
  <si>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</si>
  <si>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</si>
  <si>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</si>
  <si>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</si>
  <si>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</si>
  <si>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</si>
  <si>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</si>
  <si>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</si>
  <si>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</si>
  <si>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</si>
  <si>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</si>
  <si>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</si>
  <si>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</si>
  <si>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</si>
  <si>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</si>
  <si>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</si>
  <si>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</si>
  <si>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</si>
  <si>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</si>
  <si>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</si>
  <si>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</si>
  <si>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</si>
  <si>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</si>
  <si>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</si>
  <si>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</si>
  <si>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</si>
  <si>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</si>
  <si>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</si>
  <si>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</si>
  <si>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</si>
  <si>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</si>
  <si>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</si>
  <si>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</si>
  <si>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</si>
  <si>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</si>
  <si>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</si>
  <si>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</si>
  <si>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</si>
  <si>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</si>
  <si>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</si>
  <si>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</si>
  <si>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</si>
  <si>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</si>
  <si>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</si>
  <si>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</si>
  <si>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</si>
  <si>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</si>
  <si>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</si>
  <si>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</si>
  <si>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</si>
  <si>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</si>
  <si>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</si>
  <si>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</si>
  <si>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</si>
  <si>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</si>
  <si>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</si>
  <si>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</si>
  <si>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</si>
  <si>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</si>
  <si>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</si>
  <si>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</si>
  <si>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</si>
  <si>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</si>
  <si>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</si>
  <si>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</si>
  <si>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</si>
  <si>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</si>
  <si>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</si>
  <si>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</si>
  <si>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</si>
  <si>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</si>
  <si>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</si>
  <si>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</si>
  <si>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</si>
  <si>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</si>
  <si>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</si>
  <si>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</si>
  <si>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</si>
  <si>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</si>
  <si>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</si>
  <si>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</si>
  <si>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</si>
  <si>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</si>
  <si>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</si>
  <si>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</si>
  <si>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</si>
  <si>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</si>
  <si>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</si>
  <si>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</si>
  <si>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</si>
  <si>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</si>
  <si>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</si>
  <si>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</si>
  <si>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</si>
  <si>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</si>
  <si>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</si>
  <si>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</si>
  <si>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</si>
  <si>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</si>
  <si>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</si>
  <si>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</si>
  <si>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</si>
  <si>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</si>
  <si>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</si>
  <si>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</si>
  <si>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</si>
  <si>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</si>
  <si>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</si>
  <si>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</si>
  <si>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</si>
  <si>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</si>
  <si>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</si>
  <si>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</si>
  <si>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</si>
  <si>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</si>
  <si>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</si>
  <si>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</si>
  <si>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</si>
  <si>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</si>
  <si>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</si>
  <si>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</si>
  <si>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</si>
  <si>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</si>
  <si>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</si>
  <si>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</si>
  <si>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</si>
  <si>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</si>
  <si>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</si>
  <si>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</si>
  <si>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</si>
  <si>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</si>
  <si>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</si>
  <si>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</si>
  <si>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</si>
  <si>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</si>
  <si>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</si>
  <si>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</si>
  <si>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</si>
  <si>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</si>
  <si>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</si>
  <si>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</si>
  <si>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</si>
  <si>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</si>
  <si>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</si>
  <si>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</si>
  <si>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</si>
  <si>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</si>
  <si>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</si>
  <si>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</si>
  <si>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</si>
  <si>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</si>
  <si>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</si>
  <si>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</si>
  <si>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</si>
  <si>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</si>
  <si>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</si>
  <si>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</si>
  <si>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</si>
  <si>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</si>
  <si>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</si>
  <si>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</si>
  <si>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</si>
  <si>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</si>
  <si>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</si>
  <si>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</si>
  <si>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</si>
  <si>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</si>
  <si>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</si>
  <si>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</si>
  <si>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</si>
  <si>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</si>
  <si>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</si>
  <si>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</si>
  <si>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</si>
  <si>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</si>
  <si>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</si>
  <si>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</si>
  <si>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</si>
  <si>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</si>
  <si>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</si>
  <si>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</si>
  <si>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</si>
  <si>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</si>
  <si>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</si>
  <si>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</si>
  <si>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</si>
  <si>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</si>
  <si>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</si>
  <si>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</si>
  <si>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</si>
  <si>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</si>
  <si>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</si>
  <si>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</si>
  <si>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</si>
  <si>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</si>
  <si>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</si>
  <si>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</si>
  <si>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</si>
  <si>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</si>
  <si>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</si>
  <si>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</si>
  <si>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</si>
  <si>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</si>
  <si>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</si>
  <si>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</si>
  <si>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</si>
  <si>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</si>
  <si>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</si>
  <si>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</si>
  <si>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</si>
  <si>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</si>
  <si>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</si>
  <si>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</si>
  <si>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</si>
  <si>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</si>
  <si>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</si>
  <si>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</si>
  <si>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</si>
  <si>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</si>
  <si>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</si>
  <si>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</si>
  <si>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</si>
  <si>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</si>
  <si>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</si>
  <si>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</si>
  <si>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</si>
  <si>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</si>
  <si>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</si>
  <si>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</si>
  <si>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</si>
  <si>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</si>
  <si>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</si>
  <si>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</si>
  <si>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</si>
  <si>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</si>
  <si>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</si>
  <si>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</si>
  <si>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</si>
  <si>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</si>
  <si>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</si>
  <si>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</si>
  <si>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</si>
  <si>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</si>
  <si>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</si>
  <si>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</si>
  <si>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</si>
  <si>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</si>
  <si>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</si>
  <si>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</si>
  <si>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</si>
  <si>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</si>
  <si>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</si>
  <si>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</si>
  <si>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</si>
  <si>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</si>
  <si>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</si>
  <si>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</si>
  <si>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</si>
  <si>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</si>
  <si>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</si>
  <si>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</si>
  <si>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</si>
  <si>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</si>
  <si>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</si>
  <si>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</si>
  <si>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</si>
  <si>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</si>
  <si>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</si>
  <si>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</si>
  <si>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</si>
  <si>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</si>
  <si>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</si>
  <si>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</si>
  <si>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</si>
  <si>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</si>
  <si>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</si>
  <si>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</si>
  <si>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</si>
  <si>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</si>
  <si>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</si>
  <si>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</si>
  <si>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</si>
  <si>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</si>
  <si>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</si>
  <si>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</si>
  <si>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</si>
  <si>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</si>
  <si>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</si>
  <si>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</si>
  <si>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</si>
  <si>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</si>
  <si>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</si>
  <si>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</si>
  <si>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</si>
  <si>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</si>
  <si>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</si>
  <si>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</si>
  <si>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</si>
  <si>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</si>
  <si>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</si>
  <si>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</si>
  <si>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</si>
  <si>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</si>
  <si>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</si>
  <si>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</si>
  <si>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</si>
  <si>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</si>
  <si>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</si>
  <si>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</si>
  <si>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</si>
  <si>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</si>
  <si>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</si>
  <si>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</si>
  <si>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</si>
  <si>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</si>
  <si>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</si>
  <si>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</si>
  <si>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</si>
  <si>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</si>
  <si>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</si>
  <si>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</si>
  <si>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</si>
  <si>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</si>
  <si>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</si>
  <si>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</si>
  <si>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</si>
  <si>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</si>
  <si>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</si>
  <si>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</si>
  <si>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</si>
  <si>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</si>
  <si>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</si>
  <si>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</si>
  <si>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</si>
  <si>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</si>
  <si>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</si>
  <si>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</si>
  <si>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</si>
  <si>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</si>
  <si>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</si>
  <si>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</si>
  <si>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</si>
  <si>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</si>
  <si>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</si>
  <si>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</si>
  <si>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</si>
  <si>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</si>
  <si>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</si>
  <si>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</si>
  <si>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</si>
  <si>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</si>
  <si>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</si>
  <si>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</si>
  <si>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</si>
  <si>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</si>
  <si>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</si>
  <si>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</si>
  <si>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</si>
  <si>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</si>
  <si>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</si>
  <si>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</si>
  <si>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</si>
  <si>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</si>
  <si>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</si>
  <si>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</si>
  <si>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</si>
  <si>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</si>
  <si>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</si>
  <si>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</si>
  <si>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</si>
  <si>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</si>
  <si>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</si>
  <si>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</si>
  <si>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</si>
  <si>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</si>
  <si>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</si>
  <si>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</si>
  <si>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</si>
  <si>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</si>
  <si>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</si>
  <si>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</si>
  <si>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</si>
  <si>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</si>
  <si>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</si>
  <si>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</si>
  <si>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</si>
  <si>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</si>
  <si>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</si>
  <si>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</si>
  <si>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</si>
  <si>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</si>
  <si>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</si>
  <si>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</si>
  <si>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</si>
  <si>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</si>
  <si>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</si>
  <si>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</si>
  <si>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</si>
  <si>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</si>
  <si>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</si>
  <si>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</si>
  <si>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</si>
  <si>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</si>
  <si>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</si>
  <si>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</si>
  <si>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</si>
  <si>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</si>
  <si>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</si>
  <si>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</si>
  <si>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</si>
  <si>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</si>
  <si>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</si>
  <si>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</si>
  <si>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</si>
  <si>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</si>
  <si>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</si>
  <si>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</si>
  <si>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</si>
  <si>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</si>
  <si>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</si>
  <si>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</si>
  <si>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</si>
  <si>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</si>
  <si>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</si>
  <si>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</si>
  <si>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</si>
  <si>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</si>
  <si>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</si>
  <si>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</si>
  <si>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</si>
  <si>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</si>
  <si>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</si>
  <si>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</si>
  <si>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</si>
  <si>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</si>
  <si>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</si>
  <si>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</si>
  <si>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</si>
  <si>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</si>
  <si>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</si>
  <si>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</si>
  <si>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</si>
  <si>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</si>
  <si>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</si>
  <si>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</si>
  <si>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</si>
  <si>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</si>
  <si>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</si>
  <si>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</si>
  <si>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</si>
  <si>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</si>
  <si>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</si>
  <si>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</si>
  <si>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</si>
  <si>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</si>
  <si>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</si>
  <si>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</si>
  <si>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</si>
  <si>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</si>
  <si>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</si>
  <si>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</si>
  <si>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</si>
  <si>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</si>
  <si>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</si>
  <si>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</si>
  <si>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</si>
  <si>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</si>
  <si>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</si>
  <si>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</si>
  <si>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</si>
  <si>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</si>
  <si>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</si>
  <si>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</si>
  <si>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</si>
  <si>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</si>
  <si>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</si>
  <si>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</si>
  <si>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</si>
  <si>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</si>
  <si>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</si>
  <si>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</si>
  <si>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</si>
  <si>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</si>
  <si>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</si>
  <si>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</si>
  <si>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</si>
  <si>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</si>
  <si>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</si>
  <si>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</si>
  <si>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</si>
  <si>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</si>
  <si>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</si>
  <si>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</si>
  <si>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</si>
  <si>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</si>
  <si>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</si>
  <si>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</si>
  <si>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</si>
  <si>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</si>
  <si>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</si>
  <si>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</si>
  <si>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</si>
  <si>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</si>
  <si>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</si>
  <si>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</si>
  <si>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</si>
  <si>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</si>
  <si>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</si>
  <si>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</si>
  <si>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</si>
  <si>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</si>
  <si>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</si>
  <si>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</si>
  <si>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</si>
  <si>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</si>
  <si>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</si>
  <si>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</si>
  <si>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</si>
  <si>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</si>
  <si>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</si>
  <si>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</si>
  <si>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</si>
  <si>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</si>
  <si>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</si>
  <si>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</si>
  <si>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</si>
  <si>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</si>
  <si>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</si>
  <si>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</si>
  <si>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</si>
  <si>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</si>
  <si>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</si>
  <si>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</si>
  <si>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</si>
  <si>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</si>
  <si>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</si>
  <si>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</si>
  <si>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</si>
  <si>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</si>
  <si>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</si>
  <si>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</si>
  <si>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</si>
  <si>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</si>
  <si>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</si>
  <si>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</si>
  <si>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</si>
  <si>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</si>
  <si>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</si>
  <si>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</si>
  <si>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</si>
  <si>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</si>
  <si>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</si>
  <si>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</si>
  <si>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</si>
  <si>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</si>
  <si>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</si>
  <si>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</si>
  <si>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</si>
  <si>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</si>
  <si>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</si>
  <si>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</si>
  <si>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</si>
  <si>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</si>
  <si>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</si>
  <si>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</si>
  <si>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</si>
  <si>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</si>
  <si>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</si>
  <si>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</si>
  <si>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</si>
  <si>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</si>
  <si>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</si>
  <si>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</si>
  <si>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</si>
  <si>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</si>
  <si>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</si>
  <si>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</si>
  <si>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</si>
  <si>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</si>
  <si>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</si>
  <si>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</si>
  <si>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</si>
  <si>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</si>
  <si>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</si>
  <si>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</si>
  <si>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</si>
  <si>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</si>
  <si>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</si>
  <si>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</si>
  <si>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</si>
  <si>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</si>
  <si>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</si>
  <si>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</si>
  <si>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</si>
  <si>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</si>
  <si>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</si>
  <si>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</si>
  <si>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</si>
  <si>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</si>
  <si>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</si>
  <si>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</si>
  <si>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</si>
  <si>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</si>
  <si>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</si>
  <si>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</si>
  <si>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</si>
  <si>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</si>
  <si>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</si>
  <si>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</si>
  <si>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</si>
  <si>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</si>
  <si>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</si>
  <si>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</si>
  <si>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</si>
  <si>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</si>
  <si>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</si>
  <si>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</si>
  <si>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</si>
  <si>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</si>
  <si>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</si>
  <si>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</si>
  <si>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</si>
  <si>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</si>
  <si>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</si>
  <si>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</si>
  <si>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</si>
  <si>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</si>
  <si>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</si>
  <si>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</si>
  <si>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</si>
  <si>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</si>
  <si>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</si>
  <si>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</si>
  <si>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</si>
  <si>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</si>
  <si>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</si>
  <si>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</si>
  <si>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</si>
  <si>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</si>
  <si>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</si>
  <si>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</si>
  <si>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</si>
  <si>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</si>
  <si>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</si>
  <si>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</si>
  <si>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</si>
  <si>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</si>
  <si>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</si>
  <si>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</si>
  <si>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</si>
  <si>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</si>
  <si>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</si>
  <si>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</si>
  <si>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</si>
  <si>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</si>
  <si>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</si>
  <si>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</si>
  <si>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</si>
  <si>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</si>
  <si>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</si>
  <si>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</si>
  <si>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</si>
  <si>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</si>
  <si>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</si>
  <si>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</si>
  <si>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</si>
  <si>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</si>
  <si>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</si>
  <si>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</si>
  <si>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</si>
  <si>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</si>
  <si>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</si>
  <si>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</si>
  <si>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</si>
  <si>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</si>
  <si>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</si>
  <si>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</si>
  <si>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</si>
  <si>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</si>
  <si>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</si>
  <si>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</si>
  <si>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</si>
  <si>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</si>
  <si>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</si>
  <si>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</si>
  <si>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</si>
  <si>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</si>
  <si>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</si>
  <si>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</si>
  <si>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</si>
  <si>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</si>
  <si>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</si>
  <si>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</si>
  <si>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</si>
  <si>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</si>
  <si>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</si>
  <si>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</si>
  <si>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</si>
  <si>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</si>
  <si>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</si>
  <si>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</si>
  <si>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</si>
  <si>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</si>
  <si>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</si>
  <si>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</si>
  <si>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</si>
  <si>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</si>
  <si>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</si>
  <si>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</si>
  <si>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</si>
  <si>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</si>
  <si>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</si>
  <si>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</si>
  <si>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</si>
  <si>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</si>
  <si>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</si>
  <si>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</si>
  <si>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</si>
  <si>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</si>
  <si>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</si>
  <si>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</si>
  <si>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</si>
  <si>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</si>
  <si>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</si>
  <si>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</si>
  <si>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</si>
  <si>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</si>
  <si>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</si>
  <si>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</si>
  <si>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</si>
  <si>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</si>
  <si>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</si>
  <si>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</si>
  <si>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</si>
  <si>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</si>
  <si>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</si>
  <si>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</si>
  <si>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</si>
  <si>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</si>
  <si>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</si>
  <si>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</si>
  <si>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</si>
  <si>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</si>
  <si>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</si>
  <si>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</si>
  <si>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</si>
  <si>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</si>
  <si>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</si>
  <si>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</si>
  <si>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</si>
  <si>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</si>
  <si>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</si>
  <si>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</si>
  <si>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</si>
  <si>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</si>
  <si>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</si>
  <si>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</si>
  <si>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</si>
  <si>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</si>
  <si>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</si>
  <si>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</si>
  <si>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</si>
  <si>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</si>
  <si>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</si>
  <si>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</si>
  <si>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</si>
  <si>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</si>
  <si>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</si>
  <si>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</si>
  <si>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</si>
  <si>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</si>
  <si>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</si>
  <si>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</si>
  <si>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</si>
  <si>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</si>
  <si>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</si>
  <si>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</si>
  <si>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</si>
  <si>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</si>
  <si>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</si>
  <si>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</si>
  <si>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</si>
  <si>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</si>
  <si>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</si>
  <si>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</si>
  <si>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</si>
  <si>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</si>
  <si>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</si>
  <si>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</si>
  <si>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</si>
  <si>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</si>
  <si>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</si>
  <si>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</si>
  <si>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</si>
  <si>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</si>
  <si>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</si>
  <si>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</si>
  <si>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</si>
  <si>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</si>
  <si>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</si>
  <si>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</si>
  <si>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</si>
  <si>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</si>
  <si>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</si>
  <si>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</si>
  <si>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</si>
  <si>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</si>
  <si>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</si>
  <si>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</si>
  <si>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</si>
  <si>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</si>
  <si>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</si>
  <si>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</si>
  <si>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</si>
  <si>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</si>
  <si>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</si>
  <si>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</si>
  <si>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</si>
  <si>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</si>
  <si>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</si>
  <si>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</si>
  <si>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</si>
  <si>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</si>
  <si>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</si>
  <si>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</si>
  <si>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</si>
  <si>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</si>
  <si>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</si>
  <si>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</si>
  <si>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</si>
  <si>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</si>
  <si>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</si>
  <si>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</si>
  <si>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</si>
  <si>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</si>
  <si>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</si>
  <si>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</si>
  <si>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</si>
  <si>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</si>
  <si>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</si>
  <si>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</si>
  <si>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</si>
  <si>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</si>
  <si>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</si>
  <si>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</si>
  <si>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</si>
  <si>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</si>
  <si>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</si>
  <si>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</si>
  <si>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</si>
  <si>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</si>
  <si>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</si>
  <si>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</si>
  <si>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</si>
  <si>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</si>
  <si>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</si>
  <si>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</si>
  <si>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</si>
  <si>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</si>
  <si>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</si>
  <si>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</si>
  <si>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</si>
  <si>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</si>
  <si>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</si>
  <si>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</si>
  <si>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</si>
  <si>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</si>
  <si>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</si>
  <si>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</si>
  <si>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</si>
  <si>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</si>
  <si>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</si>
  <si>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</si>
  <si>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</si>
  <si>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</si>
  <si>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</si>
  <si>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</si>
  <si>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</si>
  <si>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</si>
  <si>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</si>
  <si>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</si>
  <si>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</si>
  <si>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</si>
  <si>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</si>
  <si>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</si>
  <si>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</si>
  <si>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</si>
  <si>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</si>
  <si>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</si>
  <si>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</si>
  <si>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</si>
  <si>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</si>
  <si>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</si>
  <si>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</si>
  <si>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</si>
  <si>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</si>
  <si>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</si>
  <si>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</si>
  <si>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</si>
  <si>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</si>
  <si>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</si>
  <si>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</si>
  <si>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</si>
  <si>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</si>
  <si>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</si>
  <si>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</si>
  <si>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</si>
  <si>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</si>
  <si>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</si>
  <si>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</si>
  <si>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</si>
  <si>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</si>
  <si>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</si>
  <si>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</si>
  <si>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</si>
  <si>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</si>
  <si>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</si>
  <si>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</si>
  <si>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</si>
  <si>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</si>
  <si>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</si>
  <si>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</si>
  <si>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</si>
  <si>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</si>
  <si>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</si>
  <si>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</si>
  <si>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</si>
  <si>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</si>
  <si>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</si>
  <si>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</si>
  <si>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</si>
  <si>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</si>
  <si>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</si>
  <si>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</si>
  <si>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</si>
  <si>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</si>
  <si>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</si>
  <si>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</si>
  <si>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</si>
  <si>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</si>
  <si>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</si>
  <si>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</si>
  <si>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</si>
  <si>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</si>
  <si>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</si>
  <si>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</si>
  <si>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</si>
  <si>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</si>
  <si>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</si>
  <si>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</si>
  <si>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</si>
  <si>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</si>
  <si>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</si>
  <si>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</si>
  <si>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</si>
  <si>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</si>
  <si>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</si>
  <si>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</si>
  <si>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</si>
  <si>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</si>
  <si>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</si>
  <si>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</si>
  <si>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</si>
  <si>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</si>
  <si>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</si>
  <si>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</si>
  <si>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</si>
  <si>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</si>
  <si>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</si>
  <si>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</si>
  <si>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</si>
  <si>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</si>
  <si>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</si>
  <si>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</si>
  <si>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</si>
  <si>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</si>
  <si>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</si>
  <si>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</si>
  <si>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</si>
  <si>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</si>
  <si>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</si>
  <si>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</si>
  <si>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</si>
  <si>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</si>
  <si>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</si>
  <si>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</si>
  <si>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</si>
  <si>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</si>
  <si>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</si>
  <si>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</si>
  <si>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</si>
  <si>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</si>
  <si>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</si>
  <si>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</si>
  <si>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</si>
  <si>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</si>
  <si>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</si>
  <si>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</si>
  <si>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</si>
  <si>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</si>
  <si>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</si>
  <si>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</si>
  <si>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</si>
  <si>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</si>
  <si>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</si>
  <si>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</si>
  <si>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</si>
  <si>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</si>
  <si>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</si>
  <si>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</si>
  <si>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</si>
  <si>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</si>
  <si>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</si>
  <si>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</si>
  <si>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</si>
  <si>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</si>
  <si>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</si>
  <si>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</si>
  <si>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</si>
  <si>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</si>
  <si>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</si>
  <si>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</si>
  <si>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</si>
  <si>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</si>
  <si>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</si>
  <si>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</si>
  <si>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</si>
  <si>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</si>
  <si>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</si>
  <si>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</si>
  <si>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</si>
  <si>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</si>
  <si>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</si>
  <si>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</si>
  <si>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</si>
  <si>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</si>
  <si>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</si>
  <si>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</si>
  <si>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</si>
  <si>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</si>
  <si>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</si>
  <si>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</si>
  <si>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</si>
  <si>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</si>
  <si>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</si>
  <si>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</si>
  <si>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</si>
  <si>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</si>
  <si>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</si>
  <si>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</si>
  <si>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</si>
  <si>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</si>
  <si>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</si>
  <si>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</si>
  <si>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</si>
  <si>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</si>
  <si>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</si>
  <si>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</si>
  <si>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</si>
  <si>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</si>
  <si>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</si>
  <si>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</si>
  <si>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</si>
  <si>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</si>
  <si>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</si>
  <si>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</si>
  <si>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</si>
  <si>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</si>
  <si>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</si>
  <si>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</si>
  <si>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</si>
  <si>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</si>
  <si>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</si>
  <si>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</si>
  <si>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</si>
  <si>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</si>
  <si>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</si>
  <si>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</si>
  <si>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</si>
  <si>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</si>
  <si>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</si>
  <si>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</si>
  <si>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</si>
  <si>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</si>
  <si>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</si>
  <si>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</si>
  <si>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</si>
  <si>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</si>
  <si>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</si>
  <si>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</si>
  <si>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</si>
  <si>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</si>
  <si>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</si>
  <si>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</si>
  <si>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</si>
  <si>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</si>
  <si>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</si>
  <si>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</si>
  <si>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</si>
  <si>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</si>
  <si>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</si>
  <si>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</si>
  <si>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</si>
  <si>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</si>
  <si>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</si>
  <si>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</si>
  <si>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</si>
  <si>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</si>
  <si>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</si>
  <si>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</si>
  <si>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</si>
  <si>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</si>
  <si>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</si>
  <si>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</si>
  <si>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</si>
  <si>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</si>
  <si>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</si>
  <si>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</si>
  <si>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</si>
  <si>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</si>
  <si>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</si>
  <si>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</si>
  <si>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</si>
  <si>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</si>
  <si>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</si>
  <si>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</si>
  <si>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</si>
  <si>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</si>
  <si>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</si>
  <si>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</si>
  <si>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</si>
  <si>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</si>
  <si>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</si>
  <si>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</si>
  <si>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</si>
  <si>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</si>
  <si>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</si>
  <si>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</si>
  <si>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</si>
  <si>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</si>
  <si>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</si>
  <si>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</si>
  <si>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</si>
  <si>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</si>
  <si>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</si>
  <si>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</si>
  <si>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</si>
  <si>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</si>
  <si>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</si>
  <si>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</si>
  <si>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</si>
  <si>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</si>
  <si>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</si>
  <si>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</si>
  <si>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</si>
  <si>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</si>
  <si>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</si>
  <si>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</si>
  <si>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</si>
  <si>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</si>
  <si>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</si>
  <si>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</si>
  <si>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</si>
  <si>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</si>
  <si>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</si>
  <si>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</si>
  <si>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</si>
  <si>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</si>
  <si>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</si>
  <si>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</si>
  <si>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</si>
  <si>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</si>
  <si>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</si>
  <si>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</si>
  <si>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</si>
  <si>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</si>
  <si>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</si>
  <si>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</si>
  <si>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</si>
  <si>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</si>
  <si>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</si>
  <si>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</si>
  <si>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</si>
  <si>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</si>
  <si>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</si>
  <si>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</si>
  <si>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</si>
  <si>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</si>
  <si>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</si>
  <si>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</si>
  <si>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</si>
  <si>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</si>
  <si>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</si>
  <si>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</si>
  <si>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</si>
  <si>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</si>
  <si>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</si>
  <si>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</si>
  <si>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</si>
  <si>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</si>
  <si>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</si>
  <si>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</si>
  <si>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</si>
  <si>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</si>
  <si>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</si>
  <si>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</si>
  <si>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</si>
  <si>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</si>
  <si>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</si>
  <si>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</si>
  <si>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</si>
  <si>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</si>
  <si>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</si>
  <si>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</si>
  <si>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</si>
  <si>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</si>
  <si>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</si>
  <si>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</si>
  <si>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</si>
  <si>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</si>
  <si>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</si>
  <si>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</si>
  <si>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</si>
  <si>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</si>
  <si>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</si>
  <si>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</si>
  <si>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</si>
  <si>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</si>
  <si>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</si>
  <si>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</si>
  <si>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</si>
  <si>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</si>
  <si>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</si>
  <si>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</si>
  <si>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</si>
  <si>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</si>
  <si>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</si>
  <si>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</si>
  <si>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</si>
  <si>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</si>
  <si>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</si>
  <si>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</si>
  <si>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</si>
  <si>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</si>
  <si>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</si>
  <si>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</si>
  <si>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</si>
  <si>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</si>
  <si>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</si>
  <si>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</si>
  <si>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</si>
  <si>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</si>
  <si>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</si>
  <si>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</si>
  <si>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</si>
  <si>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</si>
  <si>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</si>
  <si>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</si>
  <si>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</si>
  <si>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</si>
  <si>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</si>
  <si>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</si>
  <si>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</si>
  <si>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</si>
  <si>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</si>
  <si>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</si>
  <si>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</si>
  <si>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</si>
  <si>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</si>
  <si>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</si>
  <si>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</si>
  <si>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</si>
  <si>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</si>
  <si>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</si>
  <si>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</si>
  <si>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</si>
  <si>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</si>
  <si>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</si>
  <si>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</si>
  <si>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</si>
  <si>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</si>
  <si>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</si>
  <si>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</si>
  <si>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</si>
  <si>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</si>
  <si>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</si>
  <si>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</si>
  <si>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</si>
  <si>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</si>
  <si>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</si>
  <si>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</si>
  <si>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</si>
  <si>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</si>
  <si>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</si>
  <si>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</si>
  <si>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</si>
  <si>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</si>
  <si>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</si>
  <si>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</si>
  <si>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</si>
  <si>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</si>
  <si>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</si>
  <si>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</si>
  <si>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</si>
  <si>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</si>
  <si>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</si>
  <si>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</si>
  <si>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</si>
  <si>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</si>
  <si>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</si>
  <si>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</si>
  <si>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</si>
  <si>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</si>
  <si>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</si>
  <si>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</si>
  <si>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</si>
  <si>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</si>
  <si>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</si>
  <si>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</si>
  <si>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</si>
  <si>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</si>
  <si>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</si>
  <si>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</si>
  <si>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</si>
  <si>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</si>
  <si>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</si>
  <si>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</si>
  <si>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</si>
  <si>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</si>
  <si>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</si>
  <si>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</si>
  <si>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</si>
  <si>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</si>
  <si>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</si>
  <si>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</si>
  <si>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</si>
  <si>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</si>
  <si>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</si>
  <si>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</si>
  <si>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</si>
  <si>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</si>
  <si>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</si>
  <si>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</si>
  <si>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</si>
  <si>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</si>
  <si>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</si>
  <si>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</si>
  <si>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</si>
  <si>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</si>
  <si>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</si>
  <si>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</si>
  <si>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</si>
  <si>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</si>
  <si>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</si>
  <si>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</si>
  <si>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</si>
  <si>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</si>
  <si>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</si>
  <si>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</si>
  <si>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</si>
  <si>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</si>
  <si>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</si>
  <si>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</si>
  <si>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</si>
  <si>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</si>
  <si>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</si>
  <si>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</si>
  <si>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</si>
  <si>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</si>
  <si>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</si>
  <si>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</si>
  <si>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</si>
  <si>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</si>
  <si>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</si>
  <si>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</si>
  <si>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</si>
  <si>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</si>
  <si>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</si>
  <si>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</si>
  <si>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</si>
  <si>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</si>
  <si>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</si>
  <si>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</si>
  <si>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</si>
  <si>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</si>
  <si>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</si>
  <si>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</si>
  <si>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</si>
  <si>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</si>
  <si>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</si>
  <si>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</si>
  <si>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</si>
  <si>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</si>
  <si>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</si>
  <si>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</si>
  <si>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</si>
  <si>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</si>
  <si>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</si>
  <si>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</si>
  <si>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</si>
  <si>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</si>
  <si>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</si>
  <si>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</si>
  <si>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</si>
  <si>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</si>
  <si>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</si>
  <si>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</si>
  <si>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</si>
  <si>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</si>
  <si>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</si>
  <si>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</si>
  <si>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</si>
  <si>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</si>
  <si>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</si>
  <si>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</si>
  <si>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</si>
  <si>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</si>
  <si>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</si>
  <si>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</si>
  <si>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</si>
  <si>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</si>
  <si>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</si>
  <si>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</si>
  <si>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</si>
  <si>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</si>
  <si>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</si>
  <si>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</si>
  <si>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</si>
  <si>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</si>
  <si>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</si>
  <si>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</si>
  <si>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</si>
  <si>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</si>
  <si>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</si>
  <si>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</si>
  <si>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</si>
  <si>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</si>
  <si>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</si>
  <si>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</si>
  <si>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</si>
  <si>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</si>
  <si>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</si>
  <si>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</si>
  <si>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</si>
  <si>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</si>
  <si>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</si>
  <si>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</si>
  <si>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</si>
  <si>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</si>
  <si>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</si>
  <si>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</si>
  <si>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</si>
  <si>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</si>
  <si>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</si>
  <si>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</si>
  <si>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</si>
  <si>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</si>
  <si>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</si>
  <si>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</si>
  <si>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</si>
  <si>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</si>
  <si>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</si>
  <si>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</si>
  <si>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</si>
  <si>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</si>
  <si>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</si>
  <si>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</si>
  <si>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</si>
  <si>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</si>
  <si>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</si>
  <si>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</si>
  <si>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</si>
  <si>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</si>
  <si>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</si>
  <si>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</si>
  <si>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</si>
  <si>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</si>
  <si>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</si>
  <si>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</si>
  <si>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</si>
  <si>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</si>
  <si>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</si>
  <si>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</si>
  <si>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</si>
  <si>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</si>
  <si>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</si>
  <si>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</si>
  <si>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</si>
  <si>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</si>
  <si>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</si>
  <si>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</si>
  <si>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</si>
  <si>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</si>
  <si>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</si>
  <si>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</si>
  <si>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</si>
  <si>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</si>
  <si>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</si>
  <si>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</si>
  <si>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</si>
  <si>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</si>
  <si>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</si>
  <si>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</si>
  <si>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</si>
  <si>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</si>
  <si>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</si>
  <si>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</si>
  <si>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</si>
  <si>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</si>
  <si>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</si>
  <si>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</si>
  <si>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</si>
  <si>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</si>
  <si>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</si>
  <si>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</si>
  <si>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</si>
  <si>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</si>
  <si>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</si>
  <si>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</si>
  <si>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</si>
  <si>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</si>
  <si>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</si>
  <si>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</si>
  <si>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</si>
  <si>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</si>
  <si>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</si>
  <si>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</si>
  <si>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</si>
  <si>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</si>
  <si>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</si>
  <si>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</si>
  <si>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</si>
  <si>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</si>
  <si>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</si>
  <si>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</si>
  <si>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</si>
  <si>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</si>
  <si>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</si>
  <si>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</si>
  <si>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</si>
  <si>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</si>
  <si>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</si>
  <si>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</si>
  <si>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</si>
  <si>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</si>
  <si>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</si>
  <si>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</si>
  <si>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</si>
  <si>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</si>
  <si>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</si>
  <si>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</si>
  <si>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</si>
  <si>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</si>
  <si>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</si>
  <si>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</si>
  <si>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</si>
  <si>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</si>
  <si>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</si>
  <si>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</si>
  <si>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</si>
  <si>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</si>
  <si>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</si>
  <si>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</si>
  <si>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</si>
  <si>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</si>
  <si>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</si>
  <si>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</si>
  <si>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</si>
  <si>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</si>
  <si>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</si>
  <si>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</si>
  <si>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</si>
  <si>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</si>
  <si>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</si>
  <si>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</si>
  <si>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</si>
  <si>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</si>
  <si>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</si>
  <si>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</si>
  <si>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</si>
  <si>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</si>
  <si>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</si>
  <si>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</si>
  <si>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</si>
  <si>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</si>
  <si>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</si>
  <si>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</si>
  <si>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</si>
  <si>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</si>
  <si>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</si>
  <si>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</si>
  <si>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</si>
  <si>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</si>
  <si>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</si>
  <si>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</si>
  <si>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</si>
  <si>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</si>
  <si>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</si>
  <si>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</si>
  <si>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</si>
  <si>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</si>
  <si>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</si>
  <si>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</si>
  <si>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</si>
  <si>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</si>
  <si>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</si>
  <si>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</si>
  <si>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</si>
  <si>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</si>
  <si>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</si>
  <si>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</si>
  <si>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</si>
  <si>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</si>
  <si>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</si>
  <si>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</si>
  <si>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</si>
  <si>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</si>
  <si>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</si>
  <si>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</si>
  <si>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</si>
  <si>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</si>
  <si>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</si>
  <si>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</si>
  <si>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</si>
  <si>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</si>
  <si>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</si>
  <si>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</si>
  <si>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</si>
  <si>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</si>
  <si>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</si>
  <si>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</si>
  <si>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</si>
  <si>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</si>
  <si>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</si>
  <si>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</si>
  <si>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</si>
  <si>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</si>
  <si>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</si>
  <si>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</si>
  <si>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</si>
  <si>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</si>
  <si>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</si>
  <si>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</si>
  <si>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</si>
  <si>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</si>
  <si>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</si>
  <si>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</si>
  <si>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</si>
  <si>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</si>
  <si>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</si>
  <si>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</si>
  <si>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</si>
  <si>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</si>
  <si>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</si>
  <si>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</si>
  <si>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</si>
  <si>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</si>
  <si>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</si>
  <si>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</si>
  <si>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</si>
  <si>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</si>
  <si>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</si>
  <si>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</si>
  <si>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</si>
  <si>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</si>
  <si>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</si>
  <si>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</si>
  <si>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</si>
  <si>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</si>
  <si>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</si>
  <si>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</si>
  <si>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</si>
  <si>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</si>
  <si>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</si>
  <si>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</si>
  <si>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</si>
  <si>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</si>
  <si>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</si>
  <si>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</si>
  <si>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</si>
  <si>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</si>
  <si>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</si>
  <si>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</si>
  <si>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</si>
  <si>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</si>
  <si>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</si>
  <si>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</si>
  <si>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</si>
  <si>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</si>
  <si>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</si>
  <si>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</si>
  <si>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</si>
  <si>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</si>
  <si>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</si>
  <si>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</si>
  <si>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</si>
  <si>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</si>
  <si>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</si>
  <si>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</si>
  <si>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</si>
  <si>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</si>
  <si>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</si>
  <si>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</si>
  <si>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</si>
  <si>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</si>
  <si>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</si>
  <si>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</si>
  <si>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</si>
  <si>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</si>
  <si>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</si>
  <si>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</si>
  <si>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</si>
  <si>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</si>
  <si>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</si>
  <si>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</si>
  <si>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</si>
  <si>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</si>
  <si>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</si>
  <si>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</si>
  <si>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</si>
  <si>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</si>
  <si>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</si>
  <si>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</si>
  <si>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</si>
  <si>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</si>
  <si>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</si>
  <si>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</si>
  <si>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</si>
  <si>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</si>
  <si>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</si>
  <si>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</si>
  <si>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</si>
  <si>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</si>
  <si>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</si>
  <si>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</si>
  <si>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</si>
  <si>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</si>
  <si>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</si>
  <si>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</si>
  <si>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</si>
  <si>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</si>
  <si>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</si>
  <si>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</si>
  <si>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</si>
  <si>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</si>
  <si>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</si>
  <si>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</si>
  <si>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</si>
  <si>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</si>
  <si>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</si>
  <si>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</si>
  <si>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</si>
  <si>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</si>
  <si>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</si>
  <si>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</si>
  <si>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</si>
  <si>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</si>
  <si>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</si>
  <si>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</si>
  <si>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</si>
  <si>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</si>
  <si>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</si>
  <si>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</si>
  <si>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</si>
  <si>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</si>
  <si>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</si>
  <si>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</si>
  <si>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</si>
  <si>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</si>
  <si>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</si>
  <si>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</si>
  <si>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</si>
  <si>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</si>
  <si>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</si>
  <si>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</si>
  <si>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</si>
  <si>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</si>
  <si>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</si>
  <si>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</si>
  <si>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</si>
  <si>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</si>
  <si>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</si>
  <si>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</si>
  <si>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</si>
  <si>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</si>
  <si>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</si>
  <si>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</si>
  <si>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</si>
  <si>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</si>
  <si>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</si>
  <si>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</si>
  <si>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</si>
  <si>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</si>
  <si>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</si>
  <si>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</si>
  <si>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</si>
  <si>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</si>
  <si>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</si>
  <si>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</si>
  <si>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</si>
  <si>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</si>
  <si>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</si>
  <si>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</si>
  <si>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</si>
  <si>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</si>
  <si>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</si>
  <si>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</si>
  <si>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</si>
  <si>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</si>
  <si>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</si>
  <si>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</si>
  <si>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</si>
  <si>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</si>
  <si>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</si>
  <si>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</si>
  <si>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</si>
  <si>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</si>
  <si>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</si>
  <si>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</si>
  <si>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</si>
  <si>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</si>
  <si>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</si>
  <si>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</si>
  <si>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</si>
  <si>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</si>
  <si>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</si>
  <si>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</si>
  <si>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</si>
  <si>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</si>
  <si>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</si>
  <si>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</si>
  <si>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</si>
  <si>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</si>
  <si>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</si>
  <si>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</si>
  <si>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</si>
  <si>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</si>
  <si>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</si>
  <si>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</si>
  <si>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</si>
  <si>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</si>
  <si>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</si>
  <si>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</si>
  <si>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</si>
  <si>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</si>
  <si>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</si>
  <si>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</si>
  <si>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</si>
  <si>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</si>
  <si>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</si>
  <si>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</si>
  <si>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</si>
  <si>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</si>
  <si>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</si>
  <si>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</si>
  <si>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</si>
  <si>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</si>
  <si>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</si>
  <si>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</si>
  <si>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</si>
  <si>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</si>
  <si>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</si>
  <si>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</si>
  <si>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</si>
  <si>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</si>
  <si>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</si>
  <si>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</si>
  <si>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</si>
  <si>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</si>
  <si>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</si>
  <si>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</si>
  <si>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</si>
  <si>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</si>
  <si>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</si>
  <si>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</si>
  <si>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</si>
  <si>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</si>
  <si>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</si>
  <si>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</si>
  <si>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</si>
  <si>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</si>
  <si>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</si>
  <si>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</si>
  <si>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</si>
  <si>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</si>
  <si>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</si>
  <si>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</si>
  <si>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</si>
  <si>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</si>
  <si>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</si>
  <si>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</si>
  <si>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</si>
  <si>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</si>
  <si>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</si>
  <si>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</si>
  <si>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</si>
  <si>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</si>
  <si>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</si>
  <si>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</si>
  <si>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</si>
  <si>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</si>
  <si>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</si>
  <si>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</si>
  <si>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</si>
  <si>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</si>
  <si>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</si>
  <si>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</si>
  <si>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</si>
  <si>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</si>
  <si>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</si>
  <si>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</si>
  <si>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</si>
  <si>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</si>
  <si>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</si>
  <si>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</si>
  <si>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</si>
  <si>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</si>
  <si>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</si>
  <si>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</si>
  <si>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</si>
  <si>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</si>
  <si>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</si>
  <si>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</si>
  <si>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</si>
  <si>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</si>
  <si>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</si>
  <si>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</si>
  <si>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</si>
  <si>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</si>
  <si>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</si>
  <si>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</si>
  <si>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</si>
  <si>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</si>
  <si>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</si>
  <si>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</si>
  <si>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</si>
  <si>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</si>
  <si>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</si>
  <si>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</si>
  <si>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</si>
  <si>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</si>
  <si>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</si>
  <si>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</si>
  <si>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</si>
  <si>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</si>
  <si>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</si>
  <si>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</si>
  <si>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</si>
  <si>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</si>
  <si>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</si>
  <si>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</si>
  <si>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</si>
  <si>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</si>
  <si>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</si>
  <si>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</si>
  <si>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</si>
  <si>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</si>
  <si>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</si>
  <si>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</si>
  <si>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</si>
  <si>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</si>
  <si>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</si>
  <si>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</si>
  <si>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</si>
  <si>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</si>
  <si>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</si>
  <si>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</si>
  <si>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</si>
  <si>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</si>
  <si>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</si>
  <si>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</si>
  <si>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</si>
  <si>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</si>
  <si>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</si>
  <si>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</si>
  <si>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</si>
  <si>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</si>
  <si>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</si>
  <si>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</si>
  <si>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</si>
  <si>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</si>
  <si>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</si>
  <si>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</si>
  <si>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</si>
  <si>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</si>
  <si>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</si>
  <si>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</si>
  <si>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</si>
  <si>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</si>
  <si>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</si>
  <si>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</si>
  <si>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</si>
  <si>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</si>
  <si>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</si>
  <si>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</si>
  <si>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</si>
  <si>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</si>
  <si>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</si>
  <si>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</si>
  <si>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</si>
  <si>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</si>
  <si>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</si>
  <si>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</si>
  <si>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</si>
  <si>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</si>
  <si>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</si>
  <si>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</si>
  <si>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</si>
  <si>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</si>
  <si>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</si>
  <si>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</si>
  <si>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</si>
  <si>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</si>
  <si>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</si>
  <si>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</si>
  <si>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</si>
  <si>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</si>
  <si>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</si>
  <si>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</si>
  <si>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</si>
  <si>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</si>
  <si>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</si>
  <si>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</si>
  <si>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</si>
  <si>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</si>
  <si>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</si>
  <si>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</si>
  <si>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</si>
  <si>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</si>
  <si>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</si>
  <si>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</si>
  <si>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</si>
  <si>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</si>
  <si>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</si>
  <si>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</si>
  <si>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</si>
  <si>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</si>
  <si>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</si>
  <si>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</si>
  <si>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</si>
  <si>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</si>
  <si>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</si>
  <si>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</si>
  <si>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</si>
  <si>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</si>
  <si>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</si>
  <si>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</si>
  <si>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</si>
  <si>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</si>
  <si>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</si>
  <si>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</si>
  <si>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</si>
  <si>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</si>
  <si>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</si>
  <si>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</si>
  <si>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</si>
  <si>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</si>
  <si>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</si>
  <si>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</si>
  <si>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</si>
  <si>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</si>
  <si>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</si>
  <si>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</si>
  <si>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</si>
  <si>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</si>
  <si>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</si>
  <si>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</si>
  <si>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</si>
  <si>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</si>
  <si>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</si>
  <si>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</si>
  <si>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</si>
  <si>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</si>
  <si>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</si>
  <si>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</si>
  <si>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</si>
  <si>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</si>
  <si>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</si>
  <si>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</si>
  <si>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</si>
  <si>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</si>
  <si>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</si>
  <si>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</si>
  <si>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</si>
  <si>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</si>
  <si>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</si>
  <si>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</si>
  <si>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</si>
  <si>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</si>
  <si>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</si>
  <si>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</si>
  <si>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</si>
  <si>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</si>
  <si>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</si>
  <si>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</si>
  <si>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</si>
  <si>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</si>
  <si>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</si>
  <si>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</si>
  <si>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</si>
  <si>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</si>
  <si>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</si>
  <si>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</si>
  <si>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</si>
  <si>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</si>
  <si>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</si>
  <si>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</si>
  <si>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</si>
  <si>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</si>
  <si>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</si>
  <si>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</si>
  <si>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</si>
  <si>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</si>
  <si>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</si>
  <si>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</si>
  <si>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</si>
  <si>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</si>
  <si>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</si>
  <si>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</si>
  <si>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</si>
  <si>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</si>
  <si>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</si>
  <si>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</si>
  <si>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</si>
  <si>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</si>
  <si>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</si>
  <si>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</si>
  <si>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</si>
  <si>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</si>
  <si>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</si>
  <si>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</si>
  <si>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</si>
  <si>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</si>
  <si>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</si>
  <si>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</si>
  <si>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</si>
  <si>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</si>
  <si>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</si>
  <si>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</si>
  <si>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</si>
  <si>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</si>
  <si>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</si>
  <si>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</si>
  <si>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</si>
  <si>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</si>
  <si>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</si>
  <si>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</si>
  <si>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</si>
  <si>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</si>
  <si>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</si>
  <si>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</si>
  <si>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</si>
  <si>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</si>
  <si>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</si>
  <si>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</si>
  <si>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</si>
  <si>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</si>
  <si>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</si>
  <si>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</si>
  <si>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</si>
  <si>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</si>
  <si>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</si>
  <si>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</si>
  <si>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</si>
  <si>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</si>
  <si>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</si>
  <si>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</si>
  <si>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</si>
  <si>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</si>
  <si>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</si>
  <si>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</si>
  <si>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</si>
  <si>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</si>
  <si>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</si>
  <si>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</si>
  <si>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</si>
  <si>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</si>
  <si>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</si>
  <si>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</si>
  <si>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</si>
  <si>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</si>
  <si>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</si>
  <si>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</si>
  <si>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</si>
  <si>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</si>
  <si>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</si>
  <si>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</si>
  <si>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</si>
  <si>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</si>
  <si>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</si>
  <si>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</si>
  <si>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</si>
  <si>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</si>
  <si>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</si>
  <si>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</si>
  <si>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</si>
  <si>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</si>
  <si>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</si>
  <si>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</si>
  <si>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</si>
  <si>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</si>
  <si>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</si>
  <si>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</si>
  <si>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</si>
  <si>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</si>
  <si>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</si>
  <si>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</si>
  <si>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</si>
  <si>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</si>
  <si>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</si>
  <si>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</si>
  <si>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</si>
  <si>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</si>
  <si>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</si>
  <si>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</si>
  <si>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</si>
  <si>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</si>
  <si>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</si>
  <si>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</si>
  <si>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</si>
  <si>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</si>
  <si>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</si>
  <si>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</si>
  <si>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</si>
  <si>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</si>
  <si>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</si>
  <si>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</si>
  <si>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</si>
  <si>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</si>
  <si>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</si>
  <si>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</si>
  <si>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</si>
  <si>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</si>
  <si>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</si>
  <si>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</si>
  <si>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</si>
  <si>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</si>
  <si>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</si>
  <si>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</si>
  <si>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</si>
  <si>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</si>
  <si>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</si>
  <si>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</si>
  <si>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</si>
  <si>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</si>
  <si>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</si>
  <si>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</si>
  <si>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</si>
  <si>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</si>
  <si>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</si>
  <si>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</si>
  <si>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</si>
  <si>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</si>
  <si>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</si>
  <si>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</si>
  <si>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</si>
  <si>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</si>
  <si>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</si>
  <si>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</si>
  <si>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</si>
  <si>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</si>
  <si>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</si>
  <si>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</si>
  <si>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</si>
  <si>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</si>
  <si>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</si>
  <si>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</si>
  <si>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</si>
  <si>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</si>
  <si>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</si>
  <si>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</si>
  <si>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</si>
  <si>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</si>
  <si>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</si>
  <si>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</si>
  <si>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</si>
  <si>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</si>
  <si>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</si>
  <si>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</si>
  <si>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</si>
  <si>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</si>
  <si>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</si>
  <si>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</si>
  <si>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</si>
  <si>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</si>
  <si>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</si>
  <si>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</si>
  <si>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</si>
  <si>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</si>
  <si>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</si>
  <si>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</si>
  <si>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</si>
  <si>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</si>
  <si>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</si>
  <si>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</si>
  <si>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</si>
  <si>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</si>
  <si>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</si>
  <si>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</si>
  <si>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</si>
  <si>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</si>
  <si>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</si>
  <si>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</si>
  <si>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</si>
  <si>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</si>
  <si>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</si>
  <si>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</si>
  <si>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</si>
  <si>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</si>
  <si>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</si>
  <si>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</si>
  <si>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</si>
  <si>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</si>
  <si>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</si>
  <si>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</si>
  <si>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</si>
  <si>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</si>
  <si>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</si>
  <si>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</si>
  <si>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</si>
  <si>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</si>
  <si>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</si>
  <si>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</si>
  <si>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</si>
  <si>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</si>
  <si>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</si>
  <si>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</si>
  <si>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</si>
  <si>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</si>
  <si>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</si>
  <si>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</si>
  <si>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</si>
  <si>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</si>
  <si>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</si>
  <si>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</si>
  <si>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</si>
  <si>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</si>
  <si>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</si>
  <si>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</si>
  <si>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</si>
  <si>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</si>
  <si>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</si>
  <si>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</si>
  <si>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</si>
  <si>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</si>
  <si>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</si>
  <si>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</si>
  <si>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</si>
  <si>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</si>
  <si>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</si>
  <si>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</si>
  <si>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</si>
  <si>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</si>
  <si>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</si>
  <si>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</si>
  <si>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</si>
  <si>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</si>
  <si>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</si>
  <si>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</si>
  <si>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</si>
  <si>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</si>
  <si>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</si>
  <si>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</si>
  <si>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</si>
  <si>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</si>
  <si>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</si>
  <si>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</si>
  <si>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</si>
  <si>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</si>
  <si>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</si>
  <si>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</si>
  <si>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</si>
  <si>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</si>
  <si>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</si>
  <si>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</si>
  <si>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</si>
  <si>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</si>
  <si>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</si>
  <si>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</si>
  <si>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</si>
  <si>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</si>
  <si>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</si>
  <si>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</si>
  <si>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</si>
  <si>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</si>
  <si>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</si>
  <si>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</si>
  <si>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</si>
  <si>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</si>
  <si>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</si>
  <si>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</si>
  <si>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</si>
  <si>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</si>
  <si>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</si>
  <si>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</si>
  <si>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</si>
  <si>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</si>
  <si>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</si>
  <si>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</si>
  <si>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</si>
  <si>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</si>
  <si>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</si>
  <si>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</si>
  <si>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</si>
  <si>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</si>
  <si>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</si>
  <si>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</si>
  <si>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</si>
  <si>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</si>
  <si>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</si>
  <si>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</si>
  <si>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</si>
  <si>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</si>
  <si>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</si>
  <si>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</si>
  <si>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</si>
  <si>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</si>
  <si>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</si>
  <si>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</si>
  <si>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</si>
  <si>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</si>
  <si>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</si>
  <si>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</si>
  <si>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</si>
  <si>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</si>
  <si>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</si>
  <si>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</si>
  <si>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</si>
  <si>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</si>
  <si>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</si>
  <si>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</si>
  <si>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</si>
  <si>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</si>
  <si>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</si>
  <si>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</si>
  <si>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</si>
  <si>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</si>
  <si>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</si>
  <si>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</si>
  <si>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</si>
  <si>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</si>
  <si>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</si>
  <si>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</si>
  <si>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</si>
  <si>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</si>
  <si>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</si>
  <si>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</si>
  <si>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</si>
  <si>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</si>
  <si>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</si>
  <si>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</si>
  <si>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</si>
  <si>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</si>
  <si>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</si>
  <si>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</si>
  <si>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</si>
  <si>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</si>
  <si>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</si>
  <si>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</si>
  <si>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</si>
  <si>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</si>
  <si>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</si>
  <si>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</si>
  <si>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</si>
  <si>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</si>
  <si>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</si>
  <si>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</si>
  <si>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</si>
  <si>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</si>
  <si>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</si>
  <si>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</si>
  <si>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</si>
  <si>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</si>
  <si>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</si>
  <si>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</si>
  <si>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</si>
  <si>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</si>
  <si>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</si>
  <si>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</si>
  <si>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</si>
  <si>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</si>
  <si>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</si>
  <si>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</si>
  <si>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</si>
  <si>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</si>
  <si>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</si>
  <si>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</si>
  <si>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</si>
  <si>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</si>
  <si>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</si>
  <si>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</si>
  <si>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</si>
  <si>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</si>
  <si>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</si>
  <si>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</si>
  <si>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</si>
  <si>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</si>
  <si>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</si>
  <si>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</si>
  <si>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</si>
  <si>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</si>
  <si>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</si>
  <si>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</si>
  <si>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</si>
  <si>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</si>
  <si>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</si>
  <si>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</si>
  <si>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</si>
  <si>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</si>
  <si>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</si>
  <si>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</si>
  <si>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</si>
  <si>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</si>
  <si>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</si>
  <si>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</si>
  <si>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</si>
  <si>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</si>
  <si>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</si>
  <si>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</si>
  <si>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</si>
  <si>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</si>
  <si>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</si>
  <si>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</si>
  <si>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</si>
  <si>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</si>
  <si>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</si>
  <si>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</si>
  <si>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</si>
  <si>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</si>
  <si>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</si>
  <si>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</si>
  <si>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</si>
  <si>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</si>
  <si>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</si>
  <si>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</si>
  <si>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</si>
  <si>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</si>
  <si>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</si>
  <si>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</si>
  <si>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</si>
  <si>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</si>
  <si>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</si>
  <si>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</si>
  <si>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</si>
  <si>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</si>
  <si>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</si>
  <si>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</si>
  <si>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</si>
  <si>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</si>
  <si>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</si>
  <si>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</si>
  <si>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</si>
  <si>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</si>
  <si>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</si>
  <si>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</si>
  <si>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</si>
  <si>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</si>
  <si>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</si>
  <si>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</si>
  <si>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</si>
  <si>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</si>
  <si>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</si>
  <si>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</si>
  <si>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</si>
  <si>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</si>
  <si>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</si>
  <si>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</si>
  <si>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</si>
  <si>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</si>
  <si>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</si>
  <si>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</si>
  <si>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</si>
  <si>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</si>
  <si>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</si>
  <si>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</si>
  <si>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</si>
  <si>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</si>
  <si>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</si>
  <si>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</si>
  <si>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</si>
  <si>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</si>
  <si>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</si>
  <si>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</si>
  <si>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</si>
  <si>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</si>
  <si>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</si>
  <si>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</si>
  <si>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</si>
  <si>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</si>
  <si>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</si>
  <si>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</si>
  <si>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</si>
  <si>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</si>
  <si>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</si>
  <si>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</si>
  <si>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</si>
  <si>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</si>
  <si>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</si>
  <si>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</si>
  <si>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</si>
  <si>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</si>
  <si>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</si>
  <si>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</si>
  <si>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</si>
  <si>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</si>
  <si>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</si>
  <si>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</si>
  <si>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</si>
  <si>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</si>
  <si>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</si>
  <si>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</si>
  <si>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</si>
  <si>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</si>
  <si>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</si>
  <si>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</si>
  <si>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</si>
  <si>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</si>
  <si>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</si>
  <si>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</si>
  <si>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</si>
  <si>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</si>
  <si>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</si>
  <si>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</si>
  <si>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</si>
  <si>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</si>
  <si>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</si>
  <si>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</si>
  <si>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</si>
  <si>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</si>
  <si>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</si>
  <si>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</si>
  <si>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</si>
  <si>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</si>
  <si>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</si>
  <si>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</si>
  <si>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</si>
  <si>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</si>
  <si>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</si>
  <si>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</si>
  <si>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</si>
  <si>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</si>
  <si>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</si>
  <si>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</si>
  <si>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</si>
  <si>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</si>
  <si>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</si>
  <si>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</si>
  <si>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</si>
  <si>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</si>
  <si>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</si>
  <si>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</si>
  <si>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</si>
  <si>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</si>
  <si>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</si>
  <si>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</si>
  <si>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</si>
  <si>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</si>
  <si>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</si>
  <si>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</si>
  <si>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</si>
  <si>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</si>
  <si>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</si>
  <si>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</si>
  <si>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</si>
  <si>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</si>
  <si>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</si>
  <si>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</si>
  <si>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</si>
  <si>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</si>
  <si>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</si>
  <si>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</si>
  <si>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</si>
  <si>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</si>
  <si>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</si>
  <si>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</si>
  <si>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</si>
  <si>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</si>
  <si>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</si>
  <si>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</si>
  <si>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</si>
  <si>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</si>
  <si>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</si>
  <si>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</si>
  <si>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</si>
  <si>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</si>
  <si>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</si>
  <si>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</si>
  <si>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</si>
  <si>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</si>
  <si>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</si>
  <si>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</si>
  <si>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</si>
  <si>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</si>
  <si>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</si>
  <si>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</si>
  <si>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</si>
  <si>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</si>
  <si>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</si>
  <si>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</si>
  <si>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</si>
  <si>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</si>
  <si>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</si>
  <si>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</si>
  <si>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</si>
  <si>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</si>
  <si>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</si>
  <si>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</si>
  <si>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</si>
  <si>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</si>
  <si>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</si>
  <si>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</si>
  <si>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</si>
  <si>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</si>
  <si>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</si>
  <si>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</si>
  <si>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</si>
  <si>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</si>
  <si>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</si>
  <si>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</si>
  <si>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</si>
  <si>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</si>
  <si>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</si>
  <si>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</si>
  <si>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</si>
  <si>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</si>
  <si>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</si>
  <si>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</si>
  <si>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</si>
  <si>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</si>
  <si>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</si>
  <si>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</si>
  <si>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</si>
  <si>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</si>
  <si>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</si>
  <si>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</si>
  <si>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</si>
  <si>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</si>
  <si>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</si>
  <si>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</si>
  <si>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</si>
  <si>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</si>
  <si>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</si>
  <si>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</si>
  <si>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</si>
  <si>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</si>
  <si>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</si>
  <si>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</si>
  <si>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</si>
  <si>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</si>
  <si>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</si>
  <si>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</si>
  <si>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</si>
  <si>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</si>
  <si>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</si>
  <si>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</si>
  <si>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</si>
  <si>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</si>
  <si>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</si>
  <si>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</si>
  <si>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</si>
  <si>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</si>
  <si>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</si>
  <si>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</si>
  <si>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</si>
  <si>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</si>
  <si>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</si>
  <si>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</si>
  <si>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</si>
  <si>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</si>
  <si>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</si>
  <si>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</si>
  <si>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</si>
  <si>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</si>
  <si>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</si>
  <si>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</si>
  <si>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</si>
  <si>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</si>
  <si>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</si>
  <si>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</si>
  <si>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</si>
  <si>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</si>
  <si>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</si>
  <si>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</si>
  <si>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</si>
  <si>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</si>
  <si>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</si>
  <si>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</si>
  <si>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</si>
  <si>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</si>
  <si>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</si>
  <si>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</si>
  <si>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</si>
  <si>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</si>
  <si>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</si>
  <si>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</si>
  <si>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</si>
  <si>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</si>
  <si>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</si>
  <si>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</si>
  <si>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</si>
  <si>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</si>
  <si>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</si>
  <si>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</si>
  <si>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</si>
  <si>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</si>
  <si>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</si>
  <si>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</si>
  <si>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</si>
  <si>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</si>
  <si>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</si>
  <si>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</si>
  <si>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</si>
  <si>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</si>
  <si>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</si>
  <si>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</si>
  <si>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</si>
  <si>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</si>
  <si>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</si>
  <si>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</si>
  <si>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</si>
  <si>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</si>
  <si>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</si>
  <si>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</si>
  <si>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</si>
  <si>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</si>
  <si>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</si>
  <si>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</si>
  <si>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</si>
  <si>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</si>
  <si>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</si>
  <si>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</si>
  <si>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</si>
  <si>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</si>
  <si>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</si>
  <si>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</si>
  <si>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</si>
  <si>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</si>
  <si>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</si>
  <si>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</si>
  <si>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</si>
  <si>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</si>
  <si>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</si>
  <si>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</si>
  <si>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</si>
  <si>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</si>
  <si>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</si>
  <si>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</si>
  <si>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</si>
  <si>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</si>
  <si>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</si>
  <si>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</si>
  <si>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</si>
  <si>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</si>
  <si>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</si>
  <si>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</si>
  <si>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</si>
  <si>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</si>
  <si>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</si>
  <si>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</si>
  <si>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</si>
  <si>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</si>
  <si>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</si>
  <si>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</si>
  <si>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</si>
  <si>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</si>
  <si>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</si>
  <si>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</si>
  <si>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</si>
  <si>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</si>
  <si>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</si>
  <si>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</si>
  <si>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</si>
  <si>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</si>
  <si>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</si>
  <si>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</si>
  <si>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</si>
  <si>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</si>
  <si>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</si>
  <si>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</si>
  <si>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</si>
  <si>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</si>
  <si>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</si>
  <si>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</si>
  <si>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</si>
  <si>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</si>
  <si>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</si>
  <si>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</si>
  <si>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</si>
  <si>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</si>
  <si>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</si>
  <si>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</si>
  <si>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</si>
  <si>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</si>
  <si>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</si>
  <si>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</si>
  <si>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</si>
  <si>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</si>
  <si>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</si>
  <si>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</si>
  <si>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</si>
  <si>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</si>
  <si>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</si>
  <si>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</si>
  <si>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</si>
  <si>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</si>
  <si>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</si>
  <si>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</si>
  <si>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</si>
  <si>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</si>
  <si>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</si>
  <si>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</si>
  <si>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</si>
  <si>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</si>
  <si>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</si>
  <si>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</si>
  <si>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</si>
  <si>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</si>
  <si>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</si>
  <si>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</si>
  <si>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</si>
  <si>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</si>
  <si>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</si>
  <si>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</si>
  <si>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</si>
  <si>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</si>
  <si>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</si>
  <si>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</si>
  <si>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</si>
  <si>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</si>
  <si>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</si>
  <si>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</si>
  <si>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</si>
  <si>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</si>
  <si>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</si>
  <si>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</si>
  <si>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</si>
  <si>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</si>
  <si>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</si>
  <si>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</si>
  <si>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</si>
  <si>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</si>
  <si>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</si>
  <si>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</si>
  <si>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</si>
  <si>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</si>
  <si>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</si>
  <si>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</si>
  <si>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</si>
  <si>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</si>
  <si>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</si>
  <si>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</si>
  <si>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</si>
  <si>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</si>
  <si>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</si>
  <si>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</si>
  <si>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</si>
  <si>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</si>
  <si>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</si>
  <si>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</si>
  <si>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</si>
  <si>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</si>
  <si>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</si>
  <si>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</si>
  <si>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</si>
  <si>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</si>
  <si>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</si>
  <si>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</si>
  <si>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</si>
  <si>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</si>
  <si>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</si>
  <si>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</si>
  <si>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</si>
  <si>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</si>
  <si>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</si>
  <si>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</si>
  <si>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</si>
  <si>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</si>
  <si>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</si>
  <si>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</si>
  <si>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</si>
  <si>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</si>
  <si>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</si>
  <si>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</si>
  <si>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</si>
  <si>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</si>
  <si>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</si>
  <si>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</si>
  <si>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</si>
  <si>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</si>
  <si>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</si>
  <si>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</si>
  <si>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</si>
  <si>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</si>
  <si>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</si>
  <si>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</si>
  <si>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</si>
  <si>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</si>
  <si>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</si>
  <si>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</si>
  <si>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</si>
  <si>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</si>
  <si>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</si>
  <si>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</si>
  <si>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</si>
  <si>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</si>
  <si>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</si>
  <si>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</si>
  <si>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</si>
  <si>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</si>
  <si>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</si>
  <si>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</si>
  <si>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</si>
  <si>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</si>
  <si>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</si>
  <si>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</si>
  <si>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</si>
  <si>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</si>
  <si>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</si>
  <si>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</si>
  <si>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</si>
  <si>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</si>
  <si>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</si>
  <si>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</si>
  <si>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</si>
  <si>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</si>
  <si>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</si>
  <si>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</si>
  <si>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</si>
  <si>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</si>
  <si>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</si>
  <si>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</si>
  <si>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</si>
  <si>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</si>
  <si>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</si>
  <si>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</si>
  <si>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</si>
  <si>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</si>
  <si>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</si>
  <si>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</si>
  <si>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</si>
  <si>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</si>
  <si>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</si>
  <si>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</si>
  <si>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</si>
  <si>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</si>
  <si>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</si>
  <si>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</si>
  <si>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</si>
  <si>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</si>
  <si>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</si>
  <si>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</si>
  <si>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</si>
  <si>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</si>
  <si>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</si>
  <si>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</si>
  <si>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</si>
  <si>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</si>
  <si>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</si>
  <si>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</si>
  <si>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</si>
  <si>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</si>
  <si>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</si>
  <si>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</si>
  <si>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</si>
  <si>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</si>
  <si>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</si>
  <si>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</si>
  <si>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</si>
  <si>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</si>
  <si>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</si>
  <si>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</si>
  <si>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</si>
  <si>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</si>
  <si>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</si>
  <si>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</si>
  <si>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</si>
  <si>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</si>
  <si>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</si>
  <si>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</si>
  <si>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</si>
  <si>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</si>
  <si>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</si>
  <si>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</si>
  <si>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</si>
  <si>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</si>
  <si>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</si>
  <si>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</si>
  <si>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</si>
  <si>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</si>
  <si>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</si>
  <si>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</si>
  <si>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</si>
  <si>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</si>
  <si>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</si>
  <si>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</si>
  <si>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</si>
  <si>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</si>
  <si>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</si>
  <si>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</si>
  <si>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</si>
  <si>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</si>
  <si>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</si>
  <si>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</si>
  <si>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</si>
  <si>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</si>
  <si>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</si>
  <si>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</si>
  <si>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</si>
  <si>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</si>
  <si>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</si>
  <si>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</si>
  <si>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</si>
  <si>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</si>
  <si>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</si>
  <si>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</si>
  <si>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</si>
  <si>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</si>
  <si>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</si>
  <si>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</si>
  <si>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</si>
  <si>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</si>
  <si>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</si>
  <si>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</si>
  <si>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</si>
  <si>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</si>
  <si>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</si>
  <si>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</si>
  <si>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</si>
  <si>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</si>
  <si>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</si>
  <si>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</si>
  <si>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</si>
  <si>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</si>
  <si>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</si>
  <si>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</si>
  <si>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</si>
  <si>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</si>
  <si>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</si>
  <si>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</si>
  <si>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</si>
  <si>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</si>
  <si>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</si>
  <si>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</si>
  <si>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</si>
  <si>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</si>
  <si>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</si>
  <si>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</si>
  <si>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</si>
  <si>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</si>
  <si>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</si>
  <si>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</si>
  <si>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</si>
  <si>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</si>
  <si>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</si>
  <si>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</si>
  <si>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</si>
  <si>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</si>
  <si>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</si>
  <si>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</si>
  <si>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</si>
  <si>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</si>
  <si>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</si>
  <si>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</si>
  <si>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</si>
  <si>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</si>
  <si>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</si>
  <si>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</si>
  <si>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</si>
  <si>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</si>
  <si>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</si>
  <si>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</si>
  <si>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</si>
  <si>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</si>
  <si>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</si>
  <si>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</si>
  <si>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</si>
  <si>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</si>
  <si>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</si>
  <si>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</si>
  <si>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</si>
  <si>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</si>
  <si>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</si>
  <si>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</si>
  <si>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</si>
  <si>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</si>
  <si>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</si>
  <si>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</si>
  <si>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</si>
  <si>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</si>
  <si>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</si>
  <si>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</si>
  <si>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</si>
  <si>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</si>
  <si>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</si>
  <si>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</si>
  <si>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</si>
  <si>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</si>
  <si>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</si>
  <si>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</si>
  <si>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</si>
  <si>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</si>
  <si>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</si>
  <si>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</si>
  <si>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</si>
  <si>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</si>
  <si>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</si>
  <si>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</si>
  <si>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</si>
  <si>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</si>
  <si>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</si>
  <si>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</si>
  <si>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</si>
  <si>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</si>
  <si>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</si>
  <si>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</si>
  <si>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</si>
  <si>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</si>
  <si>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</si>
  <si>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</si>
  <si>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</si>
  <si>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</si>
  <si>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</si>
  <si>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</si>
  <si>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</si>
  <si>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</si>
  <si>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</si>
  <si>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</si>
  <si>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</si>
  <si>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</si>
  <si>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</si>
  <si>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</si>
  <si>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</si>
  <si>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</si>
  <si>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</si>
  <si>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</si>
  <si>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</si>
  <si>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</si>
  <si>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</si>
  <si>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</si>
  <si>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</si>
  <si>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</si>
  <si>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</si>
  <si>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</si>
  <si>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</si>
  <si>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</si>
  <si>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</si>
  <si>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</si>
  <si>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</si>
  <si>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</si>
  <si>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</si>
  <si>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</si>
  <si>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</si>
  <si>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</si>
  <si>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</si>
  <si>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</si>
  <si>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</si>
  <si>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</si>
  <si>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</si>
  <si>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</si>
  <si>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</si>
  <si>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</si>
  <si>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</si>
  <si>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</si>
  <si>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</si>
  <si>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</si>
  <si>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</si>
  <si>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</si>
  <si>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</si>
  <si>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</si>
  <si>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</si>
  <si>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</si>
  <si>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</si>
  <si>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</si>
  <si>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</si>
  <si>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</si>
  <si>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</si>
  <si>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</si>
  <si>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</si>
  <si>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</si>
  <si>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</si>
  <si>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</si>
  <si>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</si>
  <si>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</si>
  <si>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</si>
  <si>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</si>
  <si>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</si>
  <si>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</si>
  <si>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</si>
  <si>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</si>
  <si>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</si>
  <si>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</si>
  <si>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</si>
  <si>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</si>
  <si>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</si>
  <si>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</si>
  <si>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</si>
  <si>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</si>
  <si>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</si>
  <si>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</si>
  <si>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</si>
  <si>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</si>
  <si>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</si>
  <si>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</si>
  <si>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</si>
  <si>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</si>
  <si>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</si>
  <si>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</si>
  <si>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</si>
  <si>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</si>
  <si>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</si>
  <si>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</si>
  <si>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</si>
  <si>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</si>
  <si>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</si>
  <si>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</si>
  <si>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</si>
  <si>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</si>
  <si>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</si>
  <si>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</si>
  <si>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</si>
  <si>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</si>
  <si>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</si>
  <si>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</si>
  <si>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</si>
  <si>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</si>
  <si>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</si>
  <si>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</si>
  <si>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</si>
  <si>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</si>
  <si>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</si>
  <si>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</si>
  <si>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</si>
  <si>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</si>
  <si>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</si>
  <si>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</si>
  <si>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</si>
  <si>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</si>
  <si>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</si>
  <si>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</si>
  <si>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</si>
  <si>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</si>
  <si>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</si>
  <si>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</si>
  <si>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</si>
  <si>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</si>
  <si>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</si>
  <si>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</si>
  <si>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</si>
  <si>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</si>
  <si>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</si>
  <si>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</si>
  <si>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</si>
  <si>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</si>
  <si>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</si>
  <si>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</si>
  <si>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</si>
  <si>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</si>
  <si>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</si>
  <si>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</si>
  <si>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</si>
  <si>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</si>
  <si>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</si>
  <si>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</si>
  <si>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</si>
  <si>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</si>
  <si>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</si>
  <si>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</si>
  <si>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</si>
  <si>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</si>
  <si>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</si>
  <si>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</si>
  <si>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</si>
  <si>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</si>
  <si>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</si>
  <si>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</si>
  <si>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</si>
  <si>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</si>
  <si>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</si>
  <si>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</si>
  <si>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</si>
  <si>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</si>
  <si>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</si>
  <si>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</si>
  <si>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</si>
  <si>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</si>
  <si>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</si>
  <si>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</si>
  <si>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</si>
  <si>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</si>
  <si>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</si>
  <si>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</si>
  <si>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</si>
  <si>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</si>
  <si>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</si>
  <si>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</si>
  <si>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</si>
  <si>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</si>
  <si>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</si>
  <si>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</si>
  <si>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</si>
  <si>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</si>
  <si>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</si>
  <si>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</si>
  <si>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</si>
  <si>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</si>
  <si>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</si>
  <si>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</si>
  <si>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</si>
  <si>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</si>
  <si>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</si>
  <si>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</si>
  <si>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</si>
  <si>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</si>
  <si>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</si>
  <si>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</si>
  <si>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</si>
  <si>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</si>
  <si>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</si>
  <si>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</si>
  <si>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</si>
  <si>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</si>
  <si>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</si>
  <si>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</si>
  <si>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</si>
  <si>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</si>
  <si>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</si>
  <si>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</si>
  <si>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</si>
  <si>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</si>
  <si>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</si>
  <si>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</si>
  <si>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</si>
  <si>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</si>
  <si>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</si>
  <si>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</si>
  <si>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</si>
  <si>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</si>
  <si>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</si>
  <si>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</si>
  <si>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</si>
  <si>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</si>
  <si>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</si>
  <si>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</si>
  <si>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</si>
  <si>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</si>
  <si>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</si>
  <si>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</si>
  <si>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</si>
  <si>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</si>
  <si>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</si>
  <si>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</si>
  <si>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</si>
  <si>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</si>
  <si>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</si>
  <si>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</si>
  <si>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</si>
  <si>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</si>
  <si>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</si>
  <si>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</si>
  <si>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</si>
  <si>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</si>
  <si>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</si>
  <si>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</si>
  <si>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</si>
  <si>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</si>
  <si>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</si>
  <si>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</si>
  <si>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</si>
  <si>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</si>
  <si>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</si>
  <si>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</si>
  <si>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</si>
  <si>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</si>
  <si>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</si>
  <si>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</si>
  <si>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</si>
  <si>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</si>
  <si>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</si>
  <si>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</si>
  <si>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</si>
  <si>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</si>
  <si>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</si>
  <si>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</si>
  <si>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</si>
  <si>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</si>
  <si>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</si>
  <si>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</si>
  <si>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</si>
  <si>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</si>
  <si>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</si>
  <si>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</si>
  <si>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</si>
  <si>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</si>
  <si>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</si>
  <si>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</si>
  <si>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</si>
  <si>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</si>
  <si>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</si>
  <si>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</si>
  <si>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</si>
  <si>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</si>
  <si>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</si>
  <si>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</si>
  <si>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</si>
  <si>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</si>
  <si>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</si>
  <si>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</si>
  <si>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</si>
  <si>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</si>
  <si>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</si>
  <si>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</si>
  <si>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</si>
  <si>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</si>
  <si>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</si>
  <si>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</si>
  <si>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</si>
  <si>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</si>
  <si>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</si>
  <si>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</si>
  <si>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</si>
  <si>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</si>
  <si>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</si>
  <si>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</si>
  <si>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</si>
  <si>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</si>
  <si>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</si>
  <si>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</si>
  <si>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</si>
  <si>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</si>
  <si>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</si>
  <si>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</si>
  <si>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</si>
  <si>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</si>
  <si>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</si>
  <si>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</si>
  <si>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</si>
  <si>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</si>
  <si>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</si>
  <si>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</si>
  <si>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</si>
  <si>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</si>
  <si>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</si>
  <si>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</si>
  <si>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</si>
  <si>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</si>
  <si>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</si>
  <si>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</si>
  <si>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</si>
  <si>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</si>
  <si>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</si>
  <si>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</si>
  <si>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</si>
  <si>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</si>
  <si>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</si>
  <si>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</si>
  <si>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</si>
  <si>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</si>
  <si>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</si>
  <si>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</si>
  <si>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</si>
  <si>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</si>
  <si>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</si>
  <si>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</si>
  <si>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</si>
  <si>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</si>
  <si>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</si>
  <si>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</si>
  <si>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</si>
  <si>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</si>
  <si>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</si>
  <si>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</si>
  <si>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</si>
  <si>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</si>
  <si>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</si>
  <si>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</si>
  <si>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</si>
  <si>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</si>
  <si>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</si>
  <si>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</si>
  <si>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</si>
  <si>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</si>
  <si>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</si>
  <si>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</si>
  <si>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</si>
  <si>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</si>
  <si>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</si>
  <si>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</si>
  <si>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</si>
  <si>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</si>
  <si>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</si>
  <si>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</si>
  <si>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</si>
  <si>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</si>
  <si>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</si>
  <si>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</si>
  <si>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</si>
  <si>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</si>
  <si>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</si>
  <si>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</si>
  <si>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</si>
  <si>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</si>
  <si>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</si>
  <si>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</si>
  <si>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</si>
  <si>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</si>
  <si>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</si>
  <si>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</si>
  <si>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</si>
  <si>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</si>
  <si>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</si>
  <si>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</si>
  <si>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</si>
  <si>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</si>
  <si>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</si>
  <si>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</si>
  <si>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</si>
  <si>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</si>
  <si>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</si>
  <si>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</si>
  <si>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</si>
  <si>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</si>
  <si>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</si>
  <si>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</si>
  <si>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</si>
  <si>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</si>
  <si>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</si>
  <si>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</si>
  <si>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</si>
  <si>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</si>
  <si>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</si>
  <si>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</si>
  <si>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</si>
  <si>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</si>
  <si>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</si>
  <si>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</si>
  <si>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</si>
  <si>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</si>
  <si>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</si>
  <si>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</si>
  <si>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</si>
  <si>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</si>
  <si>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</si>
  <si>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</si>
  <si>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</si>
  <si>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</si>
  <si>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</si>
  <si>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</si>
  <si>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</si>
  <si>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</si>
  <si>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</si>
  <si>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</si>
  <si>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</si>
  <si>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</si>
  <si>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</si>
  <si>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</si>
  <si>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</si>
  <si>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</si>
  <si>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</si>
  <si>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</si>
  <si>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</si>
  <si>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</si>
  <si>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</si>
  <si>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</si>
  <si>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</si>
  <si>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</si>
  <si>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</si>
  <si>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</si>
  <si>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</si>
  <si>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</si>
  <si>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</si>
  <si>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</si>
  <si>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</si>
  <si>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</si>
  <si>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</si>
  <si>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</si>
  <si>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</si>
  <si>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</si>
  <si>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</si>
  <si>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</si>
  <si>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</si>
  <si>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</si>
  <si>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</si>
  <si>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</si>
  <si>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</si>
  <si>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</si>
  <si>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</si>
  <si>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</si>
  <si>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</si>
  <si>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</si>
  <si>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</si>
  <si>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</si>
  <si>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</si>
  <si>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</si>
  <si>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</si>
  <si>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</si>
  <si>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</si>
  <si>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</si>
  <si>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</si>
  <si>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</si>
  <si>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</si>
  <si>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</si>
  <si>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</si>
  <si>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</si>
  <si>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</si>
  <si>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</si>
  <si>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</si>
  <si>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</si>
  <si>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</si>
  <si>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</si>
  <si>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</si>
  <si>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</si>
  <si>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</si>
  <si>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</si>
  <si>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</si>
  <si>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</si>
  <si>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</si>
  <si>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</si>
  <si>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</si>
  <si>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</si>
  <si>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</si>
  <si>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</si>
  <si>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</si>
  <si>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</si>
  <si>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</si>
  <si>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</si>
  <si>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</si>
  <si>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</si>
  <si>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</si>
  <si>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</si>
  <si>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</si>
  <si>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</si>
  <si>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</si>
  <si>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</si>
  <si>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</si>
  <si>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</si>
  <si>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</si>
  <si>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</si>
  <si>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</si>
  <si>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</si>
  <si>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</si>
  <si>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</si>
  <si>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</si>
  <si>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</si>
  <si>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</si>
  <si>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</si>
  <si>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</si>
  <si>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</si>
  <si>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</si>
  <si>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</si>
  <si>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</si>
  <si>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</si>
  <si>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</si>
  <si>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</si>
  <si>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</si>
  <si>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</si>
  <si>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</si>
  <si>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</si>
  <si>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</si>
  <si>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</si>
  <si>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</si>
  <si>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</si>
  <si>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</si>
  <si>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</si>
  <si>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</si>
  <si>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</si>
  <si>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</si>
  <si>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</si>
  <si>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</si>
  <si>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</si>
  <si>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</si>
  <si>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</si>
  <si>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</si>
  <si>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</si>
  <si>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</si>
  <si>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</si>
  <si>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</si>
  <si>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</si>
  <si>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</si>
  <si>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</si>
  <si>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</si>
  <si>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</si>
  <si>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</si>
  <si>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</si>
  <si>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</si>
  <si>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</si>
  <si>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</si>
  <si>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</si>
  <si>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</si>
  <si>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</si>
  <si>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</si>
  <si>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</si>
  <si>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</si>
  <si>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</si>
  <si>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</si>
  <si>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</si>
  <si>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</si>
  <si>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</si>
  <si>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</si>
  <si>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</si>
  <si>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</si>
  <si>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</si>
  <si>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</si>
  <si>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</si>
  <si>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</si>
  <si>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</si>
  <si>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</si>
  <si>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</si>
  <si>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</si>
  <si>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</si>
  <si>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</si>
  <si>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</si>
  <si>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</si>
  <si>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</si>
  <si>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</si>
  <si>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</si>
  <si>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</si>
  <si>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</si>
  <si>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</si>
  <si>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</si>
  <si>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</si>
  <si>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</si>
  <si>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</si>
  <si>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</si>
  <si>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</si>
  <si>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</si>
  <si>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</si>
  <si>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</si>
  <si>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</si>
  <si>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</si>
  <si>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</si>
  <si>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</si>
  <si>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</si>
  <si>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</si>
  <si>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</si>
  <si>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</si>
  <si>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</si>
  <si>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</si>
  <si>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</si>
  <si>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</si>
  <si>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</si>
  <si>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</si>
  <si>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</si>
  <si>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</si>
  <si>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</si>
  <si>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</si>
  <si>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</si>
  <si>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</si>
  <si>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</si>
  <si>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</si>
  <si>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</si>
  <si>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</si>
  <si>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</si>
  <si>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</si>
  <si>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</si>
  <si>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</si>
  <si>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</si>
  <si>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</si>
  <si>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</si>
  <si>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</si>
  <si>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</si>
  <si>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</si>
  <si>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</si>
  <si>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</si>
  <si>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</si>
  <si>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</si>
  <si>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</si>
  <si>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</si>
  <si>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</si>
  <si>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</si>
  <si>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</si>
  <si>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</si>
  <si>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</si>
  <si>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</si>
  <si>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</si>
  <si>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</si>
  <si>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</si>
  <si>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</si>
  <si>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</si>
  <si>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</si>
  <si>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</si>
  <si>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</si>
  <si>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</si>
  <si>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</si>
  <si>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</si>
  <si>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</si>
  <si>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</si>
  <si>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</si>
  <si>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</si>
  <si>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</si>
  <si>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</si>
  <si>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</si>
  <si>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</si>
  <si>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</si>
  <si>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</si>
  <si>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</si>
  <si>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</si>
  <si>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</si>
  <si>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</si>
  <si>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</si>
  <si>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</si>
  <si>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</si>
  <si>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</si>
  <si>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</si>
  <si>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</si>
  <si>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</si>
  <si>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</si>
  <si>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</si>
  <si>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</si>
  <si>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</si>
  <si>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</si>
  <si>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</si>
  <si>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</si>
  <si>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</si>
  <si>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</si>
  <si>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</si>
  <si>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</si>
  <si>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</si>
  <si>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</si>
  <si>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</si>
  <si>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</si>
  <si>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</si>
  <si>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</si>
  <si>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</si>
  <si>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</si>
  <si>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</si>
  <si>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</si>
  <si>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</si>
  <si>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</si>
  <si>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</si>
  <si>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</si>
  <si>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</si>
  <si>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</si>
  <si>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</si>
  <si>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</si>
  <si>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</si>
  <si>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</si>
  <si>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</si>
  <si>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</si>
  <si>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</si>
  <si>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</si>
  <si>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</si>
  <si>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</si>
  <si>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</si>
  <si>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</si>
  <si>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</si>
  <si>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</si>
  <si>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</si>
  <si>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</si>
  <si>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</si>
  <si>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</si>
  <si>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</si>
  <si>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</si>
  <si>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</si>
  <si>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</si>
  <si>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</si>
  <si>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</si>
  <si>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</si>
  <si>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</si>
  <si>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</si>
  <si>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</si>
  <si>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</si>
  <si>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</si>
  <si>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</si>
  <si>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</si>
  <si>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</si>
  <si>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</si>
  <si>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</si>
  <si>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</si>
  <si>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</si>
  <si>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</si>
  <si>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</si>
  <si>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</si>
  <si>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</si>
  <si>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</si>
  <si>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</si>
  <si>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Xp</t>
  </si>
  <si>
    <t>TrueLevel</t>
  </si>
  <si>
    <t>Picture</t>
  </si>
  <si>
    <t>Pictures</t>
  </si>
  <si>
    <t>Total</t>
  </si>
  <si>
    <t>SteadyXp</t>
  </si>
  <si>
    <t>SteadyPictures</t>
  </si>
  <si>
    <t>SteadyTotal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</si>
</sst>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18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/>
    <xf numFmtId="164" fontId="0" fillId="0" borderId="7" xfId="1" applyNumberFormat="1" applyFont="1" applyBorder="1"/>
    <xf numFmtId="165" fontId="0" fillId="0" borderId="7" xfId="1" applyNumberFormat="1" applyFont="1" applyBorder="1"/>
    <xf numFmtId="43" fontId="0" fillId="0" borderId="7" xfId="1" applyFont="1" applyBorder="1"/>
    <xf numFmtId="164" fontId="0" fillId="0" borderId="9" xfId="1" applyNumberFormat="1" applyFont="1" applyBorder="1"/>
    <xf numFmtId="164" fontId="6" fillId="0" borderId="10" xfId="1" applyNumberFormat="1" applyFont="1" applyBorder="1"/>
    <xf numFmtId="164" fontId="6" fillId="0" borderId="8" xfId="1" applyNumberFormat="1" applyFont="1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164" fontId="6" fillId="0" borderId="14" xfId="1" applyNumberFormat="1" applyFont="1" applyBorder="1"/>
    <xf numFmtId="164" fontId="6" fillId="0" borderId="15" xfId="1" applyNumberFormat="1" applyFont="1" applyBorder="1"/>
    <xf numFmtId="43" fontId="0" fillId="0" borderId="12" xfId="1" applyNumberFormat="1" applyFont="1" applyBorder="1"/>
    <xf numFmtId="43" fontId="0" fillId="0" borderId="0" xfId="1" applyNumberFormat="1" applyFont="1"/>
    <xf numFmtId="164" fontId="0" fillId="0" borderId="16" xfId="1" applyNumberFormat="1" applyFont="1" applyBorder="1"/>
    <xf numFmtId="43" fontId="0" fillId="0" borderId="16" xfId="1" applyNumberFormat="1" applyFont="1" applyBorder="1"/>
    <xf numFmtId="164" fontId="6" fillId="0" borderId="16" xfId="1" applyNumberFormat="1" applyFont="1" applyBorder="1"/>
    <xf numFmtId="164" fontId="0" fillId="0" borderId="17" xfId="1" applyNumberFormat="1" applyFont="1" applyBorder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3DA905A7-EE8F-410F-9E58-AF3BE5120CD0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I802"/>
  <sheetViews>
    <sheetView tabSelected="1" topLeftCell="V1" zoomScale="130" zoomScaleNormal="130" workbookViewId="0">
      <selection activeCell="AL6" sqref="AL6"/>
    </sheetView>
  </sheetViews>
  <sheetFormatPr baseColWidth="10" defaultRowHeight="12.75" x14ac:dyDescent="0.2"/>
  <cols>
    <col min="1" max="1" width="34.85546875" style="29" bestFit="1" customWidth="1"/>
    <col min="2" max="2" width="8.85546875" style="29" bestFit="1" customWidth="1"/>
    <col min="3" max="3" width="6.85546875" style="29" hidden="1" customWidth="1"/>
    <col min="4" max="4" width="6.7109375" style="29" bestFit="1" customWidth="1"/>
    <col min="5" max="5" width="9.140625" style="29" hidden="1" customWidth="1"/>
    <col min="6" max="6" width="9.42578125" style="29" hidden="1" customWidth="1"/>
    <col min="7" max="7" width="11.42578125" style="29" hidden="1" customWidth="1"/>
    <col min="8" max="8" width="12" style="29" hidden="1" customWidth="1"/>
    <col min="9" max="9" width="9.140625" style="29" hidden="1" customWidth="1"/>
    <col min="10" max="10" width="15.5703125" style="29" hidden="1" customWidth="1"/>
    <col min="11" max="11" width="8" style="29" hidden="1" customWidth="1"/>
    <col min="12" max="12" width="9.140625" style="29" hidden="1" customWidth="1"/>
    <col min="13" max="13" width="11.5703125" style="29" hidden="1" customWidth="1"/>
    <col min="14" max="14" width="9.140625" style="29" hidden="1" customWidth="1"/>
    <col min="15" max="15" width="12.85546875" style="29" hidden="1" customWidth="1"/>
    <col min="16" max="16" width="10.7109375" style="31" hidden="1" customWidth="1"/>
    <col min="17" max="17" width="9.140625" style="31" hidden="1" customWidth="1"/>
    <col min="18" max="18" width="12.42578125" style="32" hidden="1" customWidth="1"/>
    <col min="19" max="19" width="14.42578125" style="29" hidden="1" customWidth="1"/>
    <col min="20" max="20" width="10.7109375" style="32" hidden="1" customWidth="1"/>
    <col min="21" max="21" width="15.5703125" style="29" hidden="1" customWidth="1"/>
    <col min="22" max="22" width="12.85546875" style="29" bestFit="1" customWidth="1"/>
    <col min="23" max="23" width="19.28515625" style="29" customWidth="1"/>
    <col min="24" max="24" width="8" style="32" hidden="1" customWidth="1"/>
    <col min="25" max="25" width="10.42578125" style="39" bestFit="1" customWidth="1"/>
    <col min="26" max="27" width="12.85546875" style="29" bestFit="1" customWidth="1"/>
    <col min="28" max="29" width="11.42578125" style="29"/>
    <col min="30" max="30" width="16.5703125" style="29" bestFit="1" customWidth="1"/>
    <col min="31" max="31" width="16.5703125" style="29" customWidth="1"/>
    <col min="32" max="32" width="9" style="29" bestFit="1" customWidth="1"/>
    <col min="33" max="33" width="14.85546875" style="56" bestFit="1" customWidth="1"/>
    <col min="34" max="34" width="6.140625" style="29" bestFit="1" customWidth="1"/>
    <col min="35" max="35" width="12" style="29" bestFit="1" customWidth="1"/>
    <col min="36" max="16384" width="11.42578125" style="29"/>
  </cols>
  <sheetData>
    <row r="1" spans="1:35" ht="13.5" thickBot="1" x14ac:dyDescent="0.25">
      <c r="A1" s="47"/>
      <c r="B1" s="34" t="s">
        <v>8834</v>
      </c>
      <c r="C1" s="34" t="s">
        <v>6</v>
      </c>
      <c r="D1" s="34" t="s">
        <v>5</v>
      </c>
      <c r="E1" s="34" t="s">
        <v>7</v>
      </c>
      <c r="F1" s="34" t="s">
        <v>8</v>
      </c>
      <c r="G1" s="34" t="s">
        <v>9</v>
      </c>
      <c r="H1" s="34" t="s">
        <v>10</v>
      </c>
      <c r="I1" s="34" t="s">
        <v>11</v>
      </c>
      <c r="J1" s="34" t="s">
        <v>8835</v>
      </c>
      <c r="K1" s="34" t="s">
        <v>8836</v>
      </c>
      <c r="L1" s="34" t="s">
        <v>8837</v>
      </c>
      <c r="M1" s="34" t="s">
        <v>8838</v>
      </c>
      <c r="N1" s="35" t="s">
        <v>8839</v>
      </c>
      <c r="O1" s="34" t="s">
        <v>8868</v>
      </c>
      <c r="P1" s="36" t="s">
        <v>8869</v>
      </c>
      <c r="Q1" s="37" t="s">
        <v>8870</v>
      </c>
      <c r="R1" s="38" t="s">
        <v>8871</v>
      </c>
      <c r="S1" s="35" t="s">
        <v>8872</v>
      </c>
      <c r="T1" s="38" t="s">
        <v>8873</v>
      </c>
      <c r="U1" s="34" t="s">
        <v>8874</v>
      </c>
      <c r="V1" s="40" t="s">
        <v>8876</v>
      </c>
      <c r="W1" s="34" t="s">
        <v>8875</v>
      </c>
      <c r="X1" s="38">
        <v>5</v>
      </c>
      <c r="Y1" s="40" t="s">
        <v>8877</v>
      </c>
      <c r="Z1" s="40" t="s">
        <v>8876</v>
      </c>
      <c r="AA1" s="40" t="s">
        <v>8878</v>
      </c>
      <c r="AC1" s="53" t="s">
        <v>5</v>
      </c>
      <c r="AD1" s="54" t="s">
        <v>8876</v>
      </c>
      <c r="AE1" s="60" t="s">
        <v>8881</v>
      </c>
      <c r="AF1" s="57" t="s">
        <v>8879</v>
      </c>
      <c r="AG1" s="58" t="s">
        <v>8882</v>
      </c>
      <c r="AH1" s="34" t="s">
        <v>8880</v>
      </c>
      <c r="AI1" s="59" t="s">
        <v>8883</v>
      </c>
    </row>
    <row r="2" spans="1:35" x14ac:dyDescent="0.2">
      <c r="A2" s="48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3"/>
      <c r="O2" s="29">
        <f t="shared" ref="O2:O33" si="0">AVERAGE(K2, L2)</f>
        <v>40.5</v>
      </c>
      <c r="P2" s="31" cm="1">
        <f t="array" ref="P2">WPNFACTOR(C2)</f>
        <v>4.5</v>
      </c>
      <c r="Q2" s="33" cm="1">
        <f t="array" ref="Q2">HPFACTOr(C2)</f>
        <v>2</v>
      </c>
      <c r="R2" s="32">
        <f t="shared" ref="R2:R33" si="1">O2/P2</f>
        <v>9</v>
      </c>
      <c r="S2" s="33">
        <f t="shared" ref="S2:S33" si="2">J2/Q2</f>
        <v>847</v>
      </c>
      <c r="T2" s="32">
        <f t="shared" ref="T2:T33" si="3">R2*(1 + (N2/400))</f>
        <v>9</v>
      </c>
      <c r="U2" s="39">
        <f t="shared" ref="U2:U33" si="4">S2*1.6/(1 + (0.6*(1 - (M2/100))))</f>
        <v>847</v>
      </c>
      <c r="V2" s="41">
        <f>VLOOKUP(D2,LevelXp!$A$1:'LevelXp'!$B$1000,2,)/5</f>
        <v>1287</v>
      </c>
      <c r="W2" s="29">
        <f t="shared" ref="W2:W33" si="5">T2*U2</f>
        <v>7623</v>
      </c>
      <c r="X2" s="32">
        <f t="shared" ref="X2:X33" si="6">POWER(W2, 1/$X$1)</f>
        <v>5.9762008362199097</v>
      </c>
      <c r="Y2" s="41">
        <v>10</v>
      </c>
      <c r="Z2" s="41">
        <v>1287</v>
      </c>
      <c r="AA2" s="41">
        <v>1</v>
      </c>
      <c r="AC2" s="50">
        <v>1</v>
      </c>
      <c r="AD2" s="51">
        <f>SUMIF($Y$2:$Y$682, AC2, $Z$2:$Z$682)</f>
        <v>0</v>
      </c>
      <c r="AE2" s="51">
        <v>0</v>
      </c>
      <c r="AF2" s="51">
        <f>SUMIF($Y$2:$Y$682, AC2, $AA$2:$AA$682)</f>
        <v>0</v>
      </c>
      <c r="AG2" s="55">
        <v>0</v>
      </c>
      <c r="AH2" s="29">
        <f>SUM($AF$2:AF2)</f>
        <v>0</v>
      </c>
      <c r="AI2" s="55">
        <f>SUM($AG$2:AG2)</f>
        <v>0</v>
      </c>
    </row>
    <row r="3" spans="1:35" x14ac:dyDescent="0.2">
      <c r="A3" s="48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3"/>
      <c r="O3" s="29">
        <f t="shared" si="0"/>
        <v>20.5</v>
      </c>
      <c r="P3" s="31" cm="1">
        <f t="array" ref="P3">WPNFACTOR(C3)</f>
        <v>2</v>
      </c>
      <c r="Q3" s="33" cm="1">
        <f t="array" ref="Q3">HPFACTOr(C3)</f>
        <v>5</v>
      </c>
      <c r="R3" s="32">
        <f t="shared" si="1"/>
        <v>10.25</v>
      </c>
      <c r="S3" s="33">
        <f t="shared" si="2"/>
        <v>1313</v>
      </c>
      <c r="T3" s="32">
        <f t="shared" si="3"/>
        <v>10.25</v>
      </c>
      <c r="U3" s="39">
        <f t="shared" si="4"/>
        <v>1313</v>
      </c>
      <c r="V3" s="41">
        <f>VLOOKUP(D3,LevelXp!$A$1:'LevelXp'!$B$1000,2,)/5</f>
        <v>1785</v>
      </c>
      <c r="W3" s="29">
        <f t="shared" si="5"/>
        <v>13458.25</v>
      </c>
      <c r="X3" s="32">
        <f t="shared" si="6"/>
        <v>6.695726693541479</v>
      </c>
      <c r="Y3" s="41">
        <v>10</v>
      </c>
      <c r="Z3" s="41">
        <v>1785</v>
      </c>
      <c r="AA3" s="41">
        <v>1</v>
      </c>
      <c r="AC3" s="50">
        <v>2</v>
      </c>
      <c r="AD3" s="51">
        <f t="shared" ref="AD3:AD66" si="7">SUMIF($Y$2:$Y$682, AC3, $Z$2:$Z$682)</f>
        <v>0</v>
      </c>
      <c r="AE3" s="51">
        <v>0</v>
      </c>
      <c r="AF3" s="51">
        <f t="shared" ref="AF3:AF66" si="8">SUMIF($Y$2:$Y$682, AC3, $AA$2:$AA$682)</f>
        <v>0</v>
      </c>
      <c r="AG3" s="55">
        <v>0</v>
      </c>
      <c r="AH3" s="29">
        <f>SUM($AF$2:AF3)</f>
        <v>0</v>
      </c>
      <c r="AI3" s="55">
        <f>SUM($AG$2:AG3)</f>
        <v>0</v>
      </c>
    </row>
    <row r="4" spans="1:35" x14ac:dyDescent="0.2">
      <c r="A4" s="48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3"/>
      <c r="O4" s="29">
        <f t="shared" si="0"/>
        <v>25.5</v>
      </c>
      <c r="P4" s="31" cm="1">
        <f t="array" ref="P4">WPNFACTOR(C4)</f>
        <v>2</v>
      </c>
      <c r="Q4" s="33" cm="1">
        <f t="array" ref="Q4">HPFACTOr(C4)</f>
        <v>5</v>
      </c>
      <c r="R4" s="32">
        <f t="shared" si="1"/>
        <v>12.75</v>
      </c>
      <c r="S4" s="33">
        <f t="shared" si="2"/>
        <v>1860</v>
      </c>
      <c r="T4" s="32">
        <f t="shared" si="3"/>
        <v>12.75</v>
      </c>
      <c r="U4" s="39">
        <f t="shared" si="4"/>
        <v>1860</v>
      </c>
      <c r="V4" s="41">
        <f>VLOOKUP(D4,LevelXp!$A$1:'LevelXp'!$B$1000,2,)/5</f>
        <v>2395</v>
      </c>
      <c r="W4" s="29">
        <f t="shared" si="5"/>
        <v>23715</v>
      </c>
      <c r="X4" s="32">
        <f t="shared" si="6"/>
        <v>7.4990219671759641</v>
      </c>
      <c r="Y4" s="41">
        <v>10</v>
      </c>
      <c r="Z4" s="41">
        <v>2395</v>
      </c>
      <c r="AA4" s="41">
        <v>1</v>
      </c>
      <c r="AC4" s="50">
        <v>3</v>
      </c>
      <c r="AD4" s="51">
        <f t="shared" si="7"/>
        <v>0</v>
      </c>
      <c r="AE4" s="51">
        <v>0</v>
      </c>
      <c r="AF4" s="51">
        <f t="shared" si="8"/>
        <v>0</v>
      </c>
      <c r="AG4" s="55">
        <v>0</v>
      </c>
      <c r="AH4" s="29">
        <f>SUM($AF$2:AF4)</f>
        <v>0</v>
      </c>
      <c r="AI4" s="55">
        <f>SUM($AG$2:AG4)</f>
        <v>0</v>
      </c>
    </row>
    <row r="5" spans="1:35" x14ac:dyDescent="0.2">
      <c r="A5" s="48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3"/>
      <c r="O5" s="29">
        <f t="shared" si="0"/>
        <v>36.5</v>
      </c>
      <c r="P5" s="31" cm="1">
        <f t="array" ref="P5">WPNFACTOR(C5)</f>
        <v>2.5</v>
      </c>
      <c r="Q5" s="33" cm="1">
        <f t="array" ref="Q5">HPFACTOr(C5)</f>
        <v>4</v>
      </c>
      <c r="R5" s="32">
        <f t="shared" si="1"/>
        <v>14.6</v>
      </c>
      <c r="S5" s="33">
        <f t="shared" si="2"/>
        <v>2227</v>
      </c>
      <c r="T5" s="32">
        <f t="shared" si="3"/>
        <v>14.6</v>
      </c>
      <c r="U5" s="39">
        <f t="shared" si="4"/>
        <v>2227</v>
      </c>
      <c r="V5" s="41">
        <f>VLOOKUP(D5,LevelXp!$A$1:'LevelXp'!$B$1000,2,)/5</f>
        <v>3146</v>
      </c>
      <c r="W5" s="29">
        <f t="shared" si="5"/>
        <v>32514.2</v>
      </c>
      <c r="X5" s="32">
        <f t="shared" si="6"/>
        <v>7.9875688484785119</v>
      </c>
      <c r="Y5" s="41">
        <v>10</v>
      </c>
      <c r="Z5" s="41">
        <v>3146</v>
      </c>
      <c r="AA5" s="41">
        <v>1</v>
      </c>
      <c r="AC5" s="50">
        <v>4</v>
      </c>
      <c r="AD5" s="51">
        <f t="shared" si="7"/>
        <v>0</v>
      </c>
      <c r="AE5" s="51">
        <v>0</v>
      </c>
      <c r="AF5" s="51">
        <f t="shared" si="8"/>
        <v>0</v>
      </c>
      <c r="AG5" s="55">
        <v>0</v>
      </c>
      <c r="AH5" s="29">
        <f>SUM($AF$2:AF5)</f>
        <v>0</v>
      </c>
      <c r="AI5" s="55">
        <f>SUM($AG$2:AG5)</f>
        <v>0</v>
      </c>
    </row>
    <row r="6" spans="1:35" x14ac:dyDescent="0.2">
      <c r="A6" s="48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3"/>
      <c r="O6" s="29">
        <f t="shared" si="0"/>
        <v>34</v>
      </c>
      <c r="P6" s="31" cm="1">
        <f t="array" ref="P6">WPNFACTOR(C6)</f>
        <v>2</v>
      </c>
      <c r="Q6" s="33" cm="1">
        <f t="array" ref="Q6">HPFACTOr(C6)</f>
        <v>5</v>
      </c>
      <c r="R6" s="32">
        <f t="shared" si="1"/>
        <v>17</v>
      </c>
      <c r="S6" s="33">
        <f t="shared" si="2"/>
        <v>3211</v>
      </c>
      <c r="T6" s="32">
        <f t="shared" si="3"/>
        <v>17</v>
      </c>
      <c r="U6" s="39">
        <f t="shared" si="4"/>
        <v>3211</v>
      </c>
      <c r="V6" s="41">
        <f>VLOOKUP(D6,LevelXp!$A$1:'LevelXp'!$B$1000,2,)/5</f>
        <v>4050</v>
      </c>
      <c r="W6" s="29">
        <f t="shared" si="5"/>
        <v>54587</v>
      </c>
      <c r="X6" s="32">
        <f t="shared" si="6"/>
        <v>8.8596761110079463</v>
      </c>
      <c r="Y6" s="41">
        <v>11</v>
      </c>
      <c r="Z6" s="41">
        <v>4050</v>
      </c>
      <c r="AA6" s="41">
        <v>1</v>
      </c>
      <c r="AC6" s="50">
        <v>5</v>
      </c>
      <c r="AD6" s="51">
        <f t="shared" si="7"/>
        <v>0</v>
      </c>
      <c r="AE6" s="51">
        <f>AVERAGE(AD2:AD10)</f>
        <v>0</v>
      </c>
      <c r="AF6" s="51">
        <f t="shared" si="8"/>
        <v>0</v>
      </c>
      <c r="AG6" s="55">
        <f>AVERAGE(AF2:AF10)</f>
        <v>0</v>
      </c>
      <c r="AH6" s="29">
        <f>SUM($AF$2:AF6)</f>
        <v>0</v>
      </c>
      <c r="AI6" s="55">
        <f>SUM($AG$2:AG6)</f>
        <v>0</v>
      </c>
    </row>
    <row r="7" spans="1:35" x14ac:dyDescent="0.2">
      <c r="A7" s="48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3"/>
      <c r="O7" s="29">
        <f t="shared" si="0"/>
        <v>93.5</v>
      </c>
      <c r="P7" s="31" cm="1">
        <f t="array" ref="P7">WPNFACTOR(C7)</f>
        <v>4.5</v>
      </c>
      <c r="Q7" s="33" cm="1">
        <f t="array" ref="Q7">HPFACTOr(C7)</f>
        <v>2</v>
      </c>
      <c r="R7" s="32">
        <f t="shared" si="1"/>
        <v>20.777777777777779</v>
      </c>
      <c r="S7" s="33">
        <f t="shared" si="2"/>
        <v>4554</v>
      </c>
      <c r="T7" s="32">
        <f t="shared" si="3"/>
        <v>20.777777777777779</v>
      </c>
      <c r="U7" s="39">
        <f t="shared" si="4"/>
        <v>4554</v>
      </c>
      <c r="V7" s="41">
        <f>VLOOKUP(D7,LevelXp!$A$1:'LevelXp'!$B$1000,2,)/5</f>
        <v>6412</v>
      </c>
      <c r="W7" s="29">
        <f t="shared" si="5"/>
        <v>94622</v>
      </c>
      <c r="X7" s="32">
        <f t="shared" si="6"/>
        <v>9.8900485757818739</v>
      </c>
      <c r="Y7" s="41">
        <v>12</v>
      </c>
      <c r="Z7" s="41">
        <v>6412</v>
      </c>
      <c r="AA7" s="41">
        <v>1</v>
      </c>
      <c r="AC7" s="50">
        <v>6</v>
      </c>
      <c r="AD7" s="51">
        <f t="shared" si="7"/>
        <v>0</v>
      </c>
      <c r="AE7" s="51">
        <f t="shared" ref="AE7:AG70" si="9">AVERAGE(AD3:AD11)</f>
        <v>957</v>
      </c>
      <c r="AF7" s="51">
        <f t="shared" si="8"/>
        <v>0</v>
      </c>
      <c r="AG7" s="55">
        <f t="shared" si="9"/>
        <v>0.44444444444444442</v>
      </c>
      <c r="AH7" s="29">
        <f>SUM($AF$2:AF7)</f>
        <v>0</v>
      </c>
      <c r="AI7" s="55">
        <f>SUM($AG$2:AG7)</f>
        <v>0.44444444444444442</v>
      </c>
    </row>
    <row r="8" spans="1:35" x14ac:dyDescent="0.2">
      <c r="A8" s="48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3"/>
      <c r="O8" s="29">
        <f t="shared" si="0"/>
        <v>48</v>
      </c>
      <c r="P8" s="31" cm="1">
        <f t="array" ref="P8">WPNFACTOR(C8)</f>
        <v>2</v>
      </c>
      <c r="Q8" s="33" cm="1">
        <f t="array" ref="Q8">HPFACTOr(C8)</f>
        <v>5</v>
      </c>
      <c r="R8" s="32">
        <f t="shared" si="1"/>
        <v>24</v>
      </c>
      <c r="S8" s="33">
        <f t="shared" si="2"/>
        <v>7020</v>
      </c>
      <c r="T8" s="32">
        <f t="shared" si="3"/>
        <v>24</v>
      </c>
      <c r="U8" s="39">
        <f t="shared" si="4"/>
        <v>7020</v>
      </c>
      <c r="V8" s="41">
        <f>VLOOKUP(D8,LevelXp!$A$1:'LevelXp'!$B$1000,2,)/5</f>
        <v>9631</v>
      </c>
      <c r="W8" s="29">
        <f t="shared" si="5"/>
        <v>168480</v>
      </c>
      <c r="X8" s="32">
        <f t="shared" si="6"/>
        <v>11.099659869634829</v>
      </c>
      <c r="Y8" s="41">
        <v>15</v>
      </c>
      <c r="Z8" s="41">
        <v>9631</v>
      </c>
      <c r="AA8" s="41">
        <v>1</v>
      </c>
      <c r="AC8" s="50">
        <v>7</v>
      </c>
      <c r="AD8" s="51">
        <f t="shared" si="7"/>
        <v>0</v>
      </c>
      <c r="AE8" s="51">
        <f t="shared" si="9"/>
        <v>1407</v>
      </c>
      <c r="AF8" s="51">
        <f t="shared" si="8"/>
        <v>0</v>
      </c>
      <c r="AG8" s="55">
        <f t="shared" si="9"/>
        <v>0.55555555555555558</v>
      </c>
      <c r="AH8" s="29">
        <f>SUM($AF$2:AF8)</f>
        <v>0</v>
      </c>
      <c r="AI8" s="55">
        <f>SUM($AG$2:AG8)</f>
        <v>1</v>
      </c>
    </row>
    <row r="9" spans="1:35" x14ac:dyDescent="0.2">
      <c r="A9" s="48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3"/>
      <c r="O9" s="29">
        <f t="shared" si="0"/>
        <v>128.5</v>
      </c>
      <c r="P9" s="31" cm="1">
        <f t="array" ref="P9">WPNFACTOR(C9)</f>
        <v>4.5</v>
      </c>
      <c r="Q9" s="33" cm="1">
        <f t="array" ref="Q9">HPFACTOr(C9)</f>
        <v>2</v>
      </c>
      <c r="R9" s="32">
        <f t="shared" si="1"/>
        <v>28.555555555555557</v>
      </c>
      <c r="S9" s="33">
        <f t="shared" si="2"/>
        <v>8649</v>
      </c>
      <c r="T9" s="32">
        <f t="shared" si="3"/>
        <v>28.555555555555557</v>
      </c>
      <c r="U9" s="39">
        <f t="shared" si="4"/>
        <v>8649</v>
      </c>
      <c r="V9" s="41">
        <f>VLOOKUP(D9,LevelXp!$A$1:'LevelXp'!$B$1000,2,)/5</f>
        <v>13952</v>
      </c>
      <c r="W9" s="29">
        <f t="shared" si="5"/>
        <v>246977</v>
      </c>
      <c r="X9" s="32">
        <f t="shared" si="6"/>
        <v>11.982054819109832</v>
      </c>
      <c r="Y9" s="41">
        <v>16</v>
      </c>
      <c r="Z9" s="41">
        <v>13952</v>
      </c>
      <c r="AA9" s="41">
        <v>1</v>
      </c>
      <c r="AC9" s="50">
        <v>8</v>
      </c>
      <c r="AD9" s="51">
        <f t="shared" si="7"/>
        <v>0</v>
      </c>
      <c r="AE9" s="51">
        <f t="shared" si="9"/>
        <v>2119.4444444444443</v>
      </c>
      <c r="AF9" s="51">
        <f t="shared" si="8"/>
        <v>0</v>
      </c>
      <c r="AG9" s="55">
        <f t="shared" si="9"/>
        <v>0.66666666666666663</v>
      </c>
      <c r="AH9" s="29">
        <f>SUM($AF$2:AF9)</f>
        <v>0</v>
      </c>
      <c r="AI9" s="55">
        <f>SUM($AG$2:AG9)</f>
        <v>1.6666666666666665</v>
      </c>
    </row>
    <row r="10" spans="1:35" x14ac:dyDescent="0.2">
      <c r="A10" s="48" t="s">
        <v>8841</v>
      </c>
      <c r="B10" s="29">
        <v>1</v>
      </c>
      <c r="C10" s="29">
        <v>3</v>
      </c>
      <c r="D10" s="29">
        <v>20</v>
      </c>
      <c r="E10" s="29">
        <v>101</v>
      </c>
      <c r="F10" s="29">
        <v>264</v>
      </c>
      <c r="G10" s="29">
        <v>101</v>
      </c>
      <c r="H10" s="29">
        <v>174</v>
      </c>
      <c r="I10" s="29">
        <v>119</v>
      </c>
      <c r="J10" s="29">
        <v>14616</v>
      </c>
      <c r="K10" s="29">
        <v>35</v>
      </c>
      <c r="L10" s="29">
        <v>58</v>
      </c>
      <c r="N10" s="33"/>
      <c r="O10" s="29">
        <f t="shared" si="0"/>
        <v>46.5</v>
      </c>
      <c r="P10" s="31" cm="1">
        <f t="array" ref="P10">WPNFACTOR(C10)</f>
        <v>2.5</v>
      </c>
      <c r="Q10" s="33" cm="1">
        <f t="array" ref="Q10">HPFACTOr(C10)</f>
        <v>4</v>
      </c>
      <c r="R10" s="32">
        <f t="shared" si="1"/>
        <v>18.600000000000001</v>
      </c>
      <c r="S10" s="33">
        <f t="shared" si="2"/>
        <v>3654</v>
      </c>
      <c r="T10" s="32">
        <f t="shared" si="3"/>
        <v>18.600000000000001</v>
      </c>
      <c r="U10" s="39">
        <f t="shared" si="4"/>
        <v>3654</v>
      </c>
      <c r="V10" s="41">
        <f>VLOOKUP(D10,LevelXp!$A$1:'LevelXp'!$B$1000,2,)/5</f>
        <v>5124</v>
      </c>
      <c r="W10" s="29">
        <f t="shared" si="5"/>
        <v>67964.400000000009</v>
      </c>
      <c r="X10" s="32">
        <f t="shared" si="6"/>
        <v>9.2567023130554542</v>
      </c>
      <c r="Y10" s="41">
        <v>20</v>
      </c>
      <c r="Z10" s="41">
        <v>5124</v>
      </c>
      <c r="AA10" s="41">
        <v>1</v>
      </c>
      <c r="AC10" s="50">
        <v>9</v>
      </c>
      <c r="AD10" s="51">
        <f t="shared" si="7"/>
        <v>0</v>
      </c>
      <c r="AE10" s="51">
        <f t="shared" si="9"/>
        <v>2119.4444444444443</v>
      </c>
      <c r="AF10" s="51">
        <f t="shared" si="8"/>
        <v>0</v>
      </c>
      <c r="AG10" s="55">
        <f t="shared" si="9"/>
        <v>0.66666666666666663</v>
      </c>
      <c r="AH10" s="29">
        <f>SUM($AF$2:AF10)</f>
        <v>0</v>
      </c>
      <c r="AI10" s="55">
        <f>SUM($AG$2:AG10)</f>
        <v>2.333333333333333</v>
      </c>
    </row>
    <row r="11" spans="1:35" x14ac:dyDescent="0.2">
      <c r="A11" s="48" t="s">
        <v>8841</v>
      </c>
      <c r="B11" s="29">
        <v>2</v>
      </c>
      <c r="C11" s="29">
        <v>1</v>
      </c>
      <c r="D11" s="29">
        <v>24</v>
      </c>
      <c r="E11" s="29">
        <v>317</v>
      </c>
      <c r="F11" s="29">
        <v>126</v>
      </c>
      <c r="G11" s="29">
        <v>117</v>
      </c>
      <c r="H11" s="29">
        <v>238</v>
      </c>
      <c r="I11" s="29">
        <v>130</v>
      </c>
      <c r="J11" s="29">
        <v>29750</v>
      </c>
      <c r="K11" s="29">
        <v>33</v>
      </c>
      <c r="L11" s="29">
        <v>58</v>
      </c>
      <c r="N11" s="33"/>
      <c r="O11" s="29">
        <f t="shared" si="0"/>
        <v>45.5</v>
      </c>
      <c r="P11" s="31" cm="1">
        <f t="array" ref="P11">WPNFACTOR(C11)</f>
        <v>2</v>
      </c>
      <c r="Q11" s="33" cm="1">
        <f t="array" ref="Q11">HPFACTOr(C11)</f>
        <v>5</v>
      </c>
      <c r="R11" s="32">
        <f t="shared" si="1"/>
        <v>22.75</v>
      </c>
      <c r="S11" s="33">
        <f t="shared" si="2"/>
        <v>5950</v>
      </c>
      <c r="T11" s="32">
        <f t="shared" si="3"/>
        <v>22.75</v>
      </c>
      <c r="U11" s="39">
        <f t="shared" si="4"/>
        <v>5950</v>
      </c>
      <c r="V11" s="41">
        <f>VLOOKUP(D11,LevelXp!$A$1:'LevelXp'!$B$1000,2,)/5</f>
        <v>7907</v>
      </c>
      <c r="W11" s="29">
        <f t="shared" si="5"/>
        <v>135362.5</v>
      </c>
      <c r="X11" s="32">
        <f t="shared" si="6"/>
        <v>10.624284047626857</v>
      </c>
      <c r="Y11" s="41">
        <v>20</v>
      </c>
      <c r="Z11" s="41">
        <v>7907</v>
      </c>
      <c r="AA11" s="41">
        <v>1</v>
      </c>
      <c r="AC11" s="50">
        <v>10</v>
      </c>
      <c r="AD11" s="51">
        <f t="shared" si="7"/>
        <v>8613</v>
      </c>
      <c r="AE11" s="51">
        <f t="shared" si="9"/>
        <v>2119.4444444444443</v>
      </c>
      <c r="AF11" s="51">
        <f t="shared" si="8"/>
        <v>4</v>
      </c>
      <c r="AG11" s="55">
        <f t="shared" si="9"/>
        <v>0.66666666666666663</v>
      </c>
      <c r="AH11" s="29">
        <f>SUM($AF$2:AF11)</f>
        <v>4</v>
      </c>
      <c r="AI11" s="55">
        <f>SUM($AG$2:AG11)</f>
        <v>2.9999999999999996</v>
      </c>
    </row>
    <row r="12" spans="1:35" x14ac:dyDescent="0.2">
      <c r="A12" s="48" t="s">
        <v>8841</v>
      </c>
      <c r="B12" s="29">
        <v>3</v>
      </c>
      <c r="C12" s="29">
        <v>1</v>
      </c>
      <c r="D12" s="29">
        <v>28</v>
      </c>
      <c r="E12" s="29">
        <v>393</v>
      </c>
      <c r="F12" s="29">
        <v>138</v>
      </c>
      <c r="G12" s="29">
        <v>125</v>
      </c>
      <c r="H12" s="29">
        <v>284</v>
      </c>
      <c r="I12" s="29">
        <v>152</v>
      </c>
      <c r="J12" s="29">
        <v>41180</v>
      </c>
      <c r="K12" s="29">
        <v>40</v>
      </c>
      <c r="L12" s="29">
        <v>68</v>
      </c>
      <c r="N12" s="33"/>
      <c r="O12" s="29">
        <f t="shared" si="0"/>
        <v>54</v>
      </c>
      <c r="P12" s="31" cm="1">
        <f t="array" ref="P12">WPNFACTOR(C12)</f>
        <v>2</v>
      </c>
      <c r="Q12" s="33" cm="1">
        <f t="array" ref="Q12">HPFACTOr(C12)</f>
        <v>5</v>
      </c>
      <c r="R12" s="32">
        <f t="shared" si="1"/>
        <v>27</v>
      </c>
      <c r="S12" s="33">
        <f t="shared" si="2"/>
        <v>8236</v>
      </c>
      <c r="T12" s="32">
        <f t="shared" si="3"/>
        <v>27</v>
      </c>
      <c r="U12" s="39">
        <f t="shared" si="4"/>
        <v>8236</v>
      </c>
      <c r="V12" s="41">
        <f>VLOOKUP(D12,LevelXp!$A$1:'LevelXp'!$B$1000,2,)/5</f>
        <v>11652</v>
      </c>
      <c r="W12" s="29">
        <f t="shared" si="5"/>
        <v>222372</v>
      </c>
      <c r="X12" s="32">
        <f t="shared" si="6"/>
        <v>11.733187757531422</v>
      </c>
      <c r="Y12" s="41">
        <v>21</v>
      </c>
      <c r="Z12" s="41">
        <v>11652</v>
      </c>
      <c r="AA12" s="41">
        <v>1</v>
      </c>
      <c r="AC12" s="50">
        <v>11</v>
      </c>
      <c r="AD12" s="51">
        <f t="shared" si="7"/>
        <v>4050</v>
      </c>
      <c r="AE12" s="51">
        <f t="shared" si="9"/>
        <v>3189.5555555555557</v>
      </c>
      <c r="AF12" s="51">
        <f t="shared" si="8"/>
        <v>1</v>
      </c>
      <c r="AG12" s="55">
        <f t="shared" si="9"/>
        <v>0.77777777777777779</v>
      </c>
      <c r="AH12" s="29">
        <f>SUM($AF$2:AF12)</f>
        <v>5</v>
      </c>
      <c r="AI12" s="55">
        <f>SUM($AG$2:AG12)</f>
        <v>3.7777777777777772</v>
      </c>
    </row>
    <row r="13" spans="1:35" x14ac:dyDescent="0.2">
      <c r="A13" s="48" t="s">
        <v>8841</v>
      </c>
      <c r="B13" s="29">
        <v>4</v>
      </c>
      <c r="C13" s="29">
        <v>3</v>
      </c>
      <c r="D13" s="29">
        <v>34</v>
      </c>
      <c r="E13" s="29">
        <v>143</v>
      </c>
      <c r="F13" s="29">
        <v>554</v>
      </c>
      <c r="G13" s="29">
        <v>144</v>
      </c>
      <c r="H13" s="29">
        <v>303</v>
      </c>
      <c r="I13" s="29">
        <v>216</v>
      </c>
      <c r="J13" s="29">
        <v>42420</v>
      </c>
      <c r="K13" s="29">
        <v>64</v>
      </c>
      <c r="L13" s="29">
        <v>98</v>
      </c>
      <c r="N13" s="33"/>
      <c r="O13" s="29">
        <f t="shared" si="0"/>
        <v>81</v>
      </c>
      <c r="P13" s="31" cm="1">
        <f t="array" ref="P13">WPNFACTOR(C13)</f>
        <v>2.5</v>
      </c>
      <c r="Q13" s="33" cm="1">
        <f t="array" ref="Q13">HPFACTOr(C13)</f>
        <v>4</v>
      </c>
      <c r="R13" s="32">
        <f t="shared" si="1"/>
        <v>32.4</v>
      </c>
      <c r="S13" s="33">
        <f t="shared" si="2"/>
        <v>10605</v>
      </c>
      <c r="T13" s="32">
        <f t="shared" si="3"/>
        <v>32.4</v>
      </c>
      <c r="U13" s="39">
        <f t="shared" si="4"/>
        <v>10605</v>
      </c>
      <c r="V13" s="41">
        <f>VLOOKUP(D13,LevelXp!$A$1:'LevelXp'!$B$1000,2,)/5</f>
        <v>19539</v>
      </c>
      <c r="W13" s="29">
        <f t="shared" si="5"/>
        <v>343602</v>
      </c>
      <c r="X13" s="32">
        <f t="shared" si="6"/>
        <v>12.800034394079388</v>
      </c>
      <c r="Y13" s="41">
        <v>21</v>
      </c>
      <c r="Z13" s="41">
        <v>19539</v>
      </c>
      <c r="AA13" s="41">
        <v>1</v>
      </c>
      <c r="AC13" s="50">
        <v>12</v>
      </c>
      <c r="AD13" s="51">
        <f t="shared" si="7"/>
        <v>6412</v>
      </c>
      <c r="AE13" s="51">
        <f t="shared" si="9"/>
        <v>4739.7777777777774</v>
      </c>
      <c r="AF13" s="51">
        <f t="shared" si="8"/>
        <v>1</v>
      </c>
      <c r="AG13" s="55">
        <f t="shared" si="9"/>
        <v>0.88888888888888884</v>
      </c>
      <c r="AH13" s="29">
        <f>SUM($AF$2:AF13)</f>
        <v>6</v>
      </c>
      <c r="AI13" s="55">
        <f>SUM($AG$2:AG13)</f>
        <v>4.6666666666666661</v>
      </c>
    </row>
    <row r="14" spans="1:35" x14ac:dyDescent="0.2">
      <c r="A14" s="48" t="s">
        <v>8841</v>
      </c>
      <c r="B14" s="29">
        <v>5</v>
      </c>
      <c r="C14" s="29">
        <v>1</v>
      </c>
      <c r="D14" s="29">
        <v>38</v>
      </c>
      <c r="E14" s="29">
        <v>592</v>
      </c>
      <c r="F14" s="29">
        <v>178</v>
      </c>
      <c r="G14" s="29">
        <v>162</v>
      </c>
      <c r="H14" s="29">
        <v>398</v>
      </c>
      <c r="I14" s="29">
        <v>195</v>
      </c>
      <c r="J14" s="29">
        <v>77610</v>
      </c>
      <c r="K14" s="29">
        <v>58</v>
      </c>
      <c r="L14" s="29">
        <v>89</v>
      </c>
      <c r="N14" s="33"/>
      <c r="O14" s="29">
        <f t="shared" si="0"/>
        <v>73.5</v>
      </c>
      <c r="P14" s="31" cm="1">
        <f t="array" ref="P14">WPNFACTOR(C14)</f>
        <v>2</v>
      </c>
      <c r="Q14" s="33" cm="1">
        <f t="array" ref="Q14">HPFACTOr(C14)</f>
        <v>5</v>
      </c>
      <c r="R14" s="32">
        <f t="shared" si="1"/>
        <v>36.75</v>
      </c>
      <c r="S14" s="33">
        <f t="shared" si="2"/>
        <v>15522</v>
      </c>
      <c r="T14" s="32">
        <f t="shared" si="3"/>
        <v>36.75</v>
      </c>
      <c r="U14" s="39">
        <f t="shared" si="4"/>
        <v>15522</v>
      </c>
      <c r="V14" s="41">
        <f>VLOOKUP(D14,LevelXp!$A$1:'LevelXp'!$B$1000,2,)/5</f>
        <v>26652</v>
      </c>
      <c r="W14" s="29">
        <f t="shared" si="5"/>
        <v>570433.5</v>
      </c>
      <c r="X14" s="32">
        <f t="shared" si="6"/>
        <v>14.165796692204909</v>
      </c>
      <c r="Y14" s="41">
        <v>25</v>
      </c>
      <c r="Z14" s="41">
        <v>26652</v>
      </c>
      <c r="AA14" s="41">
        <v>1</v>
      </c>
      <c r="AC14" s="50">
        <v>13</v>
      </c>
      <c r="AD14" s="51">
        <f t="shared" si="7"/>
        <v>0</v>
      </c>
      <c r="AE14" s="51">
        <f t="shared" si="9"/>
        <v>4739.7777777777774</v>
      </c>
      <c r="AF14" s="51">
        <f t="shared" si="8"/>
        <v>0</v>
      </c>
      <c r="AG14" s="55">
        <f t="shared" si="9"/>
        <v>0.88888888888888884</v>
      </c>
      <c r="AH14" s="29">
        <f>SUM($AF$2:AF14)</f>
        <v>6</v>
      </c>
      <c r="AI14" s="55">
        <f>SUM($AG$2:AG14)</f>
        <v>5.5555555555555554</v>
      </c>
    </row>
    <row r="15" spans="1:35" x14ac:dyDescent="0.2">
      <c r="A15" s="48" t="s">
        <v>8841</v>
      </c>
      <c r="B15" s="29">
        <v>6</v>
      </c>
      <c r="C15" s="29">
        <v>2</v>
      </c>
      <c r="D15" s="29">
        <v>44</v>
      </c>
      <c r="E15" s="29">
        <v>191</v>
      </c>
      <c r="F15" s="29">
        <v>190</v>
      </c>
      <c r="G15" s="29">
        <v>780</v>
      </c>
      <c r="H15" s="29">
        <v>411</v>
      </c>
      <c r="I15" s="29">
        <v>259</v>
      </c>
      <c r="J15" s="29">
        <v>36990</v>
      </c>
      <c r="K15" s="29">
        <v>143</v>
      </c>
      <c r="L15" s="29">
        <v>241</v>
      </c>
      <c r="N15" s="33"/>
      <c r="O15" s="29">
        <f t="shared" si="0"/>
        <v>192</v>
      </c>
      <c r="P15" s="31" cm="1">
        <f t="array" ref="P15">WPNFACTOR(C15)</f>
        <v>4.5</v>
      </c>
      <c r="Q15" s="33" cm="1">
        <f t="array" ref="Q15">HPFACTOr(C15)</f>
        <v>2</v>
      </c>
      <c r="R15" s="32">
        <f t="shared" si="1"/>
        <v>42.666666666666664</v>
      </c>
      <c r="S15" s="33">
        <f t="shared" si="2"/>
        <v>18495</v>
      </c>
      <c r="T15" s="32">
        <f t="shared" si="3"/>
        <v>42.666666666666664</v>
      </c>
      <c r="U15" s="39">
        <f t="shared" si="4"/>
        <v>18495</v>
      </c>
      <c r="V15" s="41">
        <f>VLOOKUP(D15,LevelXp!$A$1:'LevelXp'!$B$1000,2,)/5</f>
        <v>40886</v>
      </c>
      <c r="W15" s="29">
        <f t="shared" si="5"/>
        <v>789120</v>
      </c>
      <c r="X15" s="32">
        <f t="shared" si="6"/>
        <v>15.11571204923653</v>
      </c>
      <c r="Y15" s="41">
        <v>26</v>
      </c>
      <c r="Z15" s="41">
        <v>40886</v>
      </c>
      <c r="AA15" s="41">
        <v>1</v>
      </c>
      <c r="AC15" s="50">
        <v>14</v>
      </c>
      <c r="AD15" s="51">
        <f t="shared" si="7"/>
        <v>0</v>
      </c>
      <c r="AE15" s="51">
        <f t="shared" si="9"/>
        <v>4739.7777777777774</v>
      </c>
      <c r="AF15" s="51">
        <f t="shared" si="8"/>
        <v>0</v>
      </c>
      <c r="AG15" s="55">
        <f t="shared" si="9"/>
        <v>0.88888888888888884</v>
      </c>
      <c r="AH15" s="29">
        <f>SUM($AF$2:AF15)</f>
        <v>6</v>
      </c>
      <c r="AI15" s="55">
        <f>SUM($AG$2:AG15)</f>
        <v>6.4444444444444446</v>
      </c>
    </row>
    <row r="16" spans="1:35" x14ac:dyDescent="0.2">
      <c r="A16" s="48" t="s">
        <v>8840</v>
      </c>
      <c r="B16" s="29">
        <v>9</v>
      </c>
      <c r="C16" s="29">
        <v>1</v>
      </c>
      <c r="D16" s="29">
        <v>40</v>
      </c>
      <c r="E16" s="29">
        <v>614</v>
      </c>
      <c r="F16" s="29">
        <v>207</v>
      </c>
      <c r="G16" s="29">
        <v>191</v>
      </c>
      <c r="H16" s="29">
        <v>445</v>
      </c>
      <c r="I16" s="29">
        <v>238</v>
      </c>
      <c r="J16" s="29">
        <v>91225</v>
      </c>
      <c r="K16" s="29">
        <v>54</v>
      </c>
      <c r="L16" s="29">
        <v>95</v>
      </c>
      <c r="N16" s="33"/>
      <c r="O16" s="29">
        <f t="shared" si="0"/>
        <v>74.5</v>
      </c>
      <c r="P16" s="31" cm="1">
        <f t="array" ref="P16">WPNFACTOR(C16)</f>
        <v>2</v>
      </c>
      <c r="Q16" s="33" cm="1">
        <f t="array" ref="Q16">HPFACTOr(C16)</f>
        <v>5</v>
      </c>
      <c r="R16" s="32">
        <f t="shared" si="1"/>
        <v>37.25</v>
      </c>
      <c r="S16" s="33">
        <f t="shared" si="2"/>
        <v>18245</v>
      </c>
      <c r="T16" s="32">
        <f t="shared" si="3"/>
        <v>37.25</v>
      </c>
      <c r="U16" s="39">
        <f t="shared" si="4"/>
        <v>18245</v>
      </c>
      <c r="V16" s="41">
        <f>VLOOKUP(D16,LevelXp!$A$1:'LevelXp'!$B$1000,2,)/5</f>
        <v>30909</v>
      </c>
      <c r="W16" s="29">
        <f t="shared" si="5"/>
        <v>679626.25</v>
      </c>
      <c r="X16" s="32">
        <f t="shared" si="6"/>
        <v>14.670807849034711</v>
      </c>
      <c r="Y16" s="41">
        <v>27</v>
      </c>
      <c r="Z16" s="41">
        <v>30909</v>
      </c>
      <c r="AA16" s="41">
        <v>1</v>
      </c>
      <c r="AC16" s="50">
        <v>15</v>
      </c>
      <c r="AD16" s="51">
        <f t="shared" si="7"/>
        <v>9631</v>
      </c>
      <c r="AE16" s="51">
        <f t="shared" si="9"/>
        <v>3782.7777777777778</v>
      </c>
      <c r="AF16" s="51">
        <f t="shared" si="8"/>
        <v>1</v>
      </c>
      <c r="AG16" s="55">
        <f t="shared" si="9"/>
        <v>0.44444444444444442</v>
      </c>
      <c r="AH16" s="29">
        <f>SUM($AF$2:AF16)</f>
        <v>7</v>
      </c>
      <c r="AI16" s="55">
        <f>SUM($AG$2:AG16)</f>
        <v>6.8888888888888893</v>
      </c>
    </row>
    <row r="17" spans="1:35" x14ac:dyDescent="0.2">
      <c r="A17" s="48" t="s">
        <v>8840</v>
      </c>
      <c r="B17" s="29">
        <v>10</v>
      </c>
      <c r="C17" s="29">
        <v>3</v>
      </c>
      <c r="D17" s="29">
        <v>50</v>
      </c>
      <c r="E17" s="29">
        <v>221</v>
      </c>
      <c r="F17" s="29">
        <v>847</v>
      </c>
      <c r="G17" s="30">
        <v>213</v>
      </c>
      <c r="H17" s="29">
        <v>561</v>
      </c>
      <c r="I17" s="29">
        <v>292</v>
      </c>
      <c r="J17" s="29">
        <v>114444</v>
      </c>
      <c r="K17" s="29">
        <v>86</v>
      </c>
      <c r="L17" s="29">
        <v>151</v>
      </c>
      <c r="N17" s="33"/>
      <c r="O17" s="29">
        <f t="shared" si="0"/>
        <v>118.5</v>
      </c>
      <c r="P17" s="31" cm="1">
        <f t="array" ref="P17">WPNFACTOR(C17)</f>
        <v>2.5</v>
      </c>
      <c r="Q17" s="33" cm="1">
        <f t="array" ref="Q17">HPFACTOr(C17)</f>
        <v>4</v>
      </c>
      <c r="R17" s="32">
        <f t="shared" si="1"/>
        <v>47.4</v>
      </c>
      <c r="S17" s="33">
        <f t="shared" si="2"/>
        <v>28611</v>
      </c>
      <c r="T17" s="32">
        <f t="shared" si="3"/>
        <v>47.4</v>
      </c>
      <c r="U17" s="39">
        <f t="shared" si="4"/>
        <v>28611.000000000004</v>
      </c>
      <c r="V17" s="41">
        <f>VLOOKUP(D17,LevelXp!$A$1:'LevelXp'!$B$1000,2,)/5</f>
        <v>60343</v>
      </c>
      <c r="W17" s="29">
        <f t="shared" si="5"/>
        <v>1356161.4000000001</v>
      </c>
      <c r="X17" s="32">
        <f t="shared" si="6"/>
        <v>16.84466102357699</v>
      </c>
      <c r="Y17" s="41">
        <v>28</v>
      </c>
      <c r="Z17" s="41">
        <v>60343</v>
      </c>
      <c r="AA17" s="41">
        <v>1</v>
      </c>
      <c r="AC17" s="50">
        <v>16</v>
      </c>
      <c r="AD17" s="51">
        <f t="shared" si="7"/>
        <v>13952</v>
      </c>
      <c r="AE17" s="51">
        <f t="shared" si="9"/>
        <v>4780.666666666667</v>
      </c>
      <c r="AF17" s="51">
        <f t="shared" si="8"/>
        <v>1</v>
      </c>
      <c r="AG17" s="55">
        <f t="shared" si="9"/>
        <v>0.55555555555555558</v>
      </c>
      <c r="AH17" s="29">
        <f>SUM($AF$2:AF17)</f>
        <v>8</v>
      </c>
      <c r="AI17" s="55">
        <f>SUM($AG$2:AG17)</f>
        <v>7.4444444444444446</v>
      </c>
    </row>
    <row r="18" spans="1:35" x14ac:dyDescent="0.2">
      <c r="A18" s="48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3"/>
      <c r="O18" s="29">
        <f t="shared" si="0"/>
        <v>95.5</v>
      </c>
      <c r="P18" s="31" cm="1">
        <f t="array" ref="P18">WPNFACTOR(C18)</f>
        <v>2</v>
      </c>
      <c r="Q18" s="33" cm="1">
        <f t="array" ref="Q18">HPFACTOr(C18)</f>
        <v>5</v>
      </c>
      <c r="R18" s="32">
        <f t="shared" si="1"/>
        <v>47.75</v>
      </c>
      <c r="S18" s="33">
        <f t="shared" si="2"/>
        <v>27587</v>
      </c>
      <c r="T18" s="32">
        <f t="shared" si="3"/>
        <v>47.75</v>
      </c>
      <c r="U18" s="39">
        <f t="shared" si="4"/>
        <v>27587</v>
      </c>
      <c r="V18" s="41">
        <f>VLOOKUP(D18,LevelXp!$A$1:'LevelXp'!$B$1000,2,)/5</f>
        <v>53228</v>
      </c>
      <c r="W18" s="29">
        <f t="shared" si="5"/>
        <v>1317279.25</v>
      </c>
      <c r="X18" s="32">
        <f t="shared" si="6"/>
        <v>16.746944079902139</v>
      </c>
      <c r="Y18" s="41">
        <v>29</v>
      </c>
      <c r="Z18" s="41">
        <v>53228</v>
      </c>
      <c r="AA18" s="41">
        <v>1</v>
      </c>
      <c r="AC18" s="50">
        <v>17</v>
      </c>
      <c r="AD18" s="51">
        <f t="shared" si="7"/>
        <v>0</v>
      </c>
      <c r="AE18" s="51">
        <f t="shared" si="9"/>
        <v>7533.8888888888887</v>
      </c>
      <c r="AF18" s="51">
        <f t="shared" si="8"/>
        <v>0</v>
      </c>
      <c r="AG18" s="55">
        <f t="shared" si="9"/>
        <v>0.66666666666666663</v>
      </c>
      <c r="AH18" s="29">
        <f>SUM($AF$2:AF18)</f>
        <v>8</v>
      </c>
      <c r="AI18" s="55">
        <f>SUM($AG$2:AG18)</f>
        <v>8.1111111111111107</v>
      </c>
    </row>
    <row r="19" spans="1:35" x14ac:dyDescent="0.2">
      <c r="A19" s="48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3"/>
      <c r="O19" s="29">
        <f t="shared" si="0"/>
        <v>126</v>
      </c>
      <c r="P19" s="31" cm="1">
        <f t="array" ref="P19">WPNFACTOR(C19)</f>
        <v>2.5</v>
      </c>
      <c r="Q19" s="33" cm="1">
        <f t="array" ref="Q19">HPFACTOr(C19)</f>
        <v>4</v>
      </c>
      <c r="R19" s="32">
        <f t="shared" si="1"/>
        <v>50.4</v>
      </c>
      <c r="S19" s="33">
        <f t="shared" si="2"/>
        <v>38760</v>
      </c>
      <c r="T19" s="32">
        <f t="shared" si="3"/>
        <v>50.4</v>
      </c>
      <c r="U19" s="39">
        <f t="shared" si="4"/>
        <v>38760</v>
      </c>
      <c r="V19" s="41">
        <f>VLOOKUP(D19,LevelXp!$A$1:'LevelXp'!$B$1000,2,)/5</f>
        <v>86309</v>
      </c>
      <c r="W19" s="29">
        <f t="shared" si="5"/>
        <v>1953504</v>
      </c>
      <c r="X19" s="32">
        <f t="shared" si="6"/>
        <v>18.120194747587014</v>
      </c>
      <c r="Y19" s="41">
        <v>30</v>
      </c>
      <c r="Z19" s="41">
        <v>86309</v>
      </c>
      <c r="AA19" s="41">
        <v>1</v>
      </c>
      <c r="AC19" s="50">
        <v>18</v>
      </c>
      <c r="AD19" s="51">
        <f t="shared" si="7"/>
        <v>0</v>
      </c>
      <c r="AE19" s="51">
        <f t="shared" si="9"/>
        <v>7533.8888888888887</v>
      </c>
      <c r="AF19" s="51">
        <f t="shared" si="8"/>
        <v>0</v>
      </c>
      <c r="AG19" s="55">
        <f t="shared" si="9"/>
        <v>0.66666666666666663</v>
      </c>
      <c r="AH19" s="29">
        <f>SUM($AF$2:AF19)</f>
        <v>8</v>
      </c>
      <c r="AI19" s="55">
        <f>SUM($AG$2:AG19)</f>
        <v>8.7777777777777768</v>
      </c>
    </row>
    <row r="20" spans="1:35" x14ac:dyDescent="0.2">
      <c r="A20" s="48" t="s">
        <v>8842</v>
      </c>
      <c r="B20" s="29">
        <v>1</v>
      </c>
      <c r="C20" s="29">
        <v>3</v>
      </c>
      <c r="D20" s="29">
        <v>32</v>
      </c>
      <c r="E20" s="29">
        <v>155</v>
      </c>
      <c r="F20" s="29">
        <v>486</v>
      </c>
      <c r="G20" s="29">
        <v>161</v>
      </c>
      <c r="H20" s="29">
        <v>276</v>
      </c>
      <c r="I20" s="29">
        <v>205</v>
      </c>
      <c r="J20" s="29">
        <v>36432</v>
      </c>
      <c r="K20" s="29">
        <v>58</v>
      </c>
      <c r="L20" s="29">
        <v>95</v>
      </c>
      <c r="N20" s="33"/>
      <c r="O20" s="29">
        <f t="shared" si="0"/>
        <v>76.5</v>
      </c>
      <c r="P20" s="31" cm="1">
        <f t="array" ref="P20">WPNFACTOR(C20)</f>
        <v>2.5</v>
      </c>
      <c r="Q20" s="33" cm="1">
        <f t="array" ref="Q20">HPFACTOr(C20)</f>
        <v>4</v>
      </c>
      <c r="R20" s="32">
        <f t="shared" si="1"/>
        <v>30.6</v>
      </c>
      <c r="S20" s="33">
        <f t="shared" si="2"/>
        <v>9108</v>
      </c>
      <c r="T20" s="32">
        <f t="shared" si="3"/>
        <v>30.6</v>
      </c>
      <c r="U20" s="39">
        <f t="shared" si="4"/>
        <v>9108</v>
      </c>
      <c r="V20" s="41">
        <f>VLOOKUP(D20,LevelXp!$A$1:'LevelXp'!$B$1000,2,)/5</f>
        <v>16557</v>
      </c>
      <c r="W20" s="29">
        <f t="shared" si="5"/>
        <v>278704.8</v>
      </c>
      <c r="X20" s="32">
        <f t="shared" si="6"/>
        <v>12.275208843075932</v>
      </c>
      <c r="Y20" s="41">
        <v>30</v>
      </c>
      <c r="Z20" s="41">
        <v>16557</v>
      </c>
      <c r="AA20" s="41">
        <v>1</v>
      </c>
      <c r="AC20" s="50">
        <v>19</v>
      </c>
      <c r="AD20" s="51">
        <f t="shared" si="7"/>
        <v>0</v>
      </c>
      <c r="AE20" s="51">
        <f t="shared" si="9"/>
        <v>7533.8888888888887</v>
      </c>
      <c r="AF20" s="51">
        <f t="shared" si="8"/>
        <v>0</v>
      </c>
      <c r="AG20" s="55">
        <f t="shared" si="9"/>
        <v>0.66666666666666663</v>
      </c>
      <c r="AH20" s="29">
        <f>SUM($AF$2:AF20)</f>
        <v>8</v>
      </c>
      <c r="AI20" s="55">
        <f>SUM($AG$2:AG20)</f>
        <v>9.4444444444444429</v>
      </c>
    </row>
    <row r="21" spans="1:35" x14ac:dyDescent="0.2">
      <c r="A21" s="48" t="s">
        <v>8842</v>
      </c>
      <c r="B21" s="29">
        <v>2</v>
      </c>
      <c r="C21" s="29">
        <v>3</v>
      </c>
      <c r="D21" s="29">
        <v>36</v>
      </c>
      <c r="E21" s="29">
        <v>141</v>
      </c>
      <c r="F21" s="29">
        <v>602</v>
      </c>
      <c r="G21" s="29">
        <v>149</v>
      </c>
      <c r="H21" s="29">
        <v>344</v>
      </c>
      <c r="I21" s="29">
        <v>230</v>
      </c>
      <c r="J21" s="29">
        <v>50912</v>
      </c>
      <c r="K21" s="29">
        <v>60</v>
      </c>
      <c r="L21" s="29">
        <v>108</v>
      </c>
      <c r="N21" s="33"/>
      <c r="O21" s="29">
        <f t="shared" si="0"/>
        <v>84</v>
      </c>
      <c r="P21" s="31" cm="1">
        <f t="array" ref="P21">WPNFACTOR(C21)</f>
        <v>2.5</v>
      </c>
      <c r="Q21" s="33" cm="1">
        <f t="array" ref="Q21">HPFACTOr(C21)</f>
        <v>4</v>
      </c>
      <c r="R21" s="32">
        <f t="shared" si="1"/>
        <v>33.6</v>
      </c>
      <c r="S21" s="33">
        <f t="shared" si="2"/>
        <v>12728</v>
      </c>
      <c r="T21" s="32">
        <f t="shared" si="3"/>
        <v>33.6</v>
      </c>
      <c r="U21" s="39">
        <f t="shared" si="4"/>
        <v>12728.000000000002</v>
      </c>
      <c r="V21" s="41">
        <f>VLOOKUP(D21,LevelXp!$A$1:'LevelXp'!$B$1000,2,)/5</f>
        <v>22893</v>
      </c>
      <c r="W21" s="29">
        <f t="shared" si="5"/>
        <v>427660.8000000001</v>
      </c>
      <c r="X21" s="32">
        <f t="shared" si="6"/>
        <v>13.372724231613445</v>
      </c>
      <c r="Y21" s="41">
        <v>30</v>
      </c>
      <c r="Z21" s="41">
        <v>22893</v>
      </c>
      <c r="AA21" s="41">
        <v>1</v>
      </c>
      <c r="AC21" s="50">
        <v>20</v>
      </c>
      <c r="AD21" s="51">
        <f t="shared" si="7"/>
        <v>13031</v>
      </c>
      <c r="AE21" s="51">
        <f t="shared" si="9"/>
        <v>6463.7777777777774</v>
      </c>
      <c r="AF21" s="51">
        <f t="shared" si="8"/>
        <v>2</v>
      </c>
      <c r="AG21" s="55">
        <f t="shared" si="9"/>
        <v>0.55555555555555558</v>
      </c>
      <c r="AH21" s="29">
        <f>SUM($AF$2:AF21)</f>
        <v>10</v>
      </c>
      <c r="AI21" s="55">
        <f>SUM($AG$2:AG21)</f>
        <v>9.9999999999999982</v>
      </c>
    </row>
    <row r="22" spans="1:35" x14ac:dyDescent="0.2">
      <c r="A22" s="48" t="s">
        <v>8842</v>
      </c>
      <c r="B22" s="29">
        <v>3</v>
      </c>
      <c r="C22" s="29">
        <v>3</v>
      </c>
      <c r="D22" s="29">
        <v>42</v>
      </c>
      <c r="E22" s="29">
        <v>205</v>
      </c>
      <c r="F22" s="29">
        <v>726</v>
      </c>
      <c r="G22" s="29">
        <v>224</v>
      </c>
      <c r="H22" s="29">
        <v>403</v>
      </c>
      <c r="I22" s="29">
        <v>247</v>
      </c>
      <c r="J22" s="29">
        <v>69316</v>
      </c>
      <c r="K22" s="29">
        <v>71</v>
      </c>
      <c r="L22" s="29">
        <v>124</v>
      </c>
      <c r="N22" s="33"/>
      <c r="O22" s="29">
        <f t="shared" si="0"/>
        <v>97.5</v>
      </c>
      <c r="P22" s="31" cm="1">
        <f t="array" ref="P22">WPNFACTOR(C22)</f>
        <v>2.5</v>
      </c>
      <c r="Q22" s="33" cm="1">
        <f t="array" ref="Q22">HPFACTOr(C22)</f>
        <v>4</v>
      </c>
      <c r="R22" s="32">
        <f t="shared" si="1"/>
        <v>39</v>
      </c>
      <c r="S22" s="33">
        <f t="shared" si="2"/>
        <v>17329</v>
      </c>
      <c r="T22" s="32">
        <f t="shared" si="3"/>
        <v>39</v>
      </c>
      <c r="U22" s="39">
        <f t="shared" si="4"/>
        <v>17329</v>
      </c>
      <c r="V22" s="41">
        <f>VLOOKUP(D22,LevelXp!$A$1:'LevelXp'!$B$1000,2,)/5</f>
        <v>35642</v>
      </c>
      <c r="W22" s="29">
        <f t="shared" si="5"/>
        <v>675831</v>
      </c>
      <c r="X22" s="32">
        <f t="shared" si="6"/>
        <v>14.654385830482735</v>
      </c>
      <c r="Y22" s="41">
        <v>30</v>
      </c>
      <c r="Z22" s="41">
        <v>35642</v>
      </c>
      <c r="AA22" s="41">
        <v>1</v>
      </c>
      <c r="AC22" s="50">
        <v>21</v>
      </c>
      <c r="AD22" s="51">
        <f t="shared" si="7"/>
        <v>31191</v>
      </c>
      <c r="AE22" s="51">
        <f t="shared" si="9"/>
        <v>7874.8888888888887</v>
      </c>
      <c r="AF22" s="51">
        <f t="shared" si="8"/>
        <v>2</v>
      </c>
      <c r="AG22" s="55">
        <f t="shared" si="9"/>
        <v>0.55555555555555558</v>
      </c>
      <c r="AH22" s="29">
        <f>SUM($AF$2:AF22)</f>
        <v>12</v>
      </c>
      <c r="AI22" s="55">
        <f>SUM($AG$2:AG22)</f>
        <v>10.555555555555554</v>
      </c>
    </row>
    <row r="23" spans="1:35" x14ac:dyDescent="0.2">
      <c r="A23" s="48" t="s">
        <v>8842</v>
      </c>
      <c r="B23" s="29">
        <v>4</v>
      </c>
      <c r="C23" s="29">
        <v>1</v>
      </c>
      <c r="D23" s="29">
        <v>46</v>
      </c>
      <c r="E23" s="29">
        <v>768</v>
      </c>
      <c r="F23" s="29">
        <v>215</v>
      </c>
      <c r="G23" s="29">
        <v>183</v>
      </c>
      <c r="H23" s="29">
        <v>539</v>
      </c>
      <c r="I23" s="29">
        <v>249</v>
      </c>
      <c r="J23" s="29">
        <v>126665</v>
      </c>
      <c r="K23" s="29">
        <v>66</v>
      </c>
      <c r="L23" s="29">
        <v>115</v>
      </c>
      <c r="N23" s="33"/>
      <c r="O23" s="29">
        <f t="shared" si="0"/>
        <v>90.5</v>
      </c>
      <c r="P23" s="31" cm="1">
        <f t="array" ref="P23">WPNFACTOR(C23)</f>
        <v>2</v>
      </c>
      <c r="Q23" s="33" cm="1">
        <f t="array" ref="Q23">HPFACTOr(C23)</f>
        <v>5</v>
      </c>
      <c r="R23" s="32">
        <f t="shared" si="1"/>
        <v>45.25</v>
      </c>
      <c r="S23" s="33">
        <f t="shared" si="2"/>
        <v>25333</v>
      </c>
      <c r="T23" s="32">
        <f t="shared" si="3"/>
        <v>45.25</v>
      </c>
      <c r="U23" s="39">
        <f t="shared" si="4"/>
        <v>25333</v>
      </c>
      <c r="V23" s="41">
        <f>VLOOKUP(D23,LevelXp!$A$1:'LevelXp'!$B$1000,2,)/5</f>
        <v>46757</v>
      </c>
      <c r="W23" s="29">
        <f t="shared" si="5"/>
        <v>1146318.25</v>
      </c>
      <c r="X23" s="32">
        <f t="shared" si="6"/>
        <v>16.287747997024901</v>
      </c>
      <c r="Y23" s="41">
        <v>32</v>
      </c>
      <c r="Z23" s="41">
        <v>46757</v>
      </c>
      <c r="AA23" s="41">
        <v>1</v>
      </c>
      <c r="AC23" s="50">
        <v>22</v>
      </c>
      <c r="AD23" s="51">
        <f t="shared" si="7"/>
        <v>0</v>
      </c>
      <c r="AE23" s="51">
        <f t="shared" si="9"/>
        <v>12417.777777777777</v>
      </c>
      <c r="AF23" s="51">
        <f t="shared" si="8"/>
        <v>0</v>
      </c>
      <c r="AG23" s="55">
        <f t="shared" si="9"/>
        <v>0.66666666666666663</v>
      </c>
      <c r="AH23" s="29">
        <f>SUM($AF$2:AF23)</f>
        <v>12</v>
      </c>
      <c r="AI23" s="55">
        <f>SUM($AG$2:AG23)</f>
        <v>11.22222222222222</v>
      </c>
    </row>
    <row r="24" spans="1:35" x14ac:dyDescent="0.2">
      <c r="A24" s="48" t="s">
        <v>8842</v>
      </c>
      <c r="B24" s="29">
        <v>5</v>
      </c>
      <c r="C24" s="29">
        <v>1</v>
      </c>
      <c r="D24" s="29">
        <v>54</v>
      </c>
      <c r="E24" s="29">
        <v>920</v>
      </c>
      <c r="F24" s="29">
        <v>265</v>
      </c>
      <c r="G24" s="29">
        <v>240</v>
      </c>
      <c r="H24" s="29">
        <v>640</v>
      </c>
      <c r="I24" s="29">
        <v>260</v>
      </c>
      <c r="J24" s="29">
        <v>176000</v>
      </c>
      <c r="K24" s="29">
        <v>69</v>
      </c>
      <c r="L24" s="29">
        <v>127</v>
      </c>
      <c r="N24" s="33"/>
      <c r="O24" s="29">
        <f t="shared" si="0"/>
        <v>98</v>
      </c>
      <c r="P24" s="31" cm="1">
        <f t="array" ref="P24">WPNFACTOR(C24)</f>
        <v>2</v>
      </c>
      <c r="Q24" s="33" cm="1">
        <f t="array" ref="Q24">HPFACTOr(C24)</f>
        <v>5</v>
      </c>
      <c r="R24" s="32">
        <f t="shared" si="1"/>
        <v>49</v>
      </c>
      <c r="S24" s="33">
        <f t="shared" si="2"/>
        <v>35200</v>
      </c>
      <c r="T24" s="32">
        <f t="shared" si="3"/>
        <v>49</v>
      </c>
      <c r="U24" s="39">
        <f t="shared" si="4"/>
        <v>35200</v>
      </c>
      <c r="V24" s="41">
        <f>VLOOKUP(D24,LevelXp!$A$1:'LevelXp'!$B$1000,2,)/5</f>
        <v>76872</v>
      </c>
      <c r="W24" s="29">
        <f t="shared" si="5"/>
        <v>1724800</v>
      </c>
      <c r="X24" s="32">
        <f t="shared" si="6"/>
        <v>17.674524905155408</v>
      </c>
      <c r="Y24" s="41">
        <v>33</v>
      </c>
      <c r="Z24" s="41">
        <v>76872</v>
      </c>
      <c r="AA24" s="41">
        <v>1</v>
      </c>
      <c r="AC24" s="50">
        <v>23</v>
      </c>
      <c r="AD24" s="51">
        <f t="shared" si="7"/>
        <v>0</v>
      </c>
      <c r="AE24" s="51">
        <f t="shared" si="9"/>
        <v>15852.111111111111</v>
      </c>
      <c r="AF24" s="51">
        <f t="shared" si="8"/>
        <v>0</v>
      </c>
      <c r="AG24" s="55">
        <f t="shared" si="9"/>
        <v>0.77777777777777779</v>
      </c>
      <c r="AH24" s="29">
        <f>SUM($AF$2:AF24)</f>
        <v>12</v>
      </c>
      <c r="AI24" s="55">
        <f>SUM($AG$2:AG24)</f>
        <v>11.999999999999998</v>
      </c>
    </row>
    <row r="25" spans="1:35" x14ac:dyDescent="0.2">
      <c r="A25" s="48" t="s">
        <v>8842</v>
      </c>
      <c r="B25" s="29">
        <v>6</v>
      </c>
      <c r="C25" s="29">
        <v>3</v>
      </c>
      <c r="D25" s="29">
        <v>60</v>
      </c>
      <c r="E25" s="29">
        <v>270</v>
      </c>
      <c r="F25" s="29">
        <v>1040</v>
      </c>
      <c r="G25" s="29">
        <v>260</v>
      </c>
      <c r="H25" s="29">
        <v>760</v>
      </c>
      <c r="I25" s="29">
        <v>375</v>
      </c>
      <c r="J25" s="29">
        <v>185440</v>
      </c>
      <c r="K25" s="29">
        <v>97</v>
      </c>
      <c r="L25" s="29">
        <v>165</v>
      </c>
      <c r="N25" s="33"/>
      <c r="O25" s="29">
        <f t="shared" si="0"/>
        <v>131</v>
      </c>
      <c r="P25" s="31" cm="1">
        <f t="array" ref="P25">WPNFACTOR(C25)</f>
        <v>2.5</v>
      </c>
      <c r="Q25" s="33" cm="1">
        <f t="array" ref="Q25">HPFACTOr(C25)</f>
        <v>4</v>
      </c>
      <c r="R25" s="32">
        <f t="shared" si="1"/>
        <v>52.4</v>
      </c>
      <c r="S25" s="33">
        <f t="shared" si="2"/>
        <v>46360</v>
      </c>
      <c r="T25" s="32">
        <f t="shared" si="3"/>
        <v>52.4</v>
      </c>
      <c r="U25" s="39">
        <f t="shared" si="4"/>
        <v>46360</v>
      </c>
      <c r="V25" s="41">
        <f>VLOOKUP(D25,LevelXp!$A$1:'LevelXp'!$B$1000,2,)/5</f>
        <v>108013</v>
      </c>
      <c r="W25" s="29">
        <f t="shared" si="5"/>
        <v>2429264</v>
      </c>
      <c r="X25" s="32">
        <f t="shared" si="6"/>
        <v>18.927573566808245</v>
      </c>
      <c r="Y25" s="41">
        <v>34</v>
      </c>
      <c r="Z25" s="41">
        <v>108013</v>
      </c>
      <c r="AA25" s="41">
        <v>1</v>
      </c>
      <c r="AC25" s="50">
        <v>24</v>
      </c>
      <c r="AD25" s="51">
        <f t="shared" si="7"/>
        <v>0</v>
      </c>
      <c r="AE25" s="51">
        <f t="shared" si="9"/>
        <v>22556.888888888891</v>
      </c>
      <c r="AF25" s="51">
        <f t="shared" si="8"/>
        <v>0</v>
      </c>
      <c r="AG25" s="55">
        <f t="shared" si="9"/>
        <v>0.88888888888888884</v>
      </c>
      <c r="AH25" s="29">
        <f>SUM($AF$2:AF25)</f>
        <v>12</v>
      </c>
      <c r="AI25" s="55">
        <f>SUM($AG$2:AG25)</f>
        <v>12.888888888888888</v>
      </c>
    </row>
    <row r="26" spans="1:35" x14ac:dyDescent="0.2">
      <c r="A26" s="48" t="s">
        <v>8841</v>
      </c>
      <c r="B26" s="29">
        <v>9</v>
      </c>
      <c r="C26" s="29">
        <v>3</v>
      </c>
      <c r="D26" s="29">
        <v>66</v>
      </c>
      <c r="E26" s="29">
        <v>300</v>
      </c>
      <c r="F26" s="29">
        <v>1160</v>
      </c>
      <c r="G26" s="29">
        <v>290</v>
      </c>
      <c r="H26" s="29">
        <v>880</v>
      </c>
      <c r="I26" s="29">
        <v>420</v>
      </c>
      <c r="J26" s="29">
        <v>235840</v>
      </c>
      <c r="K26" s="29">
        <v>102</v>
      </c>
      <c r="L26" s="29">
        <v>175</v>
      </c>
      <c r="N26" s="33"/>
      <c r="O26" s="29">
        <f t="shared" si="0"/>
        <v>138.5</v>
      </c>
      <c r="P26" s="31" cm="1">
        <f t="array" ref="P26">WPNFACTOR(C26)</f>
        <v>2.5</v>
      </c>
      <c r="Q26" s="33" cm="1">
        <f t="array" ref="Q26">HPFACTOr(C26)</f>
        <v>4</v>
      </c>
      <c r="R26" s="32">
        <f t="shared" si="1"/>
        <v>55.4</v>
      </c>
      <c r="S26" s="33">
        <f t="shared" si="2"/>
        <v>58960</v>
      </c>
      <c r="T26" s="32">
        <f t="shared" si="3"/>
        <v>55.4</v>
      </c>
      <c r="U26" s="39">
        <f t="shared" si="4"/>
        <v>58960</v>
      </c>
      <c r="V26" s="41">
        <f>VLOOKUP(D26,LevelXp!$A$1:'LevelXp'!$B$1000,2,)/5</f>
        <v>148282</v>
      </c>
      <c r="W26" s="29">
        <f t="shared" si="5"/>
        <v>3266384</v>
      </c>
      <c r="X26" s="32">
        <f t="shared" si="6"/>
        <v>20.082299880038551</v>
      </c>
      <c r="Y26" s="41">
        <v>35</v>
      </c>
      <c r="Z26" s="41">
        <v>148282</v>
      </c>
      <c r="AA26" s="41">
        <v>1</v>
      </c>
      <c r="AC26" s="50">
        <v>25</v>
      </c>
      <c r="AD26" s="51">
        <f t="shared" si="7"/>
        <v>26652</v>
      </c>
      <c r="AE26" s="51">
        <f t="shared" si="9"/>
        <v>27023.222222222223</v>
      </c>
      <c r="AF26" s="51">
        <f t="shared" si="8"/>
        <v>1</v>
      </c>
      <c r="AG26" s="55">
        <f t="shared" si="9"/>
        <v>0.77777777777777779</v>
      </c>
      <c r="AH26" s="29">
        <f>SUM($AF$2:AF26)</f>
        <v>13</v>
      </c>
      <c r="AI26" s="55">
        <f>SUM($AG$2:AG26)</f>
        <v>13.666666666666666</v>
      </c>
    </row>
    <row r="27" spans="1:35" x14ac:dyDescent="0.2">
      <c r="A27" s="48" t="s">
        <v>8842</v>
      </c>
      <c r="B27" s="29">
        <v>7</v>
      </c>
      <c r="C27" s="29">
        <v>1</v>
      </c>
      <c r="D27" s="29">
        <v>64</v>
      </c>
      <c r="E27" s="29">
        <v>1120</v>
      </c>
      <c r="F27" s="29">
        <v>340</v>
      </c>
      <c r="G27" s="29">
        <v>315</v>
      </c>
      <c r="H27" s="29">
        <v>840</v>
      </c>
      <c r="I27" s="29">
        <v>310</v>
      </c>
      <c r="J27" s="29">
        <v>273000</v>
      </c>
      <c r="K27" s="29">
        <v>79</v>
      </c>
      <c r="L27" s="29">
        <v>137</v>
      </c>
      <c r="N27" s="33"/>
      <c r="O27" s="29">
        <f t="shared" si="0"/>
        <v>108</v>
      </c>
      <c r="P27" s="31" cm="1">
        <f t="array" ref="P27">WPNFACTOR(C27)</f>
        <v>2</v>
      </c>
      <c r="Q27" s="33" cm="1">
        <f t="array" ref="Q27">HPFACTOr(C27)</f>
        <v>5</v>
      </c>
      <c r="R27" s="32">
        <f t="shared" si="1"/>
        <v>54</v>
      </c>
      <c r="S27" s="33">
        <f t="shared" si="2"/>
        <v>54600</v>
      </c>
      <c r="T27" s="32">
        <f t="shared" si="3"/>
        <v>54</v>
      </c>
      <c r="U27" s="39">
        <f t="shared" si="4"/>
        <v>54600</v>
      </c>
      <c r="V27" s="41">
        <f>VLOOKUP(D27,LevelXp!$A$1:'LevelXp'!$B$1000,2,)/5</f>
        <v>133734</v>
      </c>
      <c r="W27" s="29">
        <f t="shared" si="5"/>
        <v>2948400</v>
      </c>
      <c r="X27" s="32">
        <f t="shared" si="6"/>
        <v>19.675115047065411</v>
      </c>
      <c r="Y27" s="41">
        <v>37</v>
      </c>
      <c r="Z27" s="41">
        <v>133734</v>
      </c>
      <c r="AA27" s="41">
        <v>1</v>
      </c>
      <c r="AC27" s="50">
        <v>26</v>
      </c>
      <c r="AD27" s="51">
        <f t="shared" si="7"/>
        <v>40886</v>
      </c>
      <c r="AE27" s="51">
        <f t="shared" si="9"/>
        <v>41491</v>
      </c>
      <c r="AF27" s="51">
        <f t="shared" si="8"/>
        <v>1</v>
      </c>
      <c r="AG27" s="55">
        <f t="shared" si="9"/>
        <v>1</v>
      </c>
      <c r="AH27" s="29">
        <f>SUM($AF$2:AF27)</f>
        <v>14</v>
      </c>
      <c r="AI27" s="55">
        <f>SUM($AG$2:AG27)</f>
        <v>14.666666666666666</v>
      </c>
    </row>
    <row r="28" spans="1:35" x14ac:dyDescent="0.2">
      <c r="A28" s="48" t="s">
        <v>8841</v>
      </c>
      <c r="B28" s="29">
        <v>10</v>
      </c>
      <c r="C28" s="29">
        <v>1</v>
      </c>
      <c r="D28" s="29">
        <v>70</v>
      </c>
      <c r="E28" s="29">
        <v>1240</v>
      </c>
      <c r="F28" s="29">
        <v>385</v>
      </c>
      <c r="G28" s="29">
        <v>360</v>
      </c>
      <c r="H28" s="29">
        <v>960</v>
      </c>
      <c r="I28" s="29">
        <v>340</v>
      </c>
      <c r="J28" s="29">
        <v>340800</v>
      </c>
      <c r="K28" s="29">
        <v>85</v>
      </c>
      <c r="L28" s="29">
        <v>143</v>
      </c>
      <c r="N28" s="33"/>
      <c r="O28" s="29">
        <f t="shared" si="0"/>
        <v>114</v>
      </c>
      <c r="P28" s="31" cm="1">
        <f t="array" ref="P28">WPNFACTOR(C28)</f>
        <v>2</v>
      </c>
      <c r="Q28" s="33" cm="1">
        <f t="array" ref="Q28">HPFACTOr(C28)</f>
        <v>5</v>
      </c>
      <c r="R28" s="32">
        <f t="shared" si="1"/>
        <v>57</v>
      </c>
      <c r="S28" s="33">
        <f t="shared" si="2"/>
        <v>68160</v>
      </c>
      <c r="T28" s="32">
        <f t="shared" si="3"/>
        <v>57</v>
      </c>
      <c r="U28" s="39">
        <f t="shared" si="4"/>
        <v>68160</v>
      </c>
      <c r="V28" s="41">
        <f>VLOOKUP(D28,LevelXp!$A$1:'LevelXp'!$B$1000,2,)/5</f>
        <v>181085</v>
      </c>
      <c r="W28" s="29">
        <f t="shared" si="5"/>
        <v>3885120</v>
      </c>
      <c r="X28" s="32">
        <f t="shared" si="6"/>
        <v>20.791263737717813</v>
      </c>
      <c r="Y28" s="41">
        <v>38</v>
      </c>
      <c r="Z28" s="41">
        <v>181085</v>
      </c>
      <c r="AA28" s="41">
        <v>1</v>
      </c>
      <c r="AC28" s="50">
        <v>27</v>
      </c>
      <c r="AD28" s="51">
        <f t="shared" si="7"/>
        <v>30909</v>
      </c>
      <c r="AE28" s="51">
        <f t="shared" si="9"/>
        <v>41491</v>
      </c>
      <c r="AF28" s="51">
        <f t="shared" si="8"/>
        <v>1</v>
      </c>
      <c r="AG28" s="55">
        <f t="shared" si="9"/>
        <v>1</v>
      </c>
      <c r="AH28" s="29">
        <f>SUM($AF$2:AF28)</f>
        <v>15</v>
      </c>
      <c r="AI28" s="55">
        <f>SUM($AG$2:AG28)</f>
        <v>15.666666666666666</v>
      </c>
    </row>
    <row r="29" spans="1:35" x14ac:dyDescent="0.2">
      <c r="A29" s="48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3"/>
      <c r="O29" s="29">
        <f t="shared" si="0"/>
        <v>151</v>
      </c>
      <c r="P29" s="31" cm="1">
        <f t="array" ref="P29">WPNFACTOR(C29)</f>
        <v>2.5</v>
      </c>
      <c r="Q29" s="33" cm="1">
        <f t="array" ref="Q29">HPFACTOr(C29)</f>
        <v>4</v>
      </c>
      <c r="R29" s="32">
        <f t="shared" si="1"/>
        <v>60.4</v>
      </c>
      <c r="S29" s="33">
        <f t="shared" si="2"/>
        <v>83160</v>
      </c>
      <c r="T29" s="32">
        <f t="shared" si="3"/>
        <v>60.4</v>
      </c>
      <c r="U29" s="39">
        <f t="shared" si="4"/>
        <v>83160</v>
      </c>
      <c r="V29" s="41">
        <f>VLOOKUP(D29,LevelXp!$A$1:'LevelXp'!$B$1000,2,)/5</f>
        <v>240784</v>
      </c>
      <c r="W29" s="29">
        <f t="shared" si="5"/>
        <v>5022864</v>
      </c>
      <c r="X29" s="32">
        <f t="shared" si="6"/>
        <v>21.887203902881271</v>
      </c>
      <c r="Y29" s="41">
        <v>39</v>
      </c>
      <c r="Z29" s="41">
        <v>240784</v>
      </c>
      <c r="AA29" s="41">
        <v>1</v>
      </c>
      <c r="AC29" s="50">
        <v>28</v>
      </c>
      <c r="AD29" s="51">
        <f t="shared" si="7"/>
        <v>60343</v>
      </c>
      <c r="AE29" s="51">
        <f t="shared" si="9"/>
        <v>46686.222222222219</v>
      </c>
      <c r="AF29" s="51">
        <f t="shared" si="8"/>
        <v>1</v>
      </c>
      <c r="AG29" s="55">
        <f t="shared" si="9"/>
        <v>1.1111111111111112</v>
      </c>
      <c r="AH29" s="29">
        <f>SUM($AF$2:AF29)</f>
        <v>16</v>
      </c>
      <c r="AI29" s="55">
        <f>SUM($AG$2:AG29)</f>
        <v>16.777777777777779</v>
      </c>
    </row>
    <row r="30" spans="1:35" x14ac:dyDescent="0.2">
      <c r="A30" s="48" t="s">
        <v>8843</v>
      </c>
      <c r="B30" s="29">
        <v>1</v>
      </c>
      <c r="C30" s="29">
        <v>3</v>
      </c>
      <c r="D30" s="29">
        <v>52</v>
      </c>
      <c r="E30" s="29">
        <v>230</v>
      </c>
      <c r="F30" s="29">
        <v>880</v>
      </c>
      <c r="G30" s="29">
        <v>220</v>
      </c>
      <c r="H30" s="29">
        <v>601</v>
      </c>
      <c r="I30" s="29">
        <v>315</v>
      </c>
      <c r="J30" s="29">
        <v>127412</v>
      </c>
      <c r="K30" s="29">
        <v>88</v>
      </c>
      <c r="L30" s="29">
        <v>154</v>
      </c>
      <c r="N30" s="33"/>
      <c r="O30" s="29">
        <f t="shared" si="0"/>
        <v>121</v>
      </c>
      <c r="P30" s="31" cm="1">
        <f t="array" ref="P30">WPNFACTOR(C30)</f>
        <v>2.5</v>
      </c>
      <c r="Q30" s="33" cm="1">
        <f t="array" ref="Q30">HPFACTOr(C30)</f>
        <v>4</v>
      </c>
      <c r="R30" s="32">
        <f t="shared" si="1"/>
        <v>48.4</v>
      </c>
      <c r="S30" s="33">
        <f t="shared" si="2"/>
        <v>31853</v>
      </c>
      <c r="T30" s="32">
        <f t="shared" si="3"/>
        <v>48.4</v>
      </c>
      <c r="U30" s="39">
        <f t="shared" si="4"/>
        <v>31853</v>
      </c>
      <c r="V30" s="41">
        <f>VLOOKUP(D30,LevelXp!$A$1:'LevelXp'!$B$1000,2,)/5</f>
        <v>68234</v>
      </c>
      <c r="W30" s="29">
        <f t="shared" si="5"/>
        <v>1541685.2</v>
      </c>
      <c r="X30" s="32">
        <f t="shared" si="6"/>
        <v>17.28220453269136</v>
      </c>
      <c r="Y30" s="41">
        <v>40</v>
      </c>
      <c r="Z30" s="41">
        <v>68234</v>
      </c>
      <c r="AA30" s="41">
        <v>1</v>
      </c>
      <c r="AC30" s="50">
        <v>29</v>
      </c>
      <c r="AD30" s="51">
        <f t="shared" si="7"/>
        <v>53228</v>
      </c>
      <c r="AE30" s="51">
        <f t="shared" si="9"/>
        <v>55227.555555555555</v>
      </c>
      <c r="AF30" s="51">
        <f t="shared" si="8"/>
        <v>1</v>
      </c>
      <c r="AG30" s="55">
        <f t="shared" si="9"/>
        <v>1.2222222222222223</v>
      </c>
      <c r="AH30" s="29">
        <f>SUM($AF$2:AF30)</f>
        <v>17</v>
      </c>
      <c r="AI30" s="55">
        <f>SUM($AG$2:AG30)</f>
        <v>18</v>
      </c>
    </row>
    <row r="31" spans="1:35" x14ac:dyDescent="0.2">
      <c r="A31" s="48" t="s">
        <v>8843</v>
      </c>
      <c r="B31" s="29">
        <v>2</v>
      </c>
      <c r="C31" s="29">
        <v>3</v>
      </c>
      <c r="D31" s="29">
        <v>58</v>
      </c>
      <c r="E31" s="29">
        <v>260</v>
      </c>
      <c r="F31" s="29">
        <v>1000</v>
      </c>
      <c r="G31" s="29">
        <v>250</v>
      </c>
      <c r="H31" s="29">
        <v>720</v>
      </c>
      <c r="I31" s="29">
        <v>360</v>
      </c>
      <c r="J31" s="29">
        <v>169920</v>
      </c>
      <c r="K31" s="29">
        <v>94</v>
      </c>
      <c r="L31" s="29">
        <v>163</v>
      </c>
      <c r="N31" s="33"/>
      <c r="O31" s="29">
        <f t="shared" si="0"/>
        <v>128.5</v>
      </c>
      <c r="P31" s="31" cm="1">
        <f t="array" ref="P31">WPNFACTOR(C31)</f>
        <v>2.5</v>
      </c>
      <c r="Q31" s="33" cm="1">
        <f t="array" ref="Q31">HPFACTOr(C31)</f>
        <v>4</v>
      </c>
      <c r="R31" s="32">
        <f t="shared" si="1"/>
        <v>51.4</v>
      </c>
      <c r="S31" s="33">
        <f t="shared" si="2"/>
        <v>42480</v>
      </c>
      <c r="T31" s="32">
        <f t="shared" si="3"/>
        <v>51.4</v>
      </c>
      <c r="U31" s="39">
        <f t="shared" si="4"/>
        <v>42480</v>
      </c>
      <c r="V31" s="41">
        <f>VLOOKUP(D31,LevelXp!$A$1:'LevelXp'!$B$1000,2,)/5</f>
        <v>96706</v>
      </c>
      <c r="W31" s="29">
        <f t="shared" si="5"/>
        <v>2183472</v>
      </c>
      <c r="X31" s="32">
        <f t="shared" si="6"/>
        <v>18.528041952716332</v>
      </c>
      <c r="Y31" s="41">
        <v>40</v>
      </c>
      <c r="Z31" s="41">
        <v>96706</v>
      </c>
      <c r="AA31" s="41">
        <v>1</v>
      </c>
      <c r="AC31" s="50">
        <v>30</v>
      </c>
      <c r="AD31" s="51">
        <f t="shared" si="7"/>
        <v>161401</v>
      </c>
      <c r="AE31" s="51">
        <f t="shared" si="9"/>
        <v>64267.666666666664</v>
      </c>
      <c r="AF31" s="51">
        <f t="shared" si="8"/>
        <v>4</v>
      </c>
      <c r="AG31" s="55">
        <f t="shared" si="9"/>
        <v>1.2222222222222223</v>
      </c>
      <c r="AH31" s="29">
        <f>SUM($AF$2:AF31)</f>
        <v>21</v>
      </c>
      <c r="AI31" s="55">
        <f>SUM($AG$2:AG31)</f>
        <v>19.222222222222221</v>
      </c>
    </row>
    <row r="32" spans="1:35" x14ac:dyDescent="0.2">
      <c r="A32" s="48" t="s">
        <v>8843</v>
      </c>
      <c r="B32" s="29">
        <v>3</v>
      </c>
      <c r="C32" s="29">
        <v>1</v>
      </c>
      <c r="D32" s="29">
        <v>62</v>
      </c>
      <c r="E32" s="29">
        <v>1080</v>
      </c>
      <c r="F32" s="29">
        <v>325</v>
      </c>
      <c r="G32" s="29">
        <v>300</v>
      </c>
      <c r="H32" s="29">
        <v>800</v>
      </c>
      <c r="I32" s="29">
        <v>300</v>
      </c>
      <c r="J32" s="29">
        <v>252000</v>
      </c>
      <c r="K32" s="29">
        <v>77</v>
      </c>
      <c r="L32" s="29">
        <v>135</v>
      </c>
      <c r="N32" s="33"/>
      <c r="O32" s="29">
        <f t="shared" si="0"/>
        <v>106</v>
      </c>
      <c r="P32" s="31" cm="1">
        <f t="array" ref="P32">WPNFACTOR(C32)</f>
        <v>2</v>
      </c>
      <c r="Q32" s="33" cm="1">
        <f t="array" ref="Q32">HPFACTOr(C32)</f>
        <v>5</v>
      </c>
      <c r="R32" s="32">
        <f t="shared" si="1"/>
        <v>53</v>
      </c>
      <c r="S32" s="33">
        <f t="shared" si="2"/>
        <v>50400</v>
      </c>
      <c r="T32" s="32">
        <f t="shared" si="3"/>
        <v>53</v>
      </c>
      <c r="U32" s="39">
        <f t="shared" si="4"/>
        <v>50400</v>
      </c>
      <c r="V32" s="41">
        <f>VLOOKUP(D32,LevelXp!$A$1:'LevelXp'!$B$1000,2,)/5</f>
        <v>120287</v>
      </c>
      <c r="W32" s="29">
        <f t="shared" si="5"/>
        <v>2671200</v>
      </c>
      <c r="X32" s="32">
        <f t="shared" si="6"/>
        <v>19.290402135195819</v>
      </c>
      <c r="Y32" s="41">
        <v>42</v>
      </c>
      <c r="Z32" s="41">
        <v>120287</v>
      </c>
      <c r="AA32" s="41">
        <v>1</v>
      </c>
      <c r="AC32" s="50">
        <v>31</v>
      </c>
      <c r="AD32" s="51">
        <f t="shared" si="7"/>
        <v>0</v>
      </c>
      <c r="AE32" s="51">
        <f t="shared" si="9"/>
        <v>76200.555555555562</v>
      </c>
      <c r="AF32" s="51">
        <f t="shared" si="8"/>
        <v>0</v>
      </c>
      <c r="AG32" s="55">
        <f t="shared" si="9"/>
        <v>1.2222222222222223</v>
      </c>
      <c r="AH32" s="29">
        <f>SUM($AF$2:AF32)</f>
        <v>21</v>
      </c>
      <c r="AI32" s="55">
        <f>SUM($AG$2:AG32)</f>
        <v>20.444444444444443</v>
      </c>
    </row>
    <row r="33" spans="1:35" x14ac:dyDescent="0.2">
      <c r="A33" s="48" t="s">
        <v>8843</v>
      </c>
      <c r="B33" s="29">
        <v>4</v>
      </c>
      <c r="C33" s="29">
        <v>1</v>
      </c>
      <c r="D33" s="29">
        <v>68</v>
      </c>
      <c r="E33" s="29">
        <v>1200</v>
      </c>
      <c r="F33" s="29">
        <v>370</v>
      </c>
      <c r="G33" s="29">
        <v>345</v>
      </c>
      <c r="H33" s="29">
        <v>920</v>
      </c>
      <c r="I33" s="29">
        <v>330</v>
      </c>
      <c r="J33" s="29">
        <v>317400</v>
      </c>
      <c r="K33" s="29">
        <v>83</v>
      </c>
      <c r="L33" s="29">
        <v>141</v>
      </c>
      <c r="N33" s="33"/>
      <c r="O33" s="29">
        <f t="shared" si="0"/>
        <v>112</v>
      </c>
      <c r="P33" s="31" cm="1">
        <f t="array" ref="P33">WPNFACTOR(C33)</f>
        <v>2</v>
      </c>
      <c r="Q33" s="33" cm="1">
        <f t="array" ref="Q33">HPFACTOr(C33)</f>
        <v>5</v>
      </c>
      <c r="R33" s="32">
        <f t="shared" si="1"/>
        <v>56</v>
      </c>
      <c r="S33" s="33">
        <f t="shared" si="2"/>
        <v>63480</v>
      </c>
      <c r="T33" s="32">
        <f t="shared" si="3"/>
        <v>56</v>
      </c>
      <c r="U33" s="39">
        <f t="shared" si="4"/>
        <v>63480</v>
      </c>
      <c r="V33" s="41">
        <f>VLOOKUP(D33,LevelXp!$A$1:'LevelXp'!$B$1000,2,)/5</f>
        <v>163994</v>
      </c>
      <c r="W33" s="29">
        <f t="shared" si="5"/>
        <v>3554880</v>
      </c>
      <c r="X33" s="32">
        <f t="shared" si="6"/>
        <v>20.42513750828336</v>
      </c>
      <c r="Y33" s="41">
        <v>43</v>
      </c>
      <c r="Z33" s="41">
        <v>163994</v>
      </c>
      <c r="AA33" s="41">
        <v>1</v>
      </c>
      <c r="AC33" s="50">
        <v>32</v>
      </c>
      <c r="AD33" s="51">
        <f t="shared" si="7"/>
        <v>46757</v>
      </c>
      <c r="AE33" s="51">
        <f t="shared" si="9"/>
        <v>72766.222222222219</v>
      </c>
      <c r="AF33" s="51">
        <f t="shared" si="8"/>
        <v>1</v>
      </c>
      <c r="AG33" s="55">
        <f t="shared" si="9"/>
        <v>1.1111111111111112</v>
      </c>
      <c r="AH33" s="29">
        <f>SUM($AF$2:AF33)</f>
        <v>22</v>
      </c>
      <c r="AI33" s="55">
        <f>SUM($AG$2:AG33)</f>
        <v>21.555555555555554</v>
      </c>
    </row>
    <row r="34" spans="1:35" x14ac:dyDescent="0.2">
      <c r="A34" s="48" t="s">
        <v>8843</v>
      </c>
      <c r="B34" s="29">
        <v>5</v>
      </c>
      <c r="C34" s="29">
        <v>1</v>
      </c>
      <c r="D34" s="29">
        <v>74</v>
      </c>
      <c r="E34" s="29">
        <v>1320</v>
      </c>
      <c r="F34" s="29">
        <v>415</v>
      </c>
      <c r="G34" s="29">
        <v>390</v>
      </c>
      <c r="H34" s="29">
        <v>1040</v>
      </c>
      <c r="I34" s="29">
        <v>360</v>
      </c>
      <c r="J34" s="29">
        <v>390000</v>
      </c>
      <c r="K34" s="29">
        <v>89</v>
      </c>
      <c r="L34" s="29">
        <v>147</v>
      </c>
      <c r="N34" s="33"/>
      <c r="O34" s="29">
        <f t="shared" ref="O34:O65" si="10">AVERAGE(K34, L34)</f>
        <v>118</v>
      </c>
      <c r="P34" s="31" cm="1">
        <f t="array" ref="P34">WPNFACTOR(C34)</f>
        <v>2</v>
      </c>
      <c r="Q34" s="33" cm="1">
        <f t="array" ref="Q34">HPFACTOr(C34)</f>
        <v>5</v>
      </c>
      <c r="R34" s="32">
        <f t="shared" ref="R34:R65" si="11">O34/P34</f>
        <v>59</v>
      </c>
      <c r="S34" s="33">
        <f t="shared" ref="S34:S65" si="12">J34/Q34</f>
        <v>78000</v>
      </c>
      <c r="T34" s="32">
        <f t="shared" ref="T34:T65" si="13">R34*(1 + (N34/400))</f>
        <v>59</v>
      </c>
      <c r="U34" s="39">
        <f t="shared" ref="U34:U65" si="14">S34*1.6/(1 + (0.6*(1 - (M34/100))))</f>
        <v>78000</v>
      </c>
      <c r="V34" s="41">
        <f>VLOOKUP(D34,LevelXp!$A$1:'LevelXp'!$B$1000,2,)/5</f>
        <v>219310</v>
      </c>
      <c r="W34" s="29">
        <f t="shared" ref="W34:W65" si="15">T34*U34</f>
        <v>4602000</v>
      </c>
      <c r="X34" s="32">
        <f t="shared" ref="X34:X65" si="16">POWER(W34, 1/$X$1)</f>
        <v>21.507469855154799</v>
      </c>
      <c r="Y34" s="41">
        <v>44</v>
      </c>
      <c r="Z34" s="41">
        <v>219310</v>
      </c>
      <c r="AA34" s="41">
        <v>1</v>
      </c>
      <c r="AC34" s="50">
        <v>33</v>
      </c>
      <c r="AD34" s="51">
        <f t="shared" si="7"/>
        <v>76872</v>
      </c>
      <c r="AE34" s="51">
        <f t="shared" si="9"/>
        <v>80920.777777777781</v>
      </c>
      <c r="AF34" s="51">
        <f t="shared" si="8"/>
        <v>1</v>
      </c>
      <c r="AG34" s="55">
        <f t="shared" si="9"/>
        <v>1.1111111111111112</v>
      </c>
      <c r="AH34" s="29">
        <f>SUM($AF$2:AF34)</f>
        <v>23</v>
      </c>
      <c r="AI34" s="55">
        <f>SUM($AG$2:AG34)</f>
        <v>22.666666666666664</v>
      </c>
    </row>
    <row r="35" spans="1:35" x14ac:dyDescent="0.2">
      <c r="A35" s="48" t="s">
        <v>8843</v>
      </c>
      <c r="B35" s="29">
        <v>6</v>
      </c>
      <c r="C35" s="29">
        <v>3</v>
      </c>
      <c r="D35" s="29">
        <v>82</v>
      </c>
      <c r="E35" s="29">
        <v>380</v>
      </c>
      <c r="F35" s="29">
        <v>1480</v>
      </c>
      <c r="G35" s="29">
        <v>370</v>
      </c>
      <c r="H35" s="29">
        <v>1200</v>
      </c>
      <c r="I35" s="29">
        <v>540</v>
      </c>
      <c r="J35" s="29">
        <v>398400</v>
      </c>
      <c r="K35" s="29">
        <v>118</v>
      </c>
      <c r="L35" s="29">
        <v>199</v>
      </c>
      <c r="N35" s="33"/>
      <c r="O35" s="29">
        <f t="shared" si="10"/>
        <v>158.5</v>
      </c>
      <c r="P35" s="31" cm="1">
        <f t="array" ref="P35">WPNFACTOR(C35)</f>
        <v>2.5</v>
      </c>
      <c r="Q35" s="33" cm="1">
        <f t="array" ref="Q35">HPFACTOr(C35)</f>
        <v>4</v>
      </c>
      <c r="R35" s="32">
        <f t="shared" si="11"/>
        <v>63.4</v>
      </c>
      <c r="S35" s="33">
        <f t="shared" si="12"/>
        <v>99600</v>
      </c>
      <c r="T35" s="32">
        <f t="shared" si="13"/>
        <v>63.4</v>
      </c>
      <c r="U35" s="39">
        <f t="shared" si="14"/>
        <v>99600</v>
      </c>
      <c r="V35" s="41">
        <f>VLOOKUP(D35,LevelXp!$A$1:'LevelXp'!$B$1000,2,)/5</f>
        <v>315135</v>
      </c>
      <c r="W35" s="29">
        <f t="shared" si="15"/>
        <v>6314640</v>
      </c>
      <c r="X35" s="32">
        <f t="shared" si="16"/>
        <v>22.91235445653556</v>
      </c>
      <c r="Y35" s="41">
        <v>45</v>
      </c>
      <c r="Z35" s="41">
        <v>315135</v>
      </c>
      <c r="AA35" s="41">
        <v>1</v>
      </c>
      <c r="AC35" s="50">
        <v>34</v>
      </c>
      <c r="AD35" s="51">
        <f t="shared" si="7"/>
        <v>108013</v>
      </c>
      <c r="AE35" s="51">
        <f t="shared" si="9"/>
        <v>95127.111111111109</v>
      </c>
      <c r="AF35" s="51">
        <f t="shared" si="8"/>
        <v>1</v>
      </c>
      <c r="AG35" s="55">
        <f t="shared" si="9"/>
        <v>1.1111111111111112</v>
      </c>
      <c r="AH35" s="29">
        <f>SUM($AF$2:AF35)</f>
        <v>24</v>
      </c>
      <c r="AI35" s="55">
        <f>SUM($AG$2:AG35)</f>
        <v>23.777777777777775</v>
      </c>
    </row>
    <row r="36" spans="1:35" x14ac:dyDescent="0.2">
      <c r="A36" s="48" t="s">
        <v>8843</v>
      </c>
      <c r="B36" s="29">
        <v>7</v>
      </c>
      <c r="C36" s="29">
        <v>1</v>
      </c>
      <c r="D36" s="29">
        <v>84</v>
      </c>
      <c r="E36" s="29">
        <v>1520</v>
      </c>
      <c r="F36" s="29">
        <v>490</v>
      </c>
      <c r="G36" s="29">
        <v>465</v>
      </c>
      <c r="H36" s="29">
        <v>1240</v>
      </c>
      <c r="I36" s="29">
        <v>410</v>
      </c>
      <c r="J36" s="29">
        <v>527000</v>
      </c>
      <c r="K36" s="29">
        <v>99</v>
      </c>
      <c r="L36" s="29">
        <v>157</v>
      </c>
      <c r="N36" s="33"/>
      <c r="O36" s="29">
        <f t="shared" si="10"/>
        <v>128</v>
      </c>
      <c r="P36" s="31" cm="1">
        <f t="array" ref="P36">WPNFACTOR(C36)</f>
        <v>2</v>
      </c>
      <c r="Q36" s="33" cm="1">
        <f t="array" ref="Q36">HPFACTOr(C36)</f>
        <v>5</v>
      </c>
      <c r="R36" s="32">
        <f t="shared" si="11"/>
        <v>64</v>
      </c>
      <c r="S36" s="33">
        <f t="shared" si="12"/>
        <v>105400</v>
      </c>
      <c r="T36" s="32">
        <f t="shared" si="13"/>
        <v>64</v>
      </c>
      <c r="U36" s="39">
        <f t="shared" si="14"/>
        <v>105400</v>
      </c>
      <c r="V36" s="41">
        <f>VLOOKUP(D36,LevelXp!$A$1:'LevelXp'!$B$1000,2,)/5</f>
        <v>343618</v>
      </c>
      <c r="W36" s="29">
        <f t="shared" si="15"/>
        <v>6745600</v>
      </c>
      <c r="X36" s="32">
        <f t="shared" si="16"/>
        <v>23.216893915579302</v>
      </c>
      <c r="Y36" s="41">
        <v>46</v>
      </c>
      <c r="Z36" s="41">
        <v>343618</v>
      </c>
      <c r="AA36" s="41">
        <v>1</v>
      </c>
      <c r="AC36" s="50">
        <v>35</v>
      </c>
      <c r="AD36" s="51">
        <f t="shared" si="7"/>
        <v>148282</v>
      </c>
      <c r="AE36" s="51">
        <f t="shared" si="9"/>
        <v>103947.44444444444</v>
      </c>
      <c r="AF36" s="51">
        <f t="shared" si="8"/>
        <v>1</v>
      </c>
      <c r="AG36" s="55">
        <f t="shared" si="9"/>
        <v>0.77777777777777779</v>
      </c>
      <c r="AH36" s="29">
        <f>SUM($AF$2:AF36)</f>
        <v>25</v>
      </c>
      <c r="AI36" s="55">
        <f>SUM($AG$2:AG36)</f>
        <v>24.555555555555554</v>
      </c>
    </row>
    <row r="37" spans="1:35" x14ac:dyDescent="0.2">
      <c r="A37" s="48" t="s">
        <v>8842</v>
      </c>
      <c r="B37" s="29">
        <v>9</v>
      </c>
      <c r="C37" s="29">
        <v>1</v>
      </c>
      <c r="D37" s="29">
        <v>86</v>
      </c>
      <c r="E37" s="29">
        <v>1560</v>
      </c>
      <c r="F37" s="29">
        <v>505</v>
      </c>
      <c r="G37" s="29">
        <v>480</v>
      </c>
      <c r="H37" s="29">
        <v>1280</v>
      </c>
      <c r="I37" s="29">
        <v>420</v>
      </c>
      <c r="J37" s="29">
        <v>556800</v>
      </c>
      <c r="K37" s="29">
        <v>101</v>
      </c>
      <c r="L37" s="29">
        <v>159</v>
      </c>
      <c r="N37" s="33"/>
      <c r="O37" s="29">
        <f t="shared" si="10"/>
        <v>130</v>
      </c>
      <c r="P37" s="31" cm="1">
        <f t="array" ref="P37">WPNFACTOR(C37)</f>
        <v>2</v>
      </c>
      <c r="Q37" s="33" cm="1">
        <f t="array" ref="Q37">HPFACTOr(C37)</f>
        <v>5</v>
      </c>
      <c r="R37" s="32">
        <f t="shared" si="11"/>
        <v>65</v>
      </c>
      <c r="S37" s="33">
        <f t="shared" si="12"/>
        <v>111360</v>
      </c>
      <c r="T37" s="32">
        <f t="shared" si="13"/>
        <v>65</v>
      </c>
      <c r="U37" s="39">
        <f t="shared" si="14"/>
        <v>111360</v>
      </c>
      <c r="V37" s="41">
        <f>VLOOKUP(D37,LevelXp!$A$1:'LevelXp'!$B$1000,2,)/5</f>
        <v>374041</v>
      </c>
      <c r="W37" s="29">
        <f t="shared" si="15"/>
        <v>7238400</v>
      </c>
      <c r="X37" s="32">
        <f t="shared" si="16"/>
        <v>23.546616782286332</v>
      </c>
      <c r="Y37" s="41">
        <v>48</v>
      </c>
      <c r="Z37" s="41">
        <v>374041</v>
      </c>
      <c r="AA37" s="41">
        <v>1</v>
      </c>
      <c r="AC37" s="50">
        <v>36</v>
      </c>
      <c r="AD37" s="51">
        <f t="shared" si="7"/>
        <v>0</v>
      </c>
      <c r="AE37" s="51">
        <f t="shared" si="9"/>
        <v>122274.11111111111</v>
      </c>
      <c r="AF37" s="51">
        <f t="shared" si="8"/>
        <v>0</v>
      </c>
      <c r="AG37" s="55">
        <f t="shared" si="9"/>
        <v>1</v>
      </c>
      <c r="AH37" s="29">
        <f>SUM($AF$2:AF37)</f>
        <v>25</v>
      </c>
      <c r="AI37" s="55">
        <f>SUM($AG$2:AG37)</f>
        <v>25.555555555555554</v>
      </c>
    </row>
    <row r="38" spans="1:35" x14ac:dyDescent="0.2">
      <c r="A38" s="48" t="s">
        <v>8842</v>
      </c>
      <c r="B38" s="29">
        <v>10</v>
      </c>
      <c r="C38" s="29">
        <v>1</v>
      </c>
      <c r="D38" s="29">
        <v>90</v>
      </c>
      <c r="E38" s="29">
        <v>1640</v>
      </c>
      <c r="F38" s="29">
        <v>535</v>
      </c>
      <c r="G38" s="29">
        <v>510</v>
      </c>
      <c r="H38" s="29">
        <v>1360</v>
      </c>
      <c r="I38" s="29">
        <v>440</v>
      </c>
      <c r="J38" s="29">
        <v>618800</v>
      </c>
      <c r="K38" s="29">
        <v>105</v>
      </c>
      <c r="L38" s="29">
        <v>163</v>
      </c>
      <c r="N38" s="33"/>
      <c r="O38" s="29">
        <f t="shared" si="10"/>
        <v>134</v>
      </c>
      <c r="P38" s="31" cm="1">
        <f t="array" ref="P38">WPNFACTOR(C38)</f>
        <v>2</v>
      </c>
      <c r="Q38" s="33" cm="1">
        <f t="array" ref="Q38">HPFACTOr(C38)</f>
        <v>5</v>
      </c>
      <c r="R38" s="32">
        <f t="shared" si="11"/>
        <v>67</v>
      </c>
      <c r="S38" s="33">
        <f t="shared" si="12"/>
        <v>123760</v>
      </c>
      <c r="T38" s="32">
        <f t="shared" si="13"/>
        <v>67</v>
      </c>
      <c r="U38" s="39">
        <f t="shared" si="14"/>
        <v>123760</v>
      </c>
      <c r="V38" s="41">
        <f>VLOOKUP(D38,LevelXp!$A$1:'LevelXp'!$B$1000,2,)/5</f>
        <v>441608</v>
      </c>
      <c r="W38" s="29">
        <f t="shared" si="15"/>
        <v>8291920</v>
      </c>
      <c r="X38" s="32">
        <f t="shared" si="16"/>
        <v>24.195300520274611</v>
      </c>
      <c r="Y38" s="41">
        <v>49</v>
      </c>
      <c r="Z38" s="41">
        <v>441608</v>
      </c>
      <c r="AA38" s="41">
        <v>1</v>
      </c>
      <c r="AC38" s="50">
        <v>37</v>
      </c>
      <c r="AD38" s="51">
        <f t="shared" si="7"/>
        <v>133734</v>
      </c>
      <c r="AE38" s="51">
        <f t="shared" si="9"/>
        <v>117078.88888888889</v>
      </c>
      <c r="AF38" s="51">
        <f t="shared" si="8"/>
        <v>1</v>
      </c>
      <c r="AG38" s="55">
        <f t="shared" si="9"/>
        <v>0.88888888888888884</v>
      </c>
      <c r="AH38" s="29">
        <f>SUM($AF$2:AF38)</f>
        <v>26</v>
      </c>
      <c r="AI38" s="55">
        <f>SUM($AG$2:AG38)</f>
        <v>26.444444444444443</v>
      </c>
    </row>
    <row r="39" spans="1:35" x14ac:dyDescent="0.2">
      <c r="A39" s="48" t="s">
        <v>8844</v>
      </c>
      <c r="B39" s="29">
        <v>1</v>
      </c>
      <c r="C39" s="29">
        <v>3</v>
      </c>
      <c r="D39" s="29">
        <v>72</v>
      </c>
      <c r="E39" s="29">
        <v>330</v>
      </c>
      <c r="F39" s="29">
        <v>1280</v>
      </c>
      <c r="G39" s="29">
        <v>320</v>
      </c>
      <c r="H39" s="29">
        <v>1000</v>
      </c>
      <c r="I39" s="29">
        <v>465</v>
      </c>
      <c r="J39" s="29">
        <v>292000</v>
      </c>
      <c r="K39" s="29">
        <v>108</v>
      </c>
      <c r="L39" s="29">
        <v>184</v>
      </c>
      <c r="N39" s="33"/>
      <c r="O39" s="29">
        <f t="shared" si="10"/>
        <v>146</v>
      </c>
      <c r="P39" s="31" cm="1">
        <f t="array" ref="P39">WPNFACTOR(C39)</f>
        <v>2.5</v>
      </c>
      <c r="Q39" s="33" cm="1">
        <f t="array" ref="Q39">HPFACTOr(C39)</f>
        <v>4</v>
      </c>
      <c r="R39" s="32">
        <f t="shared" si="11"/>
        <v>58.4</v>
      </c>
      <c r="S39" s="33">
        <f t="shared" si="12"/>
        <v>73000</v>
      </c>
      <c r="T39" s="32">
        <f t="shared" si="13"/>
        <v>58.4</v>
      </c>
      <c r="U39" s="39">
        <f t="shared" si="14"/>
        <v>73000</v>
      </c>
      <c r="V39" s="41">
        <f>VLOOKUP(D39,LevelXp!$A$1:'LevelXp'!$B$1000,2,)/5</f>
        <v>199497</v>
      </c>
      <c r="W39" s="29">
        <f t="shared" si="15"/>
        <v>4263200</v>
      </c>
      <c r="X39" s="32">
        <f t="shared" si="16"/>
        <v>21.181033224141931</v>
      </c>
      <c r="Y39" s="41">
        <v>50</v>
      </c>
      <c r="Z39" s="41">
        <v>199497</v>
      </c>
      <c r="AA39" s="41">
        <v>1</v>
      </c>
      <c r="AC39" s="50">
        <v>38</v>
      </c>
      <c r="AD39" s="51">
        <f t="shared" si="7"/>
        <v>181085</v>
      </c>
      <c r="AE39" s="51">
        <f t="shared" si="9"/>
        <v>121902.77777777778</v>
      </c>
      <c r="AF39" s="51">
        <f t="shared" si="8"/>
        <v>1</v>
      </c>
      <c r="AG39" s="55">
        <f t="shared" si="9"/>
        <v>0.88888888888888884</v>
      </c>
      <c r="AH39" s="29">
        <f>SUM($AF$2:AF39)</f>
        <v>27</v>
      </c>
      <c r="AI39" s="55">
        <f>SUM($AG$2:AG39)</f>
        <v>27.333333333333332</v>
      </c>
    </row>
    <row r="40" spans="1:35" x14ac:dyDescent="0.2">
      <c r="A40" s="48" t="s">
        <v>8844</v>
      </c>
      <c r="B40" s="29">
        <v>2</v>
      </c>
      <c r="C40" s="29">
        <v>3</v>
      </c>
      <c r="D40" s="29">
        <v>78</v>
      </c>
      <c r="E40" s="29">
        <v>360</v>
      </c>
      <c r="F40" s="29">
        <v>1400</v>
      </c>
      <c r="G40" s="29">
        <v>350</v>
      </c>
      <c r="H40" s="29">
        <v>1120</v>
      </c>
      <c r="I40" s="29">
        <v>510</v>
      </c>
      <c r="J40" s="29">
        <v>353920</v>
      </c>
      <c r="K40" s="29">
        <v>114</v>
      </c>
      <c r="L40" s="29">
        <v>193</v>
      </c>
      <c r="N40" s="33"/>
      <c r="O40" s="29">
        <f t="shared" si="10"/>
        <v>153.5</v>
      </c>
      <c r="P40" s="31" cm="1">
        <f t="array" ref="P40">WPNFACTOR(C40)</f>
        <v>2.5</v>
      </c>
      <c r="Q40" s="33" cm="1">
        <f t="array" ref="Q40">HPFACTOr(C40)</f>
        <v>4</v>
      </c>
      <c r="R40" s="32">
        <f t="shared" si="11"/>
        <v>61.4</v>
      </c>
      <c r="S40" s="33">
        <f t="shared" si="12"/>
        <v>88480</v>
      </c>
      <c r="T40" s="32">
        <f t="shared" si="13"/>
        <v>61.4</v>
      </c>
      <c r="U40" s="39">
        <f t="shared" si="14"/>
        <v>88480</v>
      </c>
      <c r="V40" s="41">
        <f>VLOOKUP(D40,LevelXp!$A$1:'LevelXp'!$B$1000,2,)/5</f>
        <v>263817</v>
      </c>
      <c r="W40" s="29">
        <f t="shared" si="15"/>
        <v>5432672</v>
      </c>
      <c r="X40" s="32">
        <f t="shared" si="16"/>
        <v>22.233236977129852</v>
      </c>
      <c r="Y40" s="41">
        <v>51</v>
      </c>
      <c r="Z40" s="41">
        <v>263817</v>
      </c>
      <c r="AA40" s="41">
        <v>1</v>
      </c>
      <c r="AC40" s="50">
        <v>39</v>
      </c>
      <c r="AD40" s="51">
        <f t="shared" si="7"/>
        <v>240784</v>
      </c>
      <c r="AE40" s="51">
        <f t="shared" si="9"/>
        <v>128122.88888888889</v>
      </c>
      <c r="AF40" s="51">
        <f t="shared" si="8"/>
        <v>1</v>
      </c>
      <c r="AG40" s="55">
        <f t="shared" si="9"/>
        <v>0.88888888888888884</v>
      </c>
      <c r="AH40" s="29">
        <f>SUM($AF$2:AF40)</f>
        <v>28</v>
      </c>
      <c r="AI40" s="55">
        <f>SUM($AG$2:AG40)</f>
        <v>28.222222222222221</v>
      </c>
    </row>
    <row r="41" spans="1:35" x14ac:dyDescent="0.2">
      <c r="A41" s="48" t="s">
        <v>8844</v>
      </c>
      <c r="B41" s="29">
        <v>3</v>
      </c>
      <c r="C41" s="29">
        <v>3</v>
      </c>
      <c r="D41" s="29">
        <v>80</v>
      </c>
      <c r="E41" s="29">
        <v>370</v>
      </c>
      <c r="F41" s="29">
        <v>1440</v>
      </c>
      <c r="G41" s="29">
        <v>360</v>
      </c>
      <c r="H41" s="29">
        <v>1160</v>
      </c>
      <c r="I41" s="29">
        <v>525</v>
      </c>
      <c r="J41" s="29">
        <v>375840</v>
      </c>
      <c r="K41" s="29">
        <v>116</v>
      </c>
      <c r="L41" s="29">
        <v>196</v>
      </c>
      <c r="N41" s="33"/>
      <c r="O41" s="29">
        <f t="shared" si="10"/>
        <v>156</v>
      </c>
      <c r="P41" s="31" cm="1">
        <f t="array" ref="P41">WPNFACTOR(C41)</f>
        <v>2.5</v>
      </c>
      <c r="Q41" s="33" cm="1">
        <f t="array" ref="Q41">HPFACTOr(C41)</f>
        <v>4</v>
      </c>
      <c r="R41" s="32">
        <f t="shared" si="11"/>
        <v>62.4</v>
      </c>
      <c r="S41" s="33">
        <f t="shared" si="12"/>
        <v>93960</v>
      </c>
      <c r="T41" s="32">
        <f t="shared" si="13"/>
        <v>62.4</v>
      </c>
      <c r="U41" s="39">
        <f t="shared" si="14"/>
        <v>93960</v>
      </c>
      <c r="V41" s="41">
        <f>VLOOKUP(D41,LevelXp!$A$1:'LevelXp'!$B$1000,2,)/5</f>
        <v>288496</v>
      </c>
      <c r="W41" s="29">
        <f t="shared" si="15"/>
        <v>5863104</v>
      </c>
      <c r="X41" s="32">
        <f t="shared" si="16"/>
        <v>22.574883592913054</v>
      </c>
      <c r="Y41" s="41">
        <v>52</v>
      </c>
      <c r="Z41" s="41">
        <v>288496</v>
      </c>
      <c r="AA41" s="41">
        <v>1</v>
      </c>
      <c r="AC41" s="50">
        <v>40</v>
      </c>
      <c r="AD41" s="51">
        <f t="shared" si="7"/>
        <v>164940</v>
      </c>
      <c r="AE41" s="51">
        <f t="shared" si="9"/>
        <v>136014.88888888888</v>
      </c>
      <c r="AF41" s="51">
        <f t="shared" si="8"/>
        <v>2</v>
      </c>
      <c r="AG41" s="55">
        <f t="shared" si="9"/>
        <v>0.88888888888888884</v>
      </c>
      <c r="AH41" s="29">
        <f>SUM($AF$2:AF41)</f>
        <v>30</v>
      </c>
      <c r="AI41" s="55">
        <f>SUM($AG$2:AG41)</f>
        <v>29.111111111111111</v>
      </c>
    </row>
    <row r="42" spans="1:35" x14ac:dyDescent="0.2">
      <c r="A42" s="48" t="s">
        <v>8844</v>
      </c>
      <c r="B42" s="29">
        <v>4</v>
      </c>
      <c r="C42" s="29">
        <v>3</v>
      </c>
      <c r="D42" s="29">
        <v>88</v>
      </c>
      <c r="E42" s="29">
        <v>410</v>
      </c>
      <c r="F42" s="29">
        <v>1600</v>
      </c>
      <c r="G42" s="29">
        <v>400</v>
      </c>
      <c r="H42" s="29">
        <v>1320</v>
      </c>
      <c r="I42" s="29">
        <v>585</v>
      </c>
      <c r="J42" s="29">
        <v>469920</v>
      </c>
      <c r="K42" s="29">
        <v>125</v>
      </c>
      <c r="L42" s="29">
        <v>208</v>
      </c>
      <c r="N42" s="33"/>
      <c r="O42" s="29">
        <f t="shared" si="10"/>
        <v>166.5</v>
      </c>
      <c r="P42" s="31" cm="1">
        <f t="array" ref="P42">WPNFACTOR(C42)</f>
        <v>2.5</v>
      </c>
      <c r="Q42" s="33" cm="1">
        <f t="array" ref="Q42">HPFACTOr(C42)</f>
        <v>4</v>
      </c>
      <c r="R42" s="32">
        <f t="shared" si="11"/>
        <v>66.599999999999994</v>
      </c>
      <c r="S42" s="33">
        <f t="shared" si="12"/>
        <v>117480</v>
      </c>
      <c r="T42" s="32">
        <f t="shared" si="13"/>
        <v>66.599999999999994</v>
      </c>
      <c r="U42" s="39">
        <f t="shared" si="14"/>
        <v>117480</v>
      </c>
      <c r="V42" s="41">
        <f>VLOOKUP(D42,LevelXp!$A$1:'LevelXp'!$B$1000,2,)/5</f>
        <v>406744</v>
      </c>
      <c r="W42" s="29">
        <f t="shared" si="15"/>
        <v>7824167.9999999991</v>
      </c>
      <c r="X42" s="32">
        <f t="shared" si="16"/>
        <v>23.91594981359713</v>
      </c>
      <c r="Y42" s="41">
        <v>53</v>
      </c>
      <c r="Z42" s="41">
        <v>406744</v>
      </c>
      <c r="AA42" s="41">
        <v>1</v>
      </c>
      <c r="AC42" s="50">
        <v>41</v>
      </c>
      <c r="AD42" s="51">
        <f t="shared" si="7"/>
        <v>0</v>
      </c>
      <c r="AE42" s="51">
        <f t="shared" si="9"/>
        <v>171029.88888888888</v>
      </c>
      <c r="AF42" s="51">
        <f t="shared" si="8"/>
        <v>0</v>
      </c>
      <c r="AG42" s="55">
        <f t="shared" si="9"/>
        <v>1</v>
      </c>
      <c r="AH42" s="29">
        <f>SUM($AF$2:AF42)</f>
        <v>30</v>
      </c>
      <c r="AI42" s="55">
        <f>SUM($AG$2:AG42)</f>
        <v>30.111111111111111</v>
      </c>
    </row>
    <row r="43" spans="1:35" x14ac:dyDescent="0.2">
      <c r="A43" s="48" t="s">
        <v>8844</v>
      </c>
      <c r="B43" s="29">
        <v>5</v>
      </c>
      <c r="C43" s="29">
        <v>1</v>
      </c>
      <c r="D43" s="29">
        <v>94</v>
      </c>
      <c r="E43" s="29">
        <v>1720</v>
      </c>
      <c r="F43" s="29">
        <v>565</v>
      </c>
      <c r="G43" s="29">
        <v>540</v>
      </c>
      <c r="H43" s="29">
        <v>1440</v>
      </c>
      <c r="I43" s="29">
        <v>460</v>
      </c>
      <c r="J43" s="29">
        <v>684000</v>
      </c>
      <c r="K43" s="29">
        <v>109</v>
      </c>
      <c r="L43" s="29">
        <v>167</v>
      </c>
      <c r="N43" s="33"/>
      <c r="O43" s="29">
        <f t="shared" si="10"/>
        <v>138</v>
      </c>
      <c r="P43" s="31" cm="1">
        <f t="array" ref="P43">WPNFACTOR(C43)</f>
        <v>2</v>
      </c>
      <c r="Q43" s="33" cm="1">
        <f t="array" ref="Q43">HPFACTOr(C43)</f>
        <v>5</v>
      </c>
      <c r="R43" s="32">
        <f t="shared" si="11"/>
        <v>69</v>
      </c>
      <c r="S43" s="33">
        <f t="shared" si="12"/>
        <v>136800</v>
      </c>
      <c r="T43" s="32">
        <f t="shared" si="13"/>
        <v>69</v>
      </c>
      <c r="U43" s="39">
        <f t="shared" si="14"/>
        <v>136800</v>
      </c>
      <c r="V43" s="41">
        <f>VLOOKUP(D43,LevelXp!$A$1:'LevelXp'!$B$1000,2,)/5</f>
        <v>518518</v>
      </c>
      <c r="W43" s="29">
        <f t="shared" si="15"/>
        <v>9439200</v>
      </c>
      <c r="X43" s="32">
        <f t="shared" si="16"/>
        <v>24.8305899239454</v>
      </c>
      <c r="Y43" s="41">
        <v>54</v>
      </c>
      <c r="Z43" s="41">
        <v>518518</v>
      </c>
      <c r="AA43" s="41">
        <v>1</v>
      </c>
      <c r="AC43" s="50">
        <v>42</v>
      </c>
      <c r="AD43" s="51">
        <f t="shared" si="7"/>
        <v>120287</v>
      </c>
      <c r="AE43" s="51">
        <f t="shared" si="9"/>
        <v>194350.33333333334</v>
      </c>
      <c r="AF43" s="51">
        <f t="shared" si="8"/>
        <v>1</v>
      </c>
      <c r="AG43" s="55">
        <f t="shared" si="9"/>
        <v>1</v>
      </c>
      <c r="AH43" s="29">
        <f>SUM($AF$2:AF43)</f>
        <v>31</v>
      </c>
      <c r="AI43" s="55">
        <f>SUM($AG$2:AG43)</f>
        <v>31.111111111111111</v>
      </c>
    </row>
    <row r="44" spans="1:35" x14ac:dyDescent="0.2">
      <c r="A44" s="48" t="s">
        <v>8843</v>
      </c>
      <c r="B44" s="29">
        <v>8</v>
      </c>
      <c r="C44" s="29">
        <v>1</v>
      </c>
      <c r="D44" s="29">
        <v>96</v>
      </c>
      <c r="E44" s="29">
        <v>1760</v>
      </c>
      <c r="F44" s="29">
        <v>580</v>
      </c>
      <c r="G44" s="29">
        <v>555</v>
      </c>
      <c r="H44" s="29">
        <v>1480</v>
      </c>
      <c r="I44" s="29">
        <v>470</v>
      </c>
      <c r="J44" s="29">
        <v>717800</v>
      </c>
      <c r="K44" s="29">
        <v>111</v>
      </c>
      <c r="L44" s="29">
        <v>169</v>
      </c>
      <c r="N44" s="33"/>
      <c r="O44" s="29">
        <f t="shared" si="10"/>
        <v>140</v>
      </c>
      <c r="P44" s="31" cm="1">
        <f t="array" ref="P44">WPNFACTOR(C44)</f>
        <v>2</v>
      </c>
      <c r="Q44" s="33" cm="1">
        <f t="array" ref="Q44">HPFACTOr(C44)</f>
        <v>5</v>
      </c>
      <c r="R44" s="32">
        <f t="shared" si="11"/>
        <v>70</v>
      </c>
      <c r="S44" s="33">
        <f t="shared" si="12"/>
        <v>143560</v>
      </c>
      <c r="T44" s="32">
        <f t="shared" si="13"/>
        <v>70</v>
      </c>
      <c r="U44" s="39">
        <f t="shared" si="14"/>
        <v>143560</v>
      </c>
      <c r="V44" s="41">
        <f>VLOOKUP(D44,LevelXp!$A$1:'LevelXp'!$B$1000,2,)/5</f>
        <v>560797</v>
      </c>
      <c r="W44" s="29">
        <f t="shared" si="15"/>
        <v>10049200</v>
      </c>
      <c r="X44" s="32">
        <f t="shared" si="16"/>
        <v>25.143532777701068</v>
      </c>
      <c r="Y44" s="41">
        <v>55</v>
      </c>
      <c r="Z44" s="41">
        <v>560797</v>
      </c>
      <c r="AA44" s="41">
        <v>1</v>
      </c>
      <c r="AC44" s="50">
        <v>43</v>
      </c>
      <c r="AD44" s="51">
        <f t="shared" si="7"/>
        <v>163994</v>
      </c>
      <c r="AE44" s="51">
        <f t="shared" si="9"/>
        <v>174229.77777777778</v>
      </c>
      <c r="AF44" s="51">
        <f t="shared" si="8"/>
        <v>1</v>
      </c>
      <c r="AG44" s="55">
        <f t="shared" si="9"/>
        <v>0.88888888888888884</v>
      </c>
      <c r="AH44" s="29">
        <f>SUM($AF$2:AF44)</f>
        <v>32</v>
      </c>
      <c r="AI44" s="55">
        <f>SUM($AG$2:AG44)</f>
        <v>32</v>
      </c>
    </row>
    <row r="45" spans="1:35" x14ac:dyDescent="0.2">
      <c r="A45" s="48" t="s">
        <v>8844</v>
      </c>
      <c r="B45" s="29">
        <v>6</v>
      </c>
      <c r="C45" s="29">
        <v>3</v>
      </c>
      <c r="D45" s="29">
        <v>100</v>
      </c>
      <c r="E45" s="29">
        <v>470</v>
      </c>
      <c r="F45" s="29">
        <v>1840</v>
      </c>
      <c r="G45" s="29">
        <v>460</v>
      </c>
      <c r="H45" s="29">
        <v>1560</v>
      </c>
      <c r="I45" s="29">
        <v>675</v>
      </c>
      <c r="J45" s="29">
        <v>630240</v>
      </c>
      <c r="K45" s="29">
        <v>136</v>
      </c>
      <c r="L45" s="29">
        <v>226</v>
      </c>
      <c r="N45" s="33"/>
      <c r="O45" s="29">
        <f t="shared" si="10"/>
        <v>181</v>
      </c>
      <c r="P45" s="31" cm="1">
        <f t="array" ref="P45">WPNFACTOR(C45)</f>
        <v>2.5</v>
      </c>
      <c r="Q45" s="33" cm="1">
        <f t="array" ref="Q45">HPFACTOr(C45)</f>
        <v>4</v>
      </c>
      <c r="R45" s="32">
        <f t="shared" si="11"/>
        <v>72.400000000000006</v>
      </c>
      <c r="S45" s="33">
        <f t="shared" si="12"/>
        <v>157560</v>
      </c>
      <c r="T45" s="32">
        <f t="shared" si="13"/>
        <v>72.400000000000006</v>
      </c>
      <c r="U45" s="39">
        <f t="shared" si="14"/>
        <v>157560</v>
      </c>
      <c r="V45" s="41">
        <f>VLOOKUP(D45,LevelXp!$A$1:'LevelXp'!$B$1000,2,)/5</f>
        <v>653687</v>
      </c>
      <c r="W45" s="29">
        <f t="shared" si="15"/>
        <v>11407344</v>
      </c>
      <c r="X45" s="32">
        <f t="shared" si="16"/>
        <v>25.789142842383445</v>
      </c>
      <c r="Y45" s="41">
        <v>57</v>
      </c>
      <c r="Z45" s="41">
        <v>653687</v>
      </c>
      <c r="AA45" s="41">
        <v>1</v>
      </c>
      <c r="AC45" s="50">
        <v>44</v>
      </c>
      <c r="AD45" s="51">
        <f t="shared" si="7"/>
        <v>219310</v>
      </c>
      <c r="AE45" s="51">
        <f t="shared" si="9"/>
        <v>189036.11111111112</v>
      </c>
      <c r="AF45" s="51">
        <f t="shared" si="8"/>
        <v>1</v>
      </c>
      <c r="AG45" s="55">
        <f t="shared" si="9"/>
        <v>0.88888888888888884</v>
      </c>
      <c r="AH45" s="29">
        <f>SUM($AF$2:AF45)</f>
        <v>33</v>
      </c>
      <c r="AI45" s="55">
        <f>SUM($AG$2:AG45)</f>
        <v>32.888888888888886</v>
      </c>
    </row>
    <row r="46" spans="1:35" x14ac:dyDescent="0.2">
      <c r="A46" s="48" t="s">
        <v>8843</v>
      </c>
      <c r="B46" s="29">
        <v>9</v>
      </c>
      <c r="C46" s="29">
        <v>3</v>
      </c>
      <c r="D46" s="29">
        <v>102</v>
      </c>
      <c r="E46" s="29">
        <v>480</v>
      </c>
      <c r="F46" s="29">
        <v>1880</v>
      </c>
      <c r="G46" s="29">
        <v>470</v>
      </c>
      <c r="H46" s="29">
        <v>1600</v>
      </c>
      <c r="I46" s="29">
        <v>690</v>
      </c>
      <c r="J46" s="29">
        <v>659200</v>
      </c>
      <c r="K46" s="29">
        <v>138</v>
      </c>
      <c r="L46" s="29">
        <v>229</v>
      </c>
      <c r="N46" s="33"/>
      <c r="O46" s="29">
        <f t="shared" si="10"/>
        <v>183.5</v>
      </c>
      <c r="P46" s="31" cm="1">
        <f t="array" ref="P46">WPNFACTOR(C46)</f>
        <v>2.5</v>
      </c>
      <c r="Q46" s="33" cm="1">
        <f t="array" ref="Q46">HPFACTOr(C46)</f>
        <v>4</v>
      </c>
      <c r="R46" s="32">
        <f t="shared" si="11"/>
        <v>73.400000000000006</v>
      </c>
      <c r="S46" s="33">
        <f t="shared" si="12"/>
        <v>164800</v>
      </c>
      <c r="T46" s="32">
        <f t="shared" si="13"/>
        <v>73.400000000000006</v>
      </c>
      <c r="U46" s="39">
        <f t="shared" si="14"/>
        <v>164800</v>
      </c>
      <c r="V46" s="41">
        <f>VLOOKUP(D46,LevelXp!$A$1:'LevelXp'!$B$1000,2,)/5</f>
        <v>704559</v>
      </c>
      <c r="W46" s="29">
        <f t="shared" si="15"/>
        <v>12096320.000000002</v>
      </c>
      <c r="X46" s="32">
        <f t="shared" si="16"/>
        <v>26.093398894372495</v>
      </c>
      <c r="Y46" s="41">
        <v>58</v>
      </c>
      <c r="Z46" s="41">
        <v>704559</v>
      </c>
      <c r="AA46" s="41">
        <v>1</v>
      </c>
      <c r="AC46" s="50">
        <v>45</v>
      </c>
      <c r="AD46" s="51">
        <f t="shared" si="7"/>
        <v>315135</v>
      </c>
      <c r="AE46" s="51">
        <f t="shared" si="9"/>
        <v>219777</v>
      </c>
      <c r="AF46" s="51">
        <f t="shared" si="8"/>
        <v>1</v>
      </c>
      <c r="AG46" s="55">
        <f t="shared" si="9"/>
        <v>0.77777777777777779</v>
      </c>
      <c r="AH46" s="29">
        <f>SUM($AF$2:AF46)</f>
        <v>34</v>
      </c>
      <c r="AI46" s="55">
        <f>SUM($AG$2:AG46)</f>
        <v>33.666666666666664</v>
      </c>
    </row>
    <row r="47" spans="1:35" x14ac:dyDescent="0.2">
      <c r="A47" s="48" t="s">
        <v>8844</v>
      </c>
      <c r="B47" s="29">
        <v>7</v>
      </c>
      <c r="C47" s="29">
        <v>1</v>
      </c>
      <c r="D47" s="29">
        <v>108</v>
      </c>
      <c r="E47" s="29">
        <v>2000</v>
      </c>
      <c r="F47" s="29">
        <v>670</v>
      </c>
      <c r="G47" s="29">
        <v>645</v>
      </c>
      <c r="H47" s="29">
        <v>1720</v>
      </c>
      <c r="I47" s="29">
        <v>530</v>
      </c>
      <c r="J47" s="29">
        <v>937400</v>
      </c>
      <c r="K47" s="29">
        <v>123</v>
      </c>
      <c r="L47" s="29">
        <v>181</v>
      </c>
      <c r="N47" s="33"/>
      <c r="O47" s="29">
        <f t="shared" si="10"/>
        <v>152</v>
      </c>
      <c r="P47" s="31" cm="1">
        <f t="array" ref="P47">WPNFACTOR(C47)</f>
        <v>2</v>
      </c>
      <c r="Q47" s="33" cm="1">
        <f t="array" ref="Q47">HPFACTOr(C47)</f>
        <v>5</v>
      </c>
      <c r="R47" s="32">
        <f t="shared" si="11"/>
        <v>76</v>
      </c>
      <c r="S47" s="33">
        <f t="shared" si="12"/>
        <v>187480</v>
      </c>
      <c r="T47" s="32">
        <f t="shared" si="13"/>
        <v>76</v>
      </c>
      <c r="U47" s="39">
        <f t="shared" si="14"/>
        <v>187480</v>
      </c>
      <c r="V47" s="41">
        <f>VLOOKUP(D47,LevelXp!$A$1:'LevelXp'!$B$1000,2,)/5</f>
        <v>876584</v>
      </c>
      <c r="W47" s="29">
        <f t="shared" si="15"/>
        <v>14248480</v>
      </c>
      <c r="X47" s="32">
        <f t="shared" si="16"/>
        <v>26.962099522202749</v>
      </c>
      <c r="Y47" s="41">
        <v>60</v>
      </c>
      <c r="Z47" s="41">
        <v>876584</v>
      </c>
      <c r="AA47" s="41">
        <v>1</v>
      </c>
      <c r="AC47" s="50">
        <v>46</v>
      </c>
      <c r="AD47" s="51">
        <f t="shared" si="7"/>
        <v>343618</v>
      </c>
      <c r="AE47" s="51">
        <f t="shared" si="9"/>
        <v>241943.33333333334</v>
      </c>
      <c r="AF47" s="51">
        <f t="shared" si="8"/>
        <v>1</v>
      </c>
      <c r="AG47" s="55">
        <f t="shared" si="9"/>
        <v>0.88888888888888884</v>
      </c>
      <c r="AH47" s="29">
        <f>SUM($AF$2:AF47)</f>
        <v>35</v>
      </c>
      <c r="AI47" s="55">
        <f>SUM($AG$2:AG47)</f>
        <v>34.55555555555555</v>
      </c>
    </row>
    <row r="48" spans="1:35" x14ac:dyDescent="0.2">
      <c r="A48" s="48" t="s">
        <v>8844</v>
      </c>
      <c r="B48" s="29">
        <v>8</v>
      </c>
      <c r="C48" s="29">
        <v>2</v>
      </c>
      <c r="D48" s="29">
        <v>114</v>
      </c>
      <c r="E48" s="29">
        <v>520</v>
      </c>
      <c r="F48" s="29">
        <v>540</v>
      </c>
      <c r="G48" s="29">
        <v>2200</v>
      </c>
      <c r="H48" s="29">
        <v>1760</v>
      </c>
      <c r="I48" s="29">
        <v>775</v>
      </c>
      <c r="J48" s="29">
        <v>404800</v>
      </c>
      <c r="K48" s="29">
        <v>287</v>
      </c>
      <c r="L48" s="29">
        <v>432</v>
      </c>
      <c r="N48" s="33"/>
      <c r="O48" s="29">
        <f t="shared" si="10"/>
        <v>359.5</v>
      </c>
      <c r="P48" s="31" cm="1">
        <f t="array" ref="P48">WPNFACTOR(C48)</f>
        <v>4.5</v>
      </c>
      <c r="Q48" s="33" cm="1">
        <f t="array" ref="Q48">HPFACTOr(C48)</f>
        <v>2</v>
      </c>
      <c r="R48" s="32">
        <f t="shared" si="11"/>
        <v>79.888888888888886</v>
      </c>
      <c r="S48" s="33">
        <f t="shared" si="12"/>
        <v>202400</v>
      </c>
      <c r="T48" s="32">
        <f t="shared" si="13"/>
        <v>79.888888888888886</v>
      </c>
      <c r="U48" s="39">
        <f t="shared" si="14"/>
        <v>202400</v>
      </c>
      <c r="V48" s="41">
        <f>VLOOKUP(D48,LevelXp!$A$1:'LevelXp'!$B$1000,2,)/5</f>
        <v>1081088</v>
      </c>
      <c r="W48" s="29">
        <f t="shared" si="15"/>
        <v>16169511.11111111</v>
      </c>
      <c r="X48" s="32">
        <f t="shared" si="16"/>
        <v>27.6528168873479</v>
      </c>
      <c r="Y48" s="41">
        <v>61</v>
      </c>
      <c r="Z48" s="41">
        <v>1081088</v>
      </c>
      <c r="AA48" s="41">
        <v>1</v>
      </c>
      <c r="AC48" s="50">
        <v>47</v>
      </c>
      <c r="AD48" s="51">
        <f t="shared" si="7"/>
        <v>0</v>
      </c>
      <c r="AE48" s="51">
        <f t="shared" si="9"/>
        <v>257891.11111111112</v>
      </c>
      <c r="AF48" s="51">
        <f t="shared" si="8"/>
        <v>0</v>
      </c>
      <c r="AG48" s="55">
        <f t="shared" si="9"/>
        <v>0.88888888888888884</v>
      </c>
      <c r="AH48" s="29">
        <f>SUM($AF$2:AF48)</f>
        <v>35</v>
      </c>
      <c r="AI48" s="55">
        <f>SUM($AG$2:AG48)</f>
        <v>35.444444444444436</v>
      </c>
    </row>
    <row r="49" spans="1:35" x14ac:dyDescent="0.2">
      <c r="A49" s="48" t="s">
        <v>8843</v>
      </c>
      <c r="B49" s="29">
        <v>10</v>
      </c>
      <c r="C49" s="29">
        <v>3</v>
      </c>
      <c r="D49" s="29">
        <v>110</v>
      </c>
      <c r="E49" s="29">
        <v>520</v>
      </c>
      <c r="F49" s="29">
        <v>2040</v>
      </c>
      <c r="G49" s="29">
        <v>510</v>
      </c>
      <c r="H49" s="29">
        <v>1760</v>
      </c>
      <c r="I49" s="29">
        <v>750</v>
      </c>
      <c r="J49" s="29">
        <v>781440</v>
      </c>
      <c r="K49" s="29">
        <v>146</v>
      </c>
      <c r="L49" s="29">
        <v>241</v>
      </c>
      <c r="N49" s="33"/>
      <c r="O49" s="29">
        <f t="shared" si="10"/>
        <v>193.5</v>
      </c>
      <c r="P49" s="31" cm="1">
        <f t="array" ref="P49">WPNFACTOR(C49)</f>
        <v>2.5</v>
      </c>
      <c r="Q49" s="33" cm="1">
        <f t="array" ref="Q49">HPFACTOr(C49)</f>
        <v>4</v>
      </c>
      <c r="R49" s="32">
        <f t="shared" si="11"/>
        <v>77.400000000000006</v>
      </c>
      <c r="S49" s="33">
        <f t="shared" si="12"/>
        <v>195360</v>
      </c>
      <c r="T49" s="32">
        <f t="shared" si="13"/>
        <v>77.400000000000006</v>
      </c>
      <c r="U49" s="39">
        <f t="shared" si="14"/>
        <v>195360</v>
      </c>
      <c r="V49" s="41">
        <f>VLOOKUP(D49,LevelXp!$A$1:'LevelXp'!$B$1000,2,)/5</f>
        <v>940791</v>
      </c>
      <c r="W49" s="29">
        <f t="shared" si="15"/>
        <v>15120864.000000002</v>
      </c>
      <c r="X49" s="32">
        <f t="shared" si="16"/>
        <v>27.284457398145886</v>
      </c>
      <c r="Y49" s="41">
        <v>63</v>
      </c>
      <c r="Z49" s="41">
        <v>940791</v>
      </c>
      <c r="AA49" s="41">
        <v>1</v>
      </c>
      <c r="AC49" s="50">
        <v>48</v>
      </c>
      <c r="AD49" s="51">
        <f t="shared" si="7"/>
        <v>374041</v>
      </c>
      <c r="AE49" s="51">
        <f t="shared" si="9"/>
        <v>271724.66666666669</v>
      </c>
      <c r="AF49" s="51">
        <f t="shared" si="8"/>
        <v>1</v>
      </c>
      <c r="AG49" s="55">
        <f t="shared" si="9"/>
        <v>0.88888888888888884</v>
      </c>
      <c r="AH49" s="29">
        <f>SUM($AF$2:AF49)</f>
        <v>36</v>
      </c>
      <c r="AI49" s="55">
        <f>SUM($AG$2:AG49)</f>
        <v>36.333333333333321</v>
      </c>
    </row>
    <row r="50" spans="1:35" x14ac:dyDescent="0.2">
      <c r="A50" s="48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3"/>
      <c r="O50" s="29">
        <f t="shared" si="10"/>
        <v>166</v>
      </c>
      <c r="P50" s="31" cm="1">
        <f t="array" ref="P50">WPNFACTOR(C50)</f>
        <v>2</v>
      </c>
      <c r="Q50" s="33" cm="1">
        <f t="array" ref="Q50">HPFACTOr(C50)</f>
        <v>5</v>
      </c>
      <c r="R50" s="32">
        <f t="shared" si="11"/>
        <v>83</v>
      </c>
      <c r="S50" s="33">
        <f t="shared" si="12"/>
        <v>246000</v>
      </c>
      <c r="T50" s="32">
        <f t="shared" si="13"/>
        <v>83</v>
      </c>
      <c r="U50" s="39">
        <f t="shared" si="14"/>
        <v>246000</v>
      </c>
      <c r="V50" s="41">
        <f>VLOOKUP(D50,LevelXp!$A$1:'LevelXp'!$B$1000,2,)/5</f>
        <v>1412064</v>
      </c>
      <c r="W50" s="29">
        <f t="shared" si="15"/>
        <v>20418000</v>
      </c>
      <c r="X50" s="32">
        <f t="shared" si="16"/>
        <v>28.97361199503904</v>
      </c>
      <c r="Y50" s="41">
        <v>64</v>
      </c>
      <c r="Z50" s="41">
        <v>1412064</v>
      </c>
      <c r="AA50" s="41">
        <v>1</v>
      </c>
      <c r="AC50" s="50">
        <v>49</v>
      </c>
      <c r="AD50" s="51">
        <f t="shared" si="7"/>
        <v>441608</v>
      </c>
      <c r="AE50" s="51">
        <f t="shared" si="9"/>
        <v>292550.66666666669</v>
      </c>
      <c r="AF50" s="51">
        <f t="shared" si="8"/>
        <v>1</v>
      </c>
      <c r="AG50" s="55">
        <f t="shared" si="9"/>
        <v>0.88888888888888884</v>
      </c>
      <c r="AH50" s="29">
        <f>SUM($AF$2:AF50)</f>
        <v>37</v>
      </c>
      <c r="AI50" s="55">
        <f>SUM($AG$2:AG50)</f>
        <v>37.222222222222207</v>
      </c>
    </row>
    <row r="51" spans="1:35" x14ac:dyDescent="0.2">
      <c r="A51" s="48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3"/>
      <c r="O51" s="29">
        <f t="shared" si="10"/>
        <v>218.5</v>
      </c>
      <c r="P51" s="31" cm="1">
        <f t="array" ref="P51">WPNFACTOR(C51)</f>
        <v>2.5</v>
      </c>
      <c r="Q51" s="33" cm="1">
        <f t="array" ref="Q51">HPFACTOr(C51)</f>
        <v>4</v>
      </c>
      <c r="R51" s="32">
        <f t="shared" si="11"/>
        <v>87.4</v>
      </c>
      <c r="S51" s="33">
        <f t="shared" si="12"/>
        <v>282960</v>
      </c>
      <c r="T51" s="32">
        <f t="shared" si="13"/>
        <v>87.4</v>
      </c>
      <c r="U51" s="39">
        <f t="shared" si="14"/>
        <v>282960</v>
      </c>
      <c r="V51" s="41">
        <f>VLOOKUP(D51,LevelXp!$A$1:'LevelXp'!$B$1000,2,)/5</f>
        <v>1821461</v>
      </c>
      <c r="W51" s="29">
        <f t="shared" si="15"/>
        <v>24730704</v>
      </c>
      <c r="X51" s="32">
        <f t="shared" si="16"/>
        <v>30.105600612535131</v>
      </c>
      <c r="Y51" s="41">
        <v>66</v>
      </c>
      <c r="Z51" s="41">
        <v>1821461</v>
      </c>
      <c r="AA51" s="41">
        <v>1</v>
      </c>
      <c r="AC51" s="50">
        <v>50</v>
      </c>
      <c r="AD51" s="51">
        <f t="shared" si="7"/>
        <v>199497</v>
      </c>
      <c r="AE51" s="51">
        <f t="shared" si="9"/>
        <v>315148.77777777775</v>
      </c>
      <c r="AF51" s="51">
        <f t="shared" si="8"/>
        <v>1</v>
      </c>
      <c r="AG51" s="55">
        <f t="shared" si="9"/>
        <v>0.88888888888888884</v>
      </c>
      <c r="AH51" s="29">
        <f>SUM($AF$2:AF51)</f>
        <v>38</v>
      </c>
      <c r="AI51" s="55">
        <f>SUM($AG$2:AG51)</f>
        <v>38.111111111111093</v>
      </c>
    </row>
    <row r="52" spans="1:35" x14ac:dyDescent="0.2">
      <c r="A52" s="48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3"/>
      <c r="O52" s="29">
        <f t="shared" si="10"/>
        <v>136</v>
      </c>
      <c r="P52" s="31" cm="1">
        <f t="array" ref="P52">WPNFACTOR(C52)</f>
        <v>2</v>
      </c>
      <c r="Q52" s="33" cm="1">
        <f t="array" ref="Q52">HPFACTOr(C52)</f>
        <v>5</v>
      </c>
      <c r="R52" s="32">
        <f t="shared" si="11"/>
        <v>68</v>
      </c>
      <c r="S52" s="33">
        <f t="shared" si="12"/>
        <v>130200</v>
      </c>
      <c r="T52" s="32">
        <f t="shared" si="13"/>
        <v>68</v>
      </c>
      <c r="U52" s="39">
        <f t="shared" si="14"/>
        <v>130200</v>
      </c>
      <c r="V52" s="41">
        <f>VLOOKUP(D52,LevelXp!$A$1:'LevelXp'!$B$1000,2,)/5</f>
        <v>478738</v>
      </c>
      <c r="W52" s="29">
        <f t="shared" si="15"/>
        <v>8853600</v>
      </c>
      <c r="X52" s="32">
        <f t="shared" si="16"/>
        <v>24.514553038831814</v>
      </c>
      <c r="Y52" s="41">
        <v>70</v>
      </c>
      <c r="Z52" s="41">
        <v>478738</v>
      </c>
      <c r="AA52" s="41">
        <v>1</v>
      </c>
      <c r="AC52" s="50">
        <v>51</v>
      </c>
      <c r="AD52" s="51">
        <f t="shared" si="7"/>
        <v>263817</v>
      </c>
      <c r="AE52" s="51">
        <f t="shared" si="9"/>
        <v>339279.77777777775</v>
      </c>
      <c r="AF52" s="51">
        <f t="shared" si="8"/>
        <v>1</v>
      </c>
      <c r="AG52" s="55">
        <f t="shared" si="9"/>
        <v>0.88888888888888884</v>
      </c>
      <c r="AH52" s="29">
        <f>SUM($AF$2:AF52)</f>
        <v>39</v>
      </c>
      <c r="AI52" s="55">
        <f>SUM($AG$2:AG52)</f>
        <v>38.999999999999979</v>
      </c>
    </row>
    <row r="53" spans="1:35" x14ac:dyDescent="0.2">
      <c r="A53" s="48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3"/>
      <c r="O53" s="29">
        <f t="shared" si="10"/>
        <v>178.5</v>
      </c>
      <c r="P53" s="31" cm="1">
        <f t="array" ref="P53">WPNFACTOR(C53)</f>
        <v>2.5</v>
      </c>
      <c r="Q53" s="33" cm="1">
        <f t="array" ref="Q53">HPFACTOr(C53)</f>
        <v>4</v>
      </c>
      <c r="R53" s="32">
        <f t="shared" si="11"/>
        <v>71.400000000000006</v>
      </c>
      <c r="S53" s="33">
        <f t="shared" si="12"/>
        <v>150480</v>
      </c>
      <c r="T53" s="32">
        <f t="shared" si="13"/>
        <v>71.400000000000006</v>
      </c>
      <c r="U53" s="39">
        <f t="shared" si="14"/>
        <v>150480</v>
      </c>
      <c r="V53" s="41">
        <f>VLOOKUP(D53,LevelXp!$A$1:'LevelXp'!$B$1000,2,)/5</f>
        <v>605700</v>
      </c>
      <c r="W53" s="29">
        <f t="shared" si="15"/>
        <v>10744272</v>
      </c>
      <c r="X53" s="32">
        <f t="shared" si="16"/>
        <v>25.482110747685766</v>
      </c>
      <c r="Y53" s="41">
        <v>70</v>
      </c>
      <c r="Z53" s="41">
        <v>605700</v>
      </c>
      <c r="AA53" s="41">
        <v>1</v>
      </c>
      <c r="AC53" s="50">
        <v>52</v>
      </c>
      <c r="AD53" s="51">
        <f t="shared" si="7"/>
        <v>288496</v>
      </c>
      <c r="AE53" s="51">
        <f t="shared" si="9"/>
        <v>339279.77777777775</v>
      </c>
      <c r="AF53" s="51">
        <f t="shared" si="8"/>
        <v>1</v>
      </c>
      <c r="AG53" s="55">
        <f t="shared" si="9"/>
        <v>0.88888888888888884</v>
      </c>
      <c r="AH53" s="29">
        <f>SUM($AF$2:AF53)</f>
        <v>40</v>
      </c>
      <c r="AI53" s="55">
        <f>SUM($AG$2:AG53)</f>
        <v>39.888888888888864</v>
      </c>
    </row>
    <row r="54" spans="1:35" x14ac:dyDescent="0.2">
      <c r="A54" s="48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3"/>
      <c r="O54" s="29">
        <f t="shared" si="10"/>
        <v>337.5</v>
      </c>
      <c r="P54" s="31" cm="1">
        <f t="array" ref="P54">WPNFACTOR(C54)</f>
        <v>4.5</v>
      </c>
      <c r="Q54" s="33" cm="1">
        <f t="array" ref="Q54">HPFACTOr(C54)</f>
        <v>2</v>
      </c>
      <c r="R54" s="32">
        <f t="shared" si="11"/>
        <v>75</v>
      </c>
      <c r="S54" s="33">
        <f t="shared" si="12"/>
        <v>163800</v>
      </c>
      <c r="T54" s="32">
        <f t="shared" si="13"/>
        <v>75</v>
      </c>
      <c r="U54" s="39">
        <f t="shared" si="14"/>
        <v>163800</v>
      </c>
      <c r="V54" s="41">
        <f>VLOOKUP(D54,LevelXp!$A$1:'LevelXp'!$B$1000,2,)/5</f>
        <v>758451</v>
      </c>
      <c r="W54" s="29">
        <f t="shared" si="15"/>
        <v>12285000</v>
      </c>
      <c r="X54" s="32">
        <f t="shared" si="16"/>
        <v>26.174297368539111</v>
      </c>
      <c r="Y54" s="41">
        <v>71</v>
      </c>
      <c r="Z54" s="41">
        <v>758451</v>
      </c>
      <c r="AA54" s="41">
        <v>1</v>
      </c>
      <c r="AC54" s="50">
        <v>53</v>
      </c>
      <c r="AD54" s="51">
        <f t="shared" si="7"/>
        <v>406744</v>
      </c>
      <c r="AE54" s="51">
        <f t="shared" si="9"/>
        <v>370351.55555555556</v>
      </c>
      <c r="AF54" s="51">
        <f t="shared" si="8"/>
        <v>1</v>
      </c>
      <c r="AG54" s="55">
        <f t="shared" si="9"/>
        <v>0.88888888888888884</v>
      </c>
      <c r="AH54" s="29">
        <f>SUM($AF$2:AF54)</f>
        <v>41</v>
      </c>
      <c r="AI54" s="55">
        <f>SUM($AG$2:AG54)</f>
        <v>40.77777777777775</v>
      </c>
    </row>
    <row r="55" spans="1:35" x14ac:dyDescent="0.2">
      <c r="A55" s="48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3"/>
      <c r="O55" s="29">
        <f t="shared" si="10"/>
        <v>188.5</v>
      </c>
      <c r="P55" s="31" cm="1">
        <f t="array" ref="P55">WPNFACTOR(C55)</f>
        <v>2.5</v>
      </c>
      <c r="Q55" s="33" cm="1">
        <f t="array" ref="Q55">HPFACTOr(C55)</f>
        <v>4</v>
      </c>
      <c r="R55" s="32">
        <f t="shared" si="11"/>
        <v>75.400000000000006</v>
      </c>
      <c r="S55" s="33">
        <f t="shared" si="12"/>
        <v>179760</v>
      </c>
      <c r="T55" s="32">
        <f t="shared" si="13"/>
        <v>75.400000000000006</v>
      </c>
      <c r="U55" s="39">
        <f t="shared" si="14"/>
        <v>179760</v>
      </c>
      <c r="V55" s="41">
        <f>VLOOKUP(D55,LevelXp!$A$1:'LevelXp'!$B$1000,2,)/5</f>
        <v>815853</v>
      </c>
      <c r="W55" s="29">
        <f t="shared" si="15"/>
        <v>13553904.000000002</v>
      </c>
      <c r="X55" s="32">
        <f t="shared" si="16"/>
        <v>26.69395235986573</v>
      </c>
      <c r="Y55" s="41">
        <v>72</v>
      </c>
      <c r="Z55" s="41">
        <v>815853</v>
      </c>
      <c r="AA55" s="41">
        <v>1</v>
      </c>
      <c r="AC55" s="50">
        <v>54</v>
      </c>
      <c r="AD55" s="51">
        <f t="shared" si="7"/>
        <v>518518</v>
      </c>
      <c r="AE55" s="51">
        <f t="shared" si="9"/>
        <v>399568.33333333331</v>
      </c>
      <c r="AF55" s="51">
        <f t="shared" si="8"/>
        <v>1</v>
      </c>
      <c r="AG55" s="55">
        <f t="shared" si="9"/>
        <v>0.88888888888888884</v>
      </c>
      <c r="AH55" s="29">
        <f>SUM($AF$2:AF55)</f>
        <v>42</v>
      </c>
      <c r="AI55" s="55">
        <f>SUM($AG$2:AG55)</f>
        <v>41.666666666666636</v>
      </c>
    </row>
    <row r="56" spans="1:35" x14ac:dyDescent="0.2">
      <c r="A56" s="48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3"/>
      <c r="O56" s="29">
        <f t="shared" si="10"/>
        <v>203.5</v>
      </c>
      <c r="P56" s="31" cm="1">
        <f t="array" ref="P56">WPNFACTOR(C56)</f>
        <v>2.5</v>
      </c>
      <c r="Q56" s="33" cm="1">
        <f t="array" ref="Q56">HPFACTOr(C56)</f>
        <v>4</v>
      </c>
      <c r="R56" s="32">
        <f t="shared" si="11"/>
        <v>81.400000000000006</v>
      </c>
      <c r="S56" s="33">
        <f t="shared" si="12"/>
        <v>228480</v>
      </c>
      <c r="T56" s="32">
        <f t="shared" si="13"/>
        <v>81.400000000000006</v>
      </c>
      <c r="U56" s="39">
        <f t="shared" si="14"/>
        <v>228480</v>
      </c>
      <c r="V56" s="41">
        <f>VLOOKUP(D56,LevelXp!$A$1:'LevelXp'!$B$1000,2,)/5</f>
        <v>1237696</v>
      </c>
      <c r="W56" s="29">
        <f t="shared" si="15"/>
        <v>18598272</v>
      </c>
      <c r="X56" s="32">
        <f t="shared" si="16"/>
        <v>28.437703315122214</v>
      </c>
      <c r="Y56" s="41">
        <v>73</v>
      </c>
      <c r="Z56" s="41">
        <v>1237696</v>
      </c>
      <c r="AA56" s="41">
        <v>1</v>
      </c>
      <c r="AC56" s="50">
        <v>55</v>
      </c>
      <c r="AD56" s="51">
        <f t="shared" si="7"/>
        <v>560797</v>
      </c>
      <c r="AE56" s="51">
        <f t="shared" si="9"/>
        <v>377402</v>
      </c>
      <c r="AF56" s="51">
        <f t="shared" si="8"/>
        <v>1</v>
      </c>
      <c r="AG56" s="55">
        <f t="shared" si="9"/>
        <v>0.77777777777777779</v>
      </c>
      <c r="AH56" s="29">
        <f>SUM($AF$2:AF56)</f>
        <v>43</v>
      </c>
      <c r="AI56" s="55">
        <f>SUM($AG$2:AG56)</f>
        <v>42.444444444444414</v>
      </c>
    </row>
    <row r="57" spans="1:35" x14ac:dyDescent="0.2">
      <c r="A57" s="48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3"/>
      <c r="O57" s="29">
        <f t="shared" si="10"/>
        <v>168</v>
      </c>
      <c r="P57" s="31" cm="1">
        <f t="array" ref="P57">WPNFACTOR(C57)</f>
        <v>2</v>
      </c>
      <c r="Q57" s="33" cm="1">
        <f t="array" ref="Q57">HPFACTOr(C57)</f>
        <v>5</v>
      </c>
      <c r="R57" s="32">
        <f t="shared" si="11"/>
        <v>84</v>
      </c>
      <c r="S57" s="33">
        <f t="shared" si="12"/>
        <v>255000</v>
      </c>
      <c r="T57" s="32">
        <f t="shared" si="13"/>
        <v>84</v>
      </c>
      <c r="U57" s="39">
        <f t="shared" si="14"/>
        <v>255000</v>
      </c>
      <c r="V57" s="41">
        <f>VLOOKUP(D57,LevelXp!$A$1:'LevelXp'!$B$1000,2,)/5</f>
        <v>1506706</v>
      </c>
      <c r="W57" s="29">
        <f t="shared" si="15"/>
        <v>21420000</v>
      </c>
      <c r="X57" s="32">
        <f t="shared" si="16"/>
        <v>29.252560976484396</v>
      </c>
      <c r="Y57" s="41">
        <v>74</v>
      </c>
      <c r="Z57" s="41">
        <v>1506706</v>
      </c>
      <c r="AA57" s="41">
        <v>1</v>
      </c>
      <c r="AC57" s="50">
        <v>56</v>
      </c>
      <c r="AD57" s="51">
        <f t="shared" si="7"/>
        <v>0</v>
      </c>
      <c r="AE57" s="51">
        <f t="shared" si="9"/>
        <v>445487.22222222225</v>
      </c>
      <c r="AF57" s="51">
        <f t="shared" si="8"/>
        <v>0</v>
      </c>
      <c r="AG57" s="55">
        <f t="shared" si="9"/>
        <v>0.77777777777777779</v>
      </c>
      <c r="AH57" s="29">
        <f>SUM($AF$2:AF57)</f>
        <v>43</v>
      </c>
      <c r="AI57" s="55">
        <f>SUM($AG$2:AG57)</f>
        <v>43.222222222222193</v>
      </c>
    </row>
    <row r="58" spans="1:35" x14ac:dyDescent="0.2">
      <c r="A58" s="48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3"/>
      <c r="O58" s="29">
        <f t="shared" si="10"/>
        <v>216</v>
      </c>
      <c r="P58" s="31" cm="1">
        <f t="array" ref="P58">WPNFACTOR(C58)</f>
        <v>2.5</v>
      </c>
      <c r="Q58" s="33" cm="1">
        <f t="array" ref="Q58">HPFACTOr(C58)</f>
        <v>4</v>
      </c>
      <c r="R58" s="32">
        <f t="shared" si="11"/>
        <v>86.4</v>
      </c>
      <c r="S58" s="33">
        <f t="shared" si="12"/>
        <v>273480</v>
      </c>
      <c r="T58" s="32">
        <f t="shared" si="13"/>
        <v>86.4</v>
      </c>
      <c r="U58" s="39">
        <f t="shared" si="14"/>
        <v>273480</v>
      </c>
      <c r="V58" s="41">
        <f>VLOOKUP(D58,LevelXp!$A$1:'LevelXp'!$B$1000,2,)/5</f>
        <v>1710914</v>
      </c>
      <c r="W58" s="29">
        <f t="shared" si="15"/>
        <v>23628672</v>
      </c>
      <c r="X58" s="32">
        <f t="shared" si="16"/>
        <v>29.832377278472407</v>
      </c>
      <c r="Y58" s="41">
        <v>75</v>
      </c>
      <c r="Z58" s="41">
        <v>1710914</v>
      </c>
      <c r="AA58" s="41">
        <v>1</v>
      </c>
      <c r="AC58" s="50">
        <v>57</v>
      </c>
      <c r="AD58" s="51">
        <f t="shared" si="7"/>
        <v>653687</v>
      </c>
      <c r="AE58" s="51">
        <f t="shared" si="9"/>
        <v>533553</v>
      </c>
      <c r="AF58" s="51">
        <f t="shared" si="8"/>
        <v>1</v>
      </c>
      <c r="AG58" s="55">
        <f t="shared" si="9"/>
        <v>0.77777777777777779</v>
      </c>
      <c r="AH58" s="29">
        <f>SUM($AF$2:AF58)</f>
        <v>44</v>
      </c>
      <c r="AI58" s="55">
        <f>SUM($AG$2:AG58)</f>
        <v>43.999999999999972</v>
      </c>
    </row>
    <row r="59" spans="1:35" x14ac:dyDescent="0.2">
      <c r="A59" s="48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3"/>
      <c r="O59" s="29">
        <f t="shared" si="10"/>
        <v>409.5</v>
      </c>
      <c r="P59" s="31" cm="1">
        <f t="array" ref="P59">WPNFACTOR(C59)</f>
        <v>4.5</v>
      </c>
      <c r="Q59" s="33" cm="1">
        <f t="array" ref="Q59">HPFACTOr(C59)</f>
        <v>2</v>
      </c>
      <c r="R59" s="32">
        <f t="shared" si="11"/>
        <v>91</v>
      </c>
      <c r="S59" s="33">
        <f t="shared" si="12"/>
        <v>301400</v>
      </c>
      <c r="T59" s="32">
        <f t="shared" si="13"/>
        <v>91</v>
      </c>
      <c r="U59" s="39">
        <f t="shared" si="14"/>
        <v>301400</v>
      </c>
      <c r="V59" s="41">
        <f>VLOOKUP(D59,LevelXp!$A$1:'LevelXp'!$B$1000,2,)/5</f>
        <v>2187846</v>
      </c>
      <c r="W59" s="29">
        <f t="shared" si="15"/>
        <v>27427400</v>
      </c>
      <c r="X59" s="32">
        <f t="shared" si="16"/>
        <v>30.735262600325726</v>
      </c>
      <c r="Y59" s="41">
        <v>76</v>
      </c>
      <c r="Z59" s="41">
        <v>2187846</v>
      </c>
      <c r="AA59" s="41">
        <v>1</v>
      </c>
      <c r="AC59" s="50">
        <v>58</v>
      </c>
      <c r="AD59" s="51">
        <f t="shared" si="7"/>
        <v>704559</v>
      </c>
      <c r="AE59" s="51">
        <f t="shared" si="9"/>
        <v>488359.22222222225</v>
      </c>
      <c r="AF59" s="51">
        <f t="shared" si="8"/>
        <v>1</v>
      </c>
      <c r="AG59" s="55">
        <f t="shared" si="9"/>
        <v>0.66666666666666663</v>
      </c>
      <c r="AH59" s="29">
        <f>SUM($AF$2:AF59)</f>
        <v>45</v>
      </c>
      <c r="AI59" s="55">
        <f>SUM($AG$2:AG59)</f>
        <v>44.666666666666636</v>
      </c>
    </row>
    <row r="60" spans="1:35" x14ac:dyDescent="0.2">
      <c r="A60" s="48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3"/>
      <c r="O60" s="29">
        <f t="shared" si="10"/>
        <v>236</v>
      </c>
      <c r="P60" s="31" cm="1">
        <f t="array" ref="P60">WPNFACTOR(C60)</f>
        <v>2.5</v>
      </c>
      <c r="Q60" s="33" cm="1">
        <f t="array" ref="Q60">HPFACTOr(C60)</f>
        <v>4</v>
      </c>
      <c r="R60" s="32">
        <f t="shared" si="11"/>
        <v>94.4</v>
      </c>
      <c r="S60" s="33">
        <f t="shared" si="12"/>
        <v>353800</v>
      </c>
      <c r="T60" s="32">
        <f t="shared" si="13"/>
        <v>94.4</v>
      </c>
      <c r="U60" s="39">
        <f t="shared" si="14"/>
        <v>353800</v>
      </c>
      <c r="V60" s="41">
        <f>VLOOKUP(D60,LevelXp!$A$1:'LevelXp'!$B$1000,2,)/5</f>
        <v>2767832</v>
      </c>
      <c r="W60" s="29">
        <f t="shared" si="15"/>
        <v>33398720.000000004</v>
      </c>
      <c r="X60" s="32">
        <f t="shared" si="16"/>
        <v>31.970245009431206</v>
      </c>
      <c r="Y60" s="41">
        <v>79</v>
      </c>
      <c r="Z60" s="41">
        <v>2767832</v>
      </c>
      <c r="AA60" s="41">
        <v>1</v>
      </c>
      <c r="AC60" s="50">
        <v>59</v>
      </c>
      <c r="AD60" s="51">
        <f t="shared" si="7"/>
        <v>0</v>
      </c>
      <c r="AE60" s="51">
        <f t="shared" si="9"/>
        <v>535278.4444444445</v>
      </c>
      <c r="AF60" s="51">
        <f t="shared" si="8"/>
        <v>0</v>
      </c>
      <c r="AG60" s="55">
        <f t="shared" si="9"/>
        <v>0.66666666666666663</v>
      </c>
      <c r="AH60" s="29">
        <f>SUM($AF$2:AF60)</f>
        <v>45</v>
      </c>
      <c r="AI60" s="55">
        <f>SUM($AG$2:AG60)</f>
        <v>45.3333333333333</v>
      </c>
    </row>
    <row r="61" spans="1:35" x14ac:dyDescent="0.2">
      <c r="A61" s="48" t="s">
        <v>8846</v>
      </c>
      <c r="B61" s="29">
        <v>1</v>
      </c>
      <c r="C61" s="29">
        <v>3</v>
      </c>
      <c r="D61" s="29">
        <v>112</v>
      </c>
      <c r="E61" s="29">
        <v>530</v>
      </c>
      <c r="F61" s="29">
        <v>2080</v>
      </c>
      <c r="G61" s="29">
        <v>520</v>
      </c>
      <c r="H61" s="29">
        <v>1800</v>
      </c>
      <c r="I61" s="29">
        <v>765</v>
      </c>
      <c r="J61" s="29">
        <v>813600</v>
      </c>
      <c r="K61" s="29">
        <v>148</v>
      </c>
      <c r="L61" s="29">
        <v>244</v>
      </c>
      <c r="N61" s="33"/>
      <c r="O61" s="29">
        <f t="shared" si="10"/>
        <v>196</v>
      </c>
      <c r="P61" s="31" cm="1">
        <f t="array" ref="P61">WPNFACTOR(C61)</f>
        <v>2.5</v>
      </c>
      <c r="Q61" s="33" cm="1">
        <f t="array" ref="Q61">HPFACTOr(C61)</f>
        <v>4</v>
      </c>
      <c r="R61" s="32">
        <f t="shared" si="11"/>
        <v>78.400000000000006</v>
      </c>
      <c r="S61" s="33">
        <f t="shared" si="12"/>
        <v>203400</v>
      </c>
      <c r="T61" s="32">
        <f t="shared" si="13"/>
        <v>78.400000000000006</v>
      </c>
      <c r="U61" s="39">
        <f t="shared" si="14"/>
        <v>203400</v>
      </c>
      <c r="V61" s="41">
        <f>VLOOKUP(D61,LevelXp!$A$1:'LevelXp'!$B$1000,2,)/5</f>
        <v>1009041</v>
      </c>
      <c r="W61" s="29">
        <f t="shared" si="15"/>
        <v>15946560.000000002</v>
      </c>
      <c r="X61" s="32">
        <f t="shared" si="16"/>
        <v>27.576135364739969</v>
      </c>
      <c r="Y61" s="41">
        <v>80</v>
      </c>
      <c r="Z61" s="41">
        <v>1009041</v>
      </c>
      <c r="AA61" s="41">
        <v>1</v>
      </c>
      <c r="AC61" s="50">
        <v>60</v>
      </c>
      <c r="AD61" s="51">
        <f t="shared" si="7"/>
        <v>876584</v>
      </c>
      <c r="AE61" s="51">
        <f t="shared" si="9"/>
        <v>629863.66666666663</v>
      </c>
      <c r="AF61" s="51">
        <f t="shared" si="8"/>
        <v>1</v>
      </c>
      <c r="AG61" s="55">
        <f t="shared" si="9"/>
        <v>0.66666666666666663</v>
      </c>
      <c r="AH61" s="29">
        <f>SUM($AF$2:AF61)</f>
        <v>46</v>
      </c>
      <c r="AI61" s="55">
        <f>SUM($AG$2:AG61)</f>
        <v>45.999999999999964</v>
      </c>
    </row>
    <row r="62" spans="1:35" x14ac:dyDescent="0.2">
      <c r="A62" s="48" t="s">
        <v>8846</v>
      </c>
      <c r="B62" s="29">
        <v>2</v>
      </c>
      <c r="C62" s="29">
        <v>3</v>
      </c>
      <c r="D62" s="29">
        <v>116</v>
      </c>
      <c r="E62" s="29">
        <v>550</v>
      </c>
      <c r="F62" s="29">
        <v>2160</v>
      </c>
      <c r="G62" s="29">
        <v>540</v>
      </c>
      <c r="H62" s="29">
        <v>1880</v>
      </c>
      <c r="I62" s="29">
        <v>795</v>
      </c>
      <c r="J62" s="29">
        <v>879840</v>
      </c>
      <c r="K62" s="29">
        <v>152</v>
      </c>
      <c r="L62" s="29">
        <v>249</v>
      </c>
      <c r="N62" s="33"/>
      <c r="O62" s="29">
        <f t="shared" si="10"/>
        <v>200.5</v>
      </c>
      <c r="P62" s="31" cm="1">
        <f t="array" ref="P62">WPNFACTOR(C62)</f>
        <v>2.5</v>
      </c>
      <c r="Q62" s="33" cm="1">
        <f t="array" ref="Q62">HPFACTOr(C62)</f>
        <v>4</v>
      </c>
      <c r="R62" s="32">
        <f t="shared" si="11"/>
        <v>80.2</v>
      </c>
      <c r="S62" s="33">
        <f t="shared" si="12"/>
        <v>219960</v>
      </c>
      <c r="T62" s="32">
        <f t="shared" si="13"/>
        <v>80.2</v>
      </c>
      <c r="U62" s="39">
        <f t="shared" si="14"/>
        <v>219960</v>
      </c>
      <c r="V62" s="41">
        <f>VLOOKUP(D62,LevelXp!$A$1:'LevelXp'!$B$1000,2,)/5</f>
        <v>1157092</v>
      </c>
      <c r="W62" s="29">
        <f t="shared" si="15"/>
        <v>17640792</v>
      </c>
      <c r="X62" s="32">
        <f t="shared" si="16"/>
        <v>28.138673213750224</v>
      </c>
      <c r="Y62" s="41">
        <v>80</v>
      </c>
      <c r="Z62" s="41">
        <v>1157092</v>
      </c>
      <c r="AA62" s="41">
        <v>1</v>
      </c>
      <c r="AC62" s="50">
        <v>61</v>
      </c>
      <c r="AD62" s="51">
        <f t="shared" si="7"/>
        <v>1081088</v>
      </c>
      <c r="AE62" s="51">
        <f t="shared" si="9"/>
        <v>629863.66666666663</v>
      </c>
      <c r="AF62" s="51">
        <f t="shared" si="8"/>
        <v>1</v>
      </c>
      <c r="AG62" s="55">
        <f t="shared" si="9"/>
        <v>0.66666666666666663</v>
      </c>
      <c r="AH62" s="29">
        <f>SUM($AF$2:AF62)</f>
        <v>47</v>
      </c>
      <c r="AI62" s="55">
        <f>SUM($AG$2:AG62)</f>
        <v>46.666666666666629</v>
      </c>
    </row>
    <row r="63" spans="1:35" x14ac:dyDescent="0.2">
      <c r="A63" s="48" t="s">
        <v>8846</v>
      </c>
      <c r="B63" s="29">
        <v>3</v>
      </c>
      <c r="C63" s="29">
        <v>2</v>
      </c>
      <c r="D63" s="29">
        <v>120</v>
      </c>
      <c r="E63" s="29">
        <v>550</v>
      </c>
      <c r="F63" s="29">
        <v>570</v>
      </c>
      <c r="G63" s="29">
        <v>2320</v>
      </c>
      <c r="H63" s="29">
        <v>1880</v>
      </c>
      <c r="I63" s="29">
        <v>820</v>
      </c>
      <c r="J63" s="29">
        <v>454960</v>
      </c>
      <c r="K63" s="29">
        <v>299</v>
      </c>
      <c r="L63" s="29">
        <v>447</v>
      </c>
      <c r="N63" s="33"/>
      <c r="O63" s="29">
        <f t="shared" si="10"/>
        <v>373</v>
      </c>
      <c r="P63" s="31" cm="1">
        <f t="array" ref="P63">WPNFACTOR(C63)</f>
        <v>4.5</v>
      </c>
      <c r="Q63" s="33" cm="1">
        <f t="array" ref="Q63">HPFACTOr(C63)</f>
        <v>2</v>
      </c>
      <c r="R63" s="32">
        <f t="shared" si="11"/>
        <v>82.888888888888886</v>
      </c>
      <c r="S63" s="33">
        <f t="shared" si="12"/>
        <v>227480</v>
      </c>
      <c r="T63" s="32">
        <f t="shared" si="13"/>
        <v>82.888888888888886</v>
      </c>
      <c r="U63" s="39">
        <f t="shared" si="14"/>
        <v>227480</v>
      </c>
      <c r="V63" s="41">
        <f>VLOOKUP(D63,LevelXp!$A$1:'LevelXp'!$B$1000,2,)/5</f>
        <v>1322625</v>
      </c>
      <c r="W63" s="29">
        <f t="shared" si="15"/>
        <v>18855564.444444444</v>
      </c>
      <c r="X63" s="32">
        <f t="shared" si="16"/>
        <v>28.51595413496733</v>
      </c>
      <c r="Y63" s="41">
        <v>82</v>
      </c>
      <c r="Z63" s="41">
        <v>1322625</v>
      </c>
      <c r="AA63" s="41">
        <v>1</v>
      </c>
      <c r="AC63" s="50">
        <v>62</v>
      </c>
      <c r="AD63" s="51">
        <f t="shared" si="7"/>
        <v>0</v>
      </c>
      <c r="AE63" s="51">
        <f t="shared" si="9"/>
        <v>759616.33333333337</v>
      </c>
      <c r="AF63" s="51">
        <f t="shared" si="8"/>
        <v>0</v>
      </c>
      <c r="AG63" s="55">
        <f t="shared" si="9"/>
        <v>0.66666666666666663</v>
      </c>
      <c r="AH63" s="29">
        <f>SUM($AF$2:AF63)</f>
        <v>47</v>
      </c>
      <c r="AI63" s="55">
        <f>SUM($AG$2:AG63)</f>
        <v>47.333333333333293</v>
      </c>
    </row>
    <row r="64" spans="1:35" x14ac:dyDescent="0.2">
      <c r="A64" s="48" t="s">
        <v>8846</v>
      </c>
      <c r="B64" s="29">
        <v>4</v>
      </c>
      <c r="C64" s="29">
        <v>1</v>
      </c>
      <c r="D64" s="29">
        <v>126</v>
      </c>
      <c r="E64" s="29">
        <v>2360</v>
      </c>
      <c r="F64" s="29">
        <v>805</v>
      </c>
      <c r="G64" s="29">
        <v>780</v>
      </c>
      <c r="H64" s="29">
        <v>2080</v>
      </c>
      <c r="I64" s="29">
        <v>620</v>
      </c>
      <c r="J64" s="29">
        <v>1320800</v>
      </c>
      <c r="K64" s="29">
        <v>141</v>
      </c>
      <c r="L64" s="29">
        <v>199</v>
      </c>
      <c r="N64" s="33"/>
      <c r="O64" s="29">
        <f t="shared" si="10"/>
        <v>170</v>
      </c>
      <c r="P64" s="31" cm="1">
        <f t="array" ref="P64">WPNFACTOR(C64)</f>
        <v>2</v>
      </c>
      <c r="Q64" s="33" cm="1">
        <f t="array" ref="Q64">HPFACTOr(C64)</f>
        <v>5</v>
      </c>
      <c r="R64" s="32">
        <f t="shared" si="11"/>
        <v>85</v>
      </c>
      <c r="S64" s="33">
        <f t="shared" si="12"/>
        <v>264160</v>
      </c>
      <c r="T64" s="32">
        <f t="shared" si="13"/>
        <v>85</v>
      </c>
      <c r="U64" s="39">
        <f t="shared" si="14"/>
        <v>264160</v>
      </c>
      <c r="V64" s="41">
        <f>VLOOKUP(D64,LevelXp!$A$1:'LevelXp'!$B$1000,2,)/5</f>
        <v>1606255</v>
      </c>
      <c r="W64" s="29">
        <f t="shared" si="15"/>
        <v>22453600</v>
      </c>
      <c r="X64" s="32">
        <f t="shared" si="16"/>
        <v>29.529574988783907</v>
      </c>
      <c r="Y64" s="41">
        <v>83</v>
      </c>
      <c r="Z64" s="41">
        <v>1606255</v>
      </c>
      <c r="AA64" s="41">
        <v>1</v>
      </c>
      <c r="AC64" s="50">
        <v>63</v>
      </c>
      <c r="AD64" s="51">
        <f t="shared" si="7"/>
        <v>940791</v>
      </c>
      <c r="AE64" s="51">
        <f t="shared" si="9"/>
        <v>681332</v>
      </c>
      <c r="AF64" s="51">
        <f t="shared" si="8"/>
        <v>1</v>
      </c>
      <c r="AG64" s="55">
        <f t="shared" si="9"/>
        <v>0.55555555555555558</v>
      </c>
      <c r="AH64" s="29">
        <f>SUM($AF$2:AF64)</f>
        <v>48</v>
      </c>
      <c r="AI64" s="55">
        <f>SUM($AG$2:AG64)</f>
        <v>47.88888888888885</v>
      </c>
    </row>
    <row r="65" spans="1:35" x14ac:dyDescent="0.2">
      <c r="A65" s="48" t="s">
        <v>8846</v>
      </c>
      <c r="B65" s="29">
        <v>5</v>
      </c>
      <c r="C65" s="29">
        <v>1</v>
      </c>
      <c r="D65" s="29">
        <v>134</v>
      </c>
      <c r="E65" s="29">
        <v>2520</v>
      </c>
      <c r="F65" s="29">
        <v>865</v>
      </c>
      <c r="G65" s="29">
        <v>840</v>
      </c>
      <c r="H65" s="29">
        <v>2240</v>
      </c>
      <c r="I65" s="29">
        <v>660</v>
      </c>
      <c r="J65" s="29">
        <v>1512000</v>
      </c>
      <c r="K65" s="29">
        <v>149</v>
      </c>
      <c r="L65" s="29">
        <v>207</v>
      </c>
      <c r="N65" s="33"/>
      <c r="O65" s="29">
        <f t="shared" si="10"/>
        <v>178</v>
      </c>
      <c r="P65" s="31" cm="1">
        <f t="array" ref="P65">WPNFACTOR(C65)</f>
        <v>2</v>
      </c>
      <c r="Q65" s="33" cm="1">
        <f t="array" ref="Q65">HPFACTOr(C65)</f>
        <v>5</v>
      </c>
      <c r="R65" s="32">
        <f t="shared" si="11"/>
        <v>89</v>
      </c>
      <c r="S65" s="33">
        <f t="shared" si="12"/>
        <v>302400</v>
      </c>
      <c r="T65" s="32">
        <f t="shared" si="13"/>
        <v>89</v>
      </c>
      <c r="U65" s="39">
        <f t="shared" si="14"/>
        <v>302400</v>
      </c>
      <c r="V65" s="41">
        <f>VLOOKUP(D65,LevelXp!$A$1:'LevelXp'!$B$1000,2,)/5</f>
        <v>2059369</v>
      </c>
      <c r="W65" s="29">
        <f t="shared" si="15"/>
        <v>26913600</v>
      </c>
      <c r="X65" s="32">
        <f t="shared" si="16"/>
        <v>30.619236603140322</v>
      </c>
      <c r="Y65" s="41">
        <v>84</v>
      </c>
      <c r="Z65" s="41">
        <v>2059369</v>
      </c>
      <c r="AA65" s="41">
        <v>1</v>
      </c>
      <c r="AC65" s="50">
        <v>64</v>
      </c>
      <c r="AD65" s="51">
        <f t="shared" si="7"/>
        <v>1412064</v>
      </c>
      <c r="AE65" s="51">
        <f t="shared" si="9"/>
        <v>681332</v>
      </c>
      <c r="AF65" s="51">
        <f t="shared" si="8"/>
        <v>1</v>
      </c>
      <c r="AG65" s="55">
        <f t="shared" si="9"/>
        <v>0.55555555555555558</v>
      </c>
      <c r="AH65" s="29">
        <f>SUM($AF$2:AF65)</f>
        <v>49</v>
      </c>
      <c r="AI65" s="55">
        <f>SUM($AG$2:AG65)</f>
        <v>48.444444444444407</v>
      </c>
    </row>
    <row r="66" spans="1:35" x14ac:dyDescent="0.2">
      <c r="A66" s="48" t="s">
        <v>8846</v>
      </c>
      <c r="B66" s="29">
        <v>6</v>
      </c>
      <c r="C66" s="29">
        <v>1</v>
      </c>
      <c r="D66" s="29">
        <v>138</v>
      </c>
      <c r="E66" s="29">
        <v>2600</v>
      </c>
      <c r="F66" s="29">
        <v>895</v>
      </c>
      <c r="G66" s="29">
        <v>870</v>
      </c>
      <c r="H66" s="29">
        <v>2320</v>
      </c>
      <c r="I66" s="29">
        <v>680</v>
      </c>
      <c r="J66" s="29">
        <v>1612400</v>
      </c>
      <c r="K66" s="29">
        <v>153</v>
      </c>
      <c r="L66" s="29">
        <v>211</v>
      </c>
      <c r="N66" s="33"/>
      <c r="O66" s="29">
        <f t="shared" ref="O66:O97" si="17">AVERAGE(K66, L66)</f>
        <v>182</v>
      </c>
      <c r="P66" s="31" cm="1">
        <f t="array" ref="P66">WPNFACTOR(C66)</f>
        <v>2</v>
      </c>
      <c r="Q66" s="33" cm="1">
        <f t="array" ref="Q66">HPFACTOr(C66)</f>
        <v>5</v>
      </c>
      <c r="R66" s="32">
        <f t="shared" ref="R66:R97" si="18">O66/P66</f>
        <v>91</v>
      </c>
      <c r="S66" s="33">
        <f t="shared" ref="S66:S97" si="19">J66/Q66</f>
        <v>322480</v>
      </c>
      <c r="T66" s="32">
        <f t="shared" ref="T66:T97" si="20">R66*(1 + (N66/400))</f>
        <v>91</v>
      </c>
      <c r="U66" s="39">
        <f t="shared" ref="U66:U97" si="21">S66*1.6/(1 + (0.6*(1 - (M66/100))))</f>
        <v>322480</v>
      </c>
      <c r="V66" s="41">
        <f>VLOOKUP(D66,LevelXp!$A$1:'LevelXp'!$B$1000,2,)/5</f>
        <v>2322552</v>
      </c>
      <c r="W66" s="29">
        <f t="shared" ref="W66:W97" si="22">T66*U66</f>
        <v>29345680</v>
      </c>
      <c r="X66" s="32">
        <f t="shared" ref="X66:X97" si="23">POWER(W66, 1/$X$1)</f>
        <v>31.153642757795794</v>
      </c>
      <c r="Y66" s="41">
        <v>86</v>
      </c>
      <c r="Z66" s="41">
        <v>2322552</v>
      </c>
      <c r="AA66" s="41">
        <v>1</v>
      </c>
      <c r="AC66" s="50">
        <v>65</v>
      </c>
      <c r="AD66" s="51">
        <f t="shared" si="7"/>
        <v>0</v>
      </c>
      <c r="AE66" s="51">
        <f t="shared" si="9"/>
        <v>583933.77777777775</v>
      </c>
      <c r="AF66" s="51">
        <f t="shared" si="8"/>
        <v>0</v>
      </c>
      <c r="AG66" s="55">
        <f t="shared" si="9"/>
        <v>0.44444444444444442</v>
      </c>
      <c r="AH66" s="29">
        <f>SUM($AF$2:AF66)</f>
        <v>49</v>
      </c>
      <c r="AI66" s="55">
        <f>SUM($AG$2:AG66)</f>
        <v>48.88888888888885</v>
      </c>
    </row>
    <row r="67" spans="1:35" x14ac:dyDescent="0.2">
      <c r="A67" s="48" t="s">
        <v>8846</v>
      </c>
      <c r="B67" s="29">
        <v>7</v>
      </c>
      <c r="C67" s="29">
        <v>2</v>
      </c>
      <c r="D67" s="29">
        <v>142</v>
      </c>
      <c r="E67" s="29">
        <v>660</v>
      </c>
      <c r="F67" s="29">
        <v>680</v>
      </c>
      <c r="G67" s="29">
        <v>2760</v>
      </c>
      <c r="H67" s="29">
        <v>2320</v>
      </c>
      <c r="I67" s="29">
        <v>985</v>
      </c>
      <c r="J67" s="29">
        <v>663520</v>
      </c>
      <c r="K67" s="29">
        <v>343</v>
      </c>
      <c r="L67" s="29">
        <v>496</v>
      </c>
      <c r="N67" s="33"/>
      <c r="O67" s="29">
        <f t="shared" si="17"/>
        <v>419.5</v>
      </c>
      <c r="P67" s="31" cm="1">
        <f t="array" ref="P67">WPNFACTOR(C67)</f>
        <v>4.5</v>
      </c>
      <c r="Q67" s="33" cm="1">
        <f t="array" ref="Q67">HPFACTOr(C67)</f>
        <v>2</v>
      </c>
      <c r="R67" s="32">
        <f t="shared" si="18"/>
        <v>93.222222222222229</v>
      </c>
      <c r="S67" s="33">
        <f t="shared" si="19"/>
        <v>331760</v>
      </c>
      <c r="T67" s="32">
        <f t="shared" si="20"/>
        <v>93.222222222222229</v>
      </c>
      <c r="U67" s="39">
        <f t="shared" si="21"/>
        <v>331760</v>
      </c>
      <c r="V67" s="41">
        <f>VLOOKUP(D67,LevelXp!$A$1:'LevelXp'!$B$1000,2,)/5</f>
        <v>2612278</v>
      </c>
      <c r="W67" s="29">
        <f t="shared" si="22"/>
        <v>30927404.444444448</v>
      </c>
      <c r="X67" s="32">
        <f t="shared" si="23"/>
        <v>31.482462501606513</v>
      </c>
      <c r="Y67" s="41">
        <v>87</v>
      </c>
      <c r="Z67" s="41">
        <v>2612278</v>
      </c>
      <c r="AA67" s="41">
        <v>1</v>
      </c>
      <c r="AC67" s="50">
        <v>66</v>
      </c>
      <c r="AD67" s="51">
        <f t="shared" ref="AD67:AD130" si="24">SUMIF($Y$2:$Y$682, AC67, $Z$2:$Z$682)</f>
        <v>1821461</v>
      </c>
      <c r="AE67" s="51">
        <f t="shared" si="9"/>
        <v>584306</v>
      </c>
      <c r="AF67" s="51">
        <f t="shared" ref="AF67:AF130" si="25">SUMIF($Y$2:$Y$682, AC67, $AA$2:$AA$682)</f>
        <v>1</v>
      </c>
      <c r="AG67" s="55">
        <f t="shared" si="9"/>
        <v>0.55555555555555558</v>
      </c>
      <c r="AH67" s="29">
        <f>SUM($AF$2:AF67)</f>
        <v>50</v>
      </c>
      <c r="AI67" s="55">
        <f>SUM($AG$2:AG67)</f>
        <v>49.444444444444407</v>
      </c>
    </row>
    <row r="68" spans="1:35" x14ac:dyDescent="0.2">
      <c r="A68" s="48" t="s">
        <v>8845</v>
      </c>
      <c r="B68" s="29">
        <v>10</v>
      </c>
      <c r="C68" s="29">
        <v>3</v>
      </c>
      <c r="D68" s="29">
        <v>150</v>
      </c>
      <c r="E68" s="29">
        <v>720</v>
      </c>
      <c r="F68" s="29">
        <v>2840</v>
      </c>
      <c r="G68" s="29">
        <v>710</v>
      </c>
      <c r="H68" s="29">
        <v>2560</v>
      </c>
      <c r="I68" s="29">
        <v>1050</v>
      </c>
      <c r="J68" s="29">
        <v>1546240</v>
      </c>
      <c r="K68" s="29">
        <v>186</v>
      </c>
      <c r="L68" s="29">
        <v>301</v>
      </c>
      <c r="N68" s="33"/>
      <c r="O68" s="29">
        <f t="shared" si="17"/>
        <v>243.5</v>
      </c>
      <c r="P68" s="31" cm="1">
        <f t="array" ref="P68">WPNFACTOR(C68)</f>
        <v>2.5</v>
      </c>
      <c r="Q68" s="33" cm="1">
        <f t="array" ref="Q68">HPFACTOr(C68)</f>
        <v>4</v>
      </c>
      <c r="R68" s="32">
        <f t="shared" si="18"/>
        <v>97.4</v>
      </c>
      <c r="S68" s="33">
        <f t="shared" si="19"/>
        <v>386560</v>
      </c>
      <c r="T68" s="32">
        <f t="shared" si="20"/>
        <v>97.4</v>
      </c>
      <c r="U68" s="39">
        <f t="shared" si="21"/>
        <v>386560</v>
      </c>
      <c r="V68" s="41">
        <f>VLOOKUP(D68,LevelXp!$A$1:'LevelXp'!$B$1000,2,)/5</f>
        <v>3280697</v>
      </c>
      <c r="W68" s="29">
        <f t="shared" si="22"/>
        <v>37650944</v>
      </c>
      <c r="X68" s="32">
        <f t="shared" si="23"/>
        <v>32.745767496697241</v>
      </c>
      <c r="Y68" s="41">
        <v>88</v>
      </c>
      <c r="Z68" s="41">
        <v>3280697</v>
      </c>
      <c r="AA68" s="41">
        <v>1</v>
      </c>
      <c r="AC68" s="50">
        <v>67</v>
      </c>
      <c r="AD68" s="51">
        <f t="shared" si="24"/>
        <v>0</v>
      </c>
      <c r="AE68" s="51">
        <f t="shared" si="9"/>
        <v>668578.33333333337</v>
      </c>
      <c r="AF68" s="51">
        <f t="shared" si="25"/>
        <v>0</v>
      </c>
      <c r="AG68" s="55">
        <f t="shared" si="9"/>
        <v>0.66666666666666663</v>
      </c>
      <c r="AH68" s="29">
        <f>SUM($AF$2:AF68)</f>
        <v>50</v>
      </c>
      <c r="AI68" s="55">
        <f>SUM($AG$2:AG68)</f>
        <v>50.111111111111072</v>
      </c>
    </row>
    <row r="69" spans="1:35" x14ac:dyDescent="0.2">
      <c r="A69" s="48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3"/>
      <c r="O69" s="29">
        <f t="shared" si="17"/>
        <v>190</v>
      </c>
      <c r="P69" s="31" cm="1">
        <f t="array" ref="P69">WPNFACTOR(C69)</f>
        <v>2</v>
      </c>
      <c r="Q69" s="33" cm="1">
        <f t="array" ref="Q69">HPFACTOr(C69)</f>
        <v>5</v>
      </c>
      <c r="R69" s="32">
        <f t="shared" si="18"/>
        <v>95</v>
      </c>
      <c r="S69" s="33">
        <f t="shared" si="19"/>
        <v>364560</v>
      </c>
      <c r="T69" s="32">
        <f t="shared" si="20"/>
        <v>95</v>
      </c>
      <c r="U69" s="39">
        <f t="shared" si="21"/>
        <v>364560</v>
      </c>
      <c r="V69" s="41">
        <f>VLOOKUP(D69,LevelXp!$A$1:'LevelXp'!$B$1000,2,)/5</f>
        <v>2930646</v>
      </c>
      <c r="W69" s="29">
        <f t="shared" si="22"/>
        <v>34633200</v>
      </c>
      <c r="X69" s="32">
        <f t="shared" si="23"/>
        <v>32.203162548120915</v>
      </c>
      <c r="Y69" s="41">
        <v>90</v>
      </c>
      <c r="Z69" s="41">
        <v>2930646</v>
      </c>
      <c r="AA69" s="41">
        <v>1</v>
      </c>
      <c r="AC69" s="50">
        <v>68</v>
      </c>
      <c r="AD69" s="51">
        <f t="shared" si="24"/>
        <v>0</v>
      </c>
      <c r="AE69" s="51">
        <f t="shared" si="9"/>
        <v>654696.33333333337</v>
      </c>
      <c r="AF69" s="51">
        <f t="shared" si="25"/>
        <v>0</v>
      </c>
      <c r="AG69" s="55">
        <f t="shared" si="9"/>
        <v>0.66666666666666663</v>
      </c>
      <c r="AH69" s="29">
        <f>SUM($AF$2:AF69)</f>
        <v>50</v>
      </c>
      <c r="AI69" s="55">
        <f>SUM($AG$2:AG69)</f>
        <v>50.777777777777736</v>
      </c>
    </row>
    <row r="70" spans="1:35" x14ac:dyDescent="0.2">
      <c r="A70" s="48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3"/>
      <c r="O70" s="29">
        <f t="shared" si="17"/>
        <v>192</v>
      </c>
      <c r="P70" s="31" cm="1">
        <f t="array" ref="P70">WPNFACTOR(C70)</f>
        <v>2</v>
      </c>
      <c r="Q70" s="33" cm="1">
        <f t="array" ref="Q70">HPFACTOr(C70)</f>
        <v>5</v>
      </c>
      <c r="R70" s="32">
        <f t="shared" si="18"/>
        <v>96</v>
      </c>
      <c r="S70" s="33">
        <f t="shared" si="19"/>
        <v>375480</v>
      </c>
      <c r="T70" s="32">
        <f t="shared" si="20"/>
        <v>96</v>
      </c>
      <c r="U70" s="39">
        <f t="shared" si="21"/>
        <v>375480</v>
      </c>
      <c r="V70" s="41">
        <f>VLOOKUP(D70,LevelXp!$A$1:'LevelXp'!$B$1000,2,)/5</f>
        <v>3101774</v>
      </c>
      <c r="W70" s="29">
        <f t="shared" si="22"/>
        <v>36046080</v>
      </c>
      <c r="X70" s="32">
        <f t="shared" si="23"/>
        <v>32.461726057612466</v>
      </c>
      <c r="Y70" s="41">
        <v>91</v>
      </c>
      <c r="Z70" s="41">
        <v>3101774</v>
      </c>
      <c r="AA70" s="41">
        <v>1</v>
      </c>
      <c r="AC70" s="50">
        <v>69</v>
      </c>
      <c r="AD70" s="51">
        <f t="shared" si="24"/>
        <v>0</v>
      </c>
      <c r="AE70" s="51">
        <f t="shared" si="9"/>
        <v>635322.11111111112</v>
      </c>
      <c r="AF70" s="51">
        <f t="shared" si="25"/>
        <v>0</v>
      </c>
      <c r="AG70" s="55">
        <f t="shared" si="9"/>
        <v>0.66666666666666663</v>
      </c>
      <c r="AH70" s="29">
        <f>SUM($AF$2:AF70)</f>
        <v>50</v>
      </c>
      <c r="AI70" s="55">
        <f>SUM($AG$2:AG70)</f>
        <v>51.4444444444444</v>
      </c>
    </row>
    <row r="71" spans="1:35" x14ac:dyDescent="0.2">
      <c r="A71" s="48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3"/>
      <c r="O71" s="29">
        <f t="shared" si="17"/>
        <v>214</v>
      </c>
      <c r="P71" s="31" cm="1">
        <f t="array" ref="P71">WPNFACTOR(C71)</f>
        <v>2</v>
      </c>
      <c r="Q71" s="33" cm="1">
        <f t="array" ref="Q71">HPFACTOr(C71)</f>
        <v>5</v>
      </c>
      <c r="R71" s="32">
        <f t="shared" si="18"/>
        <v>107</v>
      </c>
      <c r="S71" s="33">
        <f t="shared" si="19"/>
        <v>506160</v>
      </c>
      <c r="T71" s="32">
        <f t="shared" si="20"/>
        <v>107</v>
      </c>
      <c r="U71" s="39">
        <f t="shared" si="21"/>
        <v>506160</v>
      </c>
      <c r="V71" s="41">
        <f>VLOOKUP(D71,LevelXp!$A$1:'LevelXp'!$B$1000,2,)/5</f>
        <v>5583708</v>
      </c>
      <c r="W71" s="29">
        <f t="shared" si="22"/>
        <v>54159120</v>
      </c>
      <c r="X71" s="32">
        <f t="shared" si="23"/>
        <v>35.215537365954312</v>
      </c>
      <c r="Y71" s="41">
        <v>92</v>
      </c>
      <c r="Z71" s="41">
        <v>5583708</v>
      </c>
      <c r="AA71" s="41">
        <v>1</v>
      </c>
      <c r="AC71" s="50">
        <v>70</v>
      </c>
      <c r="AD71" s="51">
        <f t="shared" si="24"/>
        <v>1084438</v>
      </c>
      <c r="AE71" s="51">
        <f t="shared" ref="AE71:AG134" si="26">AVERAGE(AD67:AD75)</f>
        <v>802733.88888888888</v>
      </c>
      <c r="AF71" s="51">
        <f t="shared" si="25"/>
        <v>2</v>
      </c>
      <c r="AG71" s="55">
        <f t="shared" si="26"/>
        <v>0.77777777777777779</v>
      </c>
      <c r="AH71" s="29">
        <f>SUM($AF$2:AF71)</f>
        <v>52</v>
      </c>
      <c r="AI71" s="55">
        <f>SUM($AG$2:AG71)</f>
        <v>52.222222222222179</v>
      </c>
    </row>
    <row r="72" spans="1:35" x14ac:dyDescent="0.2">
      <c r="A72" s="48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3"/>
      <c r="O72" s="29">
        <f t="shared" si="17"/>
        <v>175.5</v>
      </c>
      <c r="P72" s="31" cm="1">
        <f t="array" ref="P72">WPNFACTOR(C72)</f>
        <v>2</v>
      </c>
      <c r="Q72" s="33" cm="1">
        <f t="array" ref="Q72">HPFACTOr(C72)</f>
        <v>5</v>
      </c>
      <c r="R72" s="32">
        <f t="shared" si="18"/>
        <v>87.75</v>
      </c>
      <c r="S72" s="33">
        <f t="shared" si="19"/>
        <v>292600</v>
      </c>
      <c r="T72" s="32">
        <f t="shared" si="20"/>
        <v>87.75</v>
      </c>
      <c r="U72" s="39">
        <f t="shared" si="21"/>
        <v>292600</v>
      </c>
      <c r="V72" s="41">
        <f>VLOOKUP(D72,LevelXp!$A$1:'LevelXp'!$B$1000,2,)/5</f>
        <v>1937541</v>
      </c>
      <c r="W72" s="29">
        <f t="shared" si="22"/>
        <v>25675650</v>
      </c>
      <c r="X72" s="32">
        <f t="shared" si="23"/>
        <v>30.332226433597175</v>
      </c>
      <c r="Y72" s="41">
        <v>95</v>
      </c>
      <c r="Z72" s="41">
        <v>1937541</v>
      </c>
      <c r="AA72" s="41">
        <v>1</v>
      </c>
      <c r="AC72" s="50">
        <v>71</v>
      </c>
      <c r="AD72" s="51">
        <f t="shared" si="24"/>
        <v>758451</v>
      </c>
      <c r="AE72" s="51">
        <f t="shared" si="26"/>
        <v>790450.88888888888</v>
      </c>
      <c r="AF72" s="51">
        <f t="shared" si="25"/>
        <v>1</v>
      </c>
      <c r="AG72" s="55">
        <f t="shared" si="26"/>
        <v>0.77777777777777779</v>
      </c>
      <c r="AH72" s="29">
        <f>SUM($AF$2:AF72)</f>
        <v>53</v>
      </c>
      <c r="AI72" s="55">
        <f>SUM($AG$2:AG72)</f>
        <v>52.999999999999957</v>
      </c>
    </row>
    <row r="73" spans="1:35" x14ac:dyDescent="0.2">
      <c r="A73" s="48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3"/>
      <c r="O73" s="29">
        <f t="shared" si="17"/>
        <v>231</v>
      </c>
      <c r="P73" s="31" cm="1">
        <f t="array" ref="P73">WPNFACTOR(C73)</f>
        <v>2.5</v>
      </c>
      <c r="Q73" s="33" cm="1">
        <f t="array" ref="Q73">HPFACTOr(C73)</f>
        <v>4</v>
      </c>
      <c r="R73" s="32">
        <f t="shared" si="18"/>
        <v>92.4</v>
      </c>
      <c r="S73" s="33">
        <f t="shared" si="19"/>
        <v>332760</v>
      </c>
      <c r="T73" s="32">
        <f t="shared" si="20"/>
        <v>92.4</v>
      </c>
      <c r="U73" s="39">
        <f t="shared" si="21"/>
        <v>332760</v>
      </c>
      <c r="V73" s="41">
        <f>VLOOKUP(D73,LevelXp!$A$1:'LevelXp'!$B$1000,2,)/5</f>
        <v>2463717</v>
      </c>
      <c r="W73" s="29">
        <f t="shared" si="22"/>
        <v>30747024.000000004</v>
      </c>
      <c r="X73" s="32">
        <f t="shared" si="23"/>
        <v>31.4456529752111</v>
      </c>
      <c r="Y73" s="41">
        <v>96</v>
      </c>
      <c r="Z73" s="41">
        <v>2463717</v>
      </c>
      <c r="AA73" s="41">
        <v>1</v>
      </c>
      <c r="AC73" s="50">
        <v>72</v>
      </c>
      <c r="AD73" s="51">
        <f t="shared" si="24"/>
        <v>815853</v>
      </c>
      <c r="AE73" s="51">
        <f t="shared" si="26"/>
        <v>1033544.8888888889</v>
      </c>
      <c r="AF73" s="51">
        <f t="shared" si="25"/>
        <v>1</v>
      </c>
      <c r="AG73" s="55">
        <f t="shared" si="26"/>
        <v>0.88888888888888884</v>
      </c>
      <c r="AH73" s="29">
        <f>SUM($AF$2:AF73)</f>
        <v>54</v>
      </c>
      <c r="AI73" s="55">
        <f>SUM($AG$2:AG73)</f>
        <v>53.888888888888843</v>
      </c>
    </row>
    <row r="74" spans="1:35" x14ac:dyDescent="0.2">
      <c r="A74" s="48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3"/>
      <c r="O74" s="29">
        <f t="shared" si="17"/>
        <v>198</v>
      </c>
      <c r="P74" s="31" cm="1">
        <f t="array" ref="P74">WPNFACTOR(C74)</f>
        <v>2</v>
      </c>
      <c r="Q74" s="33" cm="1">
        <f t="array" ref="Q74">HPFACTOr(C74)</f>
        <v>5</v>
      </c>
      <c r="R74" s="32">
        <f t="shared" si="18"/>
        <v>99</v>
      </c>
      <c r="S74" s="33">
        <f t="shared" si="19"/>
        <v>409200</v>
      </c>
      <c r="T74" s="32">
        <f t="shared" si="20"/>
        <v>99</v>
      </c>
      <c r="U74" s="39">
        <f t="shared" si="21"/>
        <v>409200</v>
      </c>
      <c r="V74" s="41">
        <f>VLOOKUP(D74,LevelXp!$A$1:'LevelXp'!$B$1000,2,)/5</f>
        <v>3663979</v>
      </c>
      <c r="W74" s="29">
        <f t="shared" si="22"/>
        <v>40510800</v>
      </c>
      <c r="X74" s="32">
        <f t="shared" si="23"/>
        <v>33.228762214603478</v>
      </c>
      <c r="Y74" s="41">
        <v>97</v>
      </c>
      <c r="Z74" s="41">
        <v>3663979</v>
      </c>
      <c r="AA74" s="41">
        <v>1</v>
      </c>
      <c r="AC74" s="50">
        <v>73</v>
      </c>
      <c r="AD74" s="51">
        <f t="shared" si="24"/>
        <v>1237696</v>
      </c>
      <c r="AE74" s="51">
        <f t="shared" si="26"/>
        <v>1033544.8888888889</v>
      </c>
      <c r="AF74" s="51">
        <f t="shared" si="25"/>
        <v>1</v>
      </c>
      <c r="AG74" s="55">
        <f t="shared" si="26"/>
        <v>0.88888888888888884</v>
      </c>
      <c r="AH74" s="29">
        <f>SUM($AF$2:AF74)</f>
        <v>55</v>
      </c>
      <c r="AI74" s="55">
        <f>SUM($AG$2:AG74)</f>
        <v>54.777777777777729</v>
      </c>
    </row>
    <row r="75" spans="1:35" x14ac:dyDescent="0.2">
      <c r="A75" s="48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3"/>
      <c r="O75" s="29">
        <f t="shared" si="17"/>
        <v>253.5</v>
      </c>
      <c r="P75" s="31" cm="1">
        <f t="array" ref="P75">WPNFACTOR(C75)</f>
        <v>2.5</v>
      </c>
      <c r="Q75" s="33" cm="1">
        <f t="array" ref="Q75">HPFACTOr(C75)</f>
        <v>4</v>
      </c>
      <c r="R75" s="32">
        <f t="shared" si="18"/>
        <v>101.4</v>
      </c>
      <c r="S75" s="33">
        <f t="shared" si="19"/>
        <v>432480</v>
      </c>
      <c r="T75" s="32">
        <f t="shared" si="20"/>
        <v>101.4</v>
      </c>
      <c r="U75" s="39">
        <f t="shared" si="21"/>
        <v>432480</v>
      </c>
      <c r="V75" s="41">
        <f>VLOOKUP(D75,LevelXp!$A$1:'LevelXp'!$B$1000,2,)/5</f>
        <v>4082943</v>
      </c>
      <c r="W75" s="29">
        <f t="shared" si="22"/>
        <v>43853472</v>
      </c>
      <c r="X75" s="32">
        <f t="shared" si="23"/>
        <v>33.759872414642039</v>
      </c>
      <c r="Y75" s="41">
        <v>98</v>
      </c>
      <c r="Z75" s="41">
        <v>4082943</v>
      </c>
      <c r="AA75" s="41">
        <v>1</v>
      </c>
      <c r="AC75" s="50">
        <v>74</v>
      </c>
      <c r="AD75" s="51">
        <f t="shared" si="24"/>
        <v>1506706</v>
      </c>
      <c r="AE75" s="51">
        <f t="shared" si="26"/>
        <v>1033544.8888888889</v>
      </c>
      <c r="AF75" s="51">
        <f t="shared" si="25"/>
        <v>1</v>
      </c>
      <c r="AG75" s="55">
        <f t="shared" si="26"/>
        <v>0.88888888888888884</v>
      </c>
      <c r="AH75" s="29">
        <f>SUM($AF$2:AF75)</f>
        <v>56</v>
      </c>
      <c r="AI75" s="55">
        <f>SUM($AG$2:AG75)</f>
        <v>55.666666666666615</v>
      </c>
    </row>
    <row r="76" spans="1:35" x14ac:dyDescent="0.2">
      <c r="A76" s="48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3"/>
      <c r="O76" s="29">
        <f t="shared" si="17"/>
        <v>261</v>
      </c>
      <c r="P76" s="31" cm="1">
        <f t="array" ref="P76">WPNFACTOR(C76)</f>
        <v>2.5</v>
      </c>
      <c r="Q76" s="33" cm="1">
        <f t="array" ref="Q76">HPFACTOr(C76)</f>
        <v>4</v>
      </c>
      <c r="R76" s="32">
        <f t="shared" si="18"/>
        <v>104.4</v>
      </c>
      <c r="S76" s="33">
        <f t="shared" si="19"/>
        <v>468600</v>
      </c>
      <c r="T76" s="32">
        <f t="shared" si="20"/>
        <v>104.4</v>
      </c>
      <c r="U76" s="39">
        <f t="shared" si="21"/>
        <v>468600</v>
      </c>
      <c r="V76" s="41">
        <f>VLOOKUP(D76,LevelXp!$A$1:'LevelXp'!$B$1000,2,)/5</f>
        <v>4785109</v>
      </c>
      <c r="W76" s="29">
        <f t="shared" si="22"/>
        <v>48921840</v>
      </c>
      <c r="X76" s="32">
        <f t="shared" si="23"/>
        <v>34.506471843142357</v>
      </c>
      <c r="Y76" s="41">
        <v>99</v>
      </c>
      <c r="Z76" s="41">
        <v>4785109</v>
      </c>
      <c r="AA76" s="41">
        <v>1</v>
      </c>
      <c r="AC76" s="50">
        <v>75</v>
      </c>
      <c r="AD76" s="51">
        <f t="shared" si="24"/>
        <v>1710914</v>
      </c>
      <c r="AE76" s="51">
        <f t="shared" si="26"/>
        <v>1220588.6666666667</v>
      </c>
      <c r="AF76" s="51">
        <f t="shared" si="25"/>
        <v>1</v>
      </c>
      <c r="AG76" s="55">
        <f t="shared" si="26"/>
        <v>0.77777777777777779</v>
      </c>
      <c r="AH76" s="29">
        <f>SUM($AF$2:AF76)</f>
        <v>57</v>
      </c>
      <c r="AI76" s="55">
        <f>SUM($AG$2:AG76)</f>
        <v>56.444444444444393</v>
      </c>
    </row>
    <row r="77" spans="1:35" x14ac:dyDescent="0.2">
      <c r="A77" s="48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3"/>
      <c r="O77" s="29">
        <f t="shared" si="17"/>
        <v>480</v>
      </c>
      <c r="P77" s="31" cm="1">
        <f t="array" ref="P77">WPNFACTOR(C77)</f>
        <v>4.5</v>
      </c>
      <c r="Q77" s="33" cm="1">
        <f t="array" ref="Q77">HPFACTOr(C77)</f>
        <v>2</v>
      </c>
      <c r="R77" s="32">
        <f t="shared" si="18"/>
        <v>106.66666666666667</v>
      </c>
      <c r="S77" s="33">
        <f t="shared" si="19"/>
        <v>479960</v>
      </c>
      <c r="T77" s="32">
        <f t="shared" si="20"/>
        <v>106.66666666666667</v>
      </c>
      <c r="U77" s="39">
        <f t="shared" si="21"/>
        <v>479960</v>
      </c>
      <c r="V77" s="41">
        <f>VLOOKUP(D77,LevelXp!$A$1:'LevelXp'!$B$1000,2,)/5</f>
        <v>5306545</v>
      </c>
      <c r="W77" s="29">
        <f t="shared" si="22"/>
        <v>51195733.333333336</v>
      </c>
      <c r="X77" s="32">
        <f t="shared" si="23"/>
        <v>34.821442145456253</v>
      </c>
      <c r="Y77" s="41">
        <v>101</v>
      </c>
      <c r="Z77" s="41">
        <v>5306545</v>
      </c>
      <c r="AA77" s="41">
        <v>1</v>
      </c>
      <c r="AC77" s="50">
        <v>76</v>
      </c>
      <c r="AD77" s="51">
        <f t="shared" si="24"/>
        <v>2187846</v>
      </c>
      <c r="AE77" s="51">
        <f t="shared" si="26"/>
        <v>1376997.7777777778</v>
      </c>
      <c r="AF77" s="51">
        <f t="shared" si="25"/>
        <v>1</v>
      </c>
      <c r="AG77" s="55">
        <f t="shared" si="26"/>
        <v>0.88888888888888884</v>
      </c>
      <c r="AH77" s="29">
        <f>SUM($AF$2:AF77)</f>
        <v>58</v>
      </c>
      <c r="AI77" s="55">
        <f>SUM($AG$2:AG77)</f>
        <v>57.333333333333279</v>
      </c>
    </row>
    <row r="78" spans="1:35" x14ac:dyDescent="0.2">
      <c r="A78" s="48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3"/>
      <c r="O78" s="29">
        <f t="shared" si="17"/>
        <v>216</v>
      </c>
      <c r="P78" s="31" cm="1">
        <f t="array" ref="P78">WPNFACTOR(C78)</f>
        <v>2</v>
      </c>
      <c r="Q78" s="33" cm="1">
        <f t="array" ref="Q78">HPFACTOr(C78)</f>
        <v>5</v>
      </c>
      <c r="R78" s="32">
        <f t="shared" si="18"/>
        <v>108</v>
      </c>
      <c r="S78" s="33">
        <f t="shared" si="19"/>
        <v>519000</v>
      </c>
      <c r="T78" s="32">
        <f t="shared" si="20"/>
        <v>108</v>
      </c>
      <c r="U78" s="39">
        <f t="shared" si="21"/>
        <v>519000</v>
      </c>
      <c r="V78" s="41">
        <f>VLOOKUP(D78,LevelXp!$A$1:'LevelXp'!$B$1000,2,)/5</f>
        <v>5873522</v>
      </c>
      <c r="W78" s="29">
        <f t="shared" si="22"/>
        <v>56052000</v>
      </c>
      <c r="X78" s="32">
        <f t="shared" si="23"/>
        <v>35.458325519346545</v>
      </c>
      <c r="Y78" s="41">
        <v>102</v>
      </c>
      <c r="Z78" s="41">
        <v>5873522</v>
      </c>
      <c r="AA78" s="41">
        <v>1</v>
      </c>
      <c r="AC78" s="50">
        <v>77</v>
      </c>
      <c r="AD78" s="51">
        <f t="shared" si="24"/>
        <v>0</v>
      </c>
      <c r="AE78" s="51">
        <f t="shared" si="26"/>
        <v>1286347.4444444445</v>
      </c>
      <c r="AF78" s="51">
        <f t="shared" si="25"/>
        <v>0</v>
      </c>
      <c r="AG78" s="55">
        <f t="shared" si="26"/>
        <v>0.77777777777777779</v>
      </c>
      <c r="AH78" s="29">
        <f>SUM($AF$2:AF78)</f>
        <v>58</v>
      </c>
      <c r="AI78" s="55">
        <f>SUM($AG$2:AG78)</f>
        <v>58.111111111111057</v>
      </c>
    </row>
    <row r="79" spans="1:35" x14ac:dyDescent="0.2">
      <c r="A79" s="48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3"/>
      <c r="O79" s="29">
        <f t="shared" si="17"/>
        <v>281</v>
      </c>
      <c r="P79" s="31" cm="1">
        <f t="array" ref="P79">WPNFACTOR(C79)</f>
        <v>2.5</v>
      </c>
      <c r="Q79" s="33" cm="1">
        <f t="array" ref="Q79">HPFACTOr(C79)</f>
        <v>4</v>
      </c>
      <c r="R79" s="32">
        <f t="shared" si="18"/>
        <v>112.4</v>
      </c>
      <c r="S79" s="33">
        <f t="shared" si="19"/>
        <v>571960</v>
      </c>
      <c r="T79" s="32">
        <f t="shared" si="20"/>
        <v>112.4</v>
      </c>
      <c r="U79" s="39">
        <f t="shared" si="21"/>
        <v>571960</v>
      </c>
      <c r="V79" s="41">
        <f>VLOOKUP(D79,LevelXp!$A$1:'LevelXp'!$B$1000,2,)/5</f>
        <v>7157815</v>
      </c>
      <c r="W79" s="29">
        <f t="shared" si="22"/>
        <v>64288304</v>
      </c>
      <c r="X79" s="32">
        <f t="shared" si="23"/>
        <v>36.444029855289187</v>
      </c>
      <c r="Y79" s="41">
        <v>104</v>
      </c>
      <c r="Z79" s="41">
        <v>7157815</v>
      </c>
      <c r="AA79" s="41">
        <v>1</v>
      </c>
      <c r="AC79" s="50">
        <v>78</v>
      </c>
      <c r="AD79" s="51">
        <f t="shared" si="24"/>
        <v>0</v>
      </c>
      <c r="AE79" s="51">
        <f t="shared" si="26"/>
        <v>1295784</v>
      </c>
      <c r="AF79" s="51">
        <f t="shared" si="25"/>
        <v>0</v>
      </c>
      <c r="AG79" s="55">
        <f t="shared" si="26"/>
        <v>0.77777777777777779</v>
      </c>
      <c r="AH79" s="29">
        <f>SUM($AF$2:AF79)</f>
        <v>58</v>
      </c>
      <c r="AI79" s="55">
        <f>SUM($AG$2:AG79)</f>
        <v>58.888888888888836</v>
      </c>
    </row>
    <row r="80" spans="1:35" x14ac:dyDescent="0.2">
      <c r="A80" s="48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3"/>
      <c r="O80" s="29">
        <f t="shared" si="17"/>
        <v>518.5</v>
      </c>
      <c r="P80" s="31" cm="1">
        <f t="array" ref="P80">WPNFACTOR(C80)</f>
        <v>4.5</v>
      </c>
      <c r="Q80" s="33" cm="1">
        <f t="array" ref="Q80">HPFACTOr(C80)</f>
        <v>2</v>
      </c>
      <c r="R80" s="32">
        <f t="shared" si="18"/>
        <v>115.22222222222223</v>
      </c>
      <c r="S80" s="33">
        <f t="shared" si="19"/>
        <v>591480</v>
      </c>
      <c r="T80" s="32">
        <f t="shared" si="20"/>
        <v>115.22222222222223</v>
      </c>
      <c r="U80" s="39">
        <f t="shared" si="21"/>
        <v>591480</v>
      </c>
      <c r="V80" s="41">
        <f>VLOOKUP(D80,LevelXp!$A$1:'LevelXp'!$B$1000,2,)/5</f>
        <v>8070081</v>
      </c>
      <c r="W80" s="29">
        <f t="shared" si="22"/>
        <v>68151640</v>
      </c>
      <c r="X80" s="32">
        <f t="shared" si="23"/>
        <v>36.871878346860228</v>
      </c>
      <c r="Y80" s="41">
        <v>106</v>
      </c>
      <c r="Z80" s="41">
        <v>8070081</v>
      </c>
      <c r="AA80" s="41">
        <v>1</v>
      </c>
      <c r="AC80" s="50">
        <v>79</v>
      </c>
      <c r="AD80" s="51">
        <f t="shared" si="24"/>
        <v>2767832</v>
      </c>
      <c r="AE80" s="51">
        <f t="shared" si="26"/>
        <v>1306845</v>
      </c>
      <c r="AF80" s="51">
        <f t="shared" si="25"/>
        <v>1</v>
      </c>
      <c r="AG80" s="55">
        <f t="shared" si="26"/>
        <v>0.77777777777777779</v>
      </c>
      <c r="AH80" s="29">
        <f>SUM($AF$2:AF80)</f>
        <v>59</v>
      </c>
      <c r="AI80" s="55">
        <f>SUM($AG$2:AG80)</f>
        <v>59.666666666666615</v>
      </c>
    </row>
    <row r="81" spans="1:35" x14ac:dyDescent="0.2">
      <c r="A81" s="48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3"/>
      <c r="O81" s="29">
        <f t="shared" si="17"/>
        <v>552</v>
      </c>
      <c r="P81" s="31" cm="1">
        <f t="array" ref="P81">WPNFACTOR(C81)</f>
        <v>4.5</v>
      </c>
      <c r="Q81" s="33" cm="1">
        <f t="array" ref="Q81">HPFACTOr(C81)</f>
        <v>2</v>
      </c>
      <c r="R81" s="32">
        <f t="shared" si="18"/>
        <v>122.66666666666667</v>
      </c>
      <c r="S81" s="33">
        <f t="shared" si="19"/>
        <v>699480</v>
      </c>
      <c r="T81" s="32">
        <f t="shared" si="20"/>
        <v>122.66666666666667</v>
      </c>
      <c r="U81" s="39">
        <f t="shared" si="21"/>
        <v>699480</v>
      </c>
      <c r="V81" s="41">
        <f>VLOOKUP(D81,LevelXp!$A$1:'LevelXp'!$B$1000,2,)/5</f>
        <v>11412835</v>
      </c>
      <c r="W81" s="29">
        <f t="shared" si="22"/>
        <v>85802880</v>
      </c>
      <c r="X81" s="32">
        <f t="shared" si="23"/>
        <v>38.610050802667502</v>
      </c>
      <c r="Y81" s="41">
        <v>108</v>
      </c>
      <c r="Z81" s="41">
        <v>11412835</v>
      </c>
      <c r="AA81" s="41">
        <v>1</v>
      </c>
      <c r="AC81" s="50">
        <v>80</v>
      </c>
      <c r="AD81" s="51">
        <f t="shared" si="24"/>
        <v>2166133</v>
      </c>
      <c r="AE81" s="51">
        <f t="shared" si="26"/>
        <v>1345562.2222222222</v>
      </c>
      <c r="AF81" s="51">
        <f t="shared" si="25"/>
        <v>2</v>
      </c>
      <c r="AG81" s="55">
        <f t="shared" si="26"/>
        <v>0.77777777777777779</v>
      </c>
      <c r="AH81" s="29">
        <f>SUM($AF$2:AF81)</f>
        <v>61</v>
      </c>
      <c r="AI81" s="55">
        <f>SUM($AG$2:AG81)</f>
        <v>60.444444444444393</v>
      </c>
    </row>
    <row r="82" spans="1:35" x14ac:dyDescent="0.2">
      <c r="A82" s="48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3"/>
      <c r="O82" s="29">
        <f t="shared" si="17"/>
        <v>196</v>
      </c>
      <c r="P82" s="31" cm="1">
        <f t="array" ref="P82">WPNFACTOR(C82)</f>
        <v>2</v>
      </c>
      <c r="Q82" s="33" cm="1">
        <f t="array" ref="Q82">HPFACTOr(C82)</f>
        <v>5</v>
      </c>
      <c r="R82" s="32">
        <f t="shared" si="18"/>
        <v>98</v>
      </c>
      <c r="S82" s="33">
        <f t="shared" si="19"/>
        <v>397800</v>
      </c>
      <c r="T82" s="32">
        <f t="shared" si="20"/>
        <v>98</v>
      </c>
      <c r="U82" s="39">
        <f t="shared" si="21"/>
        <v>397800</v>
      </c>
      <c r="V82" s="41">
        <f>VLOOKUP(D82,LevelXp!$A$1:'LevelXp'!$B$1000,2,)/5</f>
        <v>3467701</v>
      </c>
      <c r="W82" s="29">
        <f t="shared" si="22"/>
        <v>38984400</v>
      </c>
      <c r="X82" s="32">
        <f t="shared" si="23"/>
        <v>32.974496350658612</v>
      </c>
      <c r="Y82" s="41">
        <v>110</v>
      </c>
      <c r="Z82" s="41">
        <v>3467701</v>
      </c>
      <c r="AA82" s="41">
        <v>1</v>
      </c>
      <c r="AC82" s="50">
        <v>81</v>
      </c>
      <c r="AD82" s="51">
        <f t="shared" si="24"/>
        <v>0</v>
      </c>
      <c r="AE82" s="51">
        <f t="shared" si="26"/>
        <v>1102468.2222222222</v>
      </c>
      <c r="AF82" s="51">
        <f t="shared" si="25"/>
        <v>0</v>
      </c>
      <c r="AG82" s="55">
        <f t="shared" si="26"/>
        <v>0.66666666666666663</v>
      </c>
      <c r="AH82" s="29">
        <f>SUM($AF$2:AF82)</f>
        <v>61</v>
      </c>
      <c r="AI82" s="55">
        <f>SUM($AG$2:AG82)</f>
        <v>61.111111111111057</v>
      </c>
    </row>
    <row r="83" spans="1:35" x14ac:dyDescent="0.2">
      <c r="A83" s="48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3"/>
      <c r="O83" s="29">
        <f t="shared" si="17"/>
        <v>455</v>
      </c>
      <c r="P83" s="31" cm="1">
        <f t="array" ref="P83">WPNFACTOR(C83)</f>
        <v>4.5</v>
      </c>
      <c r="Q83" s="33" cm="1">
        <f t="array" ref="Q83">HPFACTOr(C83)</f>
        <v>2</v>
      </c>
      <c r="R83" s="32">
        <f t="shared" si="18"/>
        <v>101.11111111111111</v>
      </c>
      <c r="S83" s="33">
        <f t="shared" si="19"/>
        <v>408200</v>
      </c>
      <c r="T83" s="32">
        <f t="shared" si="20"/>
        <v>101.11111111111111</v>
      </c>
      <c r="U83" s="39">
        <f t="shared" si="21"/>
        <v>408200</v>
      </c>
      <c r="V83" s="41">
        <f>VLOOKUP(D83,LevelXp!$A$1:'LevelXp'!$B$1000,2,)/5</f>
        <v>3868959</v>
      </c>
      <c r="W83" s="29">
        <f t="shared" si="22"/>
        <v>41273555.55555556</v>
      </c>
      <c r="X83" s="32">
        <f t="shared" si="23"/>
        <v>33.352959541771604</v>
      </c>
      <c r="Y83" s="41">
        <v>111</v>
      </c>
      <c r="Z83" s="41">
        <v>3868959</v>
      </c>
      <c r="AA83" s="41">
        <v>1</v>
      </c>
      <c r="AC83" s="50">
        <v>82</v>
      </c>
      <c r="AD83" s="51">
        <f t="shared" si="24"/>
        <v>1322625</v>
      </c>
      <c r="AE83" s="51">
        <f t="shared" si="26"/>
        <v>1360529.5555555555</v>
      </c>
      <c r="AF83" s="51">
        <f t="shared" si="25"/>
        <v>1</v>
      </c>
      <c r="AG83" s="55">
        <f t="shared" si="26"/>
        <v>0.77777777777777779</v>
      </c>
      <c r="AH83" s="29">
        <f>SUM($AF$2:AF83)</f>
        <v>62</v>
      </c>
      <c r="AI83" s="55">
        <f>SUM($AG$2:AG83)</f>
        <v>61.888888888888836</v>
      </c>
    </row>
    <row r="84" spans="1:35" x14ac:dyDescent="0.2">
      <c r="A84" s="48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3"/>
      <c r="O84" s="29">
        <f t="shared" si="17"/>
        <v>256</v>
      </c>
      <c r="P84" s="31" cm="1">
        <f t="array" ref="P84">WPNFACTOR(C84)</f>
        <v>2.5</v>
      </c>
      <c r="Q84" s="33" cm="1">
        <f t="array" ref="Q84">HPFACTOr(C84)</f>
        <v>4</v>
      </c>
      <c r="R84" s="32">
        <f t="shared" si="18"/>
        <v>102.4</v>
      </c>
      <c r="S84" s="33">
        <f t="shared" si="19"/>
        <v>444360</v>
      </c>
      <c r="T84" s="32">
        <f t="shared" si="20"/>
        <v>102.4</v>
      </c>
      <c r="U84" s="39">
        <f t="shared" si="21"/>
        <v>444360</v>
      </c>
      <c r="V84" s="41">
        <f>VLOOKUP(D84,LevelXp!$A$1:'LevelXp'!$B$1000,2,)/5</f>
        <v>4307201</v>
      </c>
      <c r="W84" s="29">
        <f t="shared" si="22"/>
        <v>45502464</v>
      </c>
      <c r="X84" s="32">
        <f t="shared" si="23"/>
        <v>34.010027488291236</v>
      </c>
      <c r="Y84" s="41">
        <v>112</v>
      </c>
      <c r="Z84" s="41">
        <v>4307201</v>
      </c>
      <c r="AA84" s="41">
        <v>1</v>
      </c>
      <c r="AC84" s="50">
        <v>83</v>
      </c>
      <c r="AD84" s="51">
        <f t="shared" si="24"/>
        <v>1606255</v>
      </c>
      <c r="AE84" s="51">
        <f t="shared" si="26"/>
        <v>1650782.6666666667</v>
      </c>
      <c r="AF84" s="51">
        <f t="shared" si="25"/>
        <v>1</v>
      </c>
      <c r="AG84" s="55">
        <f t="shared" si="26"/>
        <v>0.88888888888888884</v>
      </c>
      <c r="AH84" s="29">
        <f>SUM($AF$2:AF84)</f>
        <v>63</v>
      </c>
      <c r="AI84" s="55">
        <f>SUM($AG$2:AG84)</f>
        <v>62.777777777777722</v>
      </c>
    </row>
    <row r="85" spans="1:35" x14ac:dyDescent="0.2">
      <c r="A85" s="48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3"/>
      <c r="O85" s="29">
        <f t="shared" si="17"/>
        <v>206</v>
      </c>
      <c r="P85" s="31" cm="1">
        <f t="array" ref="P85">WPNFACTOR(C85)</f>
        <v>2</v>
      </c>
      <c r="Q85" s="33" cm="1">
        <f t="array" ref="Q85">HPFACTOr(C85)</f>
        <v>5</v>
      </c>
      <c r="R85" s="32">
        <f t="shared" si="18"/>
        <v>103</v>
      </c>
      <c r="S85" s="33">
        <f t="shared" si="19"/>
        <v>456400</v>
      </c>
      <c r="T85" s="32">
        <f t="shared" si="20"/>
        <v>103</v>
      </c>
      <c r="U85" s="39">
        <f t="shared" si="21"/>
        <v>456400</v>
      </c>
      <c r="V85" s="41">
        <f>VLOOKUP(D85,LevelXp!$A$1:'LevelXp'!$B$1000,2,)/5</f>
        <v>4541147</v>
      </c>
      <c r="W85" s="29">
        <f t="shared" si="22"/>
        <v>47009200</v>
      </c>
      <c r="X85" s="32">
        <f t="shared" si="23"/>
        <v>34.232338827459941</v>
      </c>
      <c r="Y85" s="41">
        <v>112</v>
      </c>
      <c r="Z85" s="41">
        <v>4541147</v>
      </c>
      <c r="AA85" s="41">
        <v>1</v>
      </c>
      <c r="AC85" s="50">
        <v>84</v>
      </c>
      <c r="AD85" s="51">
        <f t="shared" si="24"/>
        <v>2059369</v>
      </c>
      <c r="AE85" s="51">
        <f t="shared" si="26"/>
        <v>1707767.6666666667</v>
      </c>
      <c r="AF85" s="51">
        <f t="shared" si="25"/>
        <v>1</v>
      </c>
      <c r="AG85" s="55">
        <f t="shared" si="26"/>
        <v>0.88888888888888884</v>
      </c>
      <c r="AH85" s="29">
        <f>SUM($AF$2:AF85)</f>
        <v>64</v>
      </c>
      <c r="AI85" s="55">
        <f>SUM($AG$2:AG85)</f>
        <v>63.666666666666607</v>
      </c>
    </row>
    <row r="86" spans="1:35" x14ac:dyDescent="0.2">
      <c r="A86" s="48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3"/>
      <c r="O86" s="29">
        <f t="shared" si="17"/>
        <v>476.5</v>
      </c>
      <c r="P86" s="31" cm="1">
        <f t="array" ref="P86">WPNFACTOR(C86)</f>
        <v>4.5</v>
      </c>
      <c r="Q86" s="33" cm="1">
        <f t="array" ref="Q86">HPFACTOr(C86)</f>
        <v>2</v>
      </c>
      <c r="R86" s="32">
        <f t="shared" si="18"/>
        <v>105.88888888888889</v>
      </c>
      <c r="S86" s="33">
        <f t="shared" si="19"/>
        <v>467600</v>
      </c>
      <c r="T86" s="32">
        <f t="shared" si="20"/>
        <v>105.88888888888889</v>
      </c>
      <c r="U86" s="39">
        <f t="shared" si="21"/>
        <v>467600</v>
      </c>
      <c r="V86" s="41">
        <f>VLOOKUP(D86,LevelXp!$A$1:'LevelXp'!$B$1000,2,)/5</f>
        <v>5040468</v>
      </c>
      <c r="W86" s="29">
        <f t="shared" si="22"/>
        <v>49513644.44444444</v>
      </c>
      <c r="X86" s="32">
        <f t="shared" si="23"/>
        <v>34.589555314874431</v>
      </c>
      <c r="Y86" s="41">
        <v>113</v>
      </c>
      <c r="Z86" s="41">
        <v>5040468</v>
      </c>
      <c r="AA86" s="41">
        <v>1</v>
      </c>
      <c r="AC86" s="50">
        <v>85</v>
      </c>
      <c r="AD86" s="51">
        <f t="shared" si="24"/>
        <v>0</v>
      </c>
      <c r="AE86" s="51">
        <f t="shared" si="26"/>
        <v>1467086.2222222222</v>
      </c>
      <c r="AF86" s="51">
        <f t="shared" si="25"/>
        <v>0</v>
      </c>
      <c r="AG86" s="55">
        <f t="shared" si="26"/>
        <v>0.66666666666666663</v>
      </c>
      <c r="AH86" s="29">
        <f>SUM($AF$2:AF86)</f>
        <v>64</v>
      </c>
      <c r="AI86" s="55">
        <f>SUM($AG$2:AG86)</f>
        <v>64.333333333333272</v>
      </c>
    </row>
    <row r="87" spans="1:35" x14ac:dyDescent="0.2">
      <c r="A87" s="48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3"/>
      <c r="O87" s="29">
        <f t="shared" si="17"/>
        <v>218</v>
      </c>
      <c r="P87" s="31" cm="1">
        <f t="array" ref="P87">WPNFACTOR(C87)</f>
        <v>2</v>
      </c>
      <c r="Q87" s="33" cm="1">
        <f t="array" ref="Q87">HPFACTOr(C87)</f>
        <v>5</v>
      </c>
      <c r="R87" s="32">
        <f t="shared" si="18"/>
        <v>109</v>
      </c>
      <c r="S87" s="33">
        <f t="shared" si="19"/>
        <v>532000</v>
      </c>
      <c r="T87" s="32">
        <f t="shared" si="20"/>
        <v>109</v>
      </c>
      <c r="U87" s="39">
        <f t="shared" si="21"/>
        <v>532000</v>
      </c>
      <c r="V87" s="41">
        <f>VLOOKUP(D87,LevelXp!$A$1:'LevelXp'!$B$1000,2,)/5</f>
        <v>6175189</v>
      </c>
      <c r="W87" s="29">
        <f t="shared" si="22"/>
        <v>57988000</v>
      </c>
      <c r="X87" s="32">
        <f t="shared" si="23"/>
        <v>35.699951495335178</v>
      </c>
      <c r="Y87" s="41">
        <v>114</v>
      </c>
      <c r="Z87" s="41">
        <v>6175189</v>
      </c>
      <c r="AA87" s="41">
        <v>1</v>
      </c>
      <c r="AC87" s="50">
        <v>86</v>
      </c>
      <c r="AD87" s="51">
        <f t="shared" si="24"/>
        <v>2322552</v>
      </c>
      <c r="AE87" s="51">
        <f t="shared" si="26"/>
        <v>1792713.5555555555</v>
      </c>
      <c r="AF87" s="51">
        <f t="shared" si="25"/>
        <v>1</v>
      </c>
      <c r="AG87" s="55">
        <f t="shared" si="26"/>
        <v>0.77777777777777779</v>
      </c>
      <c r="AH87" s="29">
        <f>SUM($AF$2:AF87)</f>
        <v>65</v>
      </c>
      <c r="AI87" s="55">
        <f>SUM($AG$2:AG87)</f>
        <v>65.111111111111043</v>
      </c>
    </row>
    <row r="88" spans="1:35" x14ac:dyDescent="0.2">
      <c r="A88" s="48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3"/>
      <c r="O88" s="29">
        <f t="shared" si="17"/>
        <v>276</v>
      </c>
      <c r="P88" s="31" cm="1">
        <f t="array" ref="P88">WPNFACTOR(C88)</f>
        <v>2.5</v>
      </c>
      <c r="Q88" s="33" cm="1">
        <f t="array" ref="Q88">HPFACTOr(C88)</f>
        <v>4</v>
      </c>
      <c r="R88" s="32">
        <f t="shared" si="18"/>
        <v>110.4</v>
      </c>
      <c r="S88" s="33">
        <f t="shared" si="19"/>
        <v>545160</v>
      </c>
      <c r="T88" s="32">
        <f t="shared" si="20"/>
        <v>110.4</v>
      </c>
      <c r="U88" s="39">
        <f t="shared" si="21"/>
        <v>545160</v>
      </c>
      <c r="V88" s="41">
        <f>VLOOKUP(D88,LevelXp!$A$1:'LevelXp'!$B$1000,2,)/5</f>
        <v>6489101</v>
      </c>
      <c r="W88" s="29">
        <f t="shared" si="22"/>
        <v>60185664</v>
      </c>
      <c r="X88" s="32">
        <f t="shared" si="23"/>
        <v>35.966535923787681</v>
      </c>
      <c r="Y88" s="41">
        <v>115</v>
      </c>
      <c r="Z88" s="41">
        <v>6489101</v>
      </c>
      <c r="AA88" s="41">
        <v>1</v>
      </c>
      <c r="AC88" s="50">
        <v>87</v>
      </c>
      <c r="AD88" s="51">
        <f t="shared" si="24"/>
        <v>2612278</v>
      </c>
      <c r="AE88" s="51">
        <f t="shared" si="26"/>
        <v>1990396.7777777778</v>
      </c>
      <c r="AF88" s="51">
        <f t="shared" si="25"/>
        <v>1</v>
      </c>
      <c r="AG88" s="55">
        <f t="shared" si="26"/>
        <v>0.77777777777777779</v>
      </c>
      <c r="AH88" s="29">
        <f>SUM($AF$2:AF88)</f>
        <v>66</v>
      </c>
      <c r="AI88" s="55">
        <f>SUM($AG$2:AG88)</f>
        <v>65.888888888888815</v>
      </c>
    </row>
    <row r="89" spans="1:35" x14ac:dyDescent="0.2">
      <c r="A89" s="48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3"/>
      <c r="O89" s="29">
        <f t="shared" si="17"/>
        <v>278.5</v>
      </c>
      <c r="P89" s="31" cm="1">
        <f t="array" ref="P89">WPNFACTOR(C89)</f>
        <v>2.5</v>
      </c>
      <c r="Q89" s="33" cm="1">
        <f t="array" ref="Q89">HPFACTOr(C89)</f>
        <v>4</v>
      </c>
      <c r="R89" s="32">
        <f t="shared" si="18"/>
        <v>111.4</v>
      </c>
      <c r="S89" s="33">
        <f t="shared" si="19"/>
        <v>558480</v>
      </c>
      <c r="T89" s="32">
        <f t="shared" si="20"/>
        <v>111.4</v>
      </c>
      <c r="U89" s="39">
        <f t="shared" si="21"/>
        <v>558480</v>
      </c>
      <c r="V89" s="41">
        <f>VLOOKUP(D89,LevelXp!$A$1:'LevelXp'!$B$1000,2,)/5</f>
        <v>6816906</v>
      </c>
      <c r="W89" s="29">
        <f t="shared" si="22"/>
        <v>62214672</v>
      </c>
      <c r="X89" s="32">
        <f t="shared" si="23"/>
        <v>36.205834606798447</v>
      </c>
      <c r="Y89" s="41">
        <v>116</v>
      </c>
      <c r="Z89" s="41">
        <v>6816906</v>
      </c>
      <c r="AA89" s="41">
        <v>1</v>
      </c>
      <c r="AC89" s="50">
        <v>88</v>
      </c>
      <c r="AD89" s="51">
        <f t="shared" si="24"/>
        <v>3280697</v>
      </c>
      <c r="AE89" s="51">
        <f t="shared" si="26"/>
        <v>2432336</v>
      </c>
      <c r="AF89" s="51">
        <f t="shared" si="25"/>
        <v>1</v>
      </c>
      <c r="AG89" s="55">
        <f t="shared" si="26"/>
        <v>0.77777777777777779</v>
      </c>
      <c r="AH89" s="29">
        <f>SUM($AF$2:AF89)</f>
        <v>67</v>
      </c>
      <c r="AI89" s="55">
        <f>SUM($AG$2:AG89)</f>
        <v>66.666666666666586</v>
      </c>
    </row>
    <row r="90" spans="1:35" x14ac:dyDescent="0.2">
      <c r="A90" s="48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3"/>
      <c r="O90" s="29">
        <f t="shared" si="17"/>
        <v>530</v>
      </c>
      <c r="P90" s="31" cm="1">
        <f t="array" ref="P90">WPNFACTOR(C90)</f>
        <v>4.5</v>
      </c>
      <c r="Q90" s="33" cm="1">
        <f t="array" ref="Q90">HPFACTOr(C90)</f>
        <v>2</v>
      </c>
      <c r="R90" s="32">
        <f t="shared" si="18"/>
        <v>117.77777777777777</v>
      </c>
      <c r="S90" s="33">
        <f t="shared" si="19"/>
        <v>626480</v>
      </c>
      <c r="T90" s="32">
        <f t="shared" si="20"/>
        <v>117.77777777777777</v>
      </c>
      <c r="U90" s="39">
        <f t="shared" si="21"/>
        <v>626480</v>
      </c>
      <c r="V90" s="41">
        <f>VLOOKUP(D90,LevelXp!$A$1:'LevelXp'!$B$1000,2,)/5</f>
        <v>9081081</v>
      </c>
      <c r="W90" s="29">
        <f t="shared" si="22"/>
        <v>73785422.222222224</v>
      </c>
      <c r="X90" s="32">
        <f t="shared" si="23"/>
        <v>37.462272048729723</v>
      </c>
      <c r="Y90" s="41">
        <v>118</v>
      </c>
      <c r="Z90" s="41">
        <v>9081081</v>
      </c>
      <c r="AA90" s="41">
        <v>1</v>
      </c>
      <c r="AC90" s="50">
        <v>89</v>
      </c>
      <c r="AD90" s="51">
        <f t="shared" si="24"/>
        <v>0</v>
      </c>
      <c r="AE90" s="51">
        <f t="shared" si="26"/>
        <v>2203517.222222222</v>
      </c>
      <c r="AF90" s="51">
        <f t="shared" si="25"/>
        <v>0</v>
      </c>
      <c r="AG90" s="55">
        <f t="shared" si="26"/>
        <v>0.66666666666666663</v>
      </c>
      <c r="AH90" s="29">
        <f>SUM($AF$2:AF90)</f>
        <v>67</v>
      </c>
      <c r="AI90" s="55">
        <f>SUM($AG$2:AG90)</f>
        <v>67.333333333333258</v>
      </c>
    </row>
    <row r="91" spans="1:35" x14ac:dyDescent="0.2">
      <c r="A91" s="48" t="s">
        <v>8849</v>
      </c>
      <c r="B91" s="29">
        <v>1</v>
      </c>
      <c r="C91" s="29">
        <v>3</v>
      </c>
      <c r="D91" s="29">
        <v>205</v>
      </c>
      <c r="E91" s="29">
        <v>995</v>
      </c>
      <c r="F91" s="29">
        <v>3940</v>
      </c>
      <c r="G91" s="29">
        <v>985</v>
      </c>
      <c r="H91" s="29">
        <v>3660</v>
      </c>
      <c r="I91" s="29">
        <v>1450</v>
      </c>
      <c r="J91" s="29">
        <v>3015840</v>
      </c>
      <c r="K91" s="29">
        <v>241</v>
      </c>
      <c r="L91" s="29">
        <v>386</v>
      </c>
      <c r="N91" s="33"/>
      <c r="O91" s="29">
        <f t="shared" si="17"/>
        <v>313.5</v>
      </c>
      <c r="P91" s="31" cm="1">
        <f t="array" ref="P91">WPNFACTOR(C91)</f>
        <v>2.5</v>
      </c>
      <c r="Q91" s="33" cm="1">
        <f t="array" ref="Q91">HPFACTOr(C91)</f>
        <v>4</v>
      </c>
      <c r="R91" s="32">
        <f t="shared" si="18"/>
        <v>125.4</v>
      </c>
      <c r="S91" s="33">
        <f t="shared" si="19"/>
        <v>753960</v>
      </c>
      <c r="T91" s="32">
        <f t="shared" si="20"/>
        <v>125.4</v>
      </c>
      <c r="U91" s="39">
        <f t="shared" si="21"/>
        <v>753960</v>
      </c>
      <c r="V91" s="41">
        <f>VLOOKUP(D91,LevelXp!$A$1:'LevelXp'!$B$1000,2,)/5</f>
        <v>12751538</v>
      </c>
      <c r="W91" s="29">
        <f t="shared" si="22"/>
        <v>94546584</v>
      </c>
      <c r="X91" s="32">
        <f t="shared" si="23"/>
        <v>39.36671430593475</v>
      </c>
      <c r="Y91" s="41">
        <v>119</v>
      </c>
      <c r="Z91" s="41">
        <v>12751538</v>
      </c>
      <c r="AA91" s="41">
        <v>1</v>
      </c>
      <c r="AC91" s="50">
        <v>90</v>
      </c>
      <c r="AD91" s="51">
        <f t="shared" si="24"/>
        <v>2930646</v>
      </c>
      <c r="AE91" s="51">
        <f t="shared" si="26"/>
        <v>2203517.222222222</v>
      </c>
      <c r="AF91" s="51">
        <f t="shared" si="25"/>
        <v>1</v>
      </c>
      <c r="AG91" s="55">
        <f t="shared" si="26"/>
        <v>0.66666666666666663</v>
      </c>
      <c r="AH91" s="29">
        <f>SUM($AF$2:AF91)</f>
        <v>68</v>
      </c>
      <c r="AI91" s="55">
        <f>SUM($AG$2:AG91)</f>
        <v>67.999999999999929</v>
      </c>
    </row>
    <row r="92" spans="1:35" x14ac:dyDescent="0.2">
      <c r="A92" s="48" t="s">
        <v>8848</v>
      </c>
      <c r="B92" s="29">
        <v>10</v>
      </c>
      <c r="C92" s="29">
        <v>2</v>
      </c>
      <c r="D92" s="29">
        <v>119</v>
      </c>
      <c r="E92" s="29">
        <v>900</v>
      </c>
      <c r="F92" s="29">
        <v>920</v>
      </c>
      <c r="G92" s="29">
        <v>3720</v>
      </c>
      <c r="H92" s="29">
        <v>3280</v>
      </c>
      <c r="I92" s="29">
        <v>1340</v>
      </c>
      <c r="J92" s="29">
        <v>1252960</v>
      </c>
      <c r="K92" s="29">
        <v>439</v>
      </c>
      <c r="L92" s="29">
        <v>621</v>
      </c>
      <c r="N92" s="33"/>
      <c r="O92" s="29">
        <f t="shared" si="17"/>
        <v>530</v>
      </c>
      <c r="P92" s="31" cm="1">
        <f t="array" ref="P92">WPNFACTOR(C92)</f>
        <v>4.5</v>
      </c>
      <c r="Q92" s="33" cm="1">
        <f t="array" ref="Q92">HPFACTOr(C92)</f>
        <v>2</v>
      </c>
      <c r="R92" s="32">
        <f t="shared" si="18"/>
        <v>117.77777777777777</v>
      </c>
      <c r="S92" s="33">
        <f t="shared" si="19"/>
        <v>626480</v>
      </c>
      <c r="T92" s="32">
        <f t="shared" si="20"/>
        <v>117.77777777777777</v>
      </c>
      <c r="U92" s="39">
        <f t="shared" si="21"/>
        <v>626480</v>
      </c>
      <c r="V92" s="41">
        <f>VLOOKUP(D92,LevelXp!$A$1:'LevelXp'!$B$1000,2,)/5</f>
        <v>1278894</v>
      </c>
      <c r="W92" s="29">
        <f t="shared" si="22"/>
        <v>73785422.222222224</v>
      </c>
      <c r="X92" s="32">
        <f t="shared" si="23"/>
        <v>37.462272048729723</v>
      </c>
      <c r="Y92" s="41">
        <v>119</v>
      </c>
      <c r="Z92" s="41">
        <v>1278894</v>
      </c>
      <c r="AA92" s="41">
        <v>0</v>
      </c>
      <c r="AC92" s="50">
        <v>91</v>
      </c>
      <c r="AD92" s="51">
        <f t="shared" si="24"/>
        <v>3101774</v>
      </c>
      <c r="AE92" s="51">
        <f t="shared" si="26"/>
        <v>2160738.222222222</v>
      </c>
      <c r="AF92" s="51">
        <f t="shared" si="25"/>
        <v>1</v>
      </c>
      <c r="AG92" s="55">
        <f t="shared" si="26"/>
        <v>0.66666666666666663</v>
      </c>
      <c r="AH92" s="29">
        <f>SUM($AF$2:AF92)</f>
        <v>69</v>
      </c>
      <c r="AI92" s="55">
        <f>SUM($AG$2:AG92)</f>
        <v>68.6666666666666</v>
      </c>
    </row>
    <row r="93" spans="1:35" x14ac:dyDescent="0.2">
      <c r="A93" s="48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3"/>
      <c r="O93" s="29">
        <f t="shared" si="17"/>
        <v>254.5</v>
      </c>
      <c r="P93" s="31" cm="1">
        <f t="array" ref="P93">WPNFACTOR(C93)</f>
        <v>2</v>
      </c>
      <c r="Q93" s="33" cm="1">
        <f t="array" ref="Q93">HPFACTOr(C93)</f>
        <v>5</v>
      </c>
      <c r="R93" s="32">
        <f t="shared" si="18"/>
        <v>127.25</v>
      </c>
      <c r="S93" s="33">
        <f t="shared" si="19"/>
        <v>793360</v>
      </c>
      <c r="T93" s="32">
        <f t="shared" si="20"/>
        <v>127.25</v>
      </c>
      <c r="U93" s="39">
        <f t="shared" si="21"/>
        <v>793360</v>
      </c>
      <c r="V93" s="41">
        <f>VLOOKUP(D93,LevelXp!$A$1:'LevelXp'!$B$1000,2,)/5</f>
        <v>14222021</v>
      </c>
      <c r="W93" s="29">
        <f t="shared" si="22"/>
        <v>100955060</v>
      </c>
      <c r="X93" s="32">
        <f t="shared" si="23"/>
        <v>39.886471452398482</v>
      </c>
      <c r="Y93" s="41">
        <v>121</v>
      </c>
      <c r="Z93" s="41">
        <v>14222021</v>
      </c>
      <c r="AA93" s="41">
        <v>1</v>
      </c>
      <c r="AC93" s="50">
        <v>92</v>
      </c>
      <c r="AD93" s="51">
        <f t="shared" si="24"/>
        <v>5583708</v>
      </c>
      <c r="AE93" s="51">
        <f t="shared" si="26"/>
        <v>2144231.4444444445</v>
      </c>
      <c r="AF93" s="51">
        <f t="shared" si="25"/>
        <v>1</v>
      </c>
      <c r="AG93" s="55">
        <f t="shared" si="26"/>
        <v>0.66666666666666663</v>
      </c>
      <c r="AH93" s="29">
        <f>SUM($AF$2:AF93)</f>
        <v>70</v>
      </c>
      <c r="AI93" s="55">
        <f>SUM($AG$2:AG93)</f>
        <v>69.333333333333272</v>
      </c>
    </row>
    <row r="94" spans="1:35" x14ac:dyDescent="0.2">
      <c r="A94" s="48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3"/>
      <c r="O94" s="29">
        <f t="shared" si="17"/>
        <v>259</v>
      </c>
      <c r="P94" s="31" cm="1">
        <f t="array" ref="P94">WPNFACTOR(C94)</f>
        <v>2</v>
      </c>
      <c r="Q94" s="33" cm="1">
        <f t="array" ref="Q94">HPFACTOr(C94)</f>
        <v>5</v>
      </c>
      <c r="R94" s="32">
        <f t="shared" si="18"/>
        <v>129.5</v>
      </c>
      <c r="S94" s="33">
        <f t="shared" si="19"/>
        <v>833760</v>
      </c>
      <c r="T94" s="32">
        <f t="shared" si="20"/>
        <v>129.5</v>
      </c>
      <c r="U94" s="39">
        <f t="shared" si="21"/>
        <v>833760</v>
      </c>
      <c r="V94" s="41">
        <f>VLOOKUP(D94,LevelXp!$A$1:'LevelXp'!$B$1000,2,)/5</f>
        <v>15824529</v>
      </c>
      <c r="W94" s="29">
        <f t="shared" si="22"/>
        <v>107971920</v>
      </c>
      <c r="X94" s="32">
        <f t="shared" si="23"/>
        <v>40.426129684055759</v>
      </c>
      <c r="Y94" s="41">
        <v>123</v>
      </c>
      <c r="Z94" s="41">
        <v>15824529</v>
      </c>
      <c r="AA94" s="41">
        <v>1</v>
      </c>
      <c r="AC94" s="50">
        <v>93</v>
      </c>
      <c r="AD94" s="51">
        <f t="shared" si="24"/>
        <v>0</v>
      </c>
      <c r="AE94" s="51">
        <f t="shared" si="26"/>
        <v>2186818.3333333335</v>
      </c>
      <c r="AF94" s="51">
        <f t="shared" si="25"/>
        <v>0</v>
      </c>
      <c r="AG94" s="55">
        <f t="shared" si="26"/>
        <v>0.66666666666666663</v>
      </c>
      <c r="AH94" s="29">
        <f>SUM($AF$2:AF94)</f>
        <v>70</v>
      </c>
      <c r="AI94" s="55">
        <f>SUM($AG$2:AG94)</f>
        <v>69.999999999999943</v>
      </c>
    </row>
    <row r="95" spans="1:35" x14ac:dyDescent="0.2">
      <c r="A95" s="48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3"/>
      <c r="O95" s="29">
        <f t="shared" si="17"/>
        <v>264.5</v>
      </c>
      <c r="P95" s="31" cm="1">
        <f t="array" ref="P95">WPNFACTOR(C95)</f>
        <v>2</v>
      </c>
      <c r="Q95" s="33" cm="1">
        <f t="array" ref="Q95">HPFACTOr(C95)</f>
        <v>5</v>
      </c>
      <c r="R95" s="32">
        <f t="shared" si="18"/>
        <v>132.25</v>
      </c>
      <c r="S95" s="33">
        <f t="shared" si="19"/>
        <v>875160</v>
      </c>
      <c r="T95" s="32">
        <f t="shared" si="20"/>
        <v>132.25</v>
      </c>
      <c r="U95" s="39">
        <f t="shared" si="21"/>
        <v>875160</v>
      </c>
      <c r="V95" s="41">
        <f>VLOOKUP(D95,LevelXp!$A$1:'LevelXp'!$B$1000,2,)/5</f>
        <v>17581974</v>
      </c>
      <c r="W95" s="29">
        <f t="shared" si="22"/>
        <v>115739910</v>
      </c>
      <c r="X95" s="32">
        <f t="shared" si="23"/>
        <v>40.991765919402837</v>
      </c>
      <c r="Y95" s="41">
        <v>125</v>
      </c>
      <c r="Z95" s="41">
        <v>17581974</v>
      </c>
      <c r="AA95" s="41">
        <v>1</v>
      </c>
      <c r="AC95" s="50">
        <v>94</v>
      </c>
      <c r="AD95" s="51">
        <f t="shared" si="24"/>
        <v>0</v>
      </c>
      <c r="AE95" s="51">
        <f t="shared" si="26"/>
        <v>2640478.6666666665</v>
      </c>
      <c r="AF95" s="51">
        <f t="shared" si="25"/>
        <v>0</v>
      </c>
      <c r="AG95" s="55">
        <f t="shared" si="26"/>
        <v>0.77777777777777779</v>
      </c>
      <c r="AH95" s="29">
        <f>SUM($AF$2:AF95)</f>
        <v>70</v>
      </c>
      <c r="AI95" s="55">
        <f>SUM($AG$2:AG95)</f>
        <v>70.777777777777715</v>
      </c>
    </row>
    <row r="96" spans="1:35" x14ac:dyDescent="0.2">
      <c r="A96" s="48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3"/>
      <c r="O96" s="29">
        <f t="shared" si="17"/>
        <v>339.5</v>
      </c>
      <c r="P96" s="31" cm="1">
        <f t="array" ref="P96">WPNFACTOR(C96)</f>
        <v>2.5</v>
      </c>
      <c r="Q96" s="33" cm="1">
        <f t="array" ref="Q96">HPFACTOr(C96)</f>
        <v>4</v>
      </c>
      <c r="R96" s="32">
        <f t="shared" si="18"/>
        <v>135.80000000000001</v>
      </c>
      <c r="S96" s="33">
        <f t="shared" si="19"/>
        <v>917560</v>
      </c>
      <c r="T96" s="32">
        <f t="shared" si="20"/>
        <v>135.80000000000001</v>
      </c>
      <c r="U96" s="39">
        <f t="shared" si="21"/>
        <v>917560</v>
      </c>
      <c r="V96" s="41">
        <f>VLOOKUP(D96,LevelXp!$A$1:'LevelXp'!$B$1000,2,)/5</f>
        <v>19491852</v>
      </c>
      <c r="W96" s="29">
        <f t="shared" si="22"/>
        <v>124604648.00000001</v>
      </c>
      <c r="X96" s="32">
        <f t="shared" si="23"/>
        <v>41.601294867214676</v>
      </c>
      <c r="Y96" s="41">
        <v>127</v>
      </c>
      <c r="Z96" s="41">
        <v>19491852</v>
      </c>
      <c r="AA96" s="41">
        <v>1</v>
      </c>
      <c r="AC96" s="50">
        <v>95</v>
      </c>
      <c r="AD96" s="51">
        <f t="shared" si="24"/>
        <v>1937541</v>
      </c>
      <c r="AE96" s="51">
        <f t="shared" si="26"/>
        <v>2846530.111111111</v>
      </c>
      <c r="AF96" s="51">
        <f t="shared" si="25"/>
        <v>1</v>
      </c>
      <c r="AG96" s="55">
        <f t="shared" si="26"/>
        <v>0.77777777777777779</v>
      </c>
      <c r="AH96" s="29">
        <f>SUM($AF$2:AF96)</f>
        <v>71</v>
      </c>
      <c r="AI96" s="55">
        <f>SUM($AG$2:AG96)</f>
        <v>71.555555555555486</v>
      </c>
    </row>
    <row r="97" spans="1:35" x14ac:dyDescent="0.2">
      <c r="A97" s="48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3"/>
      <c r="O97" s="29">
        <f t="shared" si="17"/>
        <v>346</v>
      </c>
      <c r="P97" s="31" cm="1">
        <f t="array" ref="P97">WPNFACTOR(C97)</f>
        <v>2.5</v>
      </c>
      <c r="Q97" s="33" cm="1">
        <f t="array" ref="Q97">HPFACTOr(C97)</f>
        <v>4</v>
      </c>
      <c r="R97" s="32">
        <f t="shared" si="18"/>
        <v>138.4</v>
      </c>
      <c r="S97" s="33">
        <f t="shared" si="19"/>
        <v>960960</v>
      </c>
      <c r="T97" s="32">
        <f t="shared" si="20"/>
        <v>138.4</v>
      </c>
      <c r="U97" s="39">
        <f t="shared" si="21"/>
        <v>960960</v>
      </c>
      <c r="V97" s="41">
        <f>VLOOKUP(D97,LevelXp!$A$1:'LevelXp'!$B$1000,2,)/5</f>
        <v>21576743</v>
      </c>
      <c r="W97" s="29">
        <f t="shared" si="22"/>
        <v>132996864</v>
      </c>
      <c r="X97" s="32">
        <f t="shared" si="23"/>
        <v>42.147156528116703</v>
      </c>
      <c r="Y97" s="41">
        <v>130</v>
      </c>
      <c r="Z97" s="41">
        <v>21576743</v>
      </c>
      <c r="AA97" s="41">
        <v>1</v>
      </c>
      <c r="AC97" s="50">
        <v>96</v>
      </c>
      <c r="AD97" s="51">
        <f t="shared" si="24"/>
        <v>2463717</v>
      </c>
      <c r="AE97" s="51">
        <f t="shared" si="26"/>
        <v>2501888.5555555555</v>
      </c>
      <c r="AF97" s="51">
        <f t="shared" si="25"/>
        <v>1</v>
      </c>
      <c r="AG97" s="55">
        <f t="shared" si="26"/>
        <v>0.66666666666666663</v>
      </c>
      <c r="AH97" s="29">
        <f>SUM($AF$2:AF97)</f>
        <v>72</v>
      </c>
      <c r="AI97" s="55">
        <f>SUM($AG$2:AG97)</f>
        <v>72.222222222222157</v>
      </c>
    </row>
    <row r="98" spans="1:35" x14ac:dyDescent="0.2">
      <c r="A98" s="48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3"/>
      <c r="O98" s="29">
        <f t="shared" ref="O98:O107" si="27">AVERAGE(K98, L98)</f>
        <v>627.5</v>
      </c>
      <c r="P98" s="31" cm="1">
        <f t="array" ref="P98">WPNFACTOR(C98)</f>
        <v>4.5</v>
      </c>
      <c r="Q98" s="33" cm="1">
        <f t="array" ref="Q98">HPFACTOr(C98)</f>
        <v>2</v>
      </c>
      <c r="R98" s="32">
        <f t="shared" ref="R98:R107" si="28">O98/P98</f>
        <v>139.44444444444446</v>
      </c>
      <c r="S98" s="33">
        <f t="shared" ref="S98:S107" si="29">J98/Q98</f>
        <v>986480</v>
      </c>
      <c r="T98" s="32">
        <f t="shared" ref="T98:T107" si="30">R98*(1 + (N98/400))</f>
        <v>139.44444444444446</v>
      </c>
      <c r="U98" s="39">
        <f t="shared" ref="U98:U107" si="31">S98*1.6/(1 + (0.6*(1 - (M98/100))))</f>
        <v>986480</v>
      </c>
      <c r="V98" s="41">
        <f>VLOOKUP(D98,LevelXp!$A$1:'LevelXp'!$B$1000,2,)/5</f>
        <v>23839326</v>
      </c>
      <c r="W98" s="29">
        <f t="shared" ref="W98:W107" si="32">T98*U98</f>
        <v>137559155.55555558</v>
      </c>
      <c r="X98" s="32">
        <f t="shared" ref="X98:X107" si="33">POWER(W98, 1/$X$1)</f>
        <v>42.432429685216249</v>
      </c>
      <c r="Y98" s="41">
        <v>132</v>
      </c>
      <c r="Z98" s="41">
        <v>23839326</v>
      </c>
      <c r="AA98" s="41">
        <v>1</v>
      </c>
      <c r="AC98" s="50">
        <v>97</v>
      </c>
      <c r="AD98" s="51">
        <f t="shared" si="24"/>
        <v>3663979</v>
      </c>
      <c r="AE98" s="51">
        <f t="shared" si="26"/>
        <v>2471092.6666666665</v>
      </c>
      <c r="AF98" s="51">
        <f t="shared" si="25"/>
        <v>1</v>
      </c>
      <c r="AG98" s="55">
        <f t="shared" si="26"/>
        <v>0.66666666666666663</v>
      </c>
      <c r="AH98" s="29">
        <f>SUM($AF$2:AF98)</f>
        <v>73</v>
      </c>
      <c r="AI98" s="55">
        <f>SUM($AG$2:AG98)</f>
        <v>72.888888888888829</v>
      </c>
    </row>
    <row r="99" spans="1:35" x14ac:dyDescent="0.2">
      <c r="A99" s="48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3"/>
      <c r="O99" s="29">
        <f t="shared" si="27"/>
        <v>284.5</v>
      </c>
      <c r="P99" s="31" cm="1">
        <f t="array" ref="P99">WPNFACTOR(C99)</f>
        <v>2</v>
      </c>
      <c r="Q99" s="33" cm="1">
        <f t="array" ref="Q99">HPFACTOr(C99)</f>
        <v>5</v>
      </c>
      <c r="R99" s="32">
        <f t="shared" si="28"/>
        <v>142.25</v>
      </c>
      <c r="S99" s="33">
        <f t="shared" si="29"/>
        <v>1050760</v>
      </c>
      <c r="T99" s="32">
        <f t="shared" si="30"/>
        <v>142.25</v>
      </c>
      <c r="U99" s="39">
        <f t="shared" si="31"/>
        <v>1050760</v>
      </c>
      <c r="V99" s="41">
        <f>VLOOKUP(D99,LevelXp!$A$1:'LevelXp'!$B$1000,2,)/5</f>
        <v>26302843</v>
      </c>
      <c r="W99" s="29">
        <f t="shared" si="32"/>
        <v>149470610</v>
      </c>
      <c r="X99" s="32">
        <f t="shared" si="33"/>
        <v>43.143081497017718</v>
      </c>
      <c r="Y99" s="41">
        <v>134</v>
      </c>
      <c r="Z99" s="41">
        <v>26302843</v>
      </c>
      <c r="AA99" s="41">
        <v>1</v>
      </c>
      <c r="AC99" s="50">
        <v>98</v>
      </c>
      <c r="AD99" s="51">
        <f t="shared" si="24"/>
        <v>4082943</v>
      </c>
      <c r="AE99" s="51">
        <f t="shared" si="26"/>
        <v>3123706.222222222</v>
      </c>
      <c r="AF99" s="51">
        <f t="shared" si="25"/>
        <v>1</v>
      </c>
      <c r="AG99" s="55">
        <f t="shared" si="26"/>
        <v>0.77777777777777779</v>
      </c>
      <c r="AH99" s="29">
        <f>SUM($AF$2:AF99)</f>
        <v>74</v>
      </c>
      <c r="AI99" s="55">
        <f>SUM($AG$2:AG99)</f>
        <v>73.6666666666666</v>
      </c>
    </row>
    <row r="100" spans="1:35" x14ac:dyDescent="0.2">
      <c r="A100" s="48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3"/>
      <c r="O100" s="29">
        <f t="shared" si="27"/>
        <v>289.5</v>
      </c>
      <c r="P100" s="31" cm="1">
        <f t="array" ref="P100">WPNFACTOR(C100)</f>
        <v>2</v>
      </c>
      <c r="Q100" s="33" cm="1">
        <f t="array" ref="Q100">HPFACTOr(C100)</f>
        <v>5</v>
      </c>
      <c r="R100" s="32">
        <f t="shared" si="28"/>
        <v>144.75</v>
      </c>
      <c r="S100" s="33">
        <f t="shared" si="29"/>
        <v>1097160</v>
      </c>
      <c r="T100" s="32">
        <f t="shared" si="30"/>
        <v>144.75</v>
      </c>
      <c r="U100" s="39">
        <f t="shared" si="31"/>
        <v>1097160</v>
      </c>
      <c r="V100" s="41">
        <f>VLOOKUP(D100,LevelXp!$A$1:'LevelXp'!$B$1000,2,)/5</f>
        <v>28966329</v>
      </c>
      <c r="W100" s="29">
        <f t="shared" si="32"/>
        <v>158813910</v>
      </c>
      <c r="X100" s="32">
        <f t="shared" si="33"/>
        <v>43.669448537955368</v>
      </c>
      <c r="Y100" s="41">
        <v>137</v>
      </c>
      <c r="Z100" s="41">
        <v>28966329</v>
      </c>
      <c r="AA100" s="41">
        <v>1</v>
      </c>
      <c r="AC100" s="50">
        <v>99</v>
      </c>
      <c r="AD100" s="51">
        <f t="shared" si="24"/>
        <v>4785109</v>
      </c>
      <c r="AE100" s="51">
        <f t="shared" si="26"/>
        <v>3123706.222222222</v>
      </c>
      <c r="AF100" s="51">
        <f t="shared" si="25"/>
        <v>1</v>
      </c>
      <c r="AG100" s="55">
        <f t="shared" si="26"/>
        <v>0.77777777777777779</v>
      </c>
      <c r="AH100" s="29">
        <f>SUM($AF$2:AF100)</f>
        <v>75</v>
      </c>
      <c r="AI100" s="55">
        <f>SUM($AG$2:AG100)</f>
        <v>74.444444444444372</v>
      </c>
    </row>
    <row r="101" spans="1:35" x14ac:dyDescent="0.2">
      <c r="A101" s="48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3"/>
      <c r="O101" s="29">
        <f t="shared" si="27"/>
        <v>294.5</v>
      </c>
      <c r="P101" s="31" cm="1">
        <f t="array" ref="P101">WPNFACTOR(C101)</f>
        <v>2</v>
      </c>
      <c r="Q101" s="33" cm="1">
        <f t="array" ref="Q101">HPFACTOr(C101)</f>
        <v>5</v>
      </c>
      <c r="R101" s="32">
        <f t="shared" si="28"/>
        <v>147.25</v>
      </c>
      <c r="S101" s="33">
        <f t="shared" si="29"/>
        <v>1144560</v>
      </c>
      <c r="T101" s="32">
        <f t="shared" si="30"/>
        <v>147.25</v>
      </c>
      <c r="U101" s="39">
        <f t="shared" si="31"/>
        <v>1144560</v>
      </c>
      <c r="V101" s="41">
        <f>VLOOKUP(D101,LevelXp!$A$1:'LevelXp'!$B$1000,2,)/5</f>
        <v>31862139</v>
      </c>
      <c r="W101" s="29">
        <f t="shared" si="32"/>
        <v>168536460</v>
      </c>
      <c r="X101" s="32">
        <f t="shared" si="33"/>
        <v>44.19150309060042</v>
      </c>
      <c r="Y101" s="41">
        <v>139</v>
      </c>
      <c r="Z101" s="41">
        <v>31862139</v>
      </c>
      <c r="AA101" s="41">
        <v>1</v>
      </c>
      <c r="AC101" s="50">
        <v>100</v>
      </c>
      <c r="AD101" s="51">
        <f t="shared" si="24"/>
        <v>0</v>
      </c>
      <c r="AE101" s="51">
        <f t="shared" si="26"/>
        <v>3703736.6666666665</v>
      </c>
      <c r="AF101" s="51">
        <f t="shared" si="25"/>
        <v>0</v>
      </c>
      <c r="AG101" s="55">
        <f t="shared" si="26"/>
        <v>0.77777777777777779</v>
      </c>
      <c r="AH101" s="29">
        <f>SUM($AF$2:AF101)</f>
        <v>75</v>
      </c>
      <c r="AI101" s="55">
        <f>SUM($AG$2:AG101)</f>
        <v>75.222222222222143</v>
      </c>
    </row>
    <row r="102" spans="1:35" x14ac:dyDescent="0.2">
      <c r="A102" s="48" t="s">
        <v>8840</v>
      </c>
      <c r="B102" s="29">
        <v>1</v>
      </c>
      <c r="C102" s="29">
        <v>2</v>
      </c>
      <c r="D102" s="29">
        <v>172</v>
      </c>
      <c r="E102" s="29">
        <v>825</v>
      </c>
      <c r="F102" s="29">
        <v>894</v>
      </c>
      <c r="G102" s="29">
        <v>1788</v>
      </c>
      <c r="H102" s="29">
        <v>7282</v>
      </c>
      <c r="I102" s="29">
        <v>808</v>
      </c>
      <c r="J102" s="29">
        <v>2519572</v>
      </c>
      <c r="K102" s="29">
        <v>4178</v>
      </c>
      <c r="L102" s="29">
        <v>8303</v>
      </c>
      <c r="N102" s="33"/>
      <c r="O102" s="29">
        <f t="shared" si="27"/>
        <v>6240.5</v>
      </c>
      <c r="P102" s="31" cm="1">
        <f t="array" ref="P102">WPNFACTOR(C102)</f>
        <v>4.5</v>
      </c>
      <c r="Q102" s="33" cm="1">
        <f t="array" ref="Q102">HPFACTOr(C102)</f>
        <v>2</v>
      </c>
      <c r="R102" s="32">
        <f t="shared" si="28"/>
        <v>1386.7777777777778</v>
      </c>
      <c r="S102" s="33">
        <f t="shared" si="29"/>
        <v>1259786</v>
      </c>
      <c r="T102" s="32">
        <f t="shared" si="30"/>
        <v>1386.7777777777778</v>
      </c>
      <c r="U102" s="39">
        <f t="shared" si="31"/>
        <v>1259786</v>
      </c>
      <c r="V102" s="41">
        <f>VLOOKUP(D102,LevelXp!$A$1:'LevelXp'!$B$1000,2,)/5</f>
        <v>5873522</v>
      </c>
      <c r="W102" s="29">
        <f t="shared" si="32"/>
        <v>1747043229.5555556</v>
      </c>
      <c r="X102" s="32">
        <f t="shared" si="33"/>
        <v>70.544105389110939</v>
      </c>
      <c r="Y102" s="41">
        <v>142</v>
      </c>
      <c r="Z102" s="41">
        <v>5873522</v>
      </c>
      <c r="AA102" s="41">
        <v>0</v>
      </c>
      <c r="AC102" s="50">
        <v>101</v>
      </c>
      <c r="AD102" s="51">
        <f t="shared" si="24"/>
        <v>5306545</v>
      </c>
      <c r="AE102" s="51">
        <f t="shared" si="26"/>
        <v>3429990.3333333335</v>
      </c>
      <c r="AF102" s="51">
        <f t="shared" si="25"/>
        <v>1</v>
      </c>
      <c r="AG102" s="55">
        <f t="shared" si="26"/>
        <v>0.66666666666666663</v>
      </c>
      <c r="AH102" s="29">
        <f>SUM($AF$2:AF102)</f>
        <v>76</v>
      </c>
      <c r="AI102" s="55">
        <f>SUM($AG$2:AG102)</f>
        <v>75.888888888888815</v>
      </c>
    </row>
    <row r="103" spans="1:35" x14ac:dyDescent="0.2">
      <c r="A103" s="48" t="s">
        <v>8840</v>
      </c>
      <c r="B103" s="29">
        <v>2</v>
      </c>
      <c r="C103" s="29">
        <v>1</v>
      </c>
      <c r="D103" s="29">
        <v>174</v>
      </c>
      <c r="E103" s="29">
        <v>1740</v>
      </c>
      <c r="F103" s="29">
        <v>986</v>
      </c>
      <c r="G103" s="29">
        <v>855</v>
      </c>
      <c r="H103" s="29">
        <v>8052</v>
      </c>
      <c r="I103" s="29">
        <v>739</v>
      </c>
      <c r="J103" s="29">
        <v>7045500</v>
      </c>
      <c r="K103" s="29">
        <v>1867</v>
      </c>
      <c r="L103" s="29">
        <v>3730</v>
      </c>
      <c r="N103" s="33"/>
      <c r="O103" s="29">
        <f t="shared" si="27"/>
        <v>2798.5</v>
      </c>
      <c r="P103" s="31" cm="1">
        <f t="array" ref="P103">WPNFACTOR(C103)</f>
        <v>2</v>
      </c>
      <c r="Q103" s="33" cm="1">
        <f t="array" ref="Q103">HPFACTOr(C103)</f>
        <v>5</v>
      </c>
      <c r="R103" s="32">
        <f t="shared" si="28"/>
        <v>1399.25</v>
      </c>
      <c r="S103" s="33">
        <f t="shared" si="29"/>
        <v>1409100</v>
      </c>
      <c r="T103" s="32">
        <f t="shared" si="30"/>
        <v>1399.25</v>
      </c>
      <c r="U103" s="39">
        <f t="shared" si="31"/>
        <v>1409100</v>
      </c>
      <c r="V103" s="41">
        <f>VLOOKUP(D103,LevelXp!$A$1:'LevelXp'!$B$1000,2,)/5</f>
        <v>6175189</v>
      </c>
      <c r="W103" s="29">
        <f t="shared" si="32"/>
        <v>1971683175</v>
      </c>
      <c r="X103" s="32">
        <f t="shared" si="33"/>
        <v>72.271559487507616</v>
      </c>
      <c r="Y103" s="41">
        <v>143</v>
      </c>
      <c r="Z103" s="41">
        <v>6175189</v>
      </c>
      <c r="AA103" s="41">
        <v>0</v>
      </c>
      <c r="AC103" s="50">
        <v>102</v>
      </c>
      <c r="AD103" s="51">
        <f t="shared" si="24"/>
        <v>5873522</v>
      </c>
      <c r="AE103" s="51">
        <f t="shared" si="26"/>
        <v>3919557.222222222</v>
      </c>
      <c r="AF103" s="51">
        <f t="shared" si="25"/>
        <v>1</v>
      </c>
      <c r="AG103" s="55">
        <f t="shared" si="26"/>
        <v>0.66666666666666663</v>
      </c>
      <c r="AH103" s="29">
        <f>SUM($AF$2:AF103)</f>
        <v>77</v>
      </c>
      <c r="AI103" s="55">
        <f>SUM($AG$2:AG103)</f>
        <v>76.555555555555486</v>
      </c>
    </row>
    <row r="104" spans="1:35" x14ac:dyDescent="0.2">
      <c r="A104" s="48" t="s">
        <v>8850</v>
      </c>
      <c r="B104" s="29">
        <v>1</v>
      </c>
      <c r="C104" s="29">
        <v>1</v>
      </c>
      <c r="D104" s="29">
        <v>255</v>
      </c>
      <c r="E104" s="29">
        <v>4940</v>
      </c>
      <c r="F104" s="29">
        <v>1735</v>
      </c>
      <c r="G104" s="29">
        <v>1710</v>
      </c>
      <c r="H104" s="29">
        <v>4660</v>
      </c>
      <c r="I104" s="29">
        <v>1190</v>
      </c>
      <c r="J104" s="29">
        <v>5964800</v>
      </c>
      <c r="K104" s="29">
        <v>270</v>
      </c>
      <c r="L104" s="29">
        <v>339</v>
      </c>
      <c r="N104" s="33"/>
      <c r="O104" s="29">
        <f t="shared" si="27"/>
        <v>304.5</v>
      </c>
      <c r="P104" s="31" cm="1">
        <f t="array" ref="P104">WPNFACTOR(C104)</f>
        <v>2</v>
      </c>
      <c r="Q104" s="33" cm="1">
        <f t="array" ref="Q104">HPFACTOr(C104)</f>
        <v>5</v>
      </c>
      <c r="R104" s="32">
        <f t="shared" si="28"/>
        <v>152.25</v>
      </c>
      <c r="S104" s="33">
        <f t="shared" si="29"/>
        <v>1192960</v>
      </c>
      <c r="T104" s="32">
        <f t="shared" si="30"/>
        <v>152.25</v>
      </c>
      <c r="U104" s="39">
        <f t="shared" si="31"/>
        <v>1192960</v>
      </c>
      <c r="V104" s="41">
        <f>VLOOKUP(D104,LevelXp!$A$1:'LevelXp'!$B$1000,2,)/5</f>
        <v>34985806</v>
      </c>
      <c r="W104" s="29">
        <f t="shared" si="32"/>
        <v>181628160</v>
      </c>
      <c r="X104" s="32">
        <f t="shared" si="33"/>
        <v>44.857662251358747</v>
      </c>
      <c r="Y104" s="41">
        <v>144</v>
      </c>
      <c r="Z104" s="41">
        <v>34985806</v>
      </c>
      <c r="AA104" s="41">
        <v>1</v>
      </c>
      <c r="AC104" s="50">
        <v>103</v>
      </c>
      <c r="AD104" s="51">
        <f t="shared" si="24"/>
        <v>0</v>
      </c>
      <c r="AE104" s="51">
        <f t="shared" si="26"/>
        <v>3465896.888888889</v>
      </c>
      <c r="AF104" s="51">
        <f t="shared" si="25"/>
        <v>0</v>
      </c>
      <c r="AG104" s="55">
        <f t="shared" si="26"/>
        <v>0.55555555555555558</v>
      </c>
      <c r="AH104" s="29">
        <f>SUM($AF$2:AF104)</f>
        <v>77</v>
      </c>
      <c r="AI104" s="55">
        <f>SUM($AG$2:AG104)</f>
        <v>77.111111111111043</v>
      </c>
    </row>
    <row r="105" spans="1:35" x14ac:dyDescent="0.2">
      <c r="A105" s="48" t="s">
        <v>8850</v>
      </c>
      <c r="B105" s="29">
        <v>2</v>
      </c>
      <c r="C105" s="29">
        <v>3</v>
      </c>
      <c r="D105" s="29">
        <v>260</v>
      </c>
      <c r="E105" s="29">
        <v>1270</v>
      </c>
      <c r="F105" s="29">
        <v>5040</v>
      </c>
      <c r="G105" s="29">
        <v>1260</v>
      </c>
      <c r="H105" s="29">
        <v>4760</v>
      </c>
      <c r="I105" s="29">
        <v>1835</v>
      </c>
      <c r="J105" s="29">
        <v>4969440</v>
      </c>
      <c r="K105" s="29">
        <v>306</v>
      </c>
      <c r="L105" s="29">
        <v>488</v>
      </c>
      <c r="N105" s="33"/>
      <c r="O105" s="29">
        <f t="shared" si="27"/>
        <v>397</v>
      </c>
      <c r="P105" s="31" cm="1">
        <f t="array" ref="P105">WPNFACTOR(C105)</f>
        <v>2.5</v>
      </c>
      <c r="Q105" s="33" cm="1">
        <f t="array" ref="Q105">HPFACTOr(C105)</f>
        <v>4</v>
      </c>
      <c r="R105" s="32">
        <f t="shared" si="28"/>
        <v>158.80000000000001</v>
      </c>
      <c r="S105" s="33">
        <f t="shared" si="29"/>
        <v>1242360</v>
      </c>
      <c r="T105" s="32">
        <f t="shared" si="30"/>
        <v>158.80000000000001</v>
      </c>
      <c r="U105" s="39">
        <f t="shared" si="31"/>
        <v>1242360</v>
      </c>
      <c r="V105" s="41">
        <f>VLOOKUP(D105,LevelXp!$A$1:'LevelXp'!$B$1000,2,)/5</f>
        <v>38369989</v>
      </c>
      <c r="W105" s="29">
        <f t="shared" si="32"/>
        <v>197286768</v>
      </c>
      <c r="X105" s="32">
        <f t="shared" si="33"/>
        <v>45.605748887683283</v>
      </c>
      <c r="Y105" s="41">
        <v>145</v>
      </c>
      <c r="Z105" s="41">
        <v>38369989</v>
      </c>
      <c r="AA105" s="41">
        <v>1</v>
      </c>
      <c r="AC105" s="50">
        <v>104</v>
      </c>
      <c r="AD105" s="51">
        <f t="shared" si="24"/>
        <v>7157815</v>
      </c>
      <c r="AE105" s="51">
        <f t="shared" si="26"/>
        <v>4202310.888888889</v>
      </c>
      <c r="AF105" s="51">
        <f t="shared" si="25"/>
        <v>1</v>
      </c>
      <c r="AG105" s="55">
        <f t="shared" si="26"/>
        <v>0.55555555555555558</v>
      </c>
      <c r="AH105" s="29">
        <f>SUM($AF$2:AF105)</f>
        <v>78</v>
      </c>
      <c r="AI105" s="55">
        <f>SUM($AG$2:AG105)</f>
        <v>77.6666666666666</v>
      </c>
    </row>
    <row r="106" spans="1:35" x14ac:dyDescent="0.2">
      <c r="A106" s="48" t="s">
        <v>8840</v>
      </c>
      <c r="B106" s="29">
        <v>3</v>
      </c>
      <c r="C106" s="29">
        <v>1</v>
      </c>
      <c r="D106" s="29">
        <v>176</v>
      </c>
      <c r="E106" s="29">
        <v>1873</v>
      </c>
      <c r="F106" s="29">
        <v>980</v>
      </c>
      <c r="G106" s="29">
        <v>867</v>
      </c>
      <c r="H106" s="29">
        <v>8569</v>
      </c>
      <c r="I106" s="29">
        <v>817</v>
      </c>
      <c r="J106" s="29">
        <v>7583565</v>
      </c>
      <c r="K106" s="29">
        <v>1890</v>
      </c>
      <c r="L106" s="29">
        <v>3771</v>
      </c>
      <c r="N106" s="33"/>
      <c r="O106" s="29">
        <f t="shared" si="27"/>
        <v>2830.5</v>
      </c>
      <c r="P106" s="31" cm="1">
        <f t="array" ref="P106">WPNFACTOR(C106)</f>
        <v>2</v>
      </c>
      <c r="Q106" s="33" cm="1">
        <f t="array" ref="Q106">HPFACTOr(C106)</f>
        <v>5</v>
      </c>
      <c r="R106" s="32">
        <f t="shared" si="28"/>
        <v>1415.25</v>
      </c>
      <c r="S106" s="33">
        <f t="shared" si="29"/>
        <v>1516713</v>
      </c>
      <c r="T106" s="32">
        <f t="shared" si="30"/>
        <v>1415.25</v>
      </c>
      <c r="U106" s="39">
        <f t="shared" si="31"/>
        <v>1516713</v>
      </c>
      <c r="V106" s="41">
        <f>VLOOKUP(D106,LevelXp!$A$1:'LevelXp'!$B$1000,2,)/5</f>
        <v>6489101</v>
      </c>
      <c r="W106" s="29">
        <f t="shared" si="32"/>
        <v>2146528073.25</v>
      </c>
      <c r="X106" s="32">
        <f t="shared" si="33"/>
        <v>73.510150948966569</v>
      </c>
      <c r="Y106" s="41">
        <v>148</v>
      </c>
      <c r="Z106" s="41">
        <v>6489101</v>
      </c>
      <c r="AA106" s="41">
        <v>0</v>
      </c>
      <c r="AC106" s="50">
        <v>105</v>
      </c>
      <c r="AD106" s="51">
        <f t="shared" si="24"/>
        <v>0</v>
      </c>
      <c r="AE106" s="51">
        <f t="shared" si="26"/>
        <v>4202310.888888889</v>
      </c>
      <c r="AF106" s="51">
        <f t="shared" si="25"/>
        <v>0</v>
      </c>
      <c r="AG106" s="55">
        <f t="shared" si="26"/>
        <v>0.55555555555555558</v>
      </c>
      <c r="AH106" s="29">
        <f>SUM($AF$2:AF106)</f>
        <v>78</v>
      </c>
      <c r="AI106" s="55">
        <f>SUM($AG$2:AG106)</f>
        <v>78.222222222222157</v>
      </c>
    </row>
    <row r="107" spans="1:35" x14ac:dyDescent="0.2">
      <c r="A107" s="48" t="s">
        <v>8850</v>
      </c>
      <c r="B107" s="29">
        <v>3</v>
      </c>
      <c r="C107" s="29">
        <v>1</v>
      </c>
      <c r="D107" s="29">
        <v>265</v>
      </c>
      <c r="E107" s="29">
        <v>5140</v>
      </c>
      <c r="F107" s="29">
        <v>1805</v>
      </c>
      <c r="G107" s="29">
        <v>1780</v>
      </c>
      <c r="H107" s="29">
        <v>4860</v>
      </c>
      <c r="I107" s="29">
        <v>1230</v>
      </c>
      <c r="J107" s="29">
        <v>6463800</v>
      </c>
      <c r="K107" s="29">
        <v>280</v>
      </c>
      <c r="L107" s="29">
        <v>369</v>
      </c>
      <c r="N107" s="33"/>
      <c r="O107" s="29">
        <f t="shared" si="27"/>
        <v>324.5</v>
      </c>
      <c r="P107" s="31" cm="1">
        <f t="array" ref="P107">WPNFACTOR(C107)</f>
        <v>2</v>
      </c>
      <c r="Q107" s="33" cm="1">
        <f t="array" ref="Q107">HPFACTOr(C107)</f>
        <v>5</v>
      </c>
      <c r="R107" s="32">
        <f t="shared" si="28"/>
        <v>162.25</v>
      </c>
      <c r="S107" s="33">
        <f t="shared" si="29"/>
        <v>1292760</v>
      </c>
      <c r="T107" s="32">
        <f t="shared" si="30"/>
        <v>162.25</v>
      </c>
      <c r="U107" s="39">
        <f t="shared" si="31"/>
        <v>1292760</v>
      </c>
      <c r="V107" s="41">
        <f>VLOOKUP(D107,LevelXp!$A$1:'LevelXp'!$B$1000,2,)/5</f>
        <v>42016588</v>
      </c>
      <c r="W107" s="29">
        <f t="shared" si="32"/>
        <v>209750310</v>
      </c>
      <c r="X107" s="32">
        <f t="shared" si="33"/>
        <v>46.16794269831869</v>
      </c>
      <c r="Y107" s="41">
        <v>148</v>
      </c>
      <c r="Z107" s="41">
        <v>42016588</v>
      </c>
      <c r="AA107" s="41">
        <v>1</v>
      </c>
      <c r="AC107" s="50">
        <v>106</v>
      </c>
      <c r="AD107" s="51">
        <f t="shared" si="24"/>
        <v>8070081</v>
      </c>
      <c r="AE107" s="51">
        <f t="shared" si="26"/>
        <v>3997994.888888889</v>
      </c>
      <c r="AF107" s="51">
        <f t="shared" si="25"/>
        <v>1</v>
      </c>
      <c r="AG107" s="55">
        <f t="shared" si="26"/>
        <v>0.55555555555555558</v>
      </c>
      <c r="AH107" s="29">
        <f>SUM($AF$2:AF107)</f>
        <v>79</v>
      </c>
      <c r="AI107" s="55">
        <f>SUM($AG$2:AG107)</f>
        <v>78.777777777777715</v>
      </c>
    </row>
    <row r="108" spans="1:35" x14ac:dyDescent="0.2">
      <c r="A108" s="48" t="s">
        <v>2937</v>
      </c>
      <c r="B108" s="29">
        <v>10</v>
      </c>
      <c r="N108" s="33"/>
      <c r="Q108" s="33"/>
      <c r="S108" s="33"/>
      <c r="U108" s="39"/>
      <c r="V108" s="41">
        <f>VLOOKUP(B108,LevelXp!$D$1:'LevelXp'!$F$1000,3,)</f>
        <v>1563187</v>
      </c>
      <c r="Y108" s="41">
        <v>150</v>
      </c>
      <c r="Z108" s="41">
        <v>1563187</v>
      </c>
      <c r="AA108" s="41">
        <v>0</v>
      </c>
      <c r="AC108" s="50">
        <v>107</v>
      </c>
      <c r="AD108" s="51">
        <f t="shared" si="24"/>
        <v>0</v>
      </c>
      <c r="AE108" s="51">
        <f t="shared" si="26"/>
        <v>3775265.6666666665</v>
      </c>
      <c r="AF108" s="51">
        <f t="shared" si="25"/>
        <v>0</v>
      </c>
      <c r="AG108" s="55">
        <f t="shared" si="26"/>
        <v>0.55555555555555558</v>
      </c>
      <c r="AH108" s="29">
        <f>SUM($AF$2:AF108)</f>
        <v>79</v>
      </c>
      <c r="AI108" s="55">
        <f>SUM($AG$2:AG108)</f>
        <v>79.333333333333272</v>
      </c>
    </row>
    <row r="109" spans="1:35" x14ac:dyDescent="0.2">
      <c r="A109" s="48" t="s">
        <v>8850</v>
      </c>
      <c r="B109" s="29">
        <v>4</v>
      </c>
      <c r="C109" s="29">
        <v>1</v>
      </c>
      <c r="D109" s="29">
        <v>270</v>
      </c>
      <c r="E109" s="29">
        <v>5240</v>
      </c>
      <c r="F109" s="29">
        <v>1840</v>
      </c>
      <c r="G109" s="29">
        <v>1815</v>
      </c>
      <c r="H109" s="29">
        <v>4960</v>
      </c>
      <c r="I109" s="29">
        <v>1250</v>
      </c>
      <c r="J109" s="29">
        <v>6720800</v>
      </c>
      <c r="K109" s="29">
        <v>285</v>
      </c>
      <c r="L109" s="29">
        <v>384</v>
      </c>
      <c r="N109" s="33"/>
      <c r="O109" s="29">
        <f>AVERAGE(K109, L109)</f>
        <v>334.5</v>
      </c>
      <c r="P109" s="31" cm="1">
        <f t="array" ref="P109">WPNFACTOR(C109)</f>
        <v>2</v>
      </c>
      <c r="Q109" s="33" cm="1">
        <f t="array" ref="Q109">HPFACTOr(C109)</f>
        <v>5</v>
      </c>
      <c r="R109" s="32">
        <f>O109/P109</f>
        <v>167.25</v>
      </c>
      <c r="S109" s="33">
        <f>J109/Q109</f>
        <v>1344160</v>
      </c>
      <c r="T109" s="32">
        <f>R109*(1 + (N109/400))</f>
        <v>167.25</v>
      </c>
      <c r="U109" s="39">
        <f>S109*1.6/(1 + (0.6*(1 - (M109/100))))</f>
        <v>1344160</v>
      </c>
      <c r="V109" s="41">
        <f>VLOOKUP(D109,LevelXp!$A$1:'LevelXp'!$B$1000,2,)/5</f>
        <v>45958126</v>
      </c>
      <c r="W109" s="29">
        <f>T109*U109</f>
        <v>224810760</v>
      </c>
      <c r="X109" s="32">
        <f>POWER(W109, 1/$X$1)</f>
        <v>46.812670708831817</v>
      </c>
      <c r="Y109" s="41">
        <v>153</v>
      </c>
      <c r="Z109" s="41">
        <v>45958126</v>
      </c>
      <c r="AA109" s="41">
        <v>1</v>
      </c>
      <c r="AC109" s="50">
        <v>108</v>
      </c>
      <c r="AD109" s="51">
        <f t="shared" si="24"/>
        <v>11412835</v>
      </c>
      <c r="AE109" s="51">
        <f t="shared" si="26"/>
        <v>4758415.444444444</v>
      </c>
      <c r="AF109" s="51">
        <f t="shared" si="25"/>
        <v>1</v>
      </c>
      <c r="AG109" s="55">
        <f t="shared" si="26"/>
        <v>0.77777777777777779</v>
      </c>
      <c r="AH109" s="29">
        <f>SUM($AF$2:AF109)</f>
        <v>80</v>
      </c>
      <c r="AI109" s="55">
        <f>SUM($AG$2:AG109)</f>
        <v>80.111111111111043</v>
      </c>
    </row>
    <row r="110" spans="1:35" x14ac:dyDescent="0.2">
      <c r="A110" s="48" t="s">
        <v>2937</v>
      </c>
      <c r="B110" s="29">
        <v>20</v>
      </c>
      <c r="N110" s="33"/>
      <c r="Q110" s="33"/>
      <c r="S110" s="33"/>
      <c r="U110" s="39"/>
      <c r="V110" s="41">
        <f>VLOOKUP(B110,LevelXp!$D$1:'LevelXp'!$F$1000,3,)</f>
        <v>4234469</v>
      </c>
      <c r="Y110" s="41">
        <v>154</v>
      </c>
      <c r="Z110" s="41">
        <v>4234469</v>
      </c>
      <c r="AA110" s="41">
        <v>0</v>
      </c>
      <c r="AC110" s="50">
        <v>109</v>
      </c>
      <c r="AD110" s="51">
        <f t="shared" si="24"/>
        <v>0</v>
      </c>
      <c r="AE110" s="51">
        <f t="shared" si="26"/>
        <v>4523154.666666667</v>
      </c>
      <c r="AF110" s="51">
        <f t="shared" si="25"/>
        <v>0</v>
      </c>
      <c r="AG110" s="55">
        <f t="shared" si="26"/>
        <v>0.77777777777777779</v>
      </c>
      <c r="AH110" s="29">
        <f>SUM($AF$2:AF110)</f>
        <v>80</v>
      </c>
      <c r="AI110" s="55">
        <f>SUM($AG$2:AG110)</f>
        <v>80.888888888888815</v>
      </c>
    </row>
    <row r="111" spans="1:35" x14ac:dyDescent="0.2">
      <c r="A111" s="48" t="s">
        <v>8850</v>
      </c>
      <c r="B111" s="29">
        <v>5</v>
      </c>
      <c r="C111" s="29">
        <v>2</v>
      </c>
      <c r="D111" s="29">
        <v>275</v>
      </c>
      <c r="E111" s="29">
        <v>1325</v>
      </c>
      <c r="F111" s="29">
        <v>1345</v>
      </c>
      <c r="G111" s="29">
        <v>5420</v>
      </c>
      <c r="H111" s="29">
        <v>4980</v>
      </c>
      <c r="I111" s="29">
        <v>1935</v>
      </c>
      <c r="J111" s="29">
        <v>2748960</v>
      </c>
      <c r="K111" s="29">
        <v>609</v>
      </c>
      <c r="L111" s="29">
        <v>939</v>
      </c>
      <c r="N111" s="33"/>
      <c r="O111" s="29">
        <f>AVERAGE(K111, L111)</f>
        <v>774</v>
      </c>
      <c r="P111" s="31" cm="1">
        <f t="array" ref="P111">WPNFACTOR(C111)</f>
        <v>4.5</v>
      </c>
      <c r="Q111" s="33" cm="1">
        <f t="array" ref="Q111">HPFACTOr(C111)</f>
        <v>2</v>
      </c>
      <c r="R111" s="32">
        <f>O111/P111</f>
        <v>172</v>
      </c>
      <c r="S111" s="33">
        <f>J111/Q111</f>
        <v>1374480</v>
      </c>
      <c r="T111" s="32">
        <f>R111*(1 + (N111/400))</f>
        <v>172</v>
      </c>
      <c r="U111" s="39">
        <f>S111*1.6/(1 + (0.6*(1 - (M111/100))))</f>
        <v>1374480</v>
      </c>
      <c r="V111" s="41">
        <f>VLOOKUP(D111,LevelXp!$A$1:'LevelXp'!$B$1000,2,)/5</f>
        <v>50191950</v>
      </c>
      <c r="W111" s="29">
        <f>T111*U111</f>
        <v>236410560</v>
      </c>
      <c r="X111" s="32">
        <f>POWER(W111, 1/$X$1)</f>
        <v>47.286086718361631</v>
      </c>
      <c r="Y111" s="41">
        <v>156</v>
      </c>
      <c r="Z111" s="41">
        <v>50191950</v>
      </c>
      <c r="AA111" s="41">
        <v>1</v>
      </c>
      <c r="AC111" s="50">
        <v>110</v>
      </c>
      <c r="AD111" s="51">
        <f t="shared" si="24"/>
        <v>3467701</v>
      </c>
      <c r="AE111" s="51">
        <f t="shared" si="26"/>
        <v>5209286.777777778</v>
      </c>
      <c r="AF111" s="51">
        <f t="shared" si="25"/>
        <v>1</v>
      </c>
      <c r="AG111" s="55">
        <f t="shared" si="26"/>
        <v>0.88888888888888884</v>
      </c>
      <c r="AH111" s="29">
        <f>SUM($AF$2:AF111)</f>
        <v>81</v>
      </c>
      <c r="AI111" s="55">
        <f>SUM($AG$2:AG111)</f>
        <v>81.7777777777777</v>
      </c>
    </row>
    <row r="112" spans="1:35" x14ac:dyDescent="0.2">
      <c r="A112" s="48" t="s">
        <v>8850</v>
      </c>
      <c r="B112" s="29">
        <v>6</v>
      </c>
      <c r="C112" s="29">
        <v>3</v>
      </c>
      <c r="D112" s="29">
        <v>280</v>
      </c>
      <c r="E112" s="29">
        <v>1370</v>
      </c>
      <c r="F112" s="29">
        <v>5440</v>
      </c>
      <c r="G112" s="29">
        <v>1360</v>
      </c>
      <c r="H112" s="29">
        <v>5160</v>
      </c>
      <c r="I112" s="29">
        <v>1975</v>
      </c>
      <c r="J112" s="29">
        <v>5799840</v>
      </c>
      <c r="K112" s="29">
        <v>346</v>
      </c>
      <c r="L112" s="29">
        <v>548</v>
      </c>
      <c r="N112" s="33"/>
      <c r="O112" s="29">
        <f>AVERAGE(K112, L112)</f>
        <v>447</v>
      </c>
      <c r="P112" s="31" cm="1">
        <f t="array" ref="P112">WPNFACTOR(C112)</f>
        <v>2.5</v>
      </c>
      <c r="Q112" s="33" cm="1">
        <f t="array" ref="Q112">HPFACTOr(C112)</f>
        <v>4</v>
      </c>
      <c r="R112" s="32">
        <f>O112/P112</f>
        <v>178.8</v>
      </c>
      <c r="S112" s="33">
        <f>J112/Q112</f>
        <v>1449960</v>
      </c>
      <c r="T112" s="32">
        <f>R112*(1 + (N112/400))</f>
        <v>178.8</v>
      </c>
      <c r="U112" s="39">
        <f>S112*1.6/(1 + (0.6*(1 - (M112/100))))</f>
        <v>1449960</v>
      </c>
      <c r="V112" s="41">
        <f>VLOOKUP(D112,LevelXp!$A$1:'LevelXp'!$B$1000,2,)/5</f>
        <v>54764113</v>
      </c>
      <c r="W112" s="29">
        <f>T112*U112</f>
        <v>259252848.00000003</v>
      </c>
      <c r="X112" s="32">
        <f>POWER(W112, 1/$X$1)</f>
        <v>48.166457586476085</v>
      </c>
      <c r="Y112" s="41">
        <v>158</v>
      </c>
      <c r="Z112" s="41">
        <v>54764113</v>
      </c>
      <c r="AA112" s="41">
        <v>1</v>
      </c>
      <c r="AC112" s="50">
        <v>111</v>
      </c>
      <c r="AD112" s="51">
        <f t="shared" si="24"/>
        <v>3868959</v>
      </c>
      <c r="AE112" s="51">
        <f t="shared" si="26"/>
        <v>5033622.333333333</v>
      </c>
      <c r="AF112" s="51">
        <f t="shared" si="25"/>
        <v>1</v>
      </c>
      <c r="AG112" s="55">
        <f t="shared" si="26"/>
        <v>0.88888888888888884</v>
      </c>
      <c r="AH112" s="29">
        <f>SUM($AF$2:AF112)</f>
        <v>82</v>
      </c>
      <c r="AI112" s="55">
        <f>SUM($AG$2:AG112)</f>
        <v>82.666666666666586</v>
      </c>
    </row>
    <row r="113" spans="1:35" x14ac:dyDescent="0.2">
      <c r="A113" s="48" t="s">
        <v>2937</v>
      </c>
      <c r="B113" s="29">
        <v>30</v>
      </c>
      <c r="N113" s="33"/>
      <c r="Q113" s="33"/>
      <c r="S113" s="33"/>
      <c r="U113" s="39"/>
      <c r="V113" s="41">
        <f>VLOOKUP(B113,LevelXp!$D$1:'LevelXp'!$F$1000,3,)</f>
        <v>7042186</v>
      </c>
      <c r="Y113" s="41">
        <v>158</v>
      </c>
      <c r="Z113" s="41">
        <v>7042186</v>
      </c>
      <c r="AA113" s="41">
        <v>0</v>
      </c>
      <c r="AC113" s="50">
        <v>112</v>
      </c>
      <c r="AD113" s="51">
        <f t="shared" si="24"/>
        <v>8848348</v>
      </c>
      <c r="AE113" s="51">
        <f t="shared" si="26"/>
        <v>5791056.333333333</v>
      </c>
      <c r="AF113" s="51">
        <f t="shared" si="25"/>
        <v>2</v>
      </c>
      <c r="AG113" s="55">
        <f t="shared" si="26"/>
        <v>1</v>
      </c>
      <c r="AH113" s="29">
        <f>SUM($AF$2:AF113)</f>
        <v>84</v>
      </c>
      <c r="AI113" s="55">
        <f>SUM($AG$2:AG113)</f>
        <v>83.666666666666586</v>
      </c>
    </row>
    <row r="114" spans="1:35" x14ac:dyDescent="0.2">
      <c r="A114" s="48" t="s">
        <v>8840</v>
      </c>
      <c r="B114" s="29">
        <v>4</v>
      </c>
      <c r="C114" s="29">
        <v>3</v>
      </c>
      <c r="D114" s="29">
        <v>178</v>
      </c>
      <c r="E114" s="29">
        <v>934</v>
      </c>
      <c r="F114" s="29">
        <v>2169</v>
      </c>
      <c r="G114" s="29">
        <v>923</v>
      </c>
      <c r="H114" s="29">
        <v>8014</v>
      </c>
      <c r="I114" s="29">
        <v>1045</v>
      </c>
      <c r="J114" s="29">
        <v>5738024</v>
      </c>
      <c r="K114" s="29">
        <v>2388</v>
      </c>
      <c r="L114" s="29">
        <v>4767</v>
      </c>
      <c r="N114" s="33"/>
      <c r="O114" s="29">
        <f>AVERAGE(K114, L114)</f>
        <v>3577.5</v>
      </c>
      <c r="P114" s="31" cm="1">
        <f t="array" ref="P114">WPNFACTOR(C114)</f>
        <v>2.5</v>
      </c>
      <c r="Q114" s="33" cm="1">
        <f t="array" ref="Q114">HPFACTOr(C114)</f>
        <v>4</v>
      </c>
      <c r="R114" s="32">
        <f>O114/P114</f>
        <v>1431</v>
      </c>
      <c r="S114" s="33">
        <f>J114/Q114</f>
        <v>1434506</v>
      </c>
      <c r="T114" s="32">
        <f>R114*(1 + (N114/400))</f>
        <v>1431</v>
      </c>
      <c r="U114" s="39">
        <f>S114*1.6/(1 + (0.6*(1 - (M114/100))))</f>
        <v>1434506</v>
      </c>
      <c r="V114" s="41">
        <f>VLOOKUP(D114,LevelXp!$A$1:'LevelXp'!$B$1000,2,)/5</f>
        <v>6816906</v>
      </c>
      <c r="W114" s="29">
        <f>T114*U114</f>
        <v>2052778086</v>
      </c>
      <c r="X114" s="32">
        <f>POWER(W114, 1/$X$1)</f>
        <v>72.856516190460312</v>
      </c>
      <c r="Y114" s="41">
        <v>160</v>
      </c>
      <c r="Z114" s="41">
        <v>6816906</v>
      </c>
      <c r="AA114" s="41">
        <v>0</v>
      </c>
      <c r="AC114" s="50">
        <v>113</v>
      </c>
      <c r="AD114" s="51">
        <f t="shared" si="24"/>
        <v>5040468</v>
      </c>
      <c r="AE114" s="51">
        <f t="shared" si="26"/>
        <v>4522963.555555556</v>
      </c>
      <c r="AF114" s="51">
        <f t="shared" si="25"/>
        <v>1</v>
      </c>
      <c r="AG114" s="55">
        <f t="shared" si="26"/>
        <v>0.88888888888888884</v>
      </c>
      <c r="AH114" s="29">
        <f>SUM($AF$2:AF114)</f>
        <v>85</v>
      </c>
      <c r="AI114" s="55">
        <f>SUM($AG$2:AG114)</f>
        <v>84.555555555555472</v>
      </c>
    </row>
    <row r="115" spans="1:35" x14ac:dyDescent="0.2">
      <c r="A115" s="48" t="s">
        <v>8840</v>
      </c>
      <c r="B115" s="29">
        <v>6</v>
      </c>
      <c r="C115" s="29">
        <v>2</v>
      </c>
      <c r="D115" s="29">
        <v>182</v>
      </c>
      <c r="E115" s="29">
        <v>802</v>
      </c>
      <c r="F115" s="29">
        <v>819</v>
      </c>
      <c r="G115" s="29">
        <v>2506</v>
      </c>
      <c r="H115" s="29">
        <v>9009</v>
      </c>
      <c r="I115" s="29">
        <v>1133</v>
      </c>
      <c r="J115" s="29">
        <v>3297294</v>
      </c>
      <c r="K115" s="29">
        <v>4401</v>
      </c>
      <c r="L115" s="29">
        <v>8783</v>
      </c>
      <c r="N115" s="33"/>
      <c r="O115" s="29">
        <f>AVERAGE(K115, L115)</f>
        <v>6592</v>
      </c>
      <c r="P115" s="31" cm="1">
        <f t="array" ref="P115">WPNFACTOR(C115)</f>
        <v>4.5</v>
      </c>
      <c r="Q115" s="33" cm="1">
        <f t="array" ref="Q115">HPFACTOr(C115)</f>
        <v>2</v>
      </c>
      <c r="R115" s="32">
        <f>O115/P115</f>
        <v>1464.8888888888889</v>
      </c>
      <c r="S115" s="33">
        <f>J115/Q115</f>
        <v>1648647</v>
      </c>
      <c r="T115" s="32">
        <f>R115*(1 + (N115/400))</f>
        <v>1464.8888888888889</v>
      </c>
      <c r="U115" s="39">
        <f>S115*1.6/(1 + (0.6*(1 - (M115/100))))</f>
        <v>1648647</v>
      </c>
      <c r="V115" s="41">
        <f>VLOOKUP(D115,LevelXp!$A$1:'LevelXp'!$B$1000,2,)/5</f>
        <v>7512244</v>
      </c>
      <c r="W115" s="29">
        <f>T115*U115</f>
        <v>2415084672</v>
      </c>
      <c r="X115" s="32">
        <f>POWER(W115, 1/$X$1)</f>
        <v>75.263857301478268</v>
      </c>
      <c r="Y115" s="41">
        <v>161</v>
      </c>
      <c r="Z115" s="41">
        <v>7512244</v>
      </c>
      <c r="AA115" s="41">
        <v>0</v>
      </c>
      <c r="AC115" s="50">
        <v>114</v>
      </c>
      <c r="AD115" s="51">
        <f t="shared" si="24"/>
        <v>6175189</v>
      </c>
      <c r="AE115" s="51">
        <f t="shared" si="26"/>
        <v>5531972.555555556</v>
      </c>
      <c r="AF115" s="51">
        <f t="shared" si="25"/>
        <v>1</v>
      </c>
      <c r="AG115" s="55">
        <f t="shared" si="26"/>
        <v>1</v>
      </c>
      <c r="AH115" s="29">
        <f>SUM($AF$2:AF115)</f>
        <v>86</v>
      </c>
      <c r="AI115" s="55">
        <f>SUM($AG$2:AG115)</f>
        <v>85.555555555555472</v>
      </c>
    </row>
    <row r="116" spans="1:35" x14ac:dyDescent="0.2">
      <c r="A116" s="48" t="s">
        <v>8840</v>
      </c>
      <c r="B116" s="29">
        <v>5</v>
      </c>
      <c r="C116" s="29">
        <v>1</v>
      </c>
      <c r="D116" s="29">
        <v>180</v>
      </c>
      <c r="E116" s="29">
        <v>2140</v>
      </c>
      <c r="F116" s="29">
        <v>1010</v>
      </c>
      <c r="G116" s="29">
        <v>890</v>
      </c>
      <c r="H116" s="29">
        <v>9295</v>
      </c>
      <c r="I116" s="29">
        <v>930</v>
      </c>
      <c r="J116" s="29">
        <v>8411975</v>
      </c>
      <c r="K116" s="29">
        <v>1934</v>
      </c>
      <c r="L116" s="29">
        <v>3858</v>
      </c>
      <c r="N116" s="33"/>
      <c r="O116" s="29">
        <f>AVERAGE(K116, L116)</f>
        <v>2896</v>
      </c>
      <c r="P116" s="31" cm="1">
        <f t="array" ref="P116">WPNFACTOR(C116)</f>
        <v>2</v>
      </c>
      <c r="Q116" s="33" cm="1">
        <f t="array" ref="Q116">HPFACTOr(C116)</f>
        <v>5</v>
      </c>
      <c r="R116" s="32">
        <f>O116/P116</f>
        <v>1448</v>
      </c>
      <c r="S116" s="33">
        <f>J116/Q116</f>
        <v>1682395</v>
      </c>
      <c r="T116" s="32">
        <f>R116*(1 + (N116/400))</f>
        <v>1448</v>
      </c>
      <c r="U116" s="39">
        <f>S116*1.6/(1 + (0.6*(1 - (M116/100))))</f>
        <v>1682395</v>
      </c>
      <c r="V116" s="41">
        <f>VLOOKUP(D116,LevelXp!$A$1:'LevelXp'!$B$1000,2,)/5</f>
        <v>7157815</v>
      </c>
      <c r="W116" s="29">
        <f>T116*U116</f>
        <v>2436107960</v>
      </c>
      <c r="X116" s="32">
        <f>POWER(W116, 1/$X$1)</f>
        <v>75.394437634987924</v>
      </c>
      <c r="Y116" s="41">
        <v>161</v>
      </c>
      <c r="Z116" s="41">
        <v>7157815</v>
      </c>
      <c r="AA116" s="41">
        <v>0</v>
      </c>
      <c r="AC116" s="50">
        <v>115</v>
      </c>
      <c r="AD116" s="51">
        <f t="shared" si="24"/>
        <v>6489101</v>
      </c>
      <c r="AE116" s="51">
        <f t="shared" si="26"/>
        <v>6705609.333333333</v>
      </c>
      <c r="AF116" s="51">
        <f t="shared" si="25"/>
        <v>1</v>
      </c>
      <c r="AG116" s="55">
        <f t="shared" si="26"/>
        <v>1</v>
      </c>
      <c r="AH116" s="29">
        <f>SUM($AF$2:AF116)</f>
        <v>87</v>
      </c>
      <c r="AI116" s="55">
        <f>SUM($AG$2:AG116)</f>
        <v>86.555555555555472</v>
      </c>
    </row>
    <row r="117" spans="1:35" x14ac:dyDescent="0.2">
      <c r="A117" s="48" t="s">
        <v>8840</v>
      </c>
      <c r="B117" s="29">
        <v>8</v>
      </c>
      <c r="C117" s="29">
        <v>2</v>
      </c>
      <c r="D117" s="29">
        <v>186</v>
      </c>
      <c r="E117" s="29">
        <v>781</v>
      </c>
      <c r="F117" s="29">
        <v>806</v>
      </c>
      <c r="G117" s="29">
        <v>2852</v>
      </c>
      <c r="H117" s="29">
        <v>9510</v>
      </c>
      <c r="I117" s="29">
        <v>1196</v>
      </c>
      <c r="J117" s="29">
        <v>3556740</v>
      </c>
      <c r="K117" s="29">
        <v>4498</v>
      </c>
      <c r="L117" s="29">
        <v>8944</v>
      </c>
      <c r="N117" s="33"/>
      <c r="O117" s="29">
        <f>AVERAGE(K117, L117)</f>
        <v>6721</v>
      </c>
      <c r="P117" s="31" cm="1">
        <f t="array" ref="P117">WPNFACTOR(C117)</f>
        <v>4.5</v>
      </c>
      <c r="Q117" s="33" cm="1">
        <f t="array" ref="Q117">HPFACTOr(C117)</f>
        <v>2</v>
      </c>
      <c r="R117" s="32">
        <f>O117/P117</f>
        <v>1493.5555555555557</v>
      </c>
      <c r="S117" s="33">
        <f>J117/Q117</f>
        <v>1778370</v>
      </c>
      <c r="T117" s="32">
        <f>R117*(1 + (N117/400))</f>
        <v>1493.5555555555557</v>
      </c>
      <c r="U117" s="39">
        <f>S117*1.6/(1 + (0.6*(1 - (M117/100))))</f>
        <v>1778370</v>
      </c>
      <c r="V117" s="41">
        <f>VLOOKUP(D117,LevelXp!$A$1:'LevelXp'!$B$1000,2,)/5</f>
        <v>8266192</v>
      </c>
      <c r="W117" s="29">
        <f>T117*U117</f>
        <v>2656094393.3333335</v>
      </c>
      <c r="X117" s="32">
        <f>POWER(W117, 1/$X$1)</f>
        <v>76.709420346629699</v>
      </c>
      <c r="Y117" s="41">
        <v>162</v>
      </c>
      <c r="Z117" s="41">
        <v>8266192</v>
      </c>
      <c r="AA117" s="41">
        <v>0</v>
      </c>
      <c r="AC117" s="50">
        <v>116</v>
      </c>
      <c r="AD117" s="51">
        <f t="shared" si="24"/>
        <v>6816906</v>
      </c>
      <c r="AE117" s="51">
        <f t="shared" si="26"/>
        <v>6275725</v>
      </c>
      <c r="AF117" s="51">
        <f t="shared" si="25"/>
        <v>1</v>
      </c>
      <c r="AG117" s="55">
        <f t="shared" si="26"/>
        <v>0.88888888888888884</v>
      </c>
      <c r="AH117" s="29">
        <f>SUM($AF$2:AF117)</f>
        <v>88</v>
      </c>
      <c r="AI117" s="55">
        <f>SUM($AG$2:AG117)</f>
        <v>87.444444444444358</v>
      </c>
    </row>
    <row r="118" spans="1:35" x14ac:dyDescent="0.2">
      <c r="A118" s="48" t="s">
        <v>8840</v>
      </c>
      <c r="B118" s="29">
        <v>7</v>
      </c>
      <c r="C118" s="29">
        <v>1</v>
      </c>
      <c r="D118" s="29">
        <v>184</v>
      </c>
      <c r="E118" s="29">
        <v>2540</v>
      </c>
      <c r="F118" s="29">
        <v>955</v>
      </c>
      <c r="G118" s="29">
        <v>863</v>
      </c>
      <c r="H118" s="29">
        <v>10120</v>
      </c>
      <c r="I118" s="29">
        <v>1004</v>
      </c>
      <c r="J118" s="29">
        <v>9361000</v>
      </c>
      <c r="K118" s="29">
        <v>1973</v>
      </c>
      <c r="L118" s="29">
        <v>3945</v>
      </c>
      <c r="N118" s="33"/>
      <c r="O118" s="29">
        <f>AVERAGE(K118, L118)</f>
        <v>2959</v>
      </c>
      <c r="P118" s="31" cm="1">
        <f t="array" ref="P118">WPNFACTOR(C118)</f>
        <v>2</v>
      </c>
      <c r="Q118" s="33" cm="1">
        <f t="array" ref="Q118">HPFACTOr(C118)</f>
        <v>5</v>
      </c>
      <c r="R118" s="32">
        <f>O118/P118</f>
        <v>1479.5</v>
      </c>
      <c r="S118" s="33">
        <f>J118/Q118</f>
        <v>1872200</v>
      </c>
      <c r="T118" s="32">
        <f>R118*(1 + (N118/400))</f>
        <v>1479.5</v>
      </c>
      <c r="U118" s="39">
        <f>S118*1.6/(1 + (0.6*(1 - (M118/100))))</f>
        <v>1872200</v>
      </c>
      <c r="V118" s="41">
        <f>VLOOKUP(D118,LevelXp!$A$1:'LevelXp'!$B$1000,2,)/5</f>
        <v>7882016</v>
      </c>
      <c r="W118" s="29">
        <f>T118*U118</f>
        <v>2769919900</v>
      </c>
      <c r="X118" s="32">
        <f>POWER(W118, 1/$X$1)</f>
        <v>77.355899781650521</v>
      </c>
      <c r="Y118" s="41">
        <v>162</v>
      </c>
      <c r="Z118" s="41">
        <v>7882016</v>
      </c>
      <c r="AA118" s="41">
        <v>0</v>
      </c>
      <c r="AC118" s="50">
        <v>117</v>
      </c>
      <c r="AD118" s="51">
        <f t="shared" si="24"/>
        <v>0</v>
      </c>
      <c r="AE118" s="51">
        <f t="shared" si="26"/>
        <v>6872799.777777778</v>
      </c>
      <c r="AF118" s="51">
        <f t="shared" si="25"/>
        <v>0</v>
      </c>
      <c r="AG118" s="55">
        <f t="shared" si="26"/>
        <v>0.77777777777777779</v>
      </c>
      <c r="AH118" s="29">
        <f>SUM($AF$2:AF118)</f>
        <v>88</v>
      </c>
      <c r="AI118" s="55">
        <f>SUM($AG$2:AG118)</f>
        <v>88.222222222222129</v>
      </c>
    </row>
    <row r="119" spans="1:35" x14ac:dyDescent="0.2">
      <c r="A119" s="48" t="s">
        <v>2937</v>
      </c>
      <c r="B119" s="29">
        <v>40</v>
      </c>
      <c r="N119" s="33"/>
      <c r="Q119" s="33"/>
      <c r="S119" s="33"/>
      <c r="U119" s="39"/>
      <c r="V119" s="41">
        <f>VLOOKUP(B119,LevelXp!$D$1:'LevelXp'!$F$1000,3,)</f>
        <v>10958583</v>
      </c>
      <c r="Y119" s="41">
        <v>162</v>
      </c>
      <c r="Z119" s="41">
        <v>10958583</v>
      </c>
      <c r="AA119" s="41">
        <v>0</v>
      </c>
      <c r="AC119" s="50">
        <v>118</v>
      </c>
      <c r="AD119" s="51">
        <f t="shared" si="24"/>
        <v>9081081</v>
      </c>
      <c r="AE119" s="51">
        <f t="shared" si="26"/>
        <v>6312747.777777778</v>
      </c>
      <c r="AF119" s="51">
        <f t="shared" si="25"/>
        <v>1</v>
      </c>
      <c r="AG119" s="55">
        <f t="shared" si="26"/>
        <v>0.66666666666666663</v>
      </c>
      <c r="AH119" s="29">
        <f>SUM($AF$2:AF119)</f>
        <v>89</v>
      </c>
      <c r="AI119" s="55">
        <f>SUM($AG$2:AG119)</f>
        <v>88.8888888888888</v>
      </c>
    </row>
    <row r="120" spans="1:35" x14ac:dyDescent="0.2">
      <c r="A120" s="48" t="s">
        <v>8850</v>
      </c>
      <c r="B120" s="29">
        <v>7</v>
      </c>
      <c r="C120" s="29">
        <v>1</v>
      </c>
      <c r="D120" s="29">
        <v>285</v>
      </c>
      <c r="E120" s="29">
        <v>5540</v>
      </c>
      <c r="F120" s="29">
        <v>1945</v>
      </c>
      <c r="G120" s="29">
        <v>1920</v>
      </c>
      <c r="H120" s="29">
        <v>5260</v>
      </c>
      <c r="I120" s="29">
        <v>1310</v>
      </c>
      <c r="J120" s="29">
        <v>7521800</v>
      </c>
      <c r="K120" s="29">
        <v>300</v>
      </c>
      <c r="L120" s="29">
        <v>429</v>
      </c>
      <c r="N120" s="33"/>
      <c r="O120" s="29">
        <f>AVERAGE(K120, L120)</f>
        <v>364.5</v>
      </c>
      <c r="P120" s="31" cm="1">
        <f t="array" ref="P120">WPNFACTOR(C120)</f>
        <v>2</v>
      </c>
      <c r="Q120" s="33" cm="1">
        <f t="array" ref="Q120">HPFACTOr(C120)</f>
        <v>5</v>
      </c>
      <c r="R120" s="32">
        <f>O120/P120</f>
        <v>182.25</v>
      </c>
      <c r="S120" s="33">
        <f>J120/Q120</f>
        <v>1504360</v>
      </c>
      <c r="T120" s="32">
        <f>R120*(1 + (N120/400))</f>
        <v>182.25</v>
      </c>
      <c r="U120" s="39">
        <f>S120*1.6/(1 + (0.6*(1 - (M120/100))))</f>
        <v>1504360</v>
      </c>
      <c r="V120" s="41">
        <f>VLOOKUP(D120,LevelXp!$A$1:'LevelXp'!$B$1000,2,)/5</f>
        <v>59666036</v>
      </c>
      <c r="W120" s="29">
        <f>T120*U120</f>
        <v>274169610</v>
      </c>
      <c r="X120" s="32">
        <f>POWER(W120, 1/$X$1)</f>
        <v>48.708399886689634</v>
      </c>
      <c r="Y120" s="41">
        <v>164</v>
      </c>
      <c r="Z120" s="41">
        <v>59666036</v>
      </c>
      <c r="AA120" s="41">
        <v>1</v>
      </c>
      <c r="AC120" s="50">
        <v>119</v>
      </c>
      <c r="AD120" s="51">
        <f t="shared" si="24"/>
        <v>14030432</v>
      </c>
      <c r="AE120" s="51">
        <f t="shared" si="26"/>
        <v>7384896.666666667</v>
      </c>
      <c r="AF120" s="51">
        <f t="shared" si="25"/>
        <v>1</v>
      </c>
      <c r="AG120" s="55">
        <f t="shared" si="26"/>
        <v>0.66666666666666663</v>
      </c>
      <c r="AH120" s="29">
        <f>SUM($AF$2:AF120)</f>
        <v>90</v>
      </c>
      <c r="AI120" s="55">
        <f>SUM($AG$2:AG120)</f>
        <v>89.555555555555472</v>
      </c>
    </row>
    <row r="121" spans="1:35" x14ac:dyDescent="0.2">
      <c r="A121" s="48" t="s">
        <v>8850</v>
      </c>
      <c r="B121" s="29">
        <v>8</v>
      </c>
      <c r="C121" s="29">
        <v>3</v>
      </c>
      <c r="D121" s="29">
        <v>290</v>
      </c>
      <c r="E121" s="29">
        <v>1420</v>
      </c>
      <c r="F121" s="29">
        <v>5640</v>
      </c>
      <c r="G121" s="29">
        <v>1410</v>
      </c>
      <c r="H121" s="29">
        <v>5360</v>
      </c>
      <c r="I121" s="29">
        <v>2045</v>
      </c>
      <c r="J121" s="29">
        <v>6239040</v>
      </c>
      <c r="K121" s="29">
        <v>366</v>
      </c>
      <c r="L121" s="29">
        <v>578</v>
      </c>
      <c r="N121" s="33"/>
      <c r="O121" s="29">
        <f>AVERAGE(K121, L121)</f>
        <v>472</v>
      </c>
      <c r="P121" s="31" cm="1">
        <f t="array" ref="P121">WPNFACTOR(C121)</f>
        <v>2.5</v>
      </c>
      <c r="Q121" s="33" cm="1">
        <f t="array" ref="Q121">HPFACTOr(C121)</f>
        <v>4</v>
      </c>
      <c r="R121" s="32">
        <f>O121/P121</f>
        <v>188.8</v>
      </c>
      <c r="S121" s="33">
        <f>J121/Q121</f>
        <v>1559760</v>
      </c>
      <c r="T121" s="32">
        <f>R121*(1 + (N121/400))</f>
        <v>188.8</v>
      </c>
      <c r="U121" s="39">
        <f>S121*1.6/(1 + (0.6*(1 - (M121/100))))</f>
        <v>1559760</v>
      </c>
      <c r="V121" s="41">
        <f>VLOOKUP(D121,LevelXp!$A$1:'LevelXp'!$B$1000,2,)/5</f>
        <v>64942539</v>
      </c>
      <c r="W121" s="29">
        <f>T121*U121</f>
        <v>294482688</v>
      </c>
      <c r="X121" s="32">
        <f>POWER(W121, 1/$X$1)</f>
        <v>49.40967004763835</v>
      </c>
      <c r="Y121" s="41">
        <v>166</v>
      </c>
      <c r="Z121" s="41">
        <v>64942539</v>
      </c>
      <c r="AA121" s="41">
        <v>1</v>
      </c>
      <c r="AC121" s="50">
        <v>120</v>
      </c>
      <c r="AD121" s="51">
        <f t="shared" si="24"/>
        <v>0</v>
      </c>
      <c r="AE121" s="51">
        <f t="shared" si="26"/>
        <v>6663885.444444444</v>
      </c>
      <c r="AF121" s="51">
        <f t="shared" si="25"/>
        <v>0</v>
      </c>
      <c r="AG121" s="55">
        <f t="shared" si="26"/>
        <v>0.55555555555555558</v>
      </c>
      <c r="AH121" s="29">
        <f>SUM($AF$2:AF121)</f>
        <v>90</v>
      </c>
      <c r="AI121" s="55">
        <f>SUM($AG$2:AG121)</f>
        <v>90.111111111111029</v>
      </c>
    </row>
    <row r="122" spans="1:35" x14ac:dyDescent="0.2">
      <c r="A122" s="48" t="s">
        <v>2937</v>
      </c>
      <c r="B122" s="29">
        <v>50</v>
      </c>
      <c r="N122" s="33"/>
      <c r="Q122" s="33"/>
      <c r="S122" s="33"/>
      <c r="U122" s="39"/>
      <c r="V122" s="41">
        <f>VLOOKUP(B122,LevelXp!$D$1:'LevelXp'!$F$1000,3,)</f>
        <v>14090331</v>
      </c>
      <c r="Y122" s="41">
        <v>166</v>
      </c>
      <c r="Z122" s="41">
        <v>14090331</v>
      </c>
      <c r="AA122" s="41">
        <v>0</v>
      </c>
      <c r="AC122" s="50">
        <v>121</v>
      </c>
      <c r="AD122" s="51">
        <f t="shared" si="24"/>
        <v>14222021</v>
      </c>
      <c r="AE122" s="51">
        <f t="shared" si="26"/>
        <v>7860004.111111111</v>
      </c>
      <c r="AF122" s="51">
        <f t="shared" si="25"/>
        <v>1</v>
      </c>
      <c r="AG122" s="55">
        <f t="shared" si="26"/>
        <v>0.55555555555555558</v>
      </c>
      <c r="AH122" s="29">
        <f>SUM($AF$2:AF122)</f>
        <v>91</v>
      </c>
      <c r="AI122" s="55">
        <f>SUM($AG$2:AG122)</f>
        <v>90.666666666666586</v>
      </c>
    </row>
    <row r="123" spans="1:35" x14ac:dyDescent="0.2">
      <c r="A123" s="48" t="s">
        <v>8850</v>
      </c>
      <c r="B123" s="29">
        <v>9</v>
      </c>
      <c r="C123" s="29">
        <v>2</v>
      </c>
      <c r="D123" s="29">
        <v>295</v>
      </c>
      <c r="E123" s="29">
        <v>1425</v>
      </c>
      <c r="F123" s="29">
        <v>1445</v>
      </c>
      <c r="G123" s="29">
        <v>5820</v>
      </c>
      <c r="H123" s="29">
        <v>5380</v>
      </c>
      <c r="I123" s="29">
        <v>2075</v>
      </c>
      <c r="J123" s="29">
        <v>3184960</v>
      </c>
      <c r="K123" s="29">
        <v>653</v>
      </c>
      <c r="L123" s="29">
        <v>1079</v>
      </c>
      <c r="N123" s="33"/>
      <c r="O123" s="29">
        <f>AVERAGE(K123, L123)</f>
        <v>866</v>
      </c>
      <c r="P123" s="31" cm="1">
        <f t="array" ref="P123">WPNFACTOR(C123)</f>
        <v>4.5</v>
      </c>
      <c r="Q123" s="33" cm="1">
        <f t="array" ref="Q123">HPFACTOr(C123)</f>
        <v>2</v>
      </c>
      <c r="R123" s="32">
        <f>O123/P123</f>
        <v>192.44444444444446</v>
      </c>
      <c r="S123" s="33">
        <f>J123/Q123</f>
        <v>1592480</v>
      </c>
      <c r="T123" s="32">
        <f>R123*(1 + (N123/400))</f>
        <v>192.44444444444446</v>
      </c>
      <c r="U123" s="39">
        <f>S123*1.6/(1 + (0.6*(1 - (M123/100))))</f>
        <v>1592480</v>
      </c>
      <c r="V123" s="41">
        <f>VLOOKUP(D123,LevelXp!$A$1:'LevelXp'!$B$1000,2,)/5</f>
        <v>70595045</v>
      </c>
      <c r="W123" s="29">
        <f>T123*U123</f>
        <v>306463928.8888889</v>
      </c>
      <c r="X123" s="32">
        <f>POWER(W123, 1/$X$1)</f>
        <v>49.805335849001494</v>
      </c>
      <c r="Y123" s="41">
        <v>169</v>
      </c>
      <c r="Z123" s="41">
        <v>70595045</v>
      </c>
      <c r="AA123" s="41">
        <v>1</v>
      </c>
      <c r="AC123" s="50">
        <v>122</v>
      </c>
      <c r="AD123" s="51">
        <f t="shared" si="24"/>
        <v>0</v>
      </c>
      <c r="AE123" s="51">
        <f t="shared" si="26"/>
        <v>7860004.111111111</v>
      </c>
      <c r="AF123" s="51">
        <f t="shared" si="25"/>
        <v>0</v>
      </c>
      <c r="AG123" s="55">
        <f t="shared" si="26"/>
        <v>0.55555555555555558</v>
      </c>
      <c r="AH123" s="29">
        <f>SUM($AF$2:AF123)</f>
        <v>91</v>
      </c>
      <c r="AI123" s="55">
        <f>SUM($AG$2:AG123)</f>
        <v>91.222222222222143</v>
      </c>
    </row>
    <row r="124" spans="1:35" x14ac:dyDescent="0.2">
      <c r="A124" s="48" t="s">
        <v>2937</v>
      </c>
      <c r="B124" s="29">
        <v>60</v>
      </c>
      <c r="N124" s="33"/>
      <c r="Q124" s="33"/>
      <c r="S124" s="33"/>
      <c r="U124" s="39"/>
      <c r="V124" s="41">
        <f>VLOOKUP(B124,LevelXp!$D$1:'LevelXp'!$F$1000,3,)</f>
        <v>17423920</v>
      </c>
      <c r="Y124" s="41">
        <v>170</v>
      </c>
      <c r="Z124" s="41">
        <v>17423920</v>
      </c>
      <c r="AA124" s="41">
        <v>0</v>
      </c>
      <c r="AC124" s="50">
        <v>123</v>
      </c>
      <c r="AD124" s="51">
        <f t="shared" si="24"/>
        <v>15824529</v>
      </c>
      <c r="AE124" s="51">
        <f t="shared" si="26"/>
        <v>9016756.444444444</v>
      </c>
      <c r="AF124" s="51">
        <f t="shared" si="25"/>
        <v>1</v>
      </c>
      <c r="AG124" s="55">
        <f t="shared" si="26"/>
        <v>0.55555555555555558</v>
      </c>
      <c r="AH124" s="29">
        <f>SUM($AF$2:AF124)</f>
        <v>92</v>
      </c>
      <c r="AI124" s="55">
        <f>SUM($AG$2:AG124)</f>
        <v>91.7777777777777</v>
      </c>
    </row>
    <row r="125" spans="1:35" x14ac:dyDescent="0.2">
      <c r="A125" s="48" t="s">
        <v>8840</v>
      </c>
      <c r="B125" s="29">
        <v>9</v>
      </c>
      <c r="C125" s="29">
        <v>1</v>
      </c>
      <c r="D125" s="29">
        <v>188</v>
      </c>
      <c r="E125" s="29">
        <v>2885</v>
      </c>
      <c r="F125" s="29">
        <v>972</v>
      </c>
      <c r="G125" s="29">
        <v>897</v>
      </c>
      <c r="H125" s="29">
        <v>11500</v>
      </c>
      <c r="I125" s="29">
        <v>1118</v>
      </c>
      <c r="J125" s="29">
        <v>10867500</v>
      </c>
      <c r="K125" s="29">
        <v>2017</v>
      </c>
      <c r="L125" s="29">
        <v>4027</v>
      </c>
      <c r="N125" s="33"/>
      <c r="O125" s="29">
        <f>AVERAGE(K125, L125)</f>
        <v>3022</v>
      </c>
      <c r="P125" s="31" cm="1">
        <f t="array" ref="P125">WPNFACTOR(C125)</f>
        <v>2</v>
      </c>
      <c r="Q125" s="33" cm="1">
        <f t="array" ref="Q125">HPFACTOr(C125)</f>
        <v>5</v>
      </c>
      <c r="R125" s="32">
        <f>O125/P125</f>
        <v>1511</v>
      </c>
      <c r="S125" s="33">
        <f>J125/Q125</f>
        <v>2173500</v>
      </c>
      <c r="T125" s="32">
        <f>R125*(1 + (N125/400))</f>
        <v>1511</v>
      </c>
      <c r="U125" s="39">
        <f>S125*1.6/(1 + (0.6*(1 - (M125/100))))</f>
        <v>2173500</v>
      </c>
      <c r="V125" s="41">
        <f>VLOOKUP(D125,LevelXp!$A$1:'LevelXp'!$B$1000,2,)/5</f>
        <v>8665213</v>
      </c>
      <c r="W125" s="29">
        <f>T125*U125</f>
        <v>3284158500</v>
      </c>
      <c r="X125" s="32">
        <f>POWER(W125, 1/$X$1)</f>
        <v>80.035897944760748</v>
      </c>
      <c r="Y125" s="41">
        <v>171</v>
      </c>
      <c r="Z125" s="41">
        <v>8665213</v>
      </c>
      <c r="AA125" s="41">
        <v>0</v>
      </c>
      <c r="AC125" s="50">
        <v>124</v>
      </c>
      <c r="AD125" s="51">
        <f t="shared" si="24"/>
        <v>0</v>
      </c>
      <c r="AE125" s="51">
        <f t="shared" si="26"/>
        <v>7457819.555555556</v>
      </c>
      <c r="AF125" s="51">
        <f t="shared" si="25"/>
        <v>0</v>
      </c>
      <c r="AG125" s="55">
        <f t="shared" si="26"/>
        <v>0.44444444444444442</v>
      </c>
      <c r="AH125" s="29">
        <f>SUM($AF$2:AF125)</f>
        <v>92</v>
      </c>
      <c r="AI125" s="55">
        <f>SUM($AG$2:AG125)</f>
        <v>92.222222222222143</v>
      </c>
    </row>
    <row r="126" spans="1:35" x14ac:dyDescent="0.2">
      <c r="A126" s="48" t="s">
        <v>8841</v>
      </c>
      <c r="B126" s="29">
        <v>1</v>
      </c>
      <c r="C126" s="29">
        <v>3</v>
      </c>
      <c r="D126" s="29">
        <v>192</v>
      </c>
      <c r="E126" s="29">
        <v>969</v>
      </c>
      <c r="F126" s="29">
        <v>2534</v>
      </c>
      <c r="G126" s="29">
        <v>969</v>
      </c>
      <c r="H126" s="29">
        <v>9185</v>
      </c>
      <c r="I126" s="29">
        <v>1142</v>
      </c>
      <c r="J126" s="29">
        <v>7090820</v>
      </c>
      <c r="K126" s="29">
        <v>2598</v>
      </c>
      <c r="L126" s="29">
        <v>5104</v>
      </c>
      <c r="N126" s="33"/>
      <c r="O126" s="29">
        <f>AVERAGE(K126, L126)</f>
        <v>3851</v>
      </c>
      <c r="P126" s="31" cm="1">
        <f t="array" ref="P126">WPNFACTOR(C126)</f>
        <v>2.5</v>
      </c>
      <c r="Q126" s="33" cm="1">
        <f t="array" ref="Q126">HPFACTOr(C126)</f>
        <v>4</v>
      </c>
      <c r="R126" s="32">
        <f>O126/P126</f>
        <v>1540.4</v>
      </c>
      <c r="S126" s="33">
        <f>J126/Q126</f>
        <v>1772705</v>
      </c>
      <c r="T126" s="32">
        <f>R126*(1 + (N126/400))</f>
        <v>1540.4</v>
      </c>
      <c r="U126" s="39">
        <f>S126*1.6/(1 + (0.6*(1 - (M126/100))))</f>
        <v>1772705</v>
      </c>
      <c r="V126" s="41">
        <f>VLOOKUP(D126,LevelXp!$A$1:'LevelXp'!$B$1000,2,)/5</f>
        <v>9512780</v>
      </c>
      <c r="W126" s="29">
        <f>T126*U126</f>
        <v>2730674782</v>
      </c>
      <c r="X126" s="32">
        <f>POWER(W126, 1/$X$1)</f>
        <v>77.135446168262504</v>
      </c>
      <c r="Y126" s="41">
        <v>171</v>
      </c>
      <c r="Z126" s="41">
        <v>9512780</v>
      </c>
      <c r="AA126" s="41">
        <v>0</v>
      </c>
      <c r="AC126" s="50">
        <v>125</v>
      </c>
      <c r="AD126" s="51">
        <f t="shared" si="24"/>
        <v>17581974</v>
      </c>
      <c r="AE126" s="51">
        <f t="shared" si="26"/>
        <v>7457819.555555556</v>
      </c>
      <c r="AF126" s="51">
        <f t="shared" si="25"/>
        <v>1</v>
      </c>
      <c r="AG126" s="55">
        <f t="shared" si="26"/>
        <v>0.44444444444444442</v>
      </c>
      <c r="AH126" s="29">
        <f>SUM($AF$2:AF126)</f>
        <v>93</v>
      </c>
      <c r="AI126" s="55">
        <f>SUM($AG$2:AG126)</f>
        <v>92.666666666666586</v>
      </c>
    </row>
    <row r="127" spans="1:35" x14ac:dyDescent="0.2">
      <c r="A127" s="48" t="s">
        <v>8850</v>
      </c>
      <c r="B127" s="29">
        <v>10</v>
      </c>
      <c r="C127" s="29">
        <v>1</v>
      </c>
      <c r="D127" s="29">
        <v>300</v>
      </c>
      <c r="E127" s="29">
        <v>5840</v>
      </c>
      <c r="F127" s="29">
        <v>2050</v>
      </c>
      <c r="G127" s="29">
        <v>2025</v>
      </c>
      <c r="H127" s="29">
        <v>5560</v>
      </c>
      <c r="I127" s="29">
        <v>1370</v>
      </c>
      <c r="J127" s="29">
        <v>8367800</v>
      </c>
      <c r="K127" s="29">
        <v>315</v>
      </c>
      <c r="L127" s="29">
        <v>474</v>
      </c>
      <c r="N127" s="33"/>
      <c r="O127" s="29">
        <f>AVERAGE(K127, L127)</f>
        <v>394.5</v>
      </c>
      <c r="P127" s="31" cm="1">
        <f t="array" ref="P127">WPNFACTOR(C127)</f>
        <v>2</v>
      </c>
      <c r="Q127" s="33" cm="1">
        <f t="array" ref="Q127">HPFACTOr(C127)</f>
        <v>5</v>
      </c>
      <c r="R127" s="32">
        <f>O127/P127</f>
        <v>197.25</v>
      </c>
      <c r="S127" s="33">
        <f>J127/Q127</f>
        <v>1673560</v>
      </c>
      <c r="T127" s="32">
        <f>R127*(1 + (N127/400))</f>
        <v>197.25</v>
      </c>
      <c r="U127" s="39">
        <f>S127*1.6/(1 + (0.6*(1 - (M127/100))))</f>
        <v>1673560</v>
      </c>
      <c r="V127" s="41">
        <f>VLOOKUP(D127,LevelXp!$A$1:'LevelXp'!$B$1000,2,)/5</f>
        <v>76669139</v>
      </c>
      <c r="W127" s="29">
        <f>T127*U127</f>
        <v>330109710</v>
      </c>
      <c r="X127" s="32">
        <f>POWER(W127, 1/$X$1)</f>
        <v>50.551222155927341</v>
      </c>
      <c r="Y127" s="41">
        <v>172</v>
      </c>
      <c r="Z127" s="41">
        <v>76669139</v>
      </c>
      <c r="AA127" s="41">
        <v>1</v>
      </c>
      <c r="AC127" s="50">
        <v>126</v>
      </c>
      <c r="AD127" s="51">
        <f t="shared" si="24"/>
        <v>0</v>
      </c>
      <c r="AE127" s="51">
        <f t="shared" si="26"/>
        <v>8275010.888888889</v>
      </c>
      <c r="AF127" s="51">
        <f t="shared" si="25"/>
        <v>0</v>
      </c>
      <c r="AG127" s="55">
        <f t="shared" si="26"/>
        <v>0.44444444444444442</v>
      </c>
      <c r="AH127" s="29">
        <f>SUM($AF$2:AF127)</f>
        <v>93</v>
      </c>
      <c r="AI127" s="55">
        <f>SUM($AG$2:AG127)</f>
        <v>93.111111111111029</v>
      </c>
    </row>
    <row r="128" spans="1:35" x14ac:dyDescent="0.2">
      <c r="A128" s="48" t="s">
        <v>8851</v>
      </c>
      <c r="B128" s="29">
        <v>1</v>
      </c>
      <c r="C128" s="29">
        <v>2</v>
      </c>
      <c r="D128" s="29">
        <v>305</v>
      </c>
      <c r="E128" s="29">
        <v>1475</v>
      </c>
      <c r="F128" s="29">
        <v>1495</v>
      </c>
      <c r="G128" s="29">
        <v>6020</v>
      </c>
      <c r="H128" s="29">
        <v>5580</v>
      </c>
      <c r="I128" s="29">
        <v>2145</v>
      </c>
      <c r="J128" s="29">
        <v>3414960</v>
      </c>
      <c r="K128" s="29">
        <v>669</v>
      </c>
      <c r="L128" s="29">
        <v>1150</v>
      </c>
      <c r="N128" s="33"/>
      <c r="O128" s="29">
        <f>AVERAGE(K128, L128)</f>
        <v>909.5</v>
      </c>
      <c r="P128" s="31" cm="1">
        <f t="array" ref="P128">WPNFACTOR(C128)</f>
        <v>4.5</v>
      </c>
      <c r="Q128" s="33" cm="1">
        <f t="array" ref="Q128">HPFACTOr(C128)</f>
        <v>2</v>
      </c>
      <c r="R128" s="32">
        <f>O128/P128</f>
        <v>202.11111111111111</v>
      </c>
      <c r="S128" s="33">
        <f>J128/Q128</f>
        <v>1707480</v>
      </c>
      <c r="T128" s="32">
        <f>R128*(1 + (N128/400))</f>
        <v>202.11111111111111</v>
      </c>
      <c r="U128" s="39">
        <f>S128*1.6/(1 + (0.6*(1 - (M128/100))))</f>
        <v>1707480</v>
      </c>
      <c r="V128" s="41">
        <f>VLOOKUP(D128,LevelXp!$A$1:'LevelXp'!$B$1000,2,)/5</f>
        <v>83158305</v>
      </c>
      <c r="W128" s="29">
        <f>T128*U128</f>
        <v>345100680</v>
      </c>
      <c r="X128" s="32">
        <f>POWER(W128, 1/$X$1)</f>
        <v>51.00222971659786</v>
      </c>
      <c r="Y128" s="41">
        <v>174</v>
      </c>
      <c r="Z128" s="41">
        <v>83158305</v>
      </c>
      <c r="AA128" s="41">
        <v>1</v>
      </c>
      <c r="AC128" s="50">
        <v>127</v>
      </c>
      <c r="AD128" s="51">
        <f t="shared" si="24"/>
        <v>19491852</v>
      </c>
      <c r="AE128" s="51">
        <f t="shared" si="26"/>
        <v>8275010.888888889</v>
      </c>
      <c r="AF128" s="51">
        <f t="shared" si="25"/>
        <v>1</v>
      </c>
      <c r="AG128" s="55">
        <f t="shared" si="26"/>
        <v>0.44444444444444442</v>
      </c>
      <c r="AH128" s="29">
        <f>SUM($AF$2:AF128)</f>
        <v>94</v>
      </c>
      <c r="AI128" s="55">
        <f>SUM($AG$2:AG128)</f>
        <v>93.555555555555472</v>
      </c>
    </row>
    <row r="129" spans="1:35" x14ac:dyDescent="0.2">
      <c r="A129" s="48" t="s">
        <v>2937</v>
      </c>
      <c r="B129" s="29">
        <v>70</v>
      </c>
      <c r="N129" s="33"/>
      <c r="Q129" s="33"/>
      <c r="S129" s="33"/>
      <c r="U129" s="39"/>
      <c r="V129" s="41">
        <f>VLOOKUP(B129,LevelXp!$D$1:'LevelXp'!$F$1000,3,)</f>
        <v>21389343</v>
      </c>
      <c r="Y129" s="41">
        <v>174</v>
      </c>
      <c r="Z129" s="41">
        <v>21389343</v>
      </c>
      <c r="AA129" s="41">
        <v>0</v>
      </c>
      <c r="AC129" s="50">
        <v>128</v>
      </c>
      <c r="AD129" s="51">
        <f t="shared" si="24"/>
        <v>0</v>
      </c>
      <c r="AE129" s="51">
        <f t="shared" si="26"/>
        <v>9165543.8888888881</v>
      </c>
      <c r="AF129" s="51">
        <f t="shared" si="25"/>
        <v>0</v>
      </c>
      <c r="AG129" s="55">
        <f t="shared" si="26"/>
        <v>0.44444444444444442</v>
      </c>
      <c r="AH129" s="29">
        <f>SUM($AF$2:AF129)</f>
        <v>94</v>
      </c>
      <c r="AI129" s="55">
        <f>SUM($AG$2:AG129)</f>
        <v>93.999999999999915</v>
      </c>
    </row>
    <row r="130" spans="1:35" x14ac:dyDescent="0.2">
      <c r="A130" s="48" t="s">
        <v>8851</v>
      </c>
      <c r="B130" s="29">
        <v>2</v>
      </c>
      <c r="C130" s="29">
        <v>2</v>
      </c>
      <c r="D130" s="29">
        <v>310</v>
      </c>
      <c r="E130" s="29">
        <v>1500</v>
      </c>
      <c r="F130" s="29">
        <v>1520</v>
      </c>
      <c r="G130" s="29">
        <v>6120</v>
      </c>
      <c r="H130" s="29">
        <v>5680</v>
      </c>
      <c r="I130" s="29">
        <v>2180</v>
      </c>
      <c r="J130" s="29">
        <v>3532960</v>
      </c>
      <c r="K130" s="29">
        <v>679</v>
      </c>
      <c r="L130" s="29">
        <v>1185</v>
      </c>
      <c r="N130" s="33"/>
      <c r="O130" s="29">
        <f>AVERAGE(K130, L130)</f>
        <v>932</v>
      </c>
      <c r="P130" s="31" cm="1">
        <f t="array" ref="P130">WPNFACTOR(C130)</f>
        <v>4.5</v>
      </c>
      <c r="Q130" s="33" cm="1">
        <f t="array" ref="Q130">HPFACTOr(C130)</f>
        <v>2</v>
      </c>
      <c r="R130" s="32">
        <f>O130/P130</f>
        <v>207.11111111111111</v>
      </c>
      <c r="S130" s="33">
        <f>J130/Q130</f>
        <v>1766480</v>
      </c>
      <c r="T130" s="32">
        <f>R130*(1 + (N130/400))</f>
        <v>207.11111111111111</v>
      </c>
      <c r="U130" s="39">
        <f>S130*1.6/(1 + (0.6*(1 - (M130/100))))</f>
        <v>1766480</v>
      </c>
      <c r="V130" s="41">
        <f>VLOOKUP(D130,LevelXp!$A$1:'LevelXp'!$B$1000,2,)/5</f>
        <v>90125436</v>
      </c>
      <c r="W130" s="29">
        <f>T130*U130</f>
        <v>365857635.55555558</v>
      </c>
      <c r="X130" s="32">
        <f>POWER(W130, 1/$X$1)</f>
        <v>51.601511689201836</v>
      </c>
      <c r="Y130" s="41">
        <v>177</v>
      </c>
      <c r="Z130" s="41">
        <v>90125436</v>
      </c>
      <c r="AA130" s="41">
        <v>1</v>
      </c>
      <c r="AC130" s="50">
        <v>129</v>
      </c>
      <c r="AD130" s="51">
        <f t="shared" si="24"/>
        <v>0</v>
      </c>
      <c r="AE130" s="51">
        <f t="shared" si="26"/>
        <v>9165543.8888888881</v>
      </c>
      <c r="AF130" s="51">
        <f t="shared" si="25"/>
        <v>0</v>
      </c>
      <c r="AG130" s="55">
        <f t="shared" si="26"/>
        <v>0.44444444444444442</v>
      </c>
      <c r="AH130" s="29">
        <f>SUM($AF$2:AF130)</f>
        <v>94</v>
      </c>
      <c r="AI130" s="55">
        <f>SUM($AG$2:AG130)</f>
        <v>94.444444444444358</v>
      </c>
    </row>
    <row r="131" spans="1:35" x14ac:dyDescent="0.2">
      <c r="A131" s="48" t="s">
        <v>2937</v>
      </c>
      <c r="B131" s="29">
        <v>80</v>
      </c>
      <c r="N131" s="33"/>
      <c r="Q131" s="33"/>
      <c r="S131" s="33"/>
      <c r="U131" s="39"/>
      <c r="V131" s="41">
        <f>VLOOKUP(B131,LevelXp!$D$1:'LevelXp'!$F$1000,3,)</f>
        <v>26079755</v>
      </c>
      <c r="Y131" s="41">
        <v>178</v>
      </c>
      <c r="Z131" s="41">
        <v>26079755</v>
      </c>
      <c r="AA131" s="41">
        <v>0</v>
      </c>
      <c r="AC131" s="50">
        <v>130</v>
      </c>
      <c r="AD131" s="51">
        <f t="shared" ref="AD131:AD194" si="34">SUMIF($Y$2:$Y$682, AC131, $Z$2:$Z$682)</f>
        <v>21576743</v>
      </c>
      <c r="AE131" s="51">
        <f t="shared" si="26"/>
        <v>10134529.333333334</v>
      </c>
      <c r="AF131" s="51">
        <f t="shared" ref="AF131:AF194" si="35">SUMIF($Y$2:$Y$682, AC131, $AA$2:$AA$682)</f>
        <v>1</v>
      </c>
      <c r="AG131" s="55">
        <f t="shared" si="26"/>
        <v>0.44444444444444442</v>
      </c>
      <c r="AH131" s="29">
        <f>SUM($AF$2:AF131)</f>
        <v>95</v>
      </c>
      <c r="AI131" s="55">
        <f>SUM($AG$2:AG131)</f>
        <v>94.8888888888888</v>
      </c>
    </row>
    <row r="132" spans="1:35" x14ac:dyDescent="0.2">
      <c r="A132" s="48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3"/>
      <c r="O132" s="29">
        <f>AVERAGE(K132, L132)</f>
        <v>414.5</v>
      </c>
      <c r="P132" s="31" cm="1">
        <f t="array" ref="P132">WPNFACTOR(C132)</f>
        <v>2</v>
      </c>
      <c r="Q132" s="33" cm="1">
        <f t="array" ref="Q132">HPFACTOr(C132)</f>
        <v>5</v>
      </c>
      <c r="R132" s="32">
        <f>O132/P132</f>
        <v>207.25</v>
      </c>
      <c r="S132" s="33">
        <f>J132/Q132</f>
        <v>1791360</v>
      </c>
      <c r="T132" s="32">
        <f>R132*(1 + (N132/400))</f>
        <v>207.25</v>
      </c>
      <c r="U132" s="39">
        <f>S132*1.6/(1 + (0.6*(1 - (M132/100))))</f>
        <v>1791360</v>
      </c>
      <c r="V132" s="41">
        <f>VLOOKUP(D132,LevelXp!$A$1:'LevelXp'!$B$1000,2,)/5</f>
        <v>90125436</v>
      </c>
      <c r="W132" s="29">
        <f>T132*U132</f>
        <v>371259360</v>
      </c>
      <c r="X132" s="32">
        <f>POWER(W132, 1/$X$1)</f>
        <v>51.752994332901814</v>
      </c>
      <c r="Y132" s="41">
        <v>180</v>
      </c>
      <c r="Z132" s="41">
        <v>90125436</v>
      </c>
      <c r="AA132" s="41">
        <v>1</v>
      </c>
      <c r="AC132" s="50">
        <v>131</v>
      </c>
      <c r="AD132" s="51">
        <f t="shared" si="34"/>
        <v>0</v>
      </c>
      <c r="AE132" s="51">
        <f t="shared" si="26"/>
        <v>10134529.333333334</v>
      </c>
      <c r="AF132" s="51">
        <f t="shared" si="35"/>
        <v>0</v>
      </c>
      <c r="AG132" s="55">
        <f t="shared" si="26"/>
        <v>0.44444444444444442</v>
      </c>
      <c r="AH132" s="29">
        <f>SUM($AF$2:AF132)</f>
        <v>95</v>
      </c>
      <c r="AI132" s="55">
        <f>SUM($AG$2:AG132)</f>
        <v>95.333333333333243</v>
      </c>
    </row>
    <row r="133" spans="1:35" x14ac:dyDescent="0.2">
      <c r="A133" s="48" t="s">
        <v>8841</v>
      </c>
      <c r="B133" s="29">
        <v>2</v>
      </c>
      <c r="C133" s="29">
        <v>1</v>
      </c>
      <c r="D133" s="29">
        <v>194</v>
      </c>
      <c r="E133" s="29">
        <v>2562</v>
      </c>
      <c r="F133" s="29">
        <v>1018</v>
      </c>
      <c r="G133" s="29">
        <v>945</v>
      </c>
      <c r="H133" s="29">
        <v>10576</v>
      </c>
      <c r="I133" s="29">
        <v>1050</v>
      </c>
      <c r="J133" s="29">
        <v>10311600</v>
      </c>
      <c r="K133" s="29">
        <v>2112</v>
      </c>
      <c r="L133" s="29">
        <v>4151</v>
      </c>
      <c r="N133" s="33"/>
      <c r="O133" s="29">
        <f>AVERAGE(K133, L133)</f>
        <v>3131.5</v>
      </c>
      <c r="P133" s="31" cm="1">
        <f t="array" ref="P133">WPNFACTOR(C133)</f>
        <v>2</v>
      </c>
      <c r="Q133" s="33" cm="1">
        <f t="array" ref="Q133">HPFACTOr(C133)</f>
        <v>5</v>
      </c>
      <c r="R133" s="32">
        <f>O133/P133</f>
        <v>1565.75</v>
      </c>
      <c r="S133" s="33">
        <f>J133/Q133</f>
        <v>2062320</v>
      </c>
      <c r="T133" s="32">
        <f>R133*(1 + (N133/400))</f>
        <v>1565.75</v>
      </c>
      <c r="U133" s="39">
        <f>S133*1.6/(1 + (0.6*(1 - (M133/100))))</f>
        <v>2062320</v>
      </c>
      <c r="V133" s="41">
        <f>VLOOKUP(D133,LevelXp!$A$1:'LevelXp'!$B$1000,2,)/5</f>
        <v>9960804</v>
      </c>
      <c r="W133" s="29">
        <f>T133*U133</f>
        <v>3229077540</v>
      </c>
      <c r="X133" s="32">
        <f>POWER(W133, 1/$X$1)</f>
        <v>79.765610735758102</v>
      </c>
      <c r="Y133" s="41">
        <v>181</v>
      </c>
      <c r="Z133" s="41">
        <v>9960804</v>
      </c>
      <c r="AA133" s="41">
        <v>0</v>
      </c>
      <c r="AC133" s="50">
        <v>132</v>
      </c>
      <c r="AD133" s="51">
        <f t="shared" si="34"/>
        <v>23839326</v>
      </c>
      <c r="AE133" s="51">
        <f t="shared" si="26"/>
        <v>7968768</v>
      </c>
      <c r="AF133" s="51">
        <f t="shared" si="35"/>
        <v>1</v>
      </c>
      <c r="AG133" s="55">
        <f t="shared" si="26"/>
        <v>0.33333333333333331</v>
      </c>
      <c r="AH133" s="29">
        <f>SUM($AF$2:AF133)</f>
        <v>96</v>
      </c>
      <c r="AI133" s="55">
        <f>SUM($AG$2:AG133)</f>
        <v>95.666666666666572</v>
      </c>
    </row>
    <row r="134" spans="1:35" x14ac:dyDescent="0.2">
      <c r="A134" s="48" t="s">
        <v>8841</v>
      </c>
      <c r="B134" s="29">
        <v>3</v>
      </c>
      <c r="C134" s="29">
        <v>1</v>
      </c>
      <c r="D134" s="29">
        <v>196</v>
      </c>
      <c r="E134" s="29">
        <v>2751</v>
      </c>
      <c r="F134" s="29">
        <v>966</v>
      </c>
      <c r="G134" s="29">
        <v>875</v>
      </c>
      <c r="H134" s="29">
        <v>10934</v>
      </c>
      <c r="I134" s="29">
        <v>1064</v>
      </c>
      <c r="J134" s="29">
        <v>10769990</v>
      </c>
      <c r="K134" s="29">
        <v>2110</v>
      </c>
      <c r="L134" s="29">
        <v>4200</v>
      </c>
      <c r="N134" s="33"/>
      <c r="O134" s="29">
        <f>AVERAGE(K134, L134)</f>
        <v>3155</v>
      </c>
      <c r="P134" s="31" cm="1">
        <f t="array" ref="P134">WPNFACTOR(C134)</f>
        <v>2</v>
      </c>
      <c r="Q134" s="33" cm="1">
        <f t="array" ref="Q134">HPFACTOr(C134)</f>
        <v>5</v>
      </c>
      <c r="R134" s="32">
        <f>O134/P134</f>
        <v>1577.5</v>
      </c>
      <c r="S134" s="33">
        <f>J134/Q134</f>
        <v>2153998</v>
      </c>
      <c r="T134" s="32">
        <f>R134*(1 + (N134/400))</f>
        <v>1577.5</v>
      </c>
      <c r="U134" s="39">
        <f>S134*1.6/(1 + (0.6*(1 - (M134/100))))</f>
        <v>2153998</v>
      </c>
      <c r="V134" s="41">
        <f>VLOOKUP(D134,LevelXp!$A$1:'LevelXp'!$B$1000,2,)/5</f>
        <v>10427272</v>
      </c>
      <c r="W134" s="29">
        <f>T134*U134</f>
        <v>3397931845</v>
      </c>
      <c r="X134" s="32">
        <f>POWER(W134, 1/$X$1)</f>
        <v>80.582907439967656</v>
      </c>
      <c r="Y134" s="41">
        <v>182</v>
      </c>
      <c r="Z134" s="41">
        <v>10427272</v>
      </c>
      <c r="AA134" s="41">
        <v>0</v>
      </c>
      <c r="AC134" s="50">
        <v>133</v>
      </c>
      <c r="AD134" s="51">
        <f t="shared" si="34"/>
        <v>0</v>
      </c>
      <c r="AE134" s="51">
        <f t="shared" si="26"/>
        <v>11187249</v>
      </c>
      <c r="AF134" s="51">
        <f t="shared" si="35"/>
        <v>0</v>
      </c>
      <c r="AG134" s="55">
        <f t="shared" si="26"/>
        <v>0.44444444444444442</v>
      </c>
      <c r="AH134" s="29">
        <f>SUM($AF$2:AF134)</f>
        <v>96</v>
      </c>
      <c r="AI134" s="55">
        <f>SUM($AG$2:AG134)</f>
        <v>96.111111111111015</v>
      </c>
    </row>
    <row r="135" spans="1:35" x14ac:dyDescent="0.2">
      <c r="A135" s="48" t="s">
        <v>2937</v>
      </c>
      <c r="B135" s="29">
        <v>90</v>
      </c>
      <c r="N135" s="33"/>
      <c r="Q135" s="33"/>
      <c r="S135" s="33"/>
      <c r="U135" s="39"/>
      <c r="V135" s="41">
        <f>VLOOKUP(B135,LevelXp!$D$1:'LevelXp'!$F$1000,3,)</f>
        <v>31288735</v>
      </c>
      <c r="Y135" s="41">
        <v>182</v>
      </c>
      <c r="Z135" s="41">
        <v>31288735</v>
      </c>
      <c r="AA135" s="41">
        <v>0</v>
      </c>
      <c r="AC135" s="50">
        <v>134</v>
      </c>
      <c r="AD135" s="51">
        <f t="shared" si="34"/>
        <v>26302843</v>
      </c>
      <c r="AE135" s="51">
        <f t="shared" ref="AE135:AG198" si="36">AVERAGE(AD131:AD139)</f>
        <v>11187249</v>
      </c>
      <c r="AF135" s="51">
        <f t="shared" si="35"/>
        <v>1</v>
      </c>
      <c r="AG135" s="55">
        <f t="shared" si="36"/>
        <v>0.44444444444444442</v>
      </c>
      <c r="AH135" s="29">
        <f>SUM($AF$2:AF135)</f>
        <v>97</v>
      </c>
      <c r="AI135" s="55">
        <f>SUM($AG$2:AG135)</f>
        <v>96.555555555555458</v>
      </c>
    </row>
    <row r="136" spans="1:35" x14ac:dyDescent="0.2">
      <c r="A136" s="48" t="s">
        <v>8851</v>
      </c>
      <c r="B136" s="29">
        <v>3</v>
      </c>
      <c r="C136" s="29">
        <v>1</v>
      </c>
      <c r="D136" s="29">
        <v>315</v>
      </c>
      <c r="E136" s="29">
        <v>6140</v>
      </c>
      <c r="F136" s="29">
        <v>2155</v>
      </c>
      <c r="G136" s="29">
        <v>2130</v>
      </c>
      <c r="H136" s="29">
        <v>5860</v>
      </c>
      <c r="I136" s="29">
        <v>1430</v>
      </c>
      <c r="J136" s="29">
        <v>9258800</v>
      </c>
      <c r="K136" s="29">
        <v>330</v>
      </c>
      <c r="L136" s="29">
        <v>519</v>
      </c>
      <c r="N136" s="33"/>
      <c r="O136" s="29">
        <f>AVERAGE(K136, L136)</f>
        <v>424.5</v>
      </c>
      <c r="P136" s="31" cm="1">
        <f t="array" ref="P136">WPNFACTOR(C136)</f>
        <v>2</v>
      </c>
      <c r="Q136" s="33" cm="1">
        <f t="array" ref="Q136">HPFACTOr(C136)</f>
        <v>5</v>
      </c>
      <c r="R136" s="32">
        <f>O136/P136</f>
        <v>212.25</v>
      </c>
      <c r="S136" s="33">
        <f>J136/Q136</f>
        <v>1851760</v>
      </c>
      <c r="T136" s="32">
        <f>R136*(1 + (N136/400))</f>
        <v>212.25</v>
      </c>
      <c r="U136" s="39">
        <f>S136*1.6/(1 + (0.6*(1 - (M136/100))))</f>
        <v>1851760</v>
      </c>
      <c r="V136" s="41">
        <f>VLOOKUP(D136,LevelXp!$A$1:'LevelXp'!$B$1000,2,)/5</f>
        <v>97556858</v>
      </c>
      <c r="W136" s="29">
        <f>T136*U136</f>
        <v>393036060</v>
      </c>
      <c r="X136" s="32">
        <f>POWER(W136, 1/$X$1)</f>
        <v>52.346359024629258</v>
      </c>
      <c r="Y136" s="41">
        <v>183</v>
      </c>
      <c r="Z136" s="41">
        <v>97556858</v>
      </c>
      <c r="AA136" s="41">
        <v>1</v>
      </c>
      <c r="AC136" s="50">
        <v>135</v>
      </c>
      <c r="AD136" s="51">
        <f t="shared" si="34"/>
        <v>0</v>
      </c>
      <c r="AE136" s="51">
        <f t="shared" si="36"/>
        <v>12330070.777777778</v>
      </c>
      <c r="AF136" s="51">
        <f t="shared" si="35"/>
        <v>0</v>
      </c>
      <c r="AG136" s="55">
        <f t="shared" si="36"/>
        <v>0.44444444444444442</v>
      </c>
      <c r="AH136" s="29">
        <f>SUM($AF$2:AF136)</f>
        <v>97</v>
      </c>
      <c r="AI136" s="55">
        <f>SUM($AG$2:AG136)</f>
        <v>96.999999999999901</v>
      </c>
    </row>
    <row r="137" spans="1:35" x14ac:dyDescent="0.2">
      <c r="A137" s="48" t="s">
        <v>8851</v>
      </c>
      <c r="B137" s="29">
        <v>4</v>
      </c>
      <c r="C137" s="29">
        <v>3</v>
      </c>
      <c r="D137" s="29">
        <v>320</v>
      </c>
      <c r="E137" s="29">
        <v>1570</v>
      </c>
      <c r="F137" s="29">
        <v>6240</v>
      </c>
      <c r="G137" s="29">
        <v>1560</v>
      </c>
      <c r="H137" s="29">
        <v>5960</v>
      </c>
      <c r="I137" s="29">
        <v>2255</v>
      </c>
      <c r="J137" s="29">
        <v>7652640</v>
      </c>
      <c r="K137" s="29">
        <v>426</v>
      </c>
      <c r="L137" s="29">
        <v>667</v>
      </c>
      <c r="N137" s="33"/>
      <c r="O137" s="29">
        <f>AVERAGE(K137, L137)</f>
        <v>546.5</v>
      </c>
      <c r="P137" s="31" cm="1">
        <f t="array" ref="P137">WPNFACTOR(C137)</f>
        <v>2.5</v>
      </c>
      <c r="Q137" s="33" cm="1">
        <f t="array" ref="Q137">HPFACTOr(C137)</f>
        <v>4</v>
      </c>
      <c r="R137" s="32">
        <f>O137/P137</f>
        <v>218.6</v>
      </c>
      <c r="S137" s="33">
        <f>J137/Q137</f>
        <v>1913160</v>
      </c>
      <c r="T137" s="32">
        <f>R137*(1 + (N137/400))</f>
        <v>218.6</v>
      </c>
      <c r="U137" s="39">
        <f>S137*1.6/(1 + (0.6*(1 - (M137/100))))</f>
        <v>1913160</v>
      </c>
      <c r="V137" s="41">
        <f>VLOOKUP(D137,LevelXp!$A$1:'LevelXp'!$B$1000,2,)/5</f>
        <v>105514978</v>
      </c>
      <c r="W137" s="29">
        <f>T137*U137</f>
        <v>418216776</v>
      </c>
      <c r="X137" s="32">
        <f>POWER(W137, 1/$X$1)</f>
        <v>53.000539449160456</v>
      </c>
      <c r="Y137" s="41">
        <v>185</v>
      </c>
      <c r="Z137" s="41">
        <v>105514978</v>
      </c>
      <c r="AA137" s="41">
        <v>1</v>
      </c>
      <c r="AC137" s="50">
        <v>136</v>
      </c>
      <c r="AD137" s="51">
        <f t="shared" si="34"/>
        <v>0</v>
      </c>
      <c r="AE137" s="51">
        <f t="shared" si="36"/>
        <v>12330070.777777778</v>
      </c>
      <c r="AF137" s="51">
        <f t="shared" si="35"/>
        <v>0</v>
      </c>
      <c r="AG137" s="55">
        <f t="shared" si="36"/>
        <v>0.44444444444444442</v>
      </c>
      <c r="AH137" s="29">
        <f>SUM($AF$2:AF137)</f>
        <v>97</v>
      </c>
      <c r="AI137" s="55">
        <f>SUM($AG$2:AG137)</f>
        <v>97.444444444444343</v>
      </c>
    </row>
    <row r="138" spans="1:35" x14ac:dyDescent="0.2">
      <c r="A138" s="48" t="s">
        <v>2937</v>
      </c>
      <c r="B138" s="29">
        <v>100</v>
      </c>
      <c r="N138" s="33"/>
      <c r="Q138" s="33"/>
      <c r="S138" s="33"/>
      <c r="U138" s="39"/>
      <c r="V138" s="41">
        <f>VLOOKUP(B138,LevelXp!$D$1:'LevelXp'!$F$1000,3,)</f>
        <v>34804908</v>
      </c>
      <c r="Y138" s="41">
        <v>186</v>
      </c>
      <c r="Z138" s="41">
        <v>34804908</v>
      </c>
      <c r="AA138" s="41">
        <v>0</v>
      </c>
      <c r="AC138" s="50">
        <v>137</v>
      </c>
      <c r="AD138" s="51">
        <f t="shared" si="34"/>
        <v>28966329</v>
      </c>
      <c r="AE138" s="51">
        <f t="shared" si="36"/>
        <v>9681256.777777778</v>
      </c>
      <c r="AF138" s="51">
        <f t="shared" si="35"/>
        <v>1</v>
      </c>
      <c r="AG138" s="55">
        <f t="shared" si="36"/>
        <v>0.33333333333333331</v>
      </c>
      <c r="AH138" s="29">
        <f>SUM($AF$2:AF138)</f>
        <v>98</v>
      </c>
      <c r="AI138" s="55">
        <f>SUM($AG$2:AG138)</f>
        <v>97.777777777777672</v>
      </c>
    </row>
    <row r="139" spans="1:35" x14ac:dyDescent="0.2">
      <c r="A139" s="48" t="s">
        <v>8851</v>
      </c>
      <c r="B139" s="29">
        <v>5</v>
      </c>
      <c r="C139" s="29">
        <v>2</v>
      </c>
      <c r="D139" s="29">
        <v>325</v>
      </c>
      <c r="E139" s="29">
        <v>1575</v>
      </c>
      <c r="F139" s="29">
        <v>1595</v>
      </c>
      <c r="G139" s="29">
        <v>6420</v>
      </c>
      <c r="H139" s="29">
        <v>5980</v>
      </c>
      <c r="I139" s="29">
        <v>2285</v>
      </c>
      <c r="J139" s="29">
        <v>3898960</v>
      </c>
      <c r="K139" s="29">
        <v>711</v>
      </c>
      <c r="L139" s="29">
        <v>1289</v>
      </c>
      <c r="N139" s="33"/>
      <c r="O139" s="29">
        <f>AVERAGE(K139, L139)</f>
        <v>1000</v>
      </c>
      <c r="P139" s="31" cm="1">
        <f t="array" ref="P139">WPNFACTOR(C139)</f>
        <v>4.5</v>
      </c>
      <c r="Q139" s="33" cm="1">
        <f t="array" ref="Q139">HPFACTOr(C139)</f>
        <v>2</v>
      </c>
      <c r="R139" s="32">
        <f>O139/P139</f>
        <v>222.22222222222223</v>
      </c>
      <c r="S139" s="33">
        <f>J139/Q139</f>
        <v>1949480</v>
      </c>
      <c r="T139" s="32">
        <f>R139*(1 + (N139/400))</f>
        <v>222.22222222222223</v>
      </c>
      <c r="U139" s="39">
        <f>S139*1.6/(1 + (0.6*(1 - (M139/100))))</f>
        <v>1949480</v>
      </c>
      <c r="V139" s="41">
        <f>VLOOKUP(D139,LevelXp!$A$1:'LevelXp'!$B$1000,2,)/5</f>
        <v>113997992</v>
      </c>
      <c r="W139" s="29">
        <f>T139*U139</f>
        <v>433217777.77777779</v>
      </c>
      <c r="X139" s="32">
        <f>POWER(W139, 1/$X$1)</f>
        <v>53.375413687458192</v>
      </c>
      <c r="Y139" s="41">
        <v>188</v>
      </c>
      <c r="Z139" s="41">
        <v>113997992</v>
      </c>
      <c r="AA139" s="41">
        <v>1</v>
      </c>
      <c r="AC139" s="50">
        <v>138</v>
      </c>
      <c r="AD139" s="51">
        <f t="shared" si="34"/>
        <v>0</v>
      </c>
      <c r="AE139" s="51">
        <f t="shared" si="36"/>
        <v>10333870.333333334</v>
      </c>
      <c r="AF139" s="51">
        <f t="shared" si="35"/>
        <v>0</v>
      </c>
      <c r="AG139" s="55">
        <f t="shared" si="36"/>
        <v>0.33333333333333331</v>
      </c>
      <c r="AH139" s="29">
        <f>SUM($AF$2:AF139)</f>
        <v>98</v>
      </c>
      <c r="AI139" s="55">
        <f>SUM($AG$2:AG139)</f>
        <v>98.111111111111001</v>
      </c>
    </row>
    <row r="140" spans="1:35" x14ac:dyDescent="0.2">
      <c r="A140" s="48" t="s">
        <v>8840</v>
      </c>
      <c r="B140" s="29">
        <v>10</v>
      </c>
      <c r="C140" s="29">
        <v>3</v>
      </c>
      <c r="D140" s="29">
        <v>190</v>
      </c>
      <c r="E140" s="29">
        <v>839</v>
      </c>
      <c r="F140" s="29">
        <v>3218</v>
      </c>
      <c r="G140" s="29">
        <v>809</v>
      </c>
      <c r="H140" s="29">
        <v>11720</v>
      </c>
      <c r="I140" s="29">
        <v>1109</v>
      </c>
      <c r="J140" s="29">
        <v>8954080</v>
      </c>
      <c r="K140" s="29">
        <v>2547</v>
      </c>
      <c r="L140" s="29">
        <v>5092</v>
      </c>
      <c r="N140" s="33"/>
      <c r="O140" s="29">
        <f>AVERAGE(K140, L140)</f>
        <v>3819.5</v>
      </c>
      <c r="P140" s="31" cm="1">
        <f t="array" ref="P140">WPNFACTOR(C140)</f>
        <v>2.5</v>
      </c>
      <c r="Q140" s="33" cm="1">
        <f t="array" ref="Q140">HPFACTOr(C140)</f>
        <v>4</v>
      </c>
      <c r="R140" s="32">
        <f>O140/P140</f>
        <v>1527.8</v>
      </c>
      <c r="S140" s="33">
        <f>J140/Q140</f>
        <v>2238520</v>
      </c>
      <c r="T140" s="32">
        <f>R140*(1 + (N140/400))</f>
        <v>1527.8</v>
      </c>
      <c r="U140" s="39">
        <f>S140*1.6/(1 + (0.6*(1 - (M140/100))))</f>
        <v>2238520</v>
      </c>
      <c r="V140" s="41">
        <f>VLOOKUP(D140,LevelXp!$A$1:'LevelXp'!$B$1000,2,)/5</f>
        <v>9081081</v>
      </c>
      <c r="W140" s="29">
        <f>T140*U140</f>
        <v>3420010856</v>
      </c>
      <c r="X140" s="32">
        <f>POWER(W140, 1/$X$1)</f>
        <v>80.687358300780829</v>
      </c>
      <c r="Y140" s="41">
        <v>190</v>
      </c>
      <c r="Z140" s="41">
        <v>9081081</v>
      </c>
      <c r="AA140" s="41">
        <v>0</v>
      </c>
      <c r="AC140" s="50">
        <v>139</v>
      </c>
      <c r="AD140" s="51">
        <f t="shared" si="34"/>
        <v>31862139</v>
      </c>
      <c r="AE140" s="51">
        <f t="shared" si="36"/>
        <v>8097464.333333333</v>
      </c>
      <c r="AF140" s="51">
        <f t="shared" si="35"/>
        <v>1</v>
      </c>
      <c r="AG140" s="55">
        <f t="shared" si="36"/>
        <v>0.22222222222222221</v>
      </c>
      <c r="AH140" s="29">
        <f>SUM($AF$2:AF140)</f>
        <v>99</v>
      </c>
      <c r="AI140" s="55">
        <f>SUM($AG$2:AG140)</f>
        <v>98.333333333333229</v>
      </c>
    </row>
    <row r="141" spans="1:35" x14ac:dyDescent="0.2">
      <c r="A141" s="48" t="s">
        <v>2937</v>
      </c>
      <c r="B141" s="29">
        <v>110</v>
      </c>
      <c r="N141" s="33"/>
      <c r="Q141" s="33"/>
      <c r="S141" s="33"/>
      <c r="U141" s="39"/>
      <c r="V141" s="41">
        <f>VLOOKUP(B141,LevelXp!$D$1:'LevelXp'!$F$1000,3,)</f>
        <v>38241243</v>
      </c>
      <c r="Y141" s="41">
        <v>190</v>
      </c>
      <c r="Z141" s="41">
        <v>38241243</v>
      </c>
      <c r="AA141" s="41">
        <v>0</v>
      </c>
      <c r="AC141" s="50">
        <v>140</v>
      </c>
      <c r="AD141" s="51">
        <f t="shared" si="34"/>
        <v>0</v>
      </c>
      <c r="AE141" s="51">
        <f t="shared" si="36"/>
        <v>11984776.111111112</v>
      </c>
      <c r="AF141" s="51">
        <f t="shared" si="35"/>
        <v>0</v>
      </c>
      <c r="AG141" s="55">
        <f t="shared" si="36"/>
        <v>0.33333333333333331</v>
      </c>
      <c r="AH141" s="29">
        <f>SUM($AF$2:AF141)</f>
        <v>99</v>
      </c>
      <c r="AI141" s="55">
        <f>SUM($AG$2:AG141)</f>
        <v>98.666666666666558</v>
      </c>
    </row>
    <row r="142" spans="1:35" x14ac:dyDescent="0.2">
      <c r="A142" s="48" t="s">
        <v>8841</v>
      </c>
      <c r="B142" s="29">
        <v>4</v>
      </c>
      <c r="C142" s="29">
        <v>3</v>
      </c>
      <c r="D142" s="29">
        <v>198</v>
      </c>
      <c r="E142" s="29">
        <v>832</v>
      </c>
      <c r="F142" s="29">
        <v>3226</v>
      </c>
      <c r="G142" s="29">
        <v>838</v>
      </c>
      <c r="H142" s="29">
        <v>9702</v>
      </c>
      <c r="I142" s="29">
        <v>1257</v>
      </c>
      <c r="J142" s="29">
        <v>7722792</v>
      </c>
      <c r="K142" s="29">
        <v>2653</v>
      </c>
      <c r="L142" s="29">
        <v>5305</v>
      </c>
      <c r="N142" s="33"/>
      <c r="O142" s="29">
        <f>AVERAGE(K142, L142)</f>
        <v>3979</v>
      </c>
      <c r="P142" s="31" cm="1">
        <f t="array" ref="P142">WPNFACTOR(C142)</f>
        <v>2.5</v>
      </c>
      <c r="Q142" s="33" cm="1">
        <f t="array" ref="Q142">HPFACTOr(C142)</f>
        <v>4</v>
      </c>
      <c r="R142" s="32">
        <f>O142/P142</f>
        <v>1591.6</v>
      </c>
      <c r="S142" s="33">
        <f>J142/Q142</f>
        <v>1930698</v>
      </c>
      <c r="T142" s="32">
        <f>R142*(1 + (N142/400))</f>
        <v>1591.6</v>
      </c>
      <c r="U142" s="39">
        <f>S142*1.6/(1 + (0.6*(1 - (M142/100))))</f>
        <v>1930698</v>
      </c>
      <c r="V142" s="41">
        <f>VLOOKUP(D142,LevelXp!$A$1:'LevelXp'!$B$1000,2,)/5</f>
        <v>10911106</v>
      </c>
      <c r="W142" s="29">
        <f>T142*U142</f>
        <v>3072898936.7999997</v>
      </c>
      <c r="X142" s="32">
        <f>POWER(W142, 1/$X$1)</f>
        <v>78.978640809964929</v>
      </c>
      <c r="Y142" s="41">
        <v>191</v>
      </c>
      <c r="Z142" s="41">
        <v>10911106</v>
      </c>
      <c r="AA142" s="41">
        <v>0</v>
      </c>
      <c r="AC142" s="50">
        <v>141</v>
      </c>
      <c r="AD142" s="51">
        <f t="shared" si="34"/>
        <v>0</v>
      </c>
      <c r="AE142" s="51">
        <f t="shared" si="36"/>
        <v>16248108.222222222</v>
      </c>
      <c r="AF142" s="51">
        <f t="shared" si="35"/>
        <v>0</v>
      </c>
      <c r="AG142" s="55">
        <f t="shared" si="36"/>
        <v>0.44444444444444442</v>
      </c>
      <c r="AH142" s="29">
        <f>SUM($AF$2:AF142)</f>
        <v>99</v>
      </c>
      <c r="AI142" s="55">
        <f>SUM($AG$2:AG142)</f>
        <v>99.111111111111001</v>
      </c>
    </row>
    <row r="143" spans="1:35" x14ac:dyDescent="0.2">
      <c r="A143" s="48" t="s">
        <v>8853</v>
      </c>
      <c r="B143" s="29">
        <v>2</v>
      </c>
      <c r="C143" s="29">
        <v>1</v>
      </c>
      <c r="D143" s="29">
        <v>320</v>
      </c>
      <c r="E143" s="29">
        <v>6240</v>
      </c>
      <c r="F143" s="29">
        <v>2190</v>
      </c>
      <c r="G143" s="29">
        <v>2165</v>
      </c>
      <c r="H143" s="29">
        <v>5960</v>
      </c>
      <c r="I143" s="29">
        <v>1450</v>
      </c>
      <c r="J143" s="29">
        <v>9565800</v>
      </c>
      <c r="K143" s="29">
        <v>335</v>
      </c>
      <c r="L143" s="29">
        <v>534</v>
      </c>
      <c r="N143" s="33"/>
      <c r="O143" s="29">
        <f>AVERAGE(K143, L143)</f>
        <v>434.5</v>
      </c>
      <c r="P143" s="31" cm="1">
        <f t="array" ref="P143">WPNFACTOR(C143)</f>
        <v>2</v>
      </c>
      <c r="Q143" s="33" cm="1">
        <f t="array" ref="Q143">HPFACTOr(C143)</f>
        <v>5</v>
      </c>
      <c r="R143" s="32">
        <f>O143/P143</f>
        <v>217.25</v>
      </c>
      <c r="S143" s="33">
        <f>J143/Q143</f>
        <v>1913160</v>
      </c>
      <c r="T143" s="32">
        <f>R143*(1 + (N143/400))</f>
        <v>217.25</v>
      </c>
      <c r="U143" s="39">
        <f>S143*1.6/(1 + (0.6*(1 - (M143/100))))</f>
        <v>1913160</v>
      </c>
      <c r="V143" s="41">
        <f>VLOOKUP(D143,LevelXp!$A$1:'LevelXp'!$B$1000,2,)/5</f>
        <v>105514978</v>
      </c>
      <c r="W143" s="29">
        <f>T143*U143</f>
        <v>415634010</v>
      </c>
      <c r="X143" s="32">
        <f>POWER(W143, 1/$X$1)</f>
        <v>52.934914439727415</v>
      </c>
      <c r="Y143" s="41">
        <v>192</v>
      </c>
      <c r="Z143" s="41">
        <v>105514978</v>
      </c>
      <c r="AA143" s="41">
        <v>1</v>
      </c>
      <c r="AC143" s="50">
        <v>142</v>
      </c>
      <c r="AD143" s="51">
        <f t="shared" si="34"/>
        <v>5873522</v>
      </c>
      <c r="AE143" s="51">
        <f t="shared" si="36"/>
        <v>13029627.222222222</v>
      </c>
      <c r="AF143" s="51">
        <f t="shared" si="35"/>
        <v>0</v>
      </c>
      <c r="AG143" s="55">
        <f t="shared" si="36"/>
        <v>0.33333333333333331</v>
      </c>
      <c r="AH143" s="29">
        <f>SUM($AF$2:AF143)</f>
        <v>99</v>
      </c>
      <c r="AI143" s="55">
        <f>SUM($AG$2:AG143)</f>
        <v>99.444444444444329</v>
      </c>
    </row>
    <row r="144" spans="1:35" x14ac:dyDescent="0.2">
      <c r="A144" s="48" t="s">
        <v>8841</v>
      </c>
      <c r="B144" s="29">
        <v>5</v>
      </c>
      <c r="C144" s="29">
        <v>1</v>
      </c>
      <c r="D144" s="29">
        <v>200</v>
      </c>
      <c r="E144" s="29">
        <v>3115</v>
      </c>
      <c r="F144" s="29">
        <v>936</v>
      </c>
      <c r="G144" s="29">
        <v>852</v>
      </c>
      <c r="H144" s="29">
        <v>11517</v>
      </c>
      <c r="I144" s="29">
        <v>1026</v>
      </c>
      <c r="J144" s="29">
        <v>11574585</v>
      </c>
      <c r="K144" s="29">
        <v>2145</v>
      </c>
      <c r="L144" s="29">
        <v>4287</v>
      </c>
      <c r="N144" s="33"/>
      <c r="O144" s="29">
        <f>AVERAGE(K144, L144)</f>
        <v>3216</v>
      </c>
      <c r="P144" s="31" cm="1">
        <f t="array" ref="P144">WPNFACTOR(C144)</f>
        <v>2</v>
      </c>
      <c r="Q144" s="33" cm="1">
        <f t="array" ref="Q144">HPFACTOr(C144)</f>
        <v>5</v>
      </c>
      <c r="R144" s="32">
        <f>O144/P144</f>
        <v>1608</v>
      </c>
      <c r="S144" s="33">
        <f>J144/Q144</f>
        <v>2314917</v>
      </c>
      <c r="T144" s="32">
        <f>R144*(1 + (N144/400))</f>
        <v>1608</v>
      </c>
      <c r="U144" s="39">
        <f>S144*1.6/(1 + (0.6*(1 - (M144/100))))</f>
        <v>2314917</v>
      </c>
      <c r="V144" s="41">
        <f>VLOOKUP(D144,LevelXp!$A$1:'LevelXp'!$B$1000,2,)/5</f>
        <v>11412835</v>
      </c>
      <c r="W144" s="29">
        <f>T144*U144</f>
        <v>3722386536</v>
      </c>
      <c r="X144" s="32">
        <f>POWER(W144, 1/$X$1)</f>
        <v>82.066194227553737</v>
      </c>
      <c r="Y144" s="41">
        <v>193</v>
      </c>
      <c r="Z144" s="41">
        <v>11412835</v>
      </c>
      <c r="AA144" s="41">
        <v>0</v>
      </c>
      <c r="AC144" s="50">
        <v>143</v>
      </c>
      <c r="AD144" s="51">
        <f t="shared" si="34"/>
        <v>6175189</v>
      </c>
      <c r="AE144" s="51">
        <f t="shared" si="36"/>
        <v>13029627.222222222</v>
      </c>
      <c r="AF144" s="51">
        <f t="shared" si="35"/>
        <v>0</v>
      </c>
      <c r="AG144" s="55">
        <f t="shared" si="36"/>
        <v>0.33333333333333331</v>
      </c>
      <c r="AH144" s="29">
        <f>SUM($AF$2:AF144)</f>
        <v>99</v>
      </c>
      <c r="AI144" s="55">
        <f>SUM($AG$2:AG144)</f>
        <v>99.777777777777658</v>
      </c>
    </row>
    <row r="145" spans="1:35" x14ac:dyDescent="0.2">
      <c r="A145" s="48" t="s">
        <v>8841</v>
      </c>
      <c r="B145" s="29">
        <v>6</v>
      </c>
      <c r="C145" s="29">
        <v>2</v>
      </c>
      <c r="D145" s="29">
        <v>202</v>
      </c>
      <c r="E145" s="29">
        <v>876</v>
      </c>
      <c r="F145" s="29">
        <v>872</v>
      </c>
      <c r="G145" s="29">
        <v>3580</v>
      </c>
      <c r="H145" s="29">
        <v>10373</v>
      </c>
      <c r="I145" s="29">
        <v>1189</v>
      </c>
      <c r="J145" s="29">
        <v>4211438</v>
      </c>
      <c r="K145" s="29">
        <v>5043</v>
      </c>
      <c r="L145" s="29">
        <v>9742</v>
      </c>
      <c r="N145" s="33"/>
      <c r="O145" s="29">
        <f>AVERAGE(K145, L145)</f>
        <v>7392.5</v>
      </c>
      <c r="P145" s="31" cm="1">
        <f t="array" ref="P145">WPNFACTOR(C145)</f>
        <v>4.5</v>
      </c>
      <c r="Q145" s="33" cm="1">
        <f t="array" ref="Q145">HPFACTOr(C145)</f>
        <v>2</v>
      </c>
      <c r="R145" s="32">
        <f>O145/P145</f>
        <v>1642.7777777777778</v>
      </c>
      <c r="S145" s="33">
        <f>J145/Q145</f>
        <v>2105719</v>
      </c>
      <c r="T145" s="32">
        <f>R145*(1 + (N145/400))</f>
        <v>1642.7777777777778</v>
      </c>
      <c r="U145" s="39">
        <f>S145*1.6/(1 + (0.6*(1 - (M145/100))))</f>
        <v>2105719</v>
      </c>
      <c r="V145" s="41">
        <f>VLOOKUP(D145,LevelXp!$A$1:'LevelXp'!$B$1000,2,)/5</f>
        <v>11934768</v>
      </c>
      <c r="W145" s="29">
        <f>T145*U145</f>
        <v>3459228379.4444447</v>
      </c>
      <c r="X145" s="32">
        <f>POWER(W145, 1/$X$1)</f>
        <v>80.871564912482214</v>
      </c>
      <c r="Y145" s="41">
        <v>195</v>
      </c>
      <c r="Z145" s="41">
        <v>11934768</v>
      </c>
      <c r="AA145" s="41">
        <v>0</v>
      </c>
      <c r="AC145" s="50">
        <v>144</v>
      </c>
      <c r="AD145" s="51">
        <f t="shared" si="34"/>
        <v>34985806</v>
      </c>
      <c r="AE145" s="51">
        <f t="shared" si="36"/>
        <v>14878910.555555556</v>
      </c>
      <c r="AF145" s="51">
        <f t="shared" si="35"/>
        <v>1</v>
      </c>
      <c r="AG145" s="55">
        <f t="shared" si="36"/>
        <v>0.33333333333333331</v>
      </c>
      <c r="AH145" s="29">
        <f>SUM($AF$2:AF145)</f>
        <v>100</v>
      </c>
      <c r="AI145" s="55">
        <f>SUM($AG$2:AG145)</f>
        <v>100.11111111111099</v>
      </c>
    </row>
    <row r="146" spans="1:35" x14ac:dyDescent="0.2">
      <c r="A146" s="48" t="s">
        <v>2937</v>
      </c>
      <c r="B146" s="29">
        <v>120</v>
      </c>
      <c r="N146" s="33"/>
      <c r="Q146" s="33"/>
      <c r="S146" s="33"/>
      <c r="U146" s="39"/>
      <c r="V146" s="41">
        <f>VLOOKUP(B146,LevelXp!$D$1:'LevelXp'!$F$1000,3,)</f>
        <v>41805094</v>
      </c>
      <c r="Y146" s="41">
        <v>194</v>
      </c>
      <c r="Z146" s="41">
        <v>41805094</v>
      </c>
      <c r="AA146" s="41">
        <v>0</v>
      </c>
      <c r="AC146" s="50">
        <v>145</v>
      </c>
      <c r="AD146" s="51">
        <f t="shared" si="34"/>
        <v>38369989</v>
      </c>
      <c r="AE146" s="51">
        <f t="shared" si="36"/>
        <v>14878910.555555556</v>
      </c>
      <c r="AF146" s="51">
        <f t="shared" si="35"/>
        <v>1</v>
      </c>
      <c r="AG146" s="55">
        <f t="shared" si="36"/>
        <v>0.33333333333333331</v>
      </c>
      <c r="AH146" s="29">
        <f>SUM($AF$2:AF146)</f>
        <v>101</v>
      </c>
      <c r="AI146" s="55">
        <f>SUM($AG$2:AG146)</f>
        <v>100.44444444444431</v>
      </c>
    </row>
    <row r="147" spans="1:35" x14ac:dyDescent="0.2">
      <c r="A147" s="48" t="s">
        <v>8841</v>
      </c>
      <c r="B147" s="29">
        <v>7</v>
      </c>
      <c r="C147" s="29">
        <v>1</v>
      </c>
      <c r="D147" s="29">
        <v>204</v>
      </c>
      <c r="E147" s="29">
        <v>3162</v>
      </c>
      <c r="F147" s="29">
        <v>1032</v>
      </c>
      <c r="G147" s="29">
        <v>977</v>
      </c>
      <c r="H147" s="29">
        <v>13156</v>
      </c>
      <c r="I147" s="29">
        <v>1045</v>
      </c>
      <c r="J147" s="29">
        <v>13484900</v>
      </c>
      <c r="K147" s="29">
        <v>2187</v>
      </c>
      <c r="L147" s="29">
        <v>4369</v>
      </c>
      <c r="N147" s="33"/>
      <c r="O147" s="29">
        <f>AVERAGE(K147, L147)</f>
        <v>3278</v>
      </c>
      <c r="P147" s="31" cm="1">
        <f t="array" ref="P147">WPNFACTOR(C147)</f>
        <v>2</v>
      </c>
      <c r="Q147" s="33" cm="1">
        <f t="array" ref="Q147">HPFACTOr(C147)</f>
        <v>5</v>
      </c>
      <c r="R147" s="32">
        <f>O147/P147</f>
        <v>1639</v>
      </c>
      <c r="S147" s="33">
        <f>J147/Q147</f>
        <v>2696980</v>
      </c>
      <c r="T147" s="32">
        <f>R147*(1 + (N147/400))</f>
        <v>1639</v>
      </c>
      <c r="U147" s="39">
        <f>S147*1.6/(1 + (0.6*(1 - (M147/100))))</f>
        <v>2696980</v>
      </c>
      <c r="V147" s="41">
        <f>VLOOKUP(D147,LevelXp!$A$1:'LevelXp'!$B$1000,2,)/5</f>
        <v>12475687</v>
      </c>
      <c r="W147" s="29">
        <f>T147*U147</f>
        <v>4420350220</v>
      </c>
      <c r="X147" s="32">
        <f>POWER(W147, 1/$X$1)</f>
        <v>84.935908381876558</v>
      </c>
      <c r="Y147" s="41">
        <v>196</v>
      </c>
      <c r="Z147" s="41">
        <v>12475687</v>
      </c>
      <c r="AA147" s="41">
        <v>0</v>
      </c>
      <c r="AC147" s="50">
        <v>146</v>
      </c>
      <c r="AD147" s="51">
        <f t="shared" si="34"/>
        <v>0</v>
      </c>
      <c r="AE147" s="51">
        <f t="shared" si="36"/>
        <v>15052598</v>
      </c>
      <c r="AF147" s="51">
        <f t="shared" si="35"/>
        <v>0</v>
      </c>
      <c r="AG147" s="55">
        <f t="shared" si="36"/>
        <v>0.33333333333333331</v>
      </c>
      <c r="AH147" s="29">
        <f>SUM($AF$2:AF147)</f>
        <v>101</v>
      </c>
      <c r="AI147" s="55">
        <f>SUM($AG$2:AG147)</f>
        <v>100.77777777777764</v>
      </c>
    </row>
    <row r="148" spans="1:35" x14ac:dyDescent="0.2">
      <c r="A148" s="48" t="s">
        <v>8851</v>
      </c>
      <c r="B148" s="29">
        <v>6</v>
      </c>
      <c r="C148" s="29">
        <v>1</v>
      </c>
      <c r="D148" s="29">
        <v>330</v>
      </c>
      <c r="E148" s="29">
        <v>6440</v>
      </c>
      <c r="F148" s="29">
        <v>2260</v>
      </c>
      <c r="G148" s="29">
        <v>2235</v>
      </c>
      <c r="H148" s="29">
        <v>6160</v>
      </c>
      <c r="I148" s="29">
        <v>1490</v>
      </c>
      <c r="J148" s="29">
        <v>10194800</v>
      </c>
      <c r="K148" s="29">
        <v>345</v>
      </c>
      <c r="L148" s="29">
        <v>564</v>
      </c>
      <c r="N148" s="33"/>
      <c r="O148" s="29">
        <f>AVERAGE(K148, L148)</f>
        <v>454.5</v>
      </c>
      <c r="P148" s="31" cm="1">
        <f t="array" ref="P148">WPNFACTOR(C148)</f>
        <v>2</v>
      </c>
      <c r="Q148" s="33" cm="1">
        <f t="array" ref="Q148">HPFACTOr(C148)</f>
        <v>5</v>
      </c>
      <c r="R148" s="32">
        <f>O148/P148</f>
        <v>227.25</v>
      </c>
      <c r="S148" s="33">
        <f>J148/Q148</f>
        <v>2038960</v>
      </c>
      <c r="T148" s="32">
        <f>R148*(1 + (N148/400))</f>
        <v>227.25</v>
      </c>
      <c r="U148" s="39">
        <f>S148*1.6/(1 + (0.6*(1 - (M148/100))))</f>
        <v>2038960</v>
      </c>
      <c r="V148" s="41">
        <f>VLOOKUP(D148,LevelXp!$A$1:'LevelXp'!$B$1000,2,)/5</f>
        <v>123067419</v>
      </c>
      <c r="W148" s="29">
        <f>T148*U148</f>
        <v>463353660</v>
      </c>
      <c r="X148" s="32">
        <f>POWER(W148, 1/$X$1)</f>
        <v>54.098163181457224</v>
      </c>
      <c r="Y148" s="41">
        <v>197</v>
      </c>
      <c r="Z148" s="41">
        <v>123067419</v>
      </c>
      <c r="AA148" s="41">
        <v>1</v>
      </c>
      <c r="AC148" s="50">
        <v>147</v>
      </c>
      <c r="AD148" s="51">
        <f t="shared" si="34"/>
        <v>0</v>
      </c>
      <c r="AE148" s="51">
        <f t="shared" si="36"/>
        <v>14399984.444444444</v>
      </c>
      <c r="AF148" s="51">
        <f t="shared" si="35"/>
        <v>0</v>
      </c>
      <c r="AG148" s="55">
        <f t="shared" si="36"/>
        <v>0.33333333333333331</v>
      </c>
      <c r="AH148" s="29">
        <f>SUM($AF$2:AF148)</f>
        <v>101</v>
      </c>
      <c r="AI148" s="55">
        <f>SUM($AG$2:AG148)</f>
        <v>101.11111111111097</v>
      </c>
    </row>
    <row r="149" spans="1:35" x14ac:dyDescent="0.2">
      <c r="A149" s="48" t="s">
        <v>8842</v>
      </c>
      <c r="B149" s="29">
        <v>1</v>
      </c>
      <c r="C149" s="29">
        <v>3</v>
      </c>
      <c r="D149" s="29">
        <v>212</v>
      </c>
      <c r="E149" s="29">
        <v>1026</v>
      </c>
      <c r="F149" s="29">
        <v>3219</v>
      </c>
      <c r="G149" s="29">
        <v>1066</v>
      </c>
      <c r="H149" s="29">
        <v>10054</v>
      </c>
      <c r="I149" s="29">
        <v>1358</v>
      </c>
      <c r="J149" s="29">
        <v>8566008</v>
      </c>
      <c r="K149" s="29">
        <v>2876</v>
      </c>
      <c r="L149" s="29">
        <v>5648</v>
      </c>
      <c r="N149" s="33"/>
      <c r="O149" s="29">
        <f>AVERAGE(K149, L149)</f>
        <v>4262</v>
      </c>
      <c r="P149" s="31" cm="1">
        <f t="array" ref="P149">WPNFACTOR(C149)</f>
        <v>2.5</v>
      </c>
      <c r="Q149" s="33" cm="1">
        <f t="array" ref="Q149">HPFACTOr(C149)</f>
        <v>4</v>
      </c>
      <c r="R149" s="32">
        <f>O149/P149</f>
        <v>1704.8</v>
      </c>
      <c r="S149" s="33">
        <f>J149/Q149</f>
        <v>2141502</v>
      </c>
      <c r="T149" s="32">
        <f>R149*(1 + (N149/400))</f>
        <v>1704.8</v>
      </c>
      <c r="U149" s="39">
        <f>S149*1.6/(1 + (0.6*(1 - (M149/100))))</f>
        <v>2141502</v>
      </c>
      <c r="V149" s="41">
        <f>VLOOKUP(D149,LevelXp!$A$1:'LevelXp'!$B$1000,2,)/5</f>
        <v>14846670</v>
      </c>
      <c r="W149" s="29">
        <f>T149*U149</f>
        <v>3650832609.5999999</v>
      </c>
      <c r="X149" s="32">
        <f>POWER(W149, 1/$X$1)</f>
        <v>81.748234903459149</v>
      </c>
      <c r="Y149" s="41">
        <v>199</v>
      </c>
      <c r="Z149" s="41">
        <v>14846670</v>
      </c>
      <c r="AA149" s="41">
        <v>0</v>
      </c>
      <c r="AC149" s="50">
        <v>148</v>
      </c>
      <c r="AD149" s="51">
        <f t="shared" si="34"/>
        <v>48505689</v>
      </c>
      <c r="AE149" s="51">
        <f t="shared" si="36"/>
        <v>13713852.333333334</v>
      </c>
      <c r="AF149" s="51">
        <f t="shared" si="35"/>
        <v>1</v>
      </c>
      <c r="AG149" s="55">
        <f t="shared" si="36"/>
        <v>0.33333333333333331</v>
      </c>
      <c r="AH149" s="29">
        <f>SUM($AF$2:AF149)</f>
        <v>102</v>
      </c>
      <c r="AI149" s="55">
        <f>SUM($AG$2:AG149)</f>
        <v>101.4444444444443</v>
      </c>
    </row>
    <row r="150" spans="1:35" x14ac:dyDescent="0.2">
      <c r="A150" s="48" t="s">
        <v>8851</v>
      </c>
      <c r="B150" s="29">
        <v>7</v>
      </c>
      <c r="C150" s="29">
        <v>3</v>
      </c>
      <c r="D150" s="29">
        <v>335</v>
      </c>
      <c r="E150" s="29">
        <v>1645</v>
      </c>
      <c r="F150" s="29">
        <v>6540</v>
      </c>
      <c r="G150" s="29">
        <v>1635</v>
      </c>
      <c r="H150" s="29">
        <v>6260</v>
      </c>
      <c r="I150" s="29">
        <v>2360</v>
      </c>
      <c r="J150" s="29">
        <v>8413440</v>
      </c>
      <c r="K150" s="29">
        <v>457</v>
      </c>
      <c r="L150" s="29">
        <v>713</v>
      </c>
      <c r="N150" s="33"/>
      <c r="O150" s="29">
        <f>AVERAGE(K150, L150)</f>
        <v>585</v>
      </c>
      <c r="P150" s="31" cm="1">
        <f t="array" ref="P150">WPNFACTOR(C150)</f>
        <v>2.5</v>
      </c>
      <c r="Q150" s="33" cm="1">
        <f t="array" ref="Q150">HPFACTOr(C150)</f>
        <v>4</v>
      </c>
      <c r="R150" s="32">
        <f>O150/P150</f>
        <v>234</v>
      </c>
      <c r="S150" s="33">
        <f>J150/Q150</f>
        <v>2103360</v>
      </c>
      <c r="T150" s="32">
        <f>R150*(1 + (N150/400))</f>
        <v>234</v>
      </c>
      <c r="U150" s="39">
        <f>S150*1.6/(1 + (0.6*(1 - (M150/100))))</f>
        <v>2103360</v>
      </c>
      <c r="V150" s="41">
        <f>VLOOKUP(D150,LevelXp!$A$1:'LevelXp'!$B$1000,2,)/5</f>
        <v>132712488</v>
      </c>
      <c r="W150" s="29">
        <f>T150*U150</f>
        <v>492186240</v>
      </c>
      <c r="X150" s="32">
        <f>POWER(W150, 1/$X$1)</f>
        <v>54.755266063694201</v>
      </c>
      <c r="Y150" s="41">
        <v>200</v>
      </c>
      <c r="Z150" s="41">
        <v>132712488</v>
      </c>
      <c r="AA150" s="41">
        <v>1</v>
      </c>
      <c r="AC150" s="50">
        <v>149</v>
      </c>
      <c r="AD150" s="51">
        <f t="shared" si="34"/>
        <v>0</v>
      </c>
      <c r="AE150" s="51">
        <f t="shared" si="36"/>
        <v>14932999</v>
      </c>
      <c r="AF150" s="51">
        <f t="shared" si="35"/>
        <v>0</v>
      </c>
      <c r="AG150" s="55">
        <f t="shared" si="36"/>
        <v>0.33333333333333331</v>
      </c>
      <c r="AH150" s="29">
        <f>SUM($AF$2:AF150)</f>
        <v>102</v>
      </c>
      <c r="AI150" s="55">
        <f>SUM($AG$2:AG150)</f>
        <v>101.77777777777763</v>
      </c>
    </row>
    <row r="151" spans="1:35" x14ac:dyDescent="0.2">
      <c r="A151" s="48" t="s">
        <v>2937</v>
      </c>
      <c r="B151" s="29">
        <v>130</v>
      </c>
      <c r="N151" s="33"/>
      <c r="Q151" s="33"/>
      <c r="S151" s="33"/>
      <c r="U151" s="39"/>
      <c r="V151" s="41">
        <f>VLOOKUP(B151,LevelXp!$D$1:'LevelXp'!$F$1000,3,)</f>
        <v>45806574</v>
      </c>
      <c r="Y151" s="41">
        <v>198</v>
      </c>
      <c r="Z151" s="41">
        <v>45806574</v>
      </c>
      <c r="AA151" s="41">
        <v>0</v>
      </c>
      <c r="AC151" s="50">
        <v>150</v>
      </c>
      <c r="AD151" s="51">
        <f t="shared" si="34"/>
        <v>1563187</v>
      </c>
      <c r="AE151" s="51">
        <f t="shared" si="36"/>
        <v>11140163.444444444</v>
      </c>
      <c r="AF151" s="51">
        <f t="shared" si="35"/>
        <v>0</v>
      </c>
      <c r="AG151" s="55">
        <f t="shared" si="36"/>
        <v>0.22222222222222221</v>
      </c>
      <c r="AH151" s="29">
        <f>SUM($AF$2:AF151)</f>
        <v>102</v>
      </c>
      <c r="AI151" s="55">
        <f>SUM($AG$2:AG151)</f>
        <v>101.99999999999986</v>
      </c>
    </row>
    <row r="152" spans="1:35" x14ac:dyDescent="0.2">
      <c r="A152" s="48" t="s">
        <v>8853</v>
      </c>
      <c r="B152" s="29">
        <v>3</v>
      </c>
      <c r="C152" s="29">
        <v>2</v>
      </c>
      <c r="D152" s="29">
        <v>330</v>
      </c>
      <c r="E152" s="29">
        <v>3200</v>
      </c>
      <c r="F152" s="29">
        <v>3240</v>
      </c>
      <c r="G152" s="29">
        <v>13040</v>
      </c>
      <c r="H152" s="29">
        <v>12160</v>
      </c>
      <c r="I152" s="29">
        <v>4640</v>
      </c>
      <c r="J152" s="29">
        <v>8049920</v>
      </c>
      <c r="K152" s="29">
        <v>719</v>
      </c>
      <c r="L152" s="29">
        <v>1325</v>
      </c>
      <c r="N152" s="33"/>
      <c r="O152" s="29">
        <f>AVERAGE(K152, L152)</f>
        <v>1022</v>
      </c>
      <c r="P152" s="31" cm="1">
        <f t="array" ref="P152">WPNFACTOR(C152)</f>
        <v>4.5</v>
      </c>
      <c r="Q152" s="33" cm="1">
        <f t="array" ref="Q152">HPFACTOr(C152)</f>
        <v>2</v>
      </c>
      <c r="R152" s="32">
        <f>O152/P152</f>
        <v>227.11111111111111</v>
      </c>
      <c r="S152" s="33">
        <f>J152/Q152</f>
        <v>4024960</v>
      </c>
      <c r="T152" s="32">
        <f>R152*(1 + (N152/400))</f>
        <v>227.11111111111111</v>
      </c>
      <c r="U152" s="39">
        <f>S152*1.6/(1 + (0.6*(1 - (M152/100))))</f>
        <v>4024960</v>
      </c>
      <c r="V152" s="41">
        <f>VLOOKUP(D152,LevelXp!$A$1:'LevelXp'!$B$1000,2,)/5</f>
        <v>123067419</v>
      </c>
      <c r="W152" s="29">
        <f>T152*U152</f>
        <v>914113137.77777779</v>
      </c>
      <c r="X152" s="32">
        <f>POWER(W152, 1/$X$1)</f>
        <v>61.972638986848835</v>
      </c>
      <c r="Y152" s="41">
        <v>201</v>
      </c>
      <c r="Z152" s="41">
        <v>123067419</v>
      </c>
      <c r="AA152" s="41">
        <v>1</v>
      </c>
      <c r="AC152" s="50">
        <v>151</v>
      </c>
      <c r="AD152" s="51">
        <f t="shared" si="34"/>
        <v>0</v>
      </c>
      <c r="AE152" s="51">
        <f t="shared" si="36"/>
        <v>11140163.444444444</v>
      </c>
      <c r="AF152" s="51">
        <f t="shared" si="35"/>
        <v>0</v>
      </c>
      <c r="AG152" s="55">
        <f t="shared" si="36"/>
        <v>0.22222222222222221</v>
      </c>
      <c r="AH152" s="29">
        <f>SUM($AF$2:AF152)</f>
        <v>102</v>
      </c>
      <c r="AI152" s="55">
        <f>SUM($AG$2:AG152)</f>
        <v>102.22222222222209</v>
      </c>
    </row>
    <row r="153" spans="1:35" x14ac:dyDescent="0.2">
      <c r="A153" s="48" t="s">
        <v>2937</v>
      </c>
      <c r="B153" s="29">
        <v>140</v>
      </c>
      <c r="N153" s="33"/>
      <c r="Q153" s="33"/>
      <c r="S153" s="33"/>
      <c r="U153" s="39"/>
      <c r="V153" s="41">
        <f>VLOOKUP(B153,LevelXp!$D$1:'LevelXp'!$F$1000,3,)</f>
        <v>49948215</v>
      </c>
      <c r="Y153" s="41">
        <v>202</v>
      </c>
      <c r="Z153" s="41">
        <v>49948215</v>
      </c>
      <c r="AA153" s="41">
        <v>0</v>
      </c>
      <c r="AC153" s="50">
        <v>152</v>
      </c>
      <c r="AD153" s="51">
        <f t="shared" si="34"/>
        <v>0</v>
      </c>
      <c r="AE153" s="51">
        <f t="shared" si="36"/>
        <v>16717046.777777778</v>
      </c>
      <c r="AF153" s="51">
        <f t="shared" si="35"/>
        <v>0</v>
      </c>
      <c r="AG153" s="55">
        <f t="shared" si="36"/>
        <v>0.33333333333333331</v>
      </c>
      <c r="AH153" s="29">
        <f>SUM($AF$2:AF153)</f>
        <v>102</v>
      </c>
      <c r="AI153" s="55">
        <f>SUM($AG$2:AG153)</f>
        <v>102.55555555555542</v>
      </c>
    </row>
    <row r="154" spans="1:35" x14ac:dyDescent="0.2">
      <c r="A154" s="48" t="s">
        <v>8851</v>
      </c>
      <c r="B154" s="29">
        <v>8</v>
      </c>
      <c r="C154" s="29">
        <v>1</v>
      </c>
      <c r="D154" s="29">
        <v>340</v>
      </c>
      <c r="E154" s="29">
        <v>6640</v>
      </c>
      <c r="F154" s="29">
        <v>2330</v>
      </c>
      <c r="G154" s="29">
        <v>2305</v>
      </c>
      <c r="H154" s="29">
        <v>6360</v>
      </c>
      <c r="I154" s="29">
        <v>1530</v>
      </c>
      <c r="J154" s="29">
        <v>10843800</v>
      </c>
      <c r="K154" s="29">
        <v>356</v>
      </c>
      <c r="L154" s="29">
        <v>594</v>
      </c>
      <c r="N154" s="33"/>
      <c r="O154" s="29">
        <f>AVERAGE(K154, L154)</f>
        <v>475</v>
      </c>
      <c r="P154" s="31" cm="1">
        <f t="array" ref="P154">WPNFACTOR(C154)</f>
        <v>2</v>
      </c>
      <c r="Q154" s="33" cm="1">
        <f t="array" ref="Q154">HPFACTOr(C154)</f>
        <v>5</v>
      </c>
      <c r="R154" s="32">
        <f>O154/P154</f>
        <v>237.5</v>
      </c>
      <c r="S154" s="33">
        <f>J154/Q154</f>
        <v>2168760</v>
      </c>
      <c r="T154" s="32">
        <f>R154*(1 + (N154/400))</f>
        <v>237.5</v>
      </c>
      <c r="U154" s="39">
        <f>S154*1.6/(1 + (0.6*(1 - (M154/100))))</f>
        <v>2168760</v>
      </c>
      <c r="V154" s="41">
        <f>VLOOKUP(D154,LevelXp!$A$1:'LevelXp'!$B$1000,2,)/5</f>
        <v>143018630</v>
      </c>
      <c r="W154" s="29">
        <f>T154*U154</f>
        <v>515080500</v>
      </c>
      <c r="X154" s="32">
        <f>POWER(W154, 1/$X$1)</f>
        <v>55.255437476438331</v>
      </c>
      <c r="Y154" s="41">
        <v>203</v>
      </c>
      <c r="Z154" s="41">
        <v>143018630</v>
      </c>
      <c r="AA154" s="41">
        <v>1</v>
      </c>
      <c r="AC154" s="50">
        <v>153</v>
      </c>
      <c r="AD154" s="51">
        <f t="shared" si="34"/>
        <v>45958126</v>
      </c>
      <c r="AE154" s="51">
        <f t="shared" si="36"/>
        <v>11327525.777777778</v>
      </c>
      <c r="AF154" s="51">
        <f t="shared" si="35"/>
        <v>1</v>
      </c>
      <c r="AG154" s="55">
        <f t="shared" si="36"/>
        <v>0.22222222222222221</v>
      </c>
      <c r="AH154" s="29">
        <f>SUM($AF$2:AF154)</f>
        <v>103</v>
      </c>
      <c r="AI154" s="55">
        <f>SUM($AG$2:AG154)</f>
        <v>102.77777777777764</v>
      </c>
    </row>
    <row r="155" spans="1:35" x14ac:dyDescent="0.2">
      <c r="A155" s="48" t="s">
        <v>8842</v>
      </c>
      <c r="B155" s="29">
        <v>2</v>
      </c>
      <c r="C155" s="29">
        <v>3</v>
      </c>
      <c r="D155" s="29">
        <v>214</v>
      </c>
      <c r="E155" s="29">
        <v>838</v>
      </c>
      <c r="F155" s="29">
        <v>3578</v>
      </c>
      <c r="G155" s="29">
        <v>885</v>
      </c>
      <c r="H155" s="29">
        <v>11242</v>
      </c>
      <c r="I155" s="29">
        <v>1367</v>
      </c>
      <c r="J155" s="29">
        <v>9668120</v>
      </c>
      <c r="K155" s="29">
        <v>2874</v>
      </c>
      <c r="L155" s="29">
        <v>5717</v>
      </c>
      <c r="N155" s="33"/>
      <c r="O155" s="29">
        <f>AVERAGE(K155, L155)</f>
        <v>4295.5</v>
      </c>
      <c r="P155" s="31" cm="1">
        <f t="array" ref="P155">WPNFACTOR(C155)</f>
        <v>2.5</v>
      </c>
      <c r="Q155" s="33" cm="1">
        <f t="array" ref="Q155">HPFACTOr(C155)</f>
        <v>4</v>
      </c>
      <c r="R155" s="32">
        <f>O155/P155</f>
        <v>1718.2</v>
      </c>
      <c r="S155" s="33">
        <f>J155/Q155</f>
        <v>2417030</v>
      </c>
      <c r="T155" s="32">
        <f>R155*(1 + (N155/400))</f>
        <v>1718.2</v>
      </c>
      <c r="U155" s="39">
        <f>S155*1.6/(1 + (0.6*(1 - (M155/100))))</f>
        <v>2417030</v>
      </c>
      <c r="V155" s="41">
        <f>VLOOKUP(D155,LevelXp!$A$1:'LevelXp'!$B$1000,2,)/5</f>
        <v>15495311</v>
      </c>
      <c r="W155" s="29">
        <f>T155*U155</f>
        <v>4152940946</v>
      </c>
      <c r="X155" s="32">
        <f>POWER(W155, 1/$X$1)</f>
        <v>83.882458587770188</v>
      </c>
      <c r="Y155" s="41">
        <v>205</v>
      </c>
      <c r="Z155" s="41">
        <v>15495311</v>
      </c>
      <c r="AA155" s="41">
        <v>0</v>
      </c>
      <c r="AC155" s="50">
        <v>154</v>
      </c>
      <c r="AD155" s="51">
        <f t="shared" si="34"/>
        <v>4234469</v>
      </c>
      <c r="AE155" s="51">
        <f t="shared" si="36"/>
        <v>18194892.333333332</v>
      </c>
      <c r="AF155" s="51">
        <f t="shared" si="35"/>
        <v>0</v>
      </c>
      <c r="AG155" s="55">
        <f t="shared" si="36"/>
        <v>0.33333333333333331</v>
      </c>
      <c r="AH155" s="29">
        <f>SUM($AF$2:AF155)</f>
        <v>103</v>
      </c>
      <c r="AI155" s="55">
        <f>SUM($AG$2:AG155)</f>
        <v>103.11111111111097</v>
      </c>
    </row>
    <row r="156" spans="1:35" x14ac:dyDescent="0.2">
      <c r="A156" s="48" t="s">
        <v>8851</v>
      </c>
      <c r="B156" s="29">
        <v>9</v>
      </c>
      <c r="C156" s="29">
        <v>1</v>
      </c>
      <c r="D156" s="29">
        <v>345</v>
      </c>
      <c r="E156" s="29">
        <v>6740</v>
      </c>
      <c r="F156" s="29">
        <v>2365</v>
      </c>
      <c r="G156" s="29">
        <v>2340</v>
      </c>
      <c r="H156" s="29">
        <v>6460</v>
      </c>
      <c r="I156" s="29">
        <v>1550</v>
      </c>
      <c r="J156" s="29">
        <v>11175800</v>
      </c>
      <c r="K156" s="29">
        <v>360</v>
      </c>
      <c r="L156" s="29">
        <v>609</v>
      </c>
      <c r="N156" s="33"/>
      <c r="O156" s="29">
        <f>AVERAGE(K156, L156)</f>
        <v>484.5</v>
      </c>
      <c r="P156" s="31" cm="1">
        <f t="array" ref="P156">WPNFACTOR(C156)</f>
        <v>2</v>
      </c>
      <c r="Q156" s="33" cm="1">
        <f t="array" ref="Q156">HPFACTOr(C156)</f>
        <v>5</v>
      </c>
      <c r="R156" s="32">
        <f>O156/P156</f>
        <v>242.25</v>
      </c>
      <c r="S156" s="33">
        <f>J156/Q156</f>
        <v>2235160</v>
      </c>
      <c r="T156" s="32">
        <f>R156*(1 + (N156/400))</f>
        <v>242.25</v>
      </c>
      <c r="U156" s="39">
        <f>S156*1.6/(1 + (0.6*(1 - (M156/100))))</f>
        <v>2235160</v>
      </c>
      <c r="V156" s="41">
        <f>VLOOKUP(D156,LevelXp!$A$1:'LevelXp'!$B$1000,2,)/5</f>
        <v>153964246</v>
      </c>
      <c r="W156" s="29">
        <f>T156*U156</f>
        <v>541467510</v>
      </c>
      <c r="X156" s="32">
        <f>POWER(W156, 1/$X$1)</f>
        <v>55.810315869906567</v>
      </c>
      <c r="Y156" s="41">
        <v>206</v>
      </c>
      <c r="Z156" s="41">
        <v>153964246</v>
      </c>
      <c r="AA156" s="41">
        <v>1</v>
      </c>
      <c r="AC156" s="50">
        <v>155</v>
      </c>
      <c r="AD156" s="51">
        <f t="shared" si="34"/>
        <v>0</v>
      </c>
      <c r="AE156" s="51">
        <f t="shared" si="36"/>
        <v>18021204.888888888</v>
      </c>
      <c r="AF156" s="51">
        <f t="shared" si="35"/>
        <v>0</v>
      </c>
      <c r="AG156" s="55">
        <f t="shared" si="36"/>
        <v>0.33333333333333331</v>
      </c>
      <c r="AH156" s="29">
        <f>SUM($AF$2:AF156)</f>
        <v>103</v>
      </c>
      <c r="AI156" s="55">
        <f>SUM($AG$2:AG156)</f>
        <v>103.4444444444443</v>
      </c>
    </row>
    <row r="157" spans="1:35" x14ac:dyDescent="0.2">
      <c r="A157" s="48" t="s">
        <v>2937</v>
      </c>
      <c r="B157" s="29">
        <v>150</v>
      </c>
      <c r="N157" s="33"/>
      <c r="Q157" s="33"/>
      <c r="S157" s="33"/>
      <c r="U157" s="39"/>
      <c r="V157" s="41">
        <f>VLOOKUP(B157,LevelXp!$D$1:'LevelXp'!$F$1000,3,)</f>
        <v>54588036</v>
      </c>
      <c r="Y157" s="41">
        <v>206</v>
      </c>
      <c r="Z157" s="41">
        <v>54588036</v>
      </c>
      <c r="AA157" s="41">
        <v>0</v>
      </c>
      <c r="AC157" s="50">
        <v>156</v>
      </c>
      <c r="AD157" s="51">
        <f t="shared" si="34"/>
        <v>50191950</v>
      </c>
      <c r="AE157" s="51">
        <f t="shared" si="36"/>
        <v>18778638.888888888</v>
      </c>
      <c r="AF157" s="51">
        <f t="shared" si="35"/>
        <v>1</v>
      </c>
      <c r="AG157" s="55">
        <f t="shared" si="36"/>
        <v>0.33333333333333331</v>
      </c>
      <c r="AH157" s="29">
        <f>SUM($AF$2:AF157)</f>
        <v>104</v>
      </c>
      <c r="AI157" s="55">
        <f>SUM($AG$2:AG157)</f>
        <v>103.77777777777763</v>
      </c>
    </row>
    <row r="158" spans="1:35" x14ac:dyDescent="0.2">
      <c r="A158" s="48" t="s">
        <v>8842</v>
      </c>
      <c r="B158" s="29">
        <v>3</v>
      </c>
      <c r="C158" s="29">
        <v>3</v>
      </c>
      <c r="D158" s="29">
        <v>216</v>
      </c>
      <c r="E158" s="29">
        <v>1054</v>
      </c>
      <c r="F158" s="29">
        <v>3733</v>
      </c>
      <c r="G158" s="29">
        <v>1152</v>
      </c>
      <c r="H158" s="29">
        <v>11396</v>
      </c>
      <c r="I158" s="29">
        <v>1270</v>
      </c>
      <c r="J158" s="29">
        <v>9891728</v>
      </c>
      <c r="K158" s="29">
        <v>2924</v>
      </c>
      <c r="L158" s="29">
        <v>5743</v>
      </c>
      <c r="N158" s="33"/>
      <c r="O158" s="29">
        <f>AVERAGE(K158, L158)</f>
        <v>4333.5</v>
      </c>
      <c r="P158" s="31" cm="1">
        <f t="array" ref="P158">WPNFACTOR(C158)</f>
        <v>2.5</v>
      </c>
      <c r="Q158" s="33" cm="1">
        <f t="array" ref="Q158">HPFACTOr(C158)</f>
        <v>4</v>
      </c>
      <c r="R158" s="32">
        <f>O158/P158</f>
        <v>1733.4</v>
      </c>
      <c r="S158" s="33">
        <f>J158/Q158</f>
        <v>2472932</v>
      </c>
      <c r="T158" s="32">
        <f>R158*(1 + (N158/400))</f>
        <v>1733.4</v>
      </c>
      <c r="U158" s="39">
        <f>S158*1.6/(1 + (0.6*(1 - (M158/100))))</f>
        <v>2472932</v>
      </c>
      <c r="V158" s="41">
        <f>VLOOKUP(D158,LevelXp!$A$1:'LevelXp'!$B$1000,2,)/5</f>
        <v>16166597</v>
      </c>
      <c r="W158" s="29">
        <f>T158*U158</f>
        <v>4286580328.8000002</v>
      </c>
      <c r="X158" s="32">
        <f>POWER(W158, 1/$X$1)</f>
        <v>84.415499252260702</v>
      </c>
      <c r="Y158" s="41">
        <v>207</v>
      </c>
      <c r="Z158" s="41">
        <v>16166597</v>
      </c>
      <c r="AA158" s="41">
        <v>0</v>
      </c>
      <c r="AC158" s="50">
        <v>157</v>
      </c>
      <c r="AD158" s="51">
        <f t="shared" si="34"/>
        <v>0</v>
      </c>
      <c r="AE158" s="51">
        <f t="shared" si="36"/>
        <v>20408645.444444444</v>
      </c>
      <c r="AF158" s="51">
        <f t="shared" si="35"/>
        <v>0</v>
      </c>
      <c r="AG158" s="55">
        <f t="shared" si="36"/>
        <v>0.33333333333333331</v>
      </c>
      <c r="AH158" s="29">
        <f>SUM($AF$2:AF158)</f>
        <v>104</v>
      </c>
      <c r="AI158" s="55">
        <f>SUM($AG$2:AG158)</f>
        <v>104.11111111111096</v>
      </c>
    </row>
    <row r="159" spans="1:35" x14ac:dyDescent="0.2">
      <c r="A159" s="48" t="s">
        <v>8841</v>
      </c>
      <c r="B159" s="29">
        <v>8</v>
      </c>
      <c r="C159" s="29">
        <v>3</v>
      </c>
      <c r="D159" s="29">
        <v>206</v>
      </c>
      <c r="E159" s="29">
        <v>919</v>
      </c>
      <c r="F159" s="29">
        <v>3531</v>
      </c>
      <c r="G159" s="29">
        <v>882</v>
      </c>
      <c r="H159" s="29">
        <v>13756</v>
      </c>
      <c r="I159" s="29">
        <v>1269</v>
      </c>
      <c r="J159" s="29">
        <v>11389968</v>
      </c>
      <c r="K159" s="29">
        <v>2796</v>
      </c>
      <c r="L159" s="29">
        <v>5518</v>
      </c>
      <c r="N159" s="33"/>
      <c r="O159" s="29">
        <f>AVERAGE(K159, L159)</f>
        <v>4157</v>
      </c>
      <c r="P159" s="31" cm="1">
        <f t="array" ref="P159">WPNFACTOR(C159)</f>
        <v>2.5</v>
      </c>
      <c r="Q159" s="33" cm="1">
        <f t="array" ref="Q159">HPFACTOr(C159)</f>
        <v>4</v>
      </c>
      <c r="R159" s="32">
        <f>O159/P159</f>
        <v>1662.8</v>
      </c>
      <c r="S159" s="33">
        <f>J159/Q159</f>
        <v>2847492</v>
      </c>
      <c r="T159" s="32">
        <f>R159*(1 + (N159/400))</f>
        <v>1662.8</v>
      </c>
      <c r="U159" s="39">
        <f>S159*1.6/(1 + (0.6*(1 - (M159/100))))</f>
        <v>2847492</v>
      </c>
      <c r="V159" s="41">
        <f>VLOOKUP(D159,LevelXp!$A$1:'LevelXp'!$B$1000,2,)/5</f>
        <v>13036143</v>
      </c>
      <c r="W159" s="29">
        <f>T159*U159</f>
        <v>4734809697.5999994</v>
      </c>
      <c r="X159" s="32">
        <f>POWER(W159, 1/$X$1)</f>
        <v>86.111371375627471</v>
      </c>
      <c r="Y159" s="41">
        <v>208</v>
      </c>
      <c r="Z159" s="41">
        <v>13036143</v>
      </c>
      <c r="AA159" s="41">
        <v>0</v>
      </c>
      <c r="AC159" s="50">
        <v>158</v>
      </c>
      <c r="AD159" s="51">
        <f t="shared" si="34"/>
        <v>61806299</v>
      </c>
      <c r="AE159" s="51">
        <f t="shared" si="36"/>
        <v>18314052.666666668</v>
      </c>
      <c r="AF159" s="51">
        <f t="shared" si="35"/>
        <v>1</v>
      </c>
      <c r="AG159" s="55">
        <f t="shared" si="36"/>
        <v>0.22222222222222221</v>
      </c>
      <c r="AH159" s="29">
        <f>SUM($AF$2:AF159)</f>
        <v>105</v>
      </c>
      <c r="AI159" s="55">
        <f>SUM($AG$2:AG159)</f>
        <v>104.33333333333319</v>
      </c>
    </row>
    <row r="160" spans="1:35" x14ac:dyDescent="0.2">
      <c r="A160" s="48" t="s">
        <v>8842</v>
      </c>
      <c r="B160" s="29">
        <v>4</v>
      </c>
      <c r="C160" s="29">
        <v>1</v>
      </c>
      <c r="D160" s="29">
        <v>218</v>
      </c>
      <c r="E160" s="29">
        <v>3639</v>
      </c>
      <c r="F160" s="29">
        <v>1018</v>
      </c>
      <c r="G160" s="29">
        <v>867</v>
      </c>
      <c r="H160" s="29">
        <v>14047</v>
      </c>
      <c r="I160" s="29">
        <v>1180</v>
      </c>
      <c r="J160" s="29">
        <v>15381465</v>
      </c>
      <c r="K160" s="29">
        <v>2340</v>
      </c>
      <c r="L160" s="29">
        <v>4669</v>
      </c>
      <c r="N160" s="33"/>
      <c r="O160" s="29">
        <f>AVERAGE(K160, L160)</f>
        <v>3504.5</v>
      </c>
      <c r="P160" s="31" cm="1">
        <f t="array" ref="P160">WPNFACTOR(C160)</f>
        <v>2</v>
      </c>
      <c r="Q160" s="33" cm="1">
        <f t="array" ref="Q160">HPFACTOr(C160)</f>
        <v>5</v>
      </c>
      <c r="R160" s="32">
        <f>O160/P160</f>
        <v>1752.25</v>
      </c>
      <c r="S160" s="33">
        <f>J160/Q160</f>
        <v>3076293</v>
      </c>
      <c r="T160" s="32">
        <f>R160*(1 + (N160/400))</f>
        <v>1752.25</v>
      </c>
      <c r="U160" s="39">
        <f>S160*1.6/(1 + (0.6*(1 - (M160/100))))</f>
        <v>3076292.9999999995</v>
      </c>
      <c r="V160" s="41">
        <f>VLOOKUP(D160,LevelXp!$A$1:'LevelXp'!$B$1000,2,)/5</f>
        <v>16861182</v>
      </c>
      <c r="W160" s="29">
        <f>T160*U160</f>
        <v>5390434409.249999</v>
      </c>
      <c r="X160" s="32">
        <f>POWER(W160, 1/$X$1)</f>
        <v>88.374048965405322</v>
      </c>
      <c r="Y160" s="41">
        <v>209</v>
      </c>
      <c r="Z160" s="41">
        <v>16861182</v>
      </c>
      <c r="AA160" s="41">
        <v>0</v>
      </c>
      <c r="AC160" s="50">
        <v>159</v>
      </c>
      <c r="AD160" s="51">
        <f t="shared" si="34"/>
        <v>0</v>
      </c>
      <c r="AE160" s="51">
        <f t="shared" si="36"/>
        <v>17843556.111111112</v>
      </c>
      <c r="AF160" s="51">
        <f t="shared" si="35"/>
        <v>0</v>
      </c>
      <c r="AG160" s="55">
        <f t="shared" si="36"/>
        <v>0.22222222222222221</v>
      </c>
      <c r="AH160" s="29">
        <f>SUM($AF$2:AF160)</f>
        <v>105</v>
      </c>
      <c r="AI160" s="55">
        <f>SUM($AG$2:AG160)</f>
        <v>104.55555555555542</v>
      </c>
    </row>
    <row r="161" spans="1:35" x14ac:dyDescent="0.2">
      <c r="A161" s="48" t="s">
        <v>8851</v>
      </c>
      <c r="B161" s="29">
        <v>10</v>
      </c>
      <c r="C161" s="29">
        <v>1</v>
      </c>
      <c r="D161" s="29">
        <v>350</v>
      </c>
      <c r="E161" s="29">
        <v>6840</v>
      </c>
      <c r="F161" s="29">
        <v>2400</v>
      </c>
      <c r="G161" s="29">
        <v>2375</v>
      </c>
      <c r="H161" s="29">
        <v>6560</v>
      </c>
      <c r="I161" s="29">
        <v>1570</v>
      </c>
      <c r="J161" s="29">
        <v>11512800</v>
      </c>
      <c r="K161" s="29">
        <v>365</v>
      </c>
      <c r="L161" s="29">
        <v>624</v>
      </c>
      <c r="N161" s="33"/>
      <c r="O161" s="29">
        <f>AVERAGE(K161, L161)</f>
        <v>494.5</v>
      </c>
      <c r="P161" s="31" cm="1">
        <f t="array" ref="P161">WPNFACTOR(C161)</f>
        <v>2</v>
      </c>
      <c r="Q161" s="33" cm="1">
        <f t="array" ref="Q161">HPFACTOr(C161)</f>
        <v>5</v>
      </c>
      <c r="R161" s="32">
        <f>O161/P161</f>
        <v>247.25</v>
      </c>
      <c r="S161" s="33">
        <f>J161/Q161</f>
        <v>2302560</v>
      </c>
      <c r="T161" s="32">
        <f>R161*(1 + (N161/400))</f>
        <v>247.25</v>
      </c>
      <c r="U161" s="39">
        <f>S161*1.6/(1 + (0.6*(1 - (M161/100))))</f>
        <v>2302560</v>
      </c>
      <c r="V161" s="41">
        <f>VLOOKUP(D161,LevelXp!$A$1:'LevelXp'!$B$1000,2,)/5</f>
        <v>165631756</v>
      </c>
      <c r="W161" s="29">
        <f>T161*U161</f>
        <v>569307960</v>
      </c>
      <c r="X161" s="32">
        <f>POWER(W161, 1/$X$1)</f>
        <v>56.37277984730472</v>
      </c>
      <c r="Y161" s="41">
        <v>210</v>
      </c>
      <c r="Z161" s="41">
        <v>165631756</v>
      </c>
      <c r="AA161" s="41">
        <v>1</v>
      </c>
      <c r="AC161" s="50">
        <v>160</v>
      </c>
      <c r="AD161" s="51">
        <f t="shared" si="34"/>
        <v>6816906</v>
      </c>
      <c r="AE161" s="51">
        <f t="shared" si="36"/>
        <v>24473115.666666668</v>
      </c>
      <c r="AF161" s="51">
        <f t="shared" si="35"/>
        <v>0</v>
      </c>
      <c r="AG161" s="55">
        <f t="shared" si="36"/>
        <v>0.33333333333333331</v>
      </c>
      <c r="AH161" s="29">
        <f>SUM($AF$2:AF161)</f>
        <v>105</v>
      </c>
      <c r="AI161" s="55">
        <f>SUM($AG$2:AG161)</f>
        <v>104.88888888888874</v>
      </c>
    </row>
    <row r="162" spans="1:35" x14ac:dyDescent="0.2">
      <c r="A162" s="48" t="s">
        <v>2937</v>
      </c>
      <c r="B162" s="29">
        <v>160</v>
      </c>
      <c r="N162" s="33"/>
      <c r="Q162" s="33"/>
      <c r="S162" s="33"/>
      <c r="U162" s="39"/>
      <c r="V162" s="41">
        <f>VLOOKUP(B162,LevelXp!$D$1:'LevelXp'!$F$1000,3,)</f>
        <v>59381065</v>
      </c>
      <c r="Y162" s="41">
        <v>210</v>
      </c>
      <c r="Z162" s="41">
        <v>59381065</v>
      </c>
      <c r="AA162" s="41">
        <v>0</v>
      </c>
      <c r="AC162" s="50">
        <v>161</v>
      </c>
      <c r="AD162" s="51">
        <f t="shared" si="34"/>
        <v>14670059</v>
      </c>
      <c r="AE162" s="51">
        <f t="shared" si="36"/>
        <v>18896232.333333332</v>
      </c>
      <c r="AF162" s="51">
        <f t="shared" si="35"/>
        <v>0</v>
      </c>
      <c r="AG162" s="55">
        <f t="shared" si="36"/>
        <v>0.22222222222222221</v>
      </c>
      <c r="AH162" s="29">
        <f>SUM($AF$2:AF162)</f>
        <v>105</v>
      </c>
      <c r="AI162" s="55">
        <f>SUM($AG$2:AG162)</f>
        <v>105.11111111111097</v>
      </c>
    </row>
    <row r="163" spans="1:35" x14ac:dyDescent="0.2">
      <c r="A163" s="48" t="s">
        <v>8842</v>
      </c>
      <c r="B163" s="29">
        <v>5</v>
      </c>
      <c r="C163" s="29">
        <v>1</v>
      </c>
      <c r="D163" s="29">
        <v>220</v>
      </c>
      <c r="E163" s="29">
        <v>3748</v>
      </c>
      <c r="F163" s="29">
        <v>1079</v>
      </c>
      <c r="G163" s="29">
        <v>977</v>
      </c>
      <c r="H163" s="29">
        <v>14338</v>
      </c>
      <c r="I163" s="29">
        <v>1059</v>
      </c>
      <c r="J163" s="29">
        <v>15843490</v>
      </c>
      <c r="K163" s="29">
        <v>2402</v>
      </c>
      <c r="L163" s="29">
        <v>4680</v>
      </c>
      <c r="N163" s="33"/>
      <c r="O163" s="29">
        <f>AVERAGE(K163, L163)</f>
        <v>3541</v>
      </c>
      <c r="P163" s="31" cm="1">
        <f t="array" ref="P163">WPNFACTOR(C163)</f>
        <v>2</v>
      </c>
      <c r="Q163" s="33" cm="1">
        <f t="array" ref="Q163">HPFACTOr(C163)</f>
        <v>5</v>
      </c>
      <c r="R163" s="32">
        <f>O163/P163</f>
        <v>1770.5</v>
      </c>
      <c r="S163" s="33">
        <f>J163/Q163</f>
        <v>3168698</v>
      </c>
      <c r="T163" s="32">
        <f>R163*(1 + (N163/400))</f>
        <v>1770.5</v>
      </c>
      <c r="U163" s="39">
        <f>S163*1.6/(1 + (0.6*(1 - (M163/100))))</f>
        <v>3168698.0000000005</v>
      </c>
      <c r="V163" s="41">
        <f>VLOOKUP(D163,LevelXp!$A$1:'LevelXp'!$B$1000,2,)/5</f>
        <v>17581974</v>
      </c>
      <c r="W163" s="29">
        <f>T163*U163</f>
        <v>5610179809.000001</v>
      </c>
      <c r="X163" s="32">
        <f>POWER(W163, 1/$X$1)</f>
        <v>89.083107085067667</v>
      </c>
      <c r="Y163" s="41">
        <v>211</v>
      </c>
      <c r="Z163" s="41">
        <v>17581974</v>
      </c>
      <c r="AA163" s="41">
        <v>0</v>
      </c>
      <c r="AC163" s="50">
        <v>162</v>
      </c>
      <c r="AD163" s="51">
        <f t="shared" si="34"/>
        <v>27106791</v>
      </c>
      <c r="AE163" s="51">
        <f t="shared" si="36"/>
        <v>27677662.333333332</v>
      </c>
      <c r="AF163" s="51">
        <f t="shared" si="35"/>
        <v>0</v>
      </c>
      <c r="AG163" s="55">
        <f t="shared" si="36"/>
        <v>0.33333333333333331</v>
      </c>
      <c r="AH163" s="29">
        <f>SUM($AF$2:AF163)</f>
        <v>105</v>
      </c>
      <c r="AI163" s="55">
        <f>SUM($AG$2:AG163)</f>
        <v>105.4444444444443</v>
      </c>
    </row>
    <row r="164" spans="1:35" x14ac:dyDescent="0.2">
      <c r="A164" s="48" t="s">
        <v>2937</v>
      </c>
      <c r="B164" s="29">
        <v>170</v>
      </c>
      <c r="N164" s="33"/>
      <c r="Q164" s="33"/>
      <c r="S164" s="33"/>
      <c r="U164" s="39"/>
      <c r="V164" s="41">
        <f>VLOOKUP(B164,LevelXp!$D$1:'LevelXp'!$F$1000,3,)</f>
        <v>64740900</v>
      </c>
      <c r="Y164" s="41">
        <v>214</v>
      </c>
      <c r="Z164" s="41">
        <v>64740900</v>
      </c>
      <c r="AA164" s="41">
        <v>0</v>
      </c>
      <c r="AC164" s="50">
        <v>163</v>
      </c>
      <c r="AD164" s="51">
        <f t="shared" si="34"/>
        <v>0</v>
      </c>
      <c r="AE164" s="51">
        <f t="shared" si="36"/>
        <v>20810295.777777776</v>
      </c>
      <c r="AF164" s="51">
        <f t="shared" si="35"/>
        <v>0</v>
      </c>
      <c r="AG164" s="55">
        <f t="shared" si="36"/>
        <v>0.22222222222222221</v>
      </c>
      <c r="AH164" s="29">
        <f>SUM($AF$2:AF164)</f>
        <v>105</v>
      </c>
      <c r="AI164" s="55">
        <f>SUM($AG$2:AG164)</f>
        <v>105.66666666666653</v>
      </c>
    </row>
    <row r="165" spans="1:35" x14ac:dyDescent="0.2">
      <c r="A165" s="48" t="s">
        <v>8841</v>
      </c>
      <c r="B165" s="29">
        <v>9</v>
      </c>
      <c r="C165" s="29">
        <v>3</v>
      </c>
      <c r="D165" s="29">
        <v>208</v>
      </c>
      <c r="E165" s="29">
        <v>945</v>
      </c>
      <c r="F165" s="29">
        <v>3655</v>
      </c>
      <c r="G165" s="29">
        <v>913</v>
      </c>
      <c r="H165" s="29">
        <v>15252</v>
      </c>
      <c r="I165" s="29">
        <v>1323</v>
      </c>
      <c r="J165" s="29">
        <v>12750672</v>
      </c>
      <c r="K165" s="29">
        <v>2799</v>
      </c>
      <c r="L165" s="29">
        <v>5566</v>
      </c>
      <c r="N165" s="33"/>
      <c r="O165" s="29">
        <f>AVERAGE(K165, L165)</f>
        <v>4182.5</v>
      </c>
      <c r="P165" s="31" cm="1">
        <f t="array" ref="P165">WPNFACTOR(C165)</f>
        <v>2.5</v>
      </c>
      <c r="Q165" s="33" cm="1">
        <f t="array" ref="Q165">HPFACTOr(C165)</f>
        <v>4</v>
      </c>
      <c r="R165" s="32">
        <f>O165/P165</f>
        <v>1673</v>
      </c>
      <c r="S165" s="33">
        <f>J165/Q165</f>
        <v>3187668</v>
      </c>
      <c r="T165" s="32">
        <f>R165*(1 + (N165/400))</f>
        <v>1673</v>
      </c>
      <c r="U165" s="39">
        <f>S165*1.6/(1 + (0.6*(1 - (M165/100))))</f>
        <v>3187668.0000000005</v>
      </c>
      <c r="V165" s="41">
        <f>VLOOKUP(D165,LevelXp!$A$1:'LevelXp'!$B$1000,2,)/5</f>
        <v>13618707</v>
      </c>
      <c r="W165" s="29">
        <f>T165*U165</f>
        <v>5332968564.000001</v>
      </c>
      <c r="X165" s="32">
        <f>POWER(W165, 1/$X$1)</f>
        <v>88.184814305821391</v>
      </c>
      <c r="Y165" s="41">
        <v>216</v>
      </c>
      <c r="Z165" s="41">
        <v>13618707</v>
      </c>
      <c r="AA165" s="41">
        <v>0</v>
      </c>
      <c r="AC165" s="50">
        <v>164</v>
      </c>
      <c r="AD165" s="51">
        <f t="shared" si="34"/>
        <v>59666036</v>
      </c>
      <c r="AE165" s="51">
        <f t="shared" si="36"/>
        <v>20810295.777777776</v>
      </c>
      <c r="AF165" s="51">
        <f t="shared" si="35"/>
        <v>1</v>
      </c>
      <c r="AG165" s="55">
        <f t="shared" si="36"/>
        <v>0.22222222222222221</v>
      </c>
      <c r="AH165" s="29">
        <f>SUM($AF$2:AF165)</f>
        <v>106</v>
      </c>
      <c r="AI165" s="55">
        <f>SUM($AG$2:AG165)</f>
        <v>105.88888888888876</v>
      </c>
    </row>
    <row r="166" spans="1:35" x14ac:dyDescent="0.2">
      <c r="A166" s="48" t="s">
        <v>8841</v>
      </c>
      <c r="B166" s="29">
        <v>10</v>
      </c>
      <c r="C166" s="29">
        <v>1</v>
      </c>
      <c r="D166" s="29">
        <v>210</v>
      </c>
      <c r="E166" s="29">
        <v>3720</v>
      </c>
      <c r="F166" s="29">
        <v>1155</v>
      </c>
      <c r="G166" s="29">
        <v>1080</v>
      </c>
      <c r="H166" s="29">
        <v>15840</v>
      </c>
      <c r="I166" s="29">
        <v>1020</v>
      </c>
      <c r="J166" s="29">
        <v>16711200</v>
      </c>
      <c r="K166" s="29">
        <v>2293</v>
      </c>
      <c r="L166" s="29">
        <v>4412</v>
      </c>
      <c r="N166" s="33"/>
      <c r="O166" s="29">
        <f>AVERAGE(K166, L166)</f>
        <v>3352.5</v>
      </c>
      <c r="P166" s="31" cm="1">
        <f t="array" ref="P166">WPNFACTOR(C166)</f>
        <v>2</v>
      </c>
      <c r="Q166" s="33" cm="1">
        <f t="array" ref="Q166">HPFACTOr(C166)</f>
        <v>5</v>
      </c>
      <c r="R166" s="32">
        <f>O166/P166</f>
        <v>1676.25</v>
      </c>
      <c r="S166" s="33">
        <f>J166/Q166</f>
        <v>3342240</v>
      </c>
      <c r="T166" s="32">
        <f>R166*(1 + (N166/400))</f>
        <v>1676.25</v>
      </c>
      <c r="U166" s="39">
        <f>S166*1.6/(1 + (0.6*(1 - (M166/100))))</f>
        <v>3342240</v>
      </c>
      <c r="V166" s="41">
        <f>VLOOKUP(D166,LevelXp!$A$1:'LevelXp'!$B$1000,2,)/5</f>
        <v>14222021</v>
      </c>
      <c r="W166" s="29">
        <f>T166*U166</f>
        <v>5602429800</v>
      </c>
      <c r="X166" s="32">
        <f>POWER(W166, 1/$X$1)</f>
        <v>89.058481254469555</v>
      </c>
      <c r="Y166" s="41">
        <v>216</v>
      </c>
      <c r="Z166" s="41">
        <v>14222021</v>
      </c>
      <c r="AA166" s="41">
        <v>0</v>
      </c>
      <c r="AC166" s="50">
        <v>165</v>
      </c>
      <c r="AD166" s="51">
        <f t="shared" si="34"/>
        <v>0</v>
      </c>
      <c r="AE166" s="51">
        <f t="shared" si="36"/>
        <v>27896755.666666668</v>
      </c>
      <c r="AF166" s="51">
        <f t="shared" si="35"/>
        <v>0</v>
      </c>
      <c r="AG166" s="55">
        <f t="shared" si="36"/>
        <v>0.33333333333333331</v>
      </c>
      <c r="AH166" s="29">
        <f>SUM($AF$2:AF166)</f>
        <v>106</v>
      </c>
      <c r="AI166" s="55">
        <f>SUM($AG$2:AG166)</f>
        <v>106.22222222222209</v>
      </c>
    </row>
    <row r="167" spans="1:35" x14ac:dyDescent="0.2">
      <c r="A167" s="48" t="s">
        <v>8852</v>
      </c>
      <c r="B167" s="29">
        <v>1</v>
      </c>
      <c r="C167" s="29">
        <v>1</v>
      </c>
      <c r="D167" s="29">
        <v>355</v>
      </c>
      <c r="E167" s="29">
        <v>7570</v>
      </c>
      <c r="F167" s="29">
        <v>2655</v>
      </c>
      <c r="G167" s="29">
        <v>2630</v>
      </c>
      <c r="H167" s="29">
        <v>7290</v>
      </c>
      <c r="I167" s="29">
        <v>1716</v>
      </c>
      <c r="J167" s="29">
        <v>12976200</v>
      </c>
      <c r="K167" s="29">
        <v>401</v>
      </c>
      <c r="L167" s="29">
        <v>733</v>
      </c>
      <c r="N167" s="33"/>
      <c r="O167" s="29">
        <f>AVERAGE(K167, L167)</f>
        <v>567</v>
      </c>
      <c r="P167" s="31" cm="1">
        <f t="array" ref="P167">WPNFACTOR(C167)</f>
        <v>2</v>
      </c>
      <c r="Q167" s="33" cm="1">
        <f t="array" ref="Q167">HPFACTOr(C167)</f>
        <v>5</v>
      </c>
      <c r="R167" s="32">
        <f>O167/P167</f>
        <v>283.5</v>
      </c>
      <c r="S167" s="33">
        <f>J167/Q167</f>
        <v>2595240</v>
      </c>
      <c r="T167" s="32">
        <f>R167*(1 + (N167/400))</f>
        <v>283.5</v>
      </c>
      <c r="U167" s="39">
        <f>S167*1.6/(1 + (0.6*(1 - (M167/100))))</f>
        <v>2595240</v>
      </c>
      <c r="V167" s="41">
        <f>VLOOKUP(D167,LevelXp!$A$1:'LevelXp'!$B$1000,2,)/5</f>
        <v>178017293</v>
      </c>
      <c r="W167" s="29">
        <f>T167*U167</f>
        <v>735750540</v>
      </c>
      <c r="X167" s="32">
        <f>POWER(W167, 1/$X$1)</f>
        <v>59.339805421007398</v>
      </c>
      <c r="Y167" s="41">
        <v>217</v>
      </c>
      <c r="Z167" s="41">
        <v>178017293</v>
      </c>
      <c r="AA167" s="41">
        <v>1</v>
      </c>
      <c r="AC167" s="50">
        <v>166</v>
      </c>
      <c r="AD167" s="51">
        <f t="shared" si="34"/>
        <v>79032870</v>
      </c>
      <c r="AE167" s="51">
        <f t="shared" si="36"/>
        <v>28202740.222222224</v>
      </c>
      <c r="AF167" s="51">
        <f t="shared" si="35"/>
        <v>1</v>
      </c>
      <c r="AG167" s="55">
        <f t="shared" si="36"/>
        <v>0.33333333333333331</v>
      </c>
      <c r="AH167" s="29">
        <f>SUM($AF$2:AF167)</f>
        <v>107</v>
      </c>
      <c r="AI167" s="55">
        <f>SUM($AG$2:AG167)</f>
        <v>106.55555555555542</v>
      </c>
    </row>
    <row r="168" spans="1:35" x14ac:dyDescent="0.2">
      <c r="A168" s="48" t="s">
        <v>8842</v>
      </c>
      <c r="B168" s="29">
        <v>6</v>
      </c>
      <c r="C168" s="29">
        <v>3</v>
      </c>
      <c r="D168" s="29">
        <v>222</v>
      </c>
      <c r="E168" s="29">
        <v>999</v>
      </c>
      <c r="F168" s="29">
        <v>3848</v>
      </c>
      <c r="G168" s="29">
        <v>962</v>
      </c>
      <c r="H168" s="29">
        <v>15466</v>
      </c>
      <c r="I168" s="29">
        <v>1387</v>
      </c>
      <c r="J168" s="29">
        <v>13795672</v>
      </c>
      <c r="K168" s="29">
        <v>2987</v>
      </c>
      <c r="L168" s="29">
        <v>5911</v>
      </c>
      <c r="N168" s="33"/>
      <c r="O168" s="29">
        <f>AVERAGE(K168, L168)</f>
        <v>4449</v>
      </c>
      <c r="P168" s="31" cm="1">
        <f t="array" ref="P168">WPNFACTOR(C168)</f>
        <v>2.5</v>
      </c>
      <c r="Q168" s="33" cm="1">
        <f t="array" ref="Q168">HPFACTOr(C168)</f>
        <v>4</v>
      </c>
      <c r="R168" s="32">
        <f>O168/P168</f>
        <v>1779.6</v>
      </c>
      <c r="S168" s="33">
        <f>J168/Q168</f>
        <v>3448918</v>
      </c>
      <c r="T168" s="32">
        <f>R168*(1 + (N168/400))</f>
        <v>1779.6</v>
      </c>
      <c r="U168" s="39">
        <f>S168*1.6/(1 + (0.6*(1 - (M168/100))))</f>
        <v>3448918.0000000005</v>
      </c>
      <c r="V168" s="41">
        <f>VLOOKUP(D168,LevelXp!$A$1:'LevelXp'!$B$1000,2,)/5</f>
        <v>18327374</v>
      </c>
      <c r="W168" s="29">
        <f>T168*U168</f>
        <v>6137694472.8000002</v>
      </c>
      <c r="X168" s="32">
        <f>POWER(W168, 1/$X$1)</f>
        <v>90.698698100737147</v>
      </c>
      <c r="Y168" s="41">
        <v>218</v>
      </c>
      <c r="Z168" s="41">
        <v>18327374</v>
      </c>
      <c r="AA168" s="41">
        <v>0</v>
      </c>
      <c r="AC168" s="50">
        <v>167</v>
      </c>
      <c r="AD168" s="51">
        <f t="shared" si="34"/>
        <v>0</v>
      </c>
      <c r="AE168" s="51">
        <f t="shared" si="36"/>
        <v>27210651.555555556</v>
      </c>
      <c r="AF168" s="51">
        <f t="shared" si="35"/>
        <v>0</v>
      </c>
      <c r="AG168" s="55">
        <f t="shared" si="36"/>
        <v>0.33333333333333331</v>
      </c>
      <c r="AH168" s="29">
        <f>SUM($AF$2:AF168)</f>
        <v>107</v>
      </c>
      <c r="AI168" s="55">
        <f>SUM($AG$2:AG168)</f>
        <v>106.88888888888874</v>
      </c>
    </row>
    <row r="169" spans="1:35" x14ac:dyDescent="0.2">
      <c r="A169" s="48" t="s">
        <v>2937</v>
      </c>
      <c r="B169" s="29">
        <v>180</v>
      </c>
      <c r="N169" s="33"/>
      <c r="Q169" s="33"/>
      <c r="S169" s="33"/>
      <c r="U169" s="39"/>
      <c r="V169" s="41">
        <f>VLOOKUP(B169,LevelXp!$D$1:'LevelXp'!$F$1000,3,)</f>
        <v>70266662</v>
      </c>
      <c r="Y169" s="41">
        <v>218</v>
      </c>
      <c r="Z169" s="41">
        <v>70266662</v>
      </c>
      <c r="AA169" s="41">
        <v>0</v>
      </c>
      <c r="AC169" s="50">
        <v>168</v>
      </c>
      <c r="AD169" s="51">
        <f t="shared" si="34"/>
        <v>0</v>
      </c>
      <c r="AE169" s="51">
        <f t="shared" si="36"/>
        <v>35729444.777777776</v>
      </c>
      <c r="AF169" s="51">
        <f t="shared" si="35"/>
        <v>0</v>
      </c>
      <c r="AG169" s="55">
        <f t="shared" si="36"/>
        <v>0.44444444444444442</v>
      </c>
      <c r="AH169" s="29">
        <f>SUM($AF$2:AF169)</f>
        <v>107</v>
      </c>
      <c r="AI169" s="55">
        <f>SUM($AG$2:AG169)</f>
        <v>107.33333333333319</v>
      </c>
    </row>
    <row r="170" spans="1:35" x14ac:dyDescent="0.2">
      <c r="A170" s="48" t="s">
        <v>8842</v>
      </c>
      <c r="B170" s="29">
        <v>7</v>
      </c>
      <c r="C170" s="29">
        <v>1</v>
      </c>
      <c r="D170" s="29">
        <v>224</v>
      </c>
      <c r="E170" s="29">
        <v>3920</v>
      </c>
      <c r="F170" s="29">
        <v>1190</v>
      </c>
      <c r="G170" s="29">
        <v>1102</v>
      </c>
      <c r="H170" s="29">
        <v>16170</v>
      </c>
      <c r="I170" s="29">
        <v>1085</v>
      </c>
      <c r="J170" s="29">
        <v>18191250</v>
      </c>
      <c r="K170" s="29">
        <v>2403</v>
      </c>
      <c r="L170" s="29">
        <v>4785</v>
      </c>
      <c r="N170" s="33"/>
      <c r="O170" s="29">
        <f t="shared" ref="O170:O175" si="37">AVERAGE(K170, L170)</f>
        <v>3594</v>
      </c>
      <c r="P170" s="31" cm="1">
        <f t="array" ref="P170">WPNFACTOR(C170)</f>
        <v>2</v>
      </c>
      <c r="Q170" s="33" cm="1">
        <f t="array" ref="Q170">HPFACTOr(C170)</f>
        <v>5</v>
      </c>
      <c r="R170" s="32">
        <f t="shared" ref="R170:R175" si="38">O170/P170</f>
        <v>1797</v>
      </c>
      <c r="S170" s="33">
        <f t="shared" ref="S170:S175" si="39">J170/Q170</f>
        <v>3638250</v>
      </c>
      <c r="T170" s="32">
        <f t="shared" ref="T170:T175" si="40">R170*(1 + (N170/400))</f>
        <v>1797</v>
      </c>
      <c r="U170" s="39">
        <f t="shared" ref="U170:U175" si="41">S170*1.6/(1 + (0.6*(1 - (M170/100))))</f>
        <v>3638250</v>
      </c>
      <c r="V170" s="41">
        <f>VLOOKUP(D170,LevelXp!$A$1:'LevelXp'!$B$1000,2,)/5</f>
        <v>19098075</v>
      </c>
      <c r="W170" s="29">
        <f t="shared" ref="W170:W175" si="42">T170*U170</f>
        <v>6537935250</v>
      </c>
      <c r="X170" s="32">
        <f t="shared" ref="X170:X175" si="43">POWER(W170, 1/$X$1)</f>
        <v>91.851895495924296</v>
      </c>
      <c r="Y170" s="41">
        <v>219</v>
      </c>
      <c r="Z170" s="41">
        <v>19098075</v>
      </c>
      <c r="AA170" s="41">
        <v>0</v>
      </c>
      <c r="AC170" s="50">
        <v>169</v>
      </c>
      <c r="AD170" s="51">
        <f t="shared" si="34"/>
        <v>70595045</v>
      </c>
      <c r="AE170" s="51">
        <f t="shared" si="36"/>
        <v>29099885.222222224</v>
      </c>
      <c r="AF170" s="51">
        <f t="shared" si="35"/>
        <v>1</v>
      </c>
      <c r="AG170" s="55">
        <f t="shared" si="36"/>
        <v>0.33333333333333331</v>
      </c>
      <c r="AH170" s="29">
        <f>SUM($AF$2:AF170)</f>
        <v>108</v>
      </c>
      <c r="AI170" s="55">
        <f>SUM($AG$2:AG170)</f>
        <v>107.66666666666652</v>
      </c>
    </row>
    <row r="171" spans="1:35" x14ac:dyDescent="0.2">
      <c r="A171" s="48" t="s">
        <v>8852</v>
      </c>
      <c r="B171" s="29">
        <v>2</v>
      </c>
      <c r="C171" s="29">
        <v>2</v>
      </c>
      <c r="D171" s="29">
        <v>360</v>
      </c>
      <c r="E171" s="29">
        <v>1970</v>
      </c>
      <c r="F171" s="29">
        <v>1990</v>
      </c>
      <c r="G171" s="29">
        <v>8000</v>
      </c>
      <c r="H171" s="29">
        <v>7560</v>
      </c>
      <c r="I171" s="29">
        <v>2838</v>
      </c>
      <c r="J171" s="29">
        <v>5458320</v>
      </c>
      <c r="K171" s="29">
        <v>870</v>
      </c>
      <c r="L171" s="29">
        <v>1843</v>
      </c>
      <c r="N171" s="33"/>
      <c r="O171" s="29">
        <f t="shared" si="37"/>
        <v>1356.5</v>
      </c>
      <c r="P171" s="31" cm="1">
        <f t="array" ref="P171">WPNFACTOR(C171)</f>
        <v>4.5</v>
      </c>
      <c r="Q171" s="33" cm="1">
        <f t="array" ref="Q171">HPFACTOr(C171)</f>
        <v>2</v>
      </c>
      <c r="R171" s="32">
        <f t="shared" si="38"/>
        <v>301.44444444444446</v>
      </c>
      <c r="S171" s="33">
        <f t="shared" si="39"/>
        <v>2729160</v>
      </c>
      <c r="T171" s="32">
        <f t="shared" si="40"/>
        <v>301.44444444444446</v>
      </c>
      <c r="U171" s="39">
        <f t="shared" si="41"/>
        <v>2729160</v>
      </c>
      <c r="V171" s="41">
        <f>VLOOKUP(D171,LevelXp!$A$1:'LevelXp'!$B$1000,2,)/5</f>
        <v>191202824</v>
      </c>
      <c r="W171" s="29">
        <f t="shared" si="42"/>
        <v>822690120</v>
      </c>
      <c r="X171" s="32">
        <f t="shared" si="43"/>
        <v>60.680235322684659</v>
      </c>
      <c r="Y171" s="41">
        <v>221</v>
      </c>
      <c r="Z171" s="41">
        <v>191202824</v>
      </c>
      <c r="AA171" s="41">
        <v>1</v>
      </c>
      <c r="AC171" s="50">
        <v>170</v>
      </c>
      <c r="AD171" s="51">
        <f t="shared" si="34"/>
        <v>17423920</v>
      </c>
      <c r="AE171" s="51">
        <f t="shared" si="36"/>
        <v>40716290.555555552</v>
      </c>
      <c r="AF171" s="51">
        <f t="shared" si="35"/>
        <v>0</v>
      </c>
      <c r="AG171" s="55">
        <f t="shared" si="36"/>
        <v>0.44444444444444442</v>
      </c>
      <c r="AH171" s="29">
        <f>SUM($AF$2:AF171)</f>
        <v>108</v>
      </c>
      <c r="AI171" s="55">
        <f>SUM($AG$2:AG171)</f>
        <v>108.11111111111096</v>
      </c>
    </row>
    <row r="172" spans="1:35" x14ac:dyDescent="0.2">
      <c r="A172" s="48" t="s">
        <v>8843</v>
      </c>
      <c r="B172" s="29">
        <v>2</v>
      </c>
      <c r="C172" s="29">
        <v>3</v>
      </c>
      <c r="D172" s="29">
        <v>234</v>
      </c>
      <c r="E172" s="29">
        <v>1048</v>
      </c>
      <c r="F172" s="29">
        <v>4034</v>
      </c>
      <c r="G172" s="29">
        <v>1008</v>
      </c>
      <c r="H172" s="29">
        <v>15972</v>
      </c>
      <c r="I172" s="29">
        <v>1452</v>
      </c>
      <c r="J172" s="29">
        <v>15013680</v>
      </c>
      <c r="K172" s="29">
        <v>3138</v>
      </c>
      <c r="L172" s="29">
        <v>6252</v>
      </c>
      <c r="N172" s="33"/>
      <c r="O172" s="29">
        <f t="shared" si="37"/>
        <v>4695</v>
      </c>
      <c r="P172" s="31" cm="1">
        <f t="array" ref="P172">WPNFACTOR(C172)</f>
        <v>2.5</v>
      </c>
      <c r="Q172" s="33" cm="1">
        <f t="array" ref="Q172">HPFACTOr(C172)</f>
        <v>4</v>
      </c>
      <c r="R172" s="32">
        <f t="shared" si="38"/>
        <v>1878</v>
      </c>
      <c r="S172" s="33">
        <f t="shared" si="39"/>
        <v>3753420</v>
      </c>
      <c r="T172" s="32">
        <f t="shared" si="40"/>
        <v>1878</v>
      </c>
      <c r="U172" s="39">
        <f t="shared" si="41"/>
        <v>3753420</v>
      </c>
      <c r="V172" s="41">
        <f>VLOOKUP(D172,LevelXp!$A$1:'LevelXp'!$B$1000,2,)/5</f>
        <v>23374540</v>
      </c>
      <c r="W172" s="29">
        <f t="shared" si="42"/>
        <v>7048922760</v>
      </c>
      <c r="X172" s="32">
        <f t="shared" si="43"/>
        <v>93.244784663573199</v>
      </c>
      <c r="Y172" s="41">
        <v>222</v>
      </c>
      <c r="Z172" s="41">
        <v>23374540</v>
      </c>
      <c r="AA172" s="41">
        <v>0</v>
      </c>
      <c r="AC172" s="50">
        <v>171</v>
      </c>
      <c r="AD172" s="51">
        <f t="shared" si="34"/>
        <v>18177993</v>
      </c>
      <c r="AE172" s="51">
        <f t="shared" si="36"/>
        <v>31934860.555555556</v>
      </c>
      <c r="AF172" s="51">
        <f t="shared" si="35"/>
        <v>0</v>
      </c>
      <c r="AG172" s="55">
        <f t="shared" si="36"/>
        <v>0.33333333333333331</v>
      </c>
      <c r="AH172" s="29">
        <f>SUM($AF$2:AF172)</f>
        <v>108</v>
      </c>
      <c r="AI172" s="55">
        <f>SUM($AG$2:AG172)</f>
        <v>108.44444444444429</v>
      </c>
    </row>
    <row r="173" spans="1:35" x14ac:dyDescent="0.2">
      <c r="A173" s="48" t="s">
        <v>8843</v>
      </c>
      <c r="B173" s="29">
        <v>3</v>
      </c>
      <c r="C173" s="29">
        <v>1</v>
      </c>
      <c r="D173" s="29">
        <v>236</v>
      </c>
      <c r="E173" s="29">
        <v>4110</v>
      </c>
      <c r="F173" s="29">
        <v>1237</v>
      </c>
      <c r="G173" s="29">
        <v>1141</v>
      </c>
      <c r="H173" s="29">
        <v>16748</v>
      </c>
      <c r="I173" s="29">
        <v>1141</v>
      </c>
      <c r="J173" s="29">
        <v>19846380</v>
      </c>
      <c r="K173" s="29">
        <v>2528</v>
      </c>
      <c r="L173" s="29">
        <v>5046</v>
      </c>
      <c r="N173" s="33"/>
      <c r="O173" s="29">
        <f t="shared" si="37"/>
        <v>3787</v>
      </c>
      <c r="P173" s="31" cm="1">
        <f t="array" ref="P173">WPNFACTOR(C173)</f>
        <v>2</v>
      </c>
      <c r="Q173" s="33" cm="1">
        <f t="array" ref="Q173">HPFACTOr(C173)</f>
        <v>5</v>
      </c>
      <c r="R173" s="32">
        <f t="shared" si="38"/>
        <v>1893.5</v>
      </c>
      <c r="S173" s="33">
        <f t="shared" si="39"/>
        <v>3969276</v>
      </c>
      <c r="T173" s="32">
        <f t="shared" si="40"/>
        <v>1893.5</v>
      </c>
      <c r="U173" s="39">
        <f t="shared" si="41"/>
        <v>3969276</v>
      </c>
      <c r="V173" s="41">
        <f>VLOOKUP(D173,LevelXp!$A$1:'LevelXp'!$B$1000,2,)/5</f>
        <v>24317845</v>
      </c>
      <c r="W173" s="29">
        <f t="shared" si="42"/>
        <v>7515824106</v>
      </c>
      <c r="X173" s="32">
        <f t="shared" si="43"/>
        <v>94.448555792684957</v>
      </c>
      <c r="Y173" s="41">
        <v>222</v>
      </c>
      <c r="Z173" s="41">
        <v>24317845</v>
      </c>
      <c r="AA173" s="41">
        <v>0</v>
      </c>
      <c r="AC173" s="50">
        <v>172</v>
      </c>
      <c r="AD173" s="51">
        <f t="shared" si="34"/>
        <v>76669139</v>
      </c>
      <c r="AE173" s="51">
        <f t="shared" si="36"/>
        <v>31934860.555555556</v>
      </c>
      <c r="AF173" s="51">
        <f t="shared" si="35"/>
        <v>1</v>
      </c>
      <c r="AG173" s="55">
        <f t="shared" si="36"/>
        <v>0.33333333333333331</v>
      </c>
      <c r="AH173" s="29">
        <f>SUM($AF$2:AF173)</f>
        <v>109</v>
      </c>
      <c r="AI173" s="55">
        <f>SUM($AG$2:AG173)</f>
        <v>108.77777777777762</v>
      </c>
    </row>
    <row r="174" spans="1:35" x14ac:dyDescent="0.2">
      <c r="A174" s="48" t="s">
        <v>8843</v>
      </c>
      <c r="B174" s="29">
        <v>4</v>
      </c>
      <c r="C174" s="29">
        <v>1</v>
      </c>
      <c r="D174" s="29">
        <v>238</v>
      </c>
      <c r="E174" s="29">
        <v>4200</v>
      </c>
      <c r="F174" s="29">
        <v>1295</v>
      </c>
      <c r="G174" s="29">
        <v>1207</v>
      </c>
      <c r="H174" s="29">
        <v>17710</v>
      </c>
      <c r="I174" s="29">
        <v>1155</v>
      </c>
      <c r="J174" s="29">
        <v>21163450</v>
      </c>
      <c r="K174" s="29">
        <v>2559</v>
      </c>
      <c r="L174" s="29">
        <v>5078</v>
      </c>
      <c r="N174" s="33"/>
      <c r="O174" s="29">
        <f t="shared" si="37"/>
        <v>3818.5</v>
      </c>
      <c r="P174" s="31" cm="1">
        <f t="array" ref="P174">WPNFACTOR(C174)</f>
        <v>2</v>
      </c>
      <c r="Q174" s="33" cm="1">
        <f t="array" ref="Q174">HPFACTOr(C174)</f>
        <v>5</v>
      </c>
      <c r="R174" s="32">
        <f t="shared" si="38"/>
        <v>1909.25</v>
      </c>
      <c r="S174" s="33">
        <f t="shared" si="39"/>
        <v>4232690</v>
      </c>
      <c r="T174" s="32">
        <f t="shared" si="40"/>
        <v>1909.25</v>
      </c>
      <c r="U174" s="39">
        <f t="shared" si="41"/>
        <v>4232690</v>
      </c>
      <c r="V174" s="41">
        <f>VLOOKUP(D174,LevelXp!$A$1:'LevelXp'!$B$1000,2,)/5</f>
        <v>25294600</v>
      </c>
      <c r="W174" s="29">
        <f t="shared" si="42"/>
        <v>8081263382.5</v>
      </c>
      <c r="X174" s="32">
        <f t="shared" si="43"/>
        <v>95.828756416381125</v>
      </c>
      <c r="Y174" s="41">
        <v>222</v>
      </c>
      <c r="Z174" s="41">
        <v>25294600</v>
      </c>
      <c r="AA174" s="41">
        <v>0</v>
      </c>
      <c r="AC174" s="50">
        <v>173</v>
      </c>
      <c r="AD174" s="51">
        <f t="shared" si="34"/>
        <v>0</v>
      </c>
      <c r="AE174" s="51">
        <f t="shared" si="36"/>
        <v>41948797.888888888</v>
      </c>
      <c r="AF174" s="51">
        <f t="shared" si="35"/>
        <v>0</v>
      </c>
      <c r="AG174" s="55">
        <f t="shared" si="36"/>
        <v>0.44444444444444442</v>
      </c>
      <c r="AH174" s="29">
        <f>SUM($AF$2:AF174)</f>
        <v>109</v>
      </c>
      <c r="AI174" s="55">
        <f>SUM($AG$2:AG174)</f>
        <v>109.22222222222206</v>
      </c>
    </row>
    <row r="175" spans="1:35" x14ac:dyDescent="0.2">
      <c r="A175" s="48" t="s">
        <v>8843</v>
      </c>
      <c r="B175" s="29">
        <v>5</v>
      </c>
      <c r="C175" s="29">
        <v>1</v>
      </c>
      <c r="D175" s="29">
        <v>240</v>
      </c>
      <c r="E175" s="29">
        <v>4281</v>
      </c>
      <c r="F175" s="29">
        <v>1345</v>
      </c>
      <c r="G175" s="29">
        <v>1264</v>
      </c>
      <c r="H175" s="29">
        <v>18546</v>
      </c>
      <c r="I175" s="29">
        <v>1167</v>
      </c>
      <c r="J175" s="29">
        <v>22347930</v>
      </c>
      <c r="K175" s="29">
        <v>2706</v>
      </c>
      <c r="L175" s="29">
        <v>5100</v>
      </c>
      <c r="N175" s="33"/>
      <c r="O175" s="29">
        <f t="shared" si="37"/>
        <v>3903</v>
      </c>
      <c r="P175" s="31" cm="1">
        <f t="array" ref="P175">WPNFACTOR(C175)</f>
        <v>2</v>
      </c>
      <c r="Q175" s="33" cm="1">
        <f t="array" ref="Q175">HPFACTOr(C175)</f>
        <v>5</v>
      </c>
      <c r="R175" s="32">
        <f t="shared" si="38"/>
        <v>1951.5</v>
      </c>
      <c r="S175" s="33">
        <f t="shared" si="39"/>
        <v>4469586</v>
      </c>
      <c r="T175" s="32">
        <f t="shared" si="40"/>
        <v>1951.5</v>
      </c>
      <c r="U175" s="39">
        <f t="shared" si="41"/>
        <v>4469586</v>
      </c>
      <c r="V175" s="41">
        <f>VLOOKUP(D175,LevelXp!$A$1:'LevelXp'!$B$1000,2,)/5</f>
        <v>26302843</v>
      </c>
      <c r="W175" s="29">
        <f t="shared" si="42"/>
        <v>8722397079</v>
      </c>
      <c r="X175" s="32">
        <f t="shared" si="43"/>
        <v>97.303210671028808</v>
      </c>
      <c r="Y175" s="41">
        <v>222</v>
      </c>
      <c r="Z175" s="41">
        <v>26302843</v>
      </c>
      <c r="AA175" s="41">
        <v>0</v>
      </c>
      <c r="AC175" s="50">
        <v>174</v>
      </c>
      <c r="AD175" s="51">
        <f t="shared" si="34"/>
        <v>104547648</v>
      </c>
      <c r="AE175" s="51">
        <f t="shared" si="36"/>
        <v>37002654.555555552</v>
      </c>
      <c r="AF175" s="51">
        <f t="shared" si="35"/>
        <v>1</v>
      </c>
      <c r="AG175" s="55">
        <f t="shared" si="36"/>
        <v>0.33333333333333331</v>
      </c>
      <c r="AH175" s="29">
        <f>SUM($AF$2:AF175)</f>
        <v>110</v>
      </c>
      <c r="AI175" s="55">
        <f>SUM($AG$2:AG175)</f>
        <v>109.55555555555539</v>
      </c>
    </row>
    <row r="176" spans="1:35" x14ac:dyDescent="0.2">
      <c r="A176" s="48" t="s">
        <v>2937</v>
      </c>
      <c r="B176" s="29">
        <v>190</v>
      </c>
      <c r="N176" s="33"/>
      <c r="Q176" s="33"/>
      <c r="S176" s="33"/>
      <c r="U176" s="39"/>
      <c r="V176" s="41">
        <f>VLOOKUP(B176,LevelXp!$D$1:'LevelXp'!$F$1000,3,)</f>
        <v>76177351</v>
      </c>
      <c r="Y176" s="41">
        <v>222</v>
      </c>
      <c r="Z176" s="41">
        <v>76177351</v>
      </c>
      <c r="AA176" s="41">
        <v>0</v>
      </c>
      <c r="AC176" s="50">
        <v>175</v>
      </c>
      <c r="AD176" s="51">
        <f t="shared" si="34"/>
        <v>0</v>
      </c>
      <c r="AE176" s="51">
        <f t="shared" si="36"/>
        <v>35066663.444444448</v>
      </c>
      <c r="AF176" s="51">
        <f t="shared" si="35"/>
        <v>0</v>
      </c>
      <c r="AG176" s="55">
        <f t="shared" si="36"/>
        <v>0.33333333333333331</v>
      </c>
      <c r="AH176" s="29">
        <f>SUM($AF$2:AF176)</f>
        <v>110</v>
      </c>
      <c r="AI176" s="55">
        <f>SUM($AG$2:AG176)</f>
        <v>109.88888888888872</v>
      </c>
    </row>
    <row r="177" spans="1:35" x14ac:dyDescent="0.2">
      <c r="A177" s="48" t="s">
        <v>8842</v>
      </c>
      <c r="B177" s="29">
        <v>8</v>
      </c>
      <c r="C177" s="29">
        <v>3</v>
      </c>
      <c r="D177" s="29">
        <v>226</v>
      </c>
      <c r="E177" s="29">
        <v>1040</v>
      </c>
      <c r="F177" s="29">
        <v>4044</v>
      </c>
      <c r="G177" s="29">
        <v>1011</v>
      </c>
      <c r="H177" s="29">
        <v>17660</v>
      </c>
      <c r="I177" s="29">
        <v>1471</v>
      </c>
      <c r="J177" s="29">
        <v>16035280</v>
      </c>
      <c r="K177" s="29">
        <v>3048</v>
      </c>
      <c r="L177" s="29">
        <v>6051</v>
      </c>
      <c r="N177" s="33"/>
      <c r="O177" s="29">
        <f>AVERAGE(K177, L177)</f>
        <v>4549.5</v>
      </c>
      <c r="P177" s="31" cm="1">
        <f t="array" ref="P177">WPNFACTOR(C177)</f>
        <v>2.5</v>
      </c>
      <c r="Q177" s="33" cm="1">
        <f t="array" ref="Q177">HPFACTOr(C177)</f>
        <v>4</v>
      </c>
      <c r="R177" s="32">
        <f>O177/P177</f>
        <v>1819.8</v>
      </c>
      <c r="S177" s="33">
        <f>J177/Q177</f>
        <v>4008820</v>
      </c>
      <c r="T177" s="32">
        <f>R177*(1 + (N177/400))</f>
        <v>1819.8</v>
      </c>
      <c r="U177" s="39">
        <f>S177*1.6/(1 + (0.6*(1 - (M177/100))))</f>
        <v>4008820</v>
      </c>
      <c r="V177" s="41">
        <f>VLOOKUP(D177,LevelXp!$A$1:'LevelXp'!$B$1000,2,)/5</f>
        <v>19897276</v>
      </c>
      <c r="W177" s="29">
        <f>T177*U177</f>
        <v>7295250636</v>
      </c>
      <c r="X177" s="32">
        <f>POWER(W177, 1/$X$1)</f>
        <v>93.887558031905968</v>
      </c>
      <c r="Y177" s="41">
        <v>223</v>
      </c>
      <c r="Z177" s="41">
        <v>19897276</v>
      </c>
      <c r="AA177" s="41">
        <v>0</v>
      </c>
      <c r="AC177" s="50">
        <v>176</v>
      </c>
      <c r="AD177" s="51">
        <f t="shared" si="34"/>
        <v>0</v>
      </c>
      <c r="AE177" s="51">
        <f t="shared" si="36"/>
        <v>43060823.777777776</v>
      </c>
      <c r="AF177" s="51">
        <f t="shared" si="35"/>
        <v>0</v>
      </c>
      <c r="AG177" s="55">
        <f t="shared" si="36"/>
        <v>0.44444444444444442</v>
      </c>
      <c r="AH177" s="29">
        <f>SUM($AF$2:AF177)</f>
        <v>110</v>
      </c>
      <c r="AI177" s="55">
        <f>SUM($AG$2:AG177)</f>
        <v>110.33333333333316</v>
      </c>
    </row>
    <row r="178" spans="1:35" x14ac:dyDescent="0.2">
      <c r="A178" s="48" t="s">
        <v>8842</v>
      </c>
      <c r="B178" s="29">
        <v>9</v>
      </c>
      <c r="C178" s="29">
        <v>1</v>
      </c>
      <c r="D178" s="29">
        <v>228</v>
      </c>
      <c r="E178" s="29">
        <v>4135</v>
      </c>
      <c r="F178" s="29">
        <v>1338</v>
      </c>
      <c r="G178" s="29">
        <v>1272</v>
      </c>
      <c r="H178" s="29">
        <v>18662</v>
      </c>
      <c r="I178" s="29">
        <v>1113</v>
      </c>
      <c r="J178" s="29">
        <v>21367990</v>
      </c>
      <c r="K178" s="29">
        <v>2447</v>
      </c>
      <c r="L178" s="29">
        <v>4864</v>
      </c>
      <c r="N178" s="33"/>
      <c r="O178" s="29">
        <f>AVERAGE(K178, L178)</f>
        <v>3655.5</v>
      </c>
      <c r="P178" s="31" cm="1">
        <f t="array" ref="P178">WPNFACTOR(C178)</f>
        <v>2</v>
      </c>
      <c r="Q178" s="33" cm="1">
        <f t="array" ref="Q178">HPFACTOr(C178)</f>
        <v>5</v>
      </c>
      <c r="R178" s="32">
        <f>O178/P178</f>
        <v>1827.75</v>
      </c>
      <c r="S178" s="33">
        <f>J178/Q178</f>
        <v>4273598</v>
      </c>
      <c r="T178" s="32">
        <f>R178*(1 + (N178/400))</f>
        <v>1827.75</v>
      </c>
      <c r="U178" s="39">
        <f>S178*1.6/(1 + (0.6*(1 - (M178/100))))</f>
        <v>4273598</v>
      </c>
      <c r="V178" s="41">
        <f>VLOOKUP(D178,LevelXp!$A$1:'LevelXp'!$B$1000,2,)/5</f>
        <v>20723258</v>
      </c>
      <c r="W178" s="29">
        <f>T178*U178</f>
        <v>7811068744.5</v>
      </c>
      <c r="X178" s="32">
        <f>POWER(W178, 1/$X$1)</f>
        <v>95.17920917278289</v>
      </c>
      <c r="Y178" s="41">
        <v>223</v>
      </c>
      <c r="Z178" s="41">
        <v>20723258</v>
      </c>
      <c r="AA178" s="41">
        <v>0</v>
      </c>
      <c r="AC178" s="50">
        <v>177</v>
      </c>
      <c r="AD178" s="51">
        <f t="shared" si="34"/>
        <v>90125436</v>
      </c>
      <c r="AE178" s="51">
        <f t="shared" si="36"/>
        <v>35648786.555555552</v>
      </c>
      <c r="AF178" s="51">
        <f t="shared" si="35"/>
        <v>1</v>
      </c>
      <c r="AG178" s="55">
        <f t="shared" si="36"/>
        <v>0.33333333333333331</v>
      </c>
      <c r="AH178" s="29">
        <f>SUM($AF$2:AF178)</f>
        <v>111</v>
      </c>
      <c r="AI178" s="55">
        <f>SUM($AG$2:AG178)</f>
        <v>110.66666666666649</v>
      </c>
    </row>
    <row r="179" spans="1:35" x14ac:dyDescent="0.2">
      <c r="A179" s="48" t="s">
        <v>8842</v>
      </c>
      <c r="B179" s="29">
        <v>10</v>
      </c>
      <c r="C179" s="29">
        <v>1</v>
      </c>
      <c r="D179" s="29">
        <v>230</v>
      </c>
      <c r="E179" s="29">
        <v>4191</v>
      </c>
      <c r="F179" s="29">
        <v>1367</v>
      </c>
      <c r="G179" s="29">
        <v>1303</v>
      </c>
      <c r="H179" s="29">
        <v>19112</v>
      </c>
      <c r="I179" s="29">
        <v>1124</v>
      </c>
      <c r="J179" s="29">
        <v>22074360</v>
      </c>
      <c r="K179" s="29">
        <v>2470</v>
      </c>
      <c r="L179" s="29">
        <v>4911</v>
      </c>
      <c r="N179" s="33"/>
      <c r="O179" s="29">
        <f>AVERAGE(K179, L179)</f>
        <v>3690.5</v>
      </c>
      <c r="P179" s="31" cm="1">
        <f t="array" ref="P179">WPNFACTOR(C179)</f>
        <v>2</v>
      </c>
      <c r="Q179" s="33" cm="1">
        <f t="array" ref="Q179">HPFACTOr(C179)</f>
        <v>5</v>
      </c>
      <c r="R179" s="32">
        <f>O179/P179</f>
        <v>1845.25</v>
      </c>
      <c r="S179" s="33">
        <f>J179/Q179</f>
        <v>4414872</v>
      </c>
      <c r="T179" s="32">
        <f>R179*(1 + (N179/400))</f>
        <v>1845.25</v>
      </c>
      <c r="U179" s="39">
        <f>S179*1.6/(1 + (0.6*(1 - (M179/100))))</f>
        <v>4414872</v>
      </c>
      <c r="V179" s="41">
        <f>VLOOKUP(D179,LevelXp!$A$1:'LevelXp'!$B$1000,2,)/5</f>
        <v>21576743</v>
      </c>
      <c r="W179" s="29">
        <f>T179*U179</f>
        <v>8146542558</v>
      </c>
      <c r="X179" s="32">
        <f>POWER(W179, 1/$X$1)</f>
        <v>95.983076515962082</v>
      </c>
      <c r="Y179" s="41">
        <v>223</v>
      </c>
      <c r="Z179" s="41">
        <v>21576743</v>
      </c>
      <c r="AA179" s="41">
        <v>0</v>
      </c>
      <c r="AC179" s="50">
        <v>178</v>
      </c>
      <c r="AD179" s="51">
        <f t="shared" si="34"/>
        <v>26079755</v>
      </c>
      <c r="AE179" s="51">
        <f t="shared" si="36"/>
        <v>40283898.444444448</v>
      </c>
      <c r="AF179" s="51">
        <f t="shared" si="35"/>
        <v>0</v>
      </c>
      <c r="AG179" s="55">
        <f t="shared" si="36"/>
        <v>0.33333333333333331</v>
      </c>
      <c r="AH179" s="29">
        <f>SUM($AF$2:AF179)</f>
        <v>111</v>
      </c>
      <c r="AI179" s="55">
        <f>SUM($AG$2:AG179)</f>
        <v>110.99999999999982</v>
      </c>
    </row>
    <row r="180" spans="1:35" x14ac:dyDescent="0.2">
      <c r="A180" s="48" t="s">
        <v>8852</v>
      </c>
      <c r="B180" s="29">
        <v>3</v>
      </c>
      <c r="C180" s="29">
        <v>1</v>
      </c>
      <c r="D180" s="29">
        <v>365</v>
      </c>
      <c r="E180" s="29">
        <v>8290</v>
      </c>
      <c r="F180" s="29">
        <v>2908</v>
      </c>
      <c r="G180" s="29">
        <v>2882</v>
      </c>
      <c r="H180" s="29">
        <v>8010</v>
      </c>
      <c r="I180" s="29">
        <v>1860</v>
      </c>
      <c r="J180" s="29">
        <v>14658300</v>
      </c>
      <c r="K180" s="29">
        <v>438</v>
      </c>
      <c r="L180" s="29">
        <v>841</v>
      </c>
      <c r="N180" s="33"/>
      <c r="O180" s="29">
        <f>AVERAGE(K180, L180)</f>
        <v>639.5</v>
      </c>
      <c r="P180" s="31" cm="1">
        <f t="array" ref="P180">WPNFACTOR(C180)</f>
        <v>2</v>
      </c>
      <c r="Q180" s="33" cm="1">
        <f t="array" ref="Q180">HPFACTOr(C180)</f>
        <v>5</v>
      </c>
      <c r="R180" s="32">
        <f>O180/P180</f>
        <v>319.75</v>
      </c>
      <c r="S180" s="33">
        <f>J180/Q180</f>
        <v>2931660</v>
      </c>
      <c r="T180" s="32">
        <f>R180*(1 + (N180/400))</f>
        <v>319.75</v>
      </c>
      <c r="U180" s="39">
        <f>S180*1.6/(1 + (0.6*(1 - (M180/100))))</f>
        <v>2931660</v>
      </c>
      <c r="V180" s="41">
        <f>VLOOKUP(D180,LevelXp!$A$1:'LevelXp'!$B$1000,2,)/5</f>
        <v>205171015</v>
      </c>
      <c r="W180" s="29">
        <f>T180*U180</f>
        <v>937398285</v>
      </c>
      <c r="X180" s="32">
        <f>POWER(W180, 1/$X$1)</f>
        <v>62.28519535387592</v>
      </c>
      <c r="Y180" s="41">
        <v>225</v>
      </c>
      <c r="Z180" s="41">
        <v>205171015</v>
      </c>
      <c r="AA180" s="41">
        <v>1</v>
      </c>
      <c r="AC180" s="50">
        <v>179</v>
      </c>
      <c r="AD180" s="51">
        <f t="shared" si="34"/>
        <v>0</v>
      </c>
      <c r="AE180" s="51">
        <f t="shared" si="36"/>
        <v>39507144</v>
      </c>
      <c r="AF180" s="51">
        <f t="shared" si="35"/>
        <v>0</v>
      </c>
      <c r="AG180" s="55">
        <f t="shared" si="36"/>
        <v>0.33333333333333331</v>
      </c>
      <c r="AH180" s="29">
        <f>SUM($AF$2:AF180)</f>
        <v>111</v>
      </c>
      <c r="AI180" s="55">
        <f>SUM($AG$2:AG180)</f>
        <v>111.33333333333314</v>
      </c>
    </row>
    <row r="181" spans="1:35" x14ac:dyDescent="0.2">
      <c r="A181" s="48" t="s">
        <v>8859</v>
      </c>
      <c r="B181" s="29">
        <v>1</v>
      </c>
      <c r="C181" s="29">
        <v>3</v>
      </c>
      <c r="D181" s="29">
        <v>210</v>
      </c>
      <c r="E181" s="29">
        <v>3100</v>
      </c>
      <c r="F181" s="29">
        <v>6200</v>
      </c>
      <c r="G181" s="29">
        <v>3100</v>
      </c>
      <c r="H181" s="29">
        <v>10500</v>
      </c>
      <c r="I181" s="29">
        <v>3100</v>
      </c>
      <c r="J181" s="29">
        <v>16000000</v>
      </c>
      <c r="K181" s="29">
        <v>559</v>
      </c>
      <c r="L181" s="29">
        <v>787</v>
      </c>
      <c r="M181" s="29">
        <v>25</v>
      </c>
      <c r="N181" s="33">
        <v>25</v>
      </c>
      <c r="O181" s="29">
        <f>AVERAGE(K181, L181)</f>
        <v>673</v>
      </c>
      <c r="P181" s="31" cm="1">
        <f t="array" ref="P181">WPNFACTOR(C181)</f>
        <v>2.5</v>
      </c>
      <c r="Q181" s="33" cm="1">
        <f t="array" ref="Q181">HPFACTOr(C181)</f>
        <v>4</v>
      </c>
      <c r="R181" s="32">
        <f>O181/P181</f>
        <v>269.2</v>
      </c>
      <c r="S181" s="33">
        <f>J181/Q181</f>
        <v>4000000</v>
      </c>
      <c r="T181" s="32">
        <f>R181*(1 + (N181/400))</f>
        <v>286.02499999999998</v>
      </c>
      <c r="U181" s="39">
        <f>S181*1.6/(1 + (0.6*(1 - (M181/100))))</f>
        <v>4413793.1034482764</v>
      </c>
      <c r="V181" s="41">
        <f>VLOOKUP(D181,LevelXp!$A$1:'LevelXp'!$B$1000,2,)/5</f>
        <v>14222021</v>
      </c>
      <c r="W181" s="29">
        <f>T181*U181</f>
        <v>1262455172.4137931</v>
      </c>
      <c r="X181" s="32">
        <f>POWER(W181, 1/$X$1)</f>
        <v>66.106352213738546</v>
      </c>
      <c r="Y181" s="41">
        <v>226</v>
      </c>
      <c r="Z181" s="41">
        <v>14222021</v>
      </c>
      <c r="AA181" s="41">
        <v>1</v>
      </c>
      <c r="AC181" s="50">
        <v>180</v>
      </c>
      <c r="AD181" s="51">
        <f t="shared" si="34"/>
        <v>90125436</v>
      </c>
      <c r="AE181" s="51">
        <f t="shared" si="36"/>
        <v>39507144</v>
      </c>
      <c r="AF181" s="51">
        <f t="shared" si="35"/>
        <v>1</v>
      </c>
      <c r="AG181" s="55">
        <f t="shared" si="36"/>
        <v>0.33333333333333331</v>
      </c>
      <c r="AH181" s="29">
        <f>SUM($AF$2:AF181)</f>
        <v>112</v>
      </c>
      <c r="AI181" s="55">
        <f>SUM($AG$2:AG181)</f>
        <v>111.66666666666647</v>
      </c>
    </row>
    <row r="182" spans="1:35" x14ac:dyDescent="0.2">
      <c r="A182" s="48" t="s">
        <v>2937</v>
      </c>
      <c r="B182" s="29">
        <v>200</v>
      </c>
      <c r="N182" s="33"/>
      <c r="Q182" s="33"/>
      <c r="S182" s="33"/>
      <c r="U182" s="39"/>
      <c r="V182" s="41">
        <f>VLOOKUP(B182,LevelXp!$D$1:'LevelXp'!$F$1000,3,)</f>
        <v>80781982</v>
      </c>
      <c r="Y182" s="41">
        <v>226</v>
      </c>
      <c r="Z182" s="41">
        <v>80781982</v>
      </c>
      <c r="AA182" s="41">
        <v>0</v>
      </c>
      <c r="AC182" s="50">
        <v>181</v>
      </c>
      <c r="AD182" s="51">
        <f t="shared" si="34"/>
        <v>9960804</v>
      </c>
      <c r="AE182" s="51">
        <f t="shared" si="36"/>
        <v>51231030.444444448</v>
      </c>
      <c r="AF182" s="51">
        <f t="shared" si="35"/>
        <v>0</v>
      </c>
      <c r="AG182" s="55">
        <f t="shared" si="36"/>
        <v>0.44444444444444442</v>
      </c>
      <c r="AH182" s="29">
        <f>SUM($AF$2:AF182)</f>
        <v>112</v>
      </c>
      <c r="AI182" s="55">
        <f>SUM($AG$2:AG182)</f>
        <v>112.11111111111092</v>
      </c>
    </row>
    <row r="183" spans="1:35" x14ac:dyDescent="0.2">
      <c r="A183" s="48" t="s">
        <v>8852</v>
      </c>
      <c r="B183" s="29">
        <v>4</v>
      </c>
      <c r="C183" s="29">
        <v>2</v>
      </c>
      <c r="D183" s="29">
        <v>370</v>
      </c>
      <c r="E183" s="29">
        <v>2160</v>
      </c>
      <c r="F183" s="29">
        <v>2180</v>
      </c>
      <c r="G183" s="29">
        <v>8760</v>
      </c>
      <c r="H183" s="29">
        <v>8320</v>
      </c>
      <c r="I183" s="29">
        <v>3104</v>
      </c>
      <c r="J183" s="29">
        <v>6173440</v>
      </c>
      <c r="K183" s="29">
        <v>943</v>
      </c>
      <c r="L183" s="29">
        <v>2108</v>
      </c>
      <c r="N183" s="33"/>
      <c r="O183" s="29">
        <f t="shared" ref="O183:O190" si="44">AVERAGE(K183, L183)</f>
        <v>1525.5</v>
      </c>
      <c r="P183" s="31" cm="1">
        <f t="array" ref="P183">WPNFACTOR(C183)</f>
        <v>4.5</v>
      </c>
      <c r="Q183" s="33" cm="1">
        <f t="array" ref="Q183">HPFACTOr(C183)</f>
        <v>2</v>
      </c>
      <c r="R183" s="32">
        <f t="shared" ref="R183:R190" si="45">O183/P183</f>
        <v>339</v>
      </c>
      <c r="S183" s="33">
        <f t="shared" ref="S183:S190" si="46">J183/Q183</f>
        <v>3086720</v>
      </c>
      <c r="T183" s="32">
        <f t="shared" ref="T183:T190" si="47">R183*(1 + (N183/400))</f>
        <v>339</v>
      </c>
      <c r="U183" s="39">
        <f t="shared" ref="U183:U190" si="48">S183*1.6/(1 + (0.6*(1 - (M183/100))))</f>
        <v>3086720</v>
      </c>
      <c r="V183" s="41">
        <f>VLOOKUP(D183,LevelXp!$A$1:'LevelXp'!$B$1000,2,)/5</f>
        <v>220033230</v>
      </c>
      <c r="W183" s="29">
        <f t="shared" ref="W183:W190" si="49">T183*U183</f>
        <v>1046398080</v>
      </c>
      <c r="X183" s="32">
        <f t="shared" ref="X183:X190" si="50">POWER(W183, 1/$X$1)</f>
        <v>63.670665146881255</v>
      </c>
      <c r="Y183" s="41">
        <v>227</v>
      </c>
      <c r="Z183" s="41">
        <v>220033230</v>
      </c>
      <c r="AA183" s="41">
        <v>1</v>
      </c>
      <c r="AC183" s="50">
        <v>182</v>
      </c>
      <c r="AD183" s="51">
        <f t="shared" si="34"/>
        <v>41716007</v>
      </c>
      <c r="AE183" s="51">
        <f t="shared" si="36"/>
        <v>45084305.111111112</v>
      </c>
      <c r="AF183" s="51">
        <f t="shared" si="35"/>
        <v>0</v>
      </c>
      <c r="AG183" s="55">
        <f t="shared" si="36"/>
        <v>0.33333333333333331</v>
      </c>
      <c r="AH183" s="29">
        <f>SUM($AF$2:AF183)</f>
        <v>112</v>
      </c>
      <c r="AI183" s="55">
        <f>SUM($AG$2:AG183)</f>
        <v>112.44444444444424</v>
      </c>
    </row>
    <row r="184" spans="1:35" x14ac:dyDescent="0.2">
      <c r="A184" s="48" t="s">
        <v>8859</v>
      </c>
      <c r="B184" s="29">
        <v>2</v>
      </c>
      <c r="C184" s="29">
        <v>1</v>
      </c>
      <c r="D184" s="29">
        <v>213</v>
      </c>
      <c r="E184" s="29">
        <v>6560</v>
      </c>
      <c r="F184" s="29">
        <v>3280</v>
      </c>
      <c r="G184" s="29">
        <v>3280</v>
      </c>
      <c r="H184" s="29">
        <v>12000</v>
      </c>
      <c r="I184" s="29">
        <v>3280</v>
      </c>
      <c r="J184" s="29">
        <v>20500000</v>
      </c>
      <c r="K184" s="29">
        <v>561</v>
      </c>
      <c r="L184" s="29">
        <v>772</v>
      </c>
      <c r="M184" s="29">
        <v>25</v>
      </c>
      <c r="N184" s="33">
        <v>25</v>
      </c>
      <c r="O184" s="29">
        <f t="shared" si="44"/>
        <v>666.5</v>
      </c>
      <c r="P184" s="31" cm="1">
        <f t="array" ref="P184">WPNFACTOR(C184)</f>
        <v>2</v>
      </c>
      <c r="Q184" s="33" cm="1">
        <f t="array" ref="Q184">HPFACTOr(C184)</f>
        <v>5</v>
      </c>
      <c r="R184" s="32">
        <f t="shared" si="45"/>
        <v>333.25</v>
      </c>
      <c r="S184" s="33">
        <f t="shared" si="46"/>
        <v>4100000</v>
      </c>
      <c r="T184" s="32">
        <f t="shared" si="47"/>
        <v>354.078125</v>
      </c>
      <c r="U184" s="39">
        <f t="shared" si="48"/>
        <v>4524137.931034483</v>
      </c>
      <c r="V184" s="41">
        <f>VLOOKUP(D184,LevelXp!$A$1:'LevelXp'!$B$1000,2,)/5</f>
        <v>15166093</v>
      </c>
      <c r="W184" s="29">
        <f t="shared" si="49"/>
        <v>1601898275.8620691</v>
      </c>
      <c r="X184" s="32">
        <f t="shared" si="50"/>
        <v>69.330923767269596</v>
      </c>
      <c r="Y184" s="41">
        <v>229</v>
      </c>
      <c r="Z184" s="41">
        <v>15166093</v>
      </c>
      <c r="AA184" s="41">
        <v>1</v>
      </c>
      <c r="AC184" s="50">
        <v>183</v>
      </c>
      <c r="AD184" s="51">
        <f t="shared" si="34"/>
        <v>97556858</v>
      </c>
      <c r="AE184" s="51">
        <f t="shared" si="36"/>
        <v>42186554.555555552</v>
      </c>
      <c r="AF184" s="51">
        <f t="shared" si="35"/>
        <v>1</v>
      </c>
      <c r="AG184" s="55">
        <f t="shared" si="36"/>
        <v>0.33333333333333331</v>
      </c>
      <c r="AH184" s="29">
        <f>SUM($AF$2:AF184)</f>
        <v>113</v>
      </c>
      <c r="AI184" s="55">
        <f>SUM($AG$2:AG184)</f>
        <v>112.77777777777757</v>
      </c>
    </row>
    <row r="185" spans="1:35" x14ac:dyDescent="0.2">
      <c r="A185" s="48" t="s">
        <v>8843</v>
      </c>
      <c r="B185" s="29">
        <v>1</v>
      </c>
      <c r="C185" s="29">
        <v>3</v>
      </c>
      <c r="D185" s="29">
        <v>232</v>
      </c>
      <c r="E185" s="29">
        <v>1026</v>
      </c>
      <c r="F185" s="29">
        <v>3926</v>
      </c>
      <c r="G185" s="29">
        <v>981</v>
      </c>
      <c r="H185" s="29">
        <v>14746</v>
      </c>
      <c r="I185" s="29">
        <v>1405</v>
      </c>
      <c r="J185" s="29">
        <v>13743272</v>
      </c>
      <c r="K185" s="29">
        <v>3135</v>
      </c>
      <c r="L185" s="29">
        <v>6199</v>
      </c>
      <c r="N185" s="33"/>
      <c r="O185" s="29">
        <f t="shared" si="44"/>
        <v>4667</v>
      </c>
      <c r="P185" s="31" cm="1">
        <f t="array" ref="P185">WPNFACTOR(C185)</f>
        <v>2.5</v>
      </c>
      <c r="Q185" s="33" cm="1">
        <f t="array" ref="Q185">HPFACTOr(C185)</f>
        <v>4</v>
      </c>
      <c r="R185" s="32">
        <f t="shared" si="45"/>
        <v>1866.8</v>
      </c>
      <c r="S185" s="33">
        <f t="shared" si="46"/>
        <v>3435818</v>
      </c>
      <c r="T185" s="32">
        <f t="shared" si="47"/>
        <v>1866.8</v>
      </c>
      <c r="U185" s="39">
        <f t="shared" si="48"/>
        <v>3435818.0000000005</v>
      </c>
      <c r="V185" s="41">
        <f>VLOOKUP(D185,LevelXp!$A$1:'LevelXp'!$B$1000,2,)/5</f>
        <v>22461095</v>
      </c>
      <c r="W185" s="29">
        <f t="shared" si="49"/>
        <v>6413985042.4000006</v>
      </c>
      <c r="X185" s="32">
        <f t="shared" si="50"/>
        <v>91.500946934439384</v>
      </c>
      <c r="Y185" s="41">
        <v>229</v>
      </c>
      <c r="Z185" s="41">
        <v>22461095</v>
      </c>
      <c r="AA185" s="41">
        <v>0</v>
      </c>
      <c r="AC185" s="50">
        <v>184</v>
      </c>
      <c r="AD185" s="51">
        <f t="shared" si="34"/>
        <v>0</v>
      </c>
      <c r="AE185" s="51">
        <f t="shared" si="36"/>
        <v>54852998.111111112</v>
      </c>
      <c r="AF185" s="51">
        <f t="shared" si="35"/>
        <v>0</v>
      </c>
      <c r="AG185" s="55">
        <f t="shared" si="36"/>
        <v>0.44444444444444442</v>
      </c>
      <c r="AH185" s="29">
        <f>SUM($AF$2:AF185)</f>
        <v>113</v>
      </c>
      <c r="AI185" s="55">
        <f>SUM($AG$2:AG185)</f>
        <v>113.22222222222202</v>
      </c>
    </row>
    <row r="186" spans="1:35" x14ac:dyDescent="0.2">
      <c r="A186" s="48" t="s">
        <v>8843</v>
      </c>
      <c r="B186" s="29">
        <v>6</v>
      </c>
      <c r="C186" s="29">
        <v>3</v>
      </c>
      <c r="D186" s="29">
        <v>242</v>
      </c>
      <c r="E186" s="29">
        <v>1121</v>
      </c>
      <c r="F186" s="29">
        <v>4367</v>
      </c>
      <c r="G186" s="29">
        <v>1091</v>
      </c>
      <c r="H186" s="29">
        <v>19476</v>
      </c>
      <c r="I186" s="29">
        <v>1593</v>
      </c>
      <c r="J186" s="29">
        <v>18930672</v>
      </c>
      <c r="K186" s="29">
        <v>3244</v>
      </c>
      <c r="L186" s="29">
        <v>6474</v>
      </c>
      <c r="N186" s="33"/>
      <c r="O186" s="29">
        <f t="shared" si="44"/>
        <v>4859</v>
      </c>
      <c r="P186" s="31" cm="1">
        <f t="array" ref="P186">WPNFACTOR(C186)</f>
        <v>2.5</v>
      </c>
      <c r="Q186" s="33" cm="1">
        <f t="array" ref="Q186">HPFACTOr(C186)</f>
        <v>4</v>
      </c>
      <c r="R186" s="32">
        <f t="shared" si="45"/>
        <v>1943.6</v>
      </c>
      <c r="S186" s="33">
        <f t="shared" si="46"/>
        <v>4732668</v>
      </c>
      <c r="T186" s="32">
        <f t="shared" si="47"/>
        <v>1943.6</v>
      </c>
      <c r="U186" s="39">
        <f t="shared" si="48"/>
        <v>4732668</v>
      </c>
      <c r="V186" s="41">
        <f>VLOOKUP(D186,LevelXp!$A$1:'LevelXp'!$B$1000,2,)/5</f>
        <v>27343418</v>
      </c>
      <c r="W186" s="29">
        <f t="shared" si="49"/>
        <v>9198413524.7999992</v>
      </c>
      <c r="X186" s="32">
        <f t="shared" si="50"/>
        <v>98.342803777406104</v>
      </c>
      <c r="Y186" s="41">
        <v>229</v>
      </c>
      <c r="Z186" s="41">
        <v>27343418</v>
      </c>
      <c r="AA186" s="41">
        <v>0</v>
      </c>
      <c r="AC186" s="50">
        <v>185</v>
      </c>
      <c r="AD186" s="51">
        <f t="shared" si="34"/>
        <v>105514978</v>
      </c>
      <c r="AE186" s="51">
        <f t="shared" si="36"/>
        <v>44839060.777777776</v>
      </c>
      <c r="AF186" s="51">
        <f t="shared" si="35"/>
        <v>1</v>
      </c>
      <c r="AG186" s="55">
        <f t="shared" si="36"/>
        <v>0.33333333333333331</v>
      </c>
      <c r="AH186" s="29">
        <f>SUM($AF$2:AF186)</f>
        <v>114</v>
      </c>
      <c r="AI186" s="55">
        <f>SUM($AG$2:AG186)</f>
        <v>113.55555555555534</v>
      </c>
    </row>
    <row r="187" spans="1:35" x14ac:dyDescent="0.2">
      <c r="A187" s="48" t="s">
        <v>8843</v>
      </c>
      <c r="B187" s="29">
        <v>7</v>
      </c>
      <c r="C187" s="29">
        <v>1</v>
      </c>
      <c r="D187" s="29">
        <v>244</v>
      </c>
      <c r="E187" s="29">
        <v>4415</v>
      </c>
      <c r="F187" s="29">
        <v>1423</v>
      </c>
      <c r="G187" s="29">
        <v>1350</v>
      </c>
      <c r="H187" s="29">
        <v>19806</v>
      </c>
      <c r="I187" s="29">
        <v>1190</v>
      </c>
      <c r="J187" s="29">
        <v>24262350</v>
      </c>
      <c r="K187" s="29">
        <v>2613</v>
      </c>
      <c r="L187" s="29">
        <v>5210</v>
      </c>
      <c r="N187" s="33"/>
      <c r="O187" s="29">
        <f t="shared" si="44"/>
        <v>3911.5</v>
      </c>
      <c r="P187" s="31" cm="1">
        <f t="array" ref="P187">WPNFACTOR(C187)</f>
        <v>2</v>
      </c>
      <c r="Q187" s="33" cm="1">
        <f t="array" ref="Q187">HPFACTOr(C187)</f>
        <v>5</v>
      </c>
      <c r="R187" s="32">
        <f t="shared" si="45"/>
        <v>1955.75</v>
      </c>
      <c r="S187" s="33">
        <f t="shared" si="46"/>
        <v>4852470</v>
      </c>
      <c r="T187" s="32">
        <f t="shared" si="47"/>
        <v>1955.75</v>
      </c>
      <c r="U187" s="39">
        <f t="shared" si="48"/>
        <v>4852470</v>
      </c>
      <c r="V187" s="41">
        <f>VLOOKUP(D187,LevelXp!$A$1:'LevelXp'!$B$1000,2,)/5</f>
        <v>28420280</v>
      </c>
      <c r="W187" s="29">
        <f t="shared" si="49"/>
        <v>9490218202.5</v>
      </c>
      <c r="X187" s="32">
        <f t="shared" si="50"/>
        <v>98.958986689819895</v>
      </c>
      <c r="Y187" s="41">
        <v>229</v>
      </c>
      <c r="Z187" s="41">
        <v>28420280</v>
      </c>
      <c r="AA187" s="41">
        <v>0</v>
      </c>
      <c r="AC187" s="50">
        <v>186</v>
      </c>
      <c r="AD187" s="51">
        <f t="shared" si="34"/>
        <v>34804908</v>
      </c>
      <c r="AE187" s="51">
        <f t="shared" si="36"/>
        <v>48990340.777777776</v>
      </c>
      <c r="AF187" s="51">
        <f t="shared" si="35"/>
        <v>0</v>
      </c>
      <c r="AG187" s="55">
        <f t="shared" si="36"/>
        <v>0.33333333333333331</v>
      </c>
      <c r="AH187" s="29">
        <f>SUM($AF$2:AF187)</f>
        <v>114</v>
      </c>
      <c r="AI187" s="55">
        <f>SUM($AG$2:AG187)</f>
        <v>113.88888888888867</v>
      </c>
    </row>
    <row r="188" spans="1:35" x14ac:dyDescent="0.2">
      <c r="A188" s="48" t="s">
        <v>8859</v>
      </c>
      <c r="B188" s="29">
        <v>3</v>
      </c>
      <c r="C188" s="29">
        <v>2</v>
      </c>
      <c r="D188" s="29">
        <v>216</v>
      </c>
      <c r="E188" s="29">
        <v>3460</v>
      </c>
      <c r="F188" s="29">
        <v>3460</v>
      </c>
      <c r="G188" s="29">
        <v>6920</v>
      </c>
      <c r="H188" s="29">
        <v>13500</v>
      </c>
      <c r="I188" s="29">
        <v>3460</v>
      </c>
      <c r="J188" s="29">
        <v>25000000</v>
      </c>
      <c r="K188" s="29">
        <v>567</v>
      </c>
      <c r="L188" s="29">
        <v>787</v>
      </c>
      <c r="M188" s="29">
        <v>25</v>
      </c>
      <c r="N188" s="33">
        <v>25</v>
      </c>
      <c r="O188" s="29">
        <f t="shared" si="44"/>
        <v>677</v>
      </c>
      <c r="P188" s="31" cm="1">
        <f t="array" ref="P188">WPNFACTOR(C188)</f>
        <v>4.5</v>
      </c>
      <c r="Q188" s="33" cm="1">
        <f t="array" ref="Q188">HPFACTOr(C188)</f>
        <v>2</v>
      </c>
      <c r="R188" s="32">
        <f t="shared" si="45"/>
        <v>150.44444444444446</v>
      </c>
      <c r="S188" s="33">
        <f t="shared" si="46"/>
        <v>12500000</v>
      </c>
      <c r="T188" s="32">
        <f t="shared" si="47"/>
        <v>159.84722222222223</v>
      </c>
      <c r="U188" s="39">
        <f t="shared" si="48"/>
        <v>13793103.448275862</v>
      </c>
      <c r="V188" s="41">
        <f>VLOOKUP(D188,LevelXp!$A$1:'LevelXp'!$B$1000,2,)/5</f>
        <v>16166597</v>
      </c>
      <c r="W188" s="29">
        <f t="shared" si="49"/>
        <v>2204789272.0306516</v>
      </c>
      <c r="X188" s="32">
        <f t="shared" si="50"/>
        <v>73.90493126421427</v>
      </c>
      <c r="Y188" s="41">
        <v>230</v>
      </c>
      <c r="Z188" s="41">
        <v>16166597</v>
      </c>
      <c r="AA188" s="41">
        <v>1</v>
      </c>
      <c r="AC188" s="50">
        <v>187</v>
      </c>
      <c r="AD188" s="51">
        <f t="shared" si="34"/>
        <v>0</v>
      </c>
      <c r="AE188" s="51">
        <f t="shared" si="36"/>
        <v>45567574</v>
      </c>
      <c r="AF188" s="51">
        <f t="shared" si="35"/>
        <v>0</v>
      </c>
      <c r="AG188" s="55">
        <f t="shared" si="36"/>
        <v>0.33333333333333331</v>
      </c>
      <c r="AH188" s="29">
        <f>SUM($AF$2:AF188)</f>
        <v>114</v>
      </c>
      <c r="AI188" s="55">
        <f>SUM($AG$2:AG188)</f>
        <v>114.222222222222</v>
      </c>
    </row>
    <row r="189" spans="1:35" x14ac:dyDescent="0.2">
      <c r="A189" s="48" t="s">
        <v>8843</v>
      </c>
      <c r="B189" s="29">
        <v>8</v>
      </c>
      <c r="C189" s="29">
        <v>1</v>
      </c>
      <c r="D189" s="29">
        <v>246</v>
      </c>
      <c r="E189" s="29">
        <v>4510</v>
      </c>
      <c r="F189" s="29">
        <v>1486</v>
      </c>
      <c r="G189" s="29">
        <v>1422</v>
      </c>
      <c r="H189" s="29">
        <v>20856</v>
      </c>
      <c r="I189" s="29">
        <v>1204</v>
      </c>
      <c r="J189" s="29">
        <v>25757160</v>
      </c>
      <c r="K189" s="29">
        <v>2641</v>
      </c>
      <c r="L189" s="29">
        <v>5263</v>
      </c>
      <c r="N189" s="33"/>
      <c r="O189" s="29">
        <f t="shared" si="44"/>
        <v>3952</v>
      </c>
      <c r="P189" s="31" cm="1">
        <f t="array" ref="P189">WPNFACTOR(C189)</f>
        <v>2</v>
      </c>
      <c r="Q189" s="33" cm="1">
        <f t="array" ref="Q189">HPFACTOr(C189)</f>
        <v>5</v>
      </c>
      <c r="R189" s="32">
        <f t="shared" si="45"/>
        <v>1976</v>
      </c>
      <c r="S189" s="33">
        <f t="shared" si="46"/>
        <v>5151432</v>
      </c>
      <c r="T189" s="32">
        <f t="shared" si="47"/>
        <v>1976</v>
      </c>
      <c r="U189" s="39">
        <f t="shared" si="48"/>
        <v>5151432</v>
      </c>
      <c r="V189" s="41">
        <f>VLOOKUP(D189,LevelXp!$A$1:'LevelXp'!$B$1000,2,)/5</f>
        <v>29531221</v>
      </c>
      <c r="W189" s="29">
        <f t="shared" si="49"/>
        <v>10179229632</v>
      </c>
      <c r="X189" s="32">
        <f t="shared" si="50"/>
        <v>100.35591669677061</v>
      </c>
      <c r="Y189" s="41">
        <v>230</v>
      </c>
      <c r="Z189" s="41">
        <v>29531221</v>
      </c>
      <c r="AA189" s="41">
        <v>0</v>
      </c>
      <c r="AC189" s="50">
        <v>188</v>
      </c>
      <c r="AD189" s="51">
        <f t="shared" si="34"/>
        <v>113997992</v>
      </c>
      <c r="AE189" s="51">
        <f t="shared" si="36"/>
        <v>46451809.555555552</v>
      </c>
      <c r="AF189" s="51">
        <f t="shared" si="35"/>
        <v>1</v>
      </c>
      <c r="AG189" s="55">
        <f t="shared" si="36"/>
        <v>0.33333333333333331</v>
      </c>
      <c r="AH189" s="29">
        <f>SUM($AF$2:AF189)</f>
        <v>115</v>
      </c>
      <c r="AI189" s="55">
        <f>SUM($AG$2:AG189)</f>
        <v>114.55555555555533</v>
      </c>
    </row>
    <row r="190" spans="1:35" x14ac:dyDescent="0.2">
      <c r="A190" s="48" t="s">
        <v>8844</v>
      </c>
      <c r="B190" s="29">
        <v>1</v>
      </c>
      <c r="C190" s="29">
        <v>3</v>
      </c>
      <c r="D190" s="29">
        <v>252</v>
      </c>
      <c r="E190" s="29">
        <v>1155</v>
      </c>
      <c r="F190" s="29">
        <v>4480</v>
      </c>
      <c r="G190" s="29">
        <v>1120</v>
      </c>
      <c r="H190" s="29">
        <v>19250</v>
      </c>
      <c r="I190" s="29">
        <v>1627</v>
      </c>
      <c r="J190" s="29">
        <v>19481000</v>
      </c>
      <c r="K190" s="29">
        <v>3422</v>
      </c>
      <c r="L190" s="29">
        <v>6653</v>
      </c>
      <c r="N190" s="33"/>
      <c r="O190" s="29">
        <f t="shared" si="44"/>
        <v>5037.5</v>
      </c>
      <c r="P190" s="31" cm="1">
        <f t="array" ref="P190">WPNFACTOR(C190)</f>
        <v>2.5</v>
      </c>
      <c r="Q190" s="33" cm="1">
        <f t="array" ref="Q190">HPFACTOr(C190)</f>
        <v>4</v>
      </c>
      <c r="R190" s="32">
        <f t="shared" si="45"/>
        <v>2015</v>
      </c>
      <c r="S190" s="33">
        <f t="shared" si="46"/>
        <v>4870250</v>
      </c>
      <c r="T190" s="32">
        <f t="shared" si="47"/>
        <v>2015</v>
      </c>
      <c r="U190" s="39">
        <f t="shared" si="48"/>
        <v>4870250</v>
      </c>
      <c r="V190" s="41">
        <f>VLOOKUP(D190,LevelXp!$A$1:'LevelXp'!$B$1000,2,)/5</f>
        <v>33084028</v>
      </c>
      <c r="W190" s="29">
        <f t="shared" si="49"/>
        <v>9813553750</v>
      </c>
      <c r="X190" s="32">
        <f t="shared" si="50"/>
        <v>99.624295001645862</v>
      </c>
      <c r="Y190" s="41">
        <v>230</v>
      </c>
      <c r="Z190" s="41">
        <v>33084028</v>
      </c>
      <c r="AA190" s="41">
        <v>0</v>
      </c>
      <c r="AC190" s="50">
        <v>189</v>
      </c>
      <c r="AD190" s="51">
        <f t="shared" si="34"/>
        <v>0</v>
      </c>
      <c r="AE190" s="51">
        <f t="shared" si="36"/>
        <v>47719902.333333336</v>
      </c>
      <c r="AF190" s="51">
        <f t="shared" si="35"/>
        <v>0</v>
      </c>
      <c r="AG190" s="55">
        <f t="shared" si="36"/>
        <v>0.33333333333333331</v>
      </c>
      <c r="AH190" s="29">
        <f>SUM($AF$2:AF190)</f>
        <v>115</v>
      </c>
      <c r="AI190" s="55">
        <f>SUM($AG$2:AG190)</f>
        <v>114.88888888888866</v>
      </c>
    </row>
    <row r="191" spans="1:35" x14ac:dyDescent="0.2">
      <c r="A191" s="48" t="s">
        <v>2937</v>
      </c>
      <c r="B191" s="29">
        <v>210</v>
      </c>
      <c r="N191" s="33"/>
      <c r="Q191" s="33"/>
      <c r="S191" s="33"/>
      <c r="U191" s="39"/>
      <c r="V191" s="41">
        <f>VLOOKUP(B191,LevelXp!$D$1:'LevelXp'!$F$1000,3,)</f>
        <v>85211174</v>
      </c>
      <c r="Y191" s="41">
        <v>230</v>
      </c>
      <c r="Z191" s="41">
        <v>85211174</v>
      </c>
      <c r="AA191" s="41">
        <v>0</v>
      </c>
      <c r="AC191" s="50">
        <v>190</v>
      </c>
      <c r="AD191" s="51">
        <f t="shared" si="34"/>
        <v>47322324</v>
      </c>
      <c r="AE191" s="51">
        <f t="shared" si="36"/>
        <v>40641026.333333336</v>
      </c>
      <c r="AF191" s="51">
        <f t="shared" si="35"/>
        <v>0</v>
      </c>
      <c r="AG191" s="55">
        <f t="shared" si="36"/>
        <v>0.22222222222222221</v>
      </c>
      <c r="AH191" s="29">
        <f>SUM($AF$2:AF191)</f>
        <v>115</v>
      </c>
      <c r="AI191" s="55">
        <f>SUM($AG$2:AG191)</f>
        <v>115.11111111111089</v>
      </c>
    </row>
    <row r="192" spans="1:35" x14ac:dyDescent="0.2">
      <c r="A192" s="48" t="s">
        <v>8844</v>
      </c>
      <c r="B192" s="29">
        <v>2</v>
      </c>
      <c r="C192" s="29">
        <v>3</v>
      </c>
      <c r="D192" s="29">
        <v>254</v>
      </c>
      <c r="E192" s="29">
        <v>1172</v>
      </c>
      <c r="F192" s="29">
        <v>4558</v>
      </c>
      <c r="G192" s="29">
        <v>1139</v>
      </c>
      <c r="H192" s="29">
        <v>20058</v>
      </c>
      <c r="I192" s="29">
        <v>1660</v>
      </c>
      <c r="J192" s="29">
        <v>20459160</v>
      </c>
      <c r="K192" s="29">
        <v>3429</v>
      </c>
      <c r="L192" s="29">
        <v>6773</v>
      </c>
      <c r="N192" s="33"/>
      <c r="O192" s="29">
        <f>AVERAGE(K192, L192)</f>
        <v>5101</v>
      </c>
      <c r="P192" s="31" cm="1">
        <f t="array" ref="P192">WPNFACTOR(C192)</f>
        <v>2.5</v>
      </c>
      <c r="Q192" s="33" cm="1">
        <f t="array" ref="Q192">HPFACTOr(C192)</f>
        <v>4</v>
      </c>
      <c r="R192" s="32">
        <f>O192/P192</f>
        <v>2040.4</v>
      </c>
      <c r="S192" s="33">
        <f>J192/Q192</f>
        <v>5114790</v>
      </c>
      <c r="T192" s="32">
        <f>R192*(1 + (N192/400))</f>
        <v>2040.4</v>
      </c>
      <c r="U192" s="39">
        <f>S192*1.6/(1 + (0.6*(1 - (M192/100))))</f>
        <v>5114790</v>
      </c>
      <c r="V192" s="41">
        <f>VLOOKUP(D192,LevelXp!$A$1:'LevelXp'!$B$1000,2,)/5</f>
        <v>34343729</v>
      </c>
      <c r="W192" s="29">
        <f>T192*U192</f>
        <v>10436217516</v>
      </c>
      <c r="X192" s="32">
        <f>POWER(W192, 1/$X$1)</f>
        <v>100.85759882657324</v>
      </c>
      <c r="Y192" s="41">
        <v>231</v>
      </c>
      <c r="Z192" s="41">
        <v>34343729</v>
      </c>
      <c r="AA192" s="41">
        <v>0</v>
      </c>
      <c r="AC192" s="50">
        <v>191</v>
      </c>
      <c r="AD192" s="51">
        <f t="shared" si="34"/>
        <v>10911106</v>
      </c>
      <c r="AE192" s="51">
        <f t="shared" si="36"/>
        <v>38099899.666666664</v>
      </c>
      <c r="AF192" s="51">
        <f t="shared" si="35"/>
        <v>0</v>
      </c>
      <c r="AG192" s="55">
        <f t="shared" si="36"/>
        <v>0.22222222222222221</v>
      </c>
      <c r="AH192" s="29">
        <f>SUM($AF$2:AF192)</f>
        <v>115</v>
      </c>
      <c r="AI192" s="55">
        <f>SUM($AG$2:AG192)</f>
        <v>115.33333333333312</v>
      </c>
    </row>
    <row r="193" spans="1:35" x14ac:dyDescent="0.2">
      <c r="A193" s="48" t="s">
        <v>8844</v>
      </c>
      <c r="B193" s="29">
        <v>3</v>
      </c>
      <c r="C193" s="29">
        <v>3</v>
      </c>
      <c r="D193" s="29">
        <v>256</v>
      </c>
      <c r="E193" s="29">
        <v>1184</v>
      </c>
      <c r="F193" s="29">
        <v>4608</v>
      </c>
      <c r="G193" s="29">
        <v>1152</v>
      </c>
      <c r="H193" s="29">
        <v>20416</v>
      </c>
      <c r="I193" s="29">
        <v>1680</v>
      </c>
      <c r="J193" s="29">
        <v>20987648</v>
      </c>
      <c r="K193" s="29">
        <v>3476</v>
      </c>
      <c r="L193" s="29">
        <v>6810</v>
      </c>
      <c r="N193" s="33"/>
      <c r="O193" s="29">
        <f>AVERAGE(K193, L193)</f>
        <v>5143</v>
      </c>
      <c r="P193" s="31" cm="1">
        <f t="array" ref="P193">WPNFACTOR(C193)</f>
        <v>2.5</v>
      </c>
      <c r="Q193" s="33" cm="1">
        <f t="array" ref="Q193">HPFACTOr(C193)</f>
        <v>4</v>
      </c>
      <c r="R193" s="32">
        <f>O193/P193</f>
        <v>2057.1999999999998</v>
      </c>
      <c r="S193" s="33">
        <f>J193/Q193</f>
        <v>5246912</v>
      </c>
      <c r="T193" s="32">
        <f>R193*(1 + (N193/400))</f>
        <v>2057.1999999999998</v>
      </c>
      <c r="U193" s="39">
        <f>S193*1.6/(1 + (0.6*(1 - (M193/100))))</f>
        <v>5246912</v>
      </c>
      <c r="V193" s="41">
        <f>VLOOKUP(D193,LevelXp!$A$1:'LevelXp'!$B$1000,2,)/5</f>
        <v>35645713</v>
      </c>
      <c r="W193" s="29">
        <f>T193*U193</f>
        <v>10793947366.4</v>
      </c>
      <c r="X193" s="32">
        <f>POWER(W193, 1/$X$1)</f>
        <v>101.53974284711282</v>
      </c>
      <c r="Y193" s="41">
        <v>232</v>
      </c>
      <c r="Z193" s="41">
        <v>35645713</v>
      </c>
      <c r="AA193" s="41">
        <v>0</v>
      </c>
      <c r="AC193" s="50">
        <v>192</v>
      </c>
      <c r="AD193" s="51">
        <f t="shared" si="34"/>
        <v>105514978</v>
      </c>
      <c r="AE193" s="51">
        <f t="shared" si="36"/>
        <v>39486087.111111112</v>
      </c>
      <c r="AF193" s="51">
        <f t="shared" si="35"/>
        <v>1</v>
      </c>
      <c r="AG193" s="55">
        <f t="shared" si="36"/>
        <v>0.22222222222222221</v>
      </c>
      <c r="AH193" s="29">
        <f>SUM($AF$2:AF193)</f>
        <v>116</v>
      </c>
      <c r="AI193" s="55">
        <f>SUM($AG$2:AG193)</f>
        <v>115.55555555555534</v>
      </c>
    </row>
    <row r="194" spans="1:35" x14ac:dyDescent="0.2">
      <c r="A194" s="48" t="s">
        <v>8852</v>
      </c>
      <c r="B194" s="29">
        <v>5</v>
      </c>
      <c r="C194" s="29">
        <v>1</v>
      </c>
      <c r="D194" s="29">
        <v>375</v>
      </c>
      <c r="E194" s="29">
        <v>9340</v>
      </c>
      <c r="F194" s="29">
        <v>3275</v>
      </c>
      <c r="G194" s="29">
        <v>3250</v>
      </c>
      <c r="H194" s="29">
        <v>9060</v>
      </c>
      <c r="I194" s="29">
        <v>2070</v>
      </c>
      <c r="J194" s="29">
        <v>17032800</v>
      </c>
      <c r="K194" s="29">
        <v>490</v>
      </c>
      <c r="L194" s="29">
        <v>999</v>
      </c>
      <c r="N194" s="33"/>
      <c r="O194" s="29">
        <f>AVERAGE(K194, L194)</f>
        <v>744.5</v>
      </c>
      <c r="P194" s="31" cm="1">
        <f t="array" ref="P194">WPNFACTOR(C194)</f>
        <v>2</v>
      </c>
      <c r="Q194" s="33" cm="1">
        <f t="array" ref="Q194">HPFACTOr(C194)</f>
        <v>5</v>
      </c>
      <c r="R194" s="32">
        <f>O194/P194</f>
        <v>372.25</v>
      </c>
      <c r="S194" s="33">
        <f>J194/Q194</f>
        <v>3406560</v>
      </c>
      <c r="T194" s="32">
        <f>R194*(1 + (N194/400))</f>
        <v>372.25</v>
      </c>
      <c r="U194" s="39">
        <f>S194*1.6/(1 + (0.6*(1 - (M194/100))))</f>
        <v>3406560</v>
      </c>
      <c r="V194" s="41">
        <f>VLOOKUP(D194,LevelXp!$A$1:'LevelXp'!$B$1000,2,)/5</f>
        <v>235758967</v>
      </c>
      <c r="W194" s="29">
        <f>T194*U194</f>
        <v>1268091960</v>
      </c>
      <c r="X194" s="32">
        <f>POWER(W194, 1/$X$1)</f>
        <v>66.165279254814749</v>
      </c>
      <c r="Y194" s="41">
        <v>233</v>
      </c>
      <c r="Z194" s="41">
        <v>235758967</v>
      </c>
      <c r="AA194" s="41">
        <v>1</v>
      </c>
      <c r="AC194" s="50">
        <v>193</v>
      </c>
      <c r="AD194" s="51">
        <f t="shared" si="34"/>
        <v>11412835</v>
      </c>
      <c r="AE194" s="51">
        <f t="shared" si="36"/>
        <v>40493801.222222224</v>
      </c>
      <c r="AF194" s="51">
        <f t="shared" si="35"/>
        <v>0</v>
      </c>
      <c r="AG194" s="55">
        <f t="shared" si="36"/>
        <v>0.22222222222222221</v>
      </c>
      <c r="AH194" s="29">
        <f>SUM($AF$2:AF194)</f>
        <v>116</v>
      </c>
      <c r="AI194" s="55">
        <f>SUM($AG$2:AG194)</f>
        <v>115.77777777777757</v>
      </c>
    </row>
    <row r="195" spans="1:35" x14ac:dyDescent="0.2">
      <c r="A195" s="48" t="s">
        <v>8843</v>
      </c>
      <c r="B195" s="29">
        <v>9</v>
      </c>
      <c r="C195" s="29">
        <v>3</v>
      </c>
      <c r="D195" s="29">
        <v>248</v>
      </c>
      <c r="E195" s="29">
        <v>1167</v>
      </c>
      <c r="F195" s="29">
        <v>4570</v>
      </c>
      <c r="G195" s="29">
        <v>1142</v>
      </c>
      <c r="H195" s="29">
        <v>21395</v>
      </c>
      <c r="I195" s="29">
        <v>1677</v>
      </c>
      <c r="J195" s="29">
        <v>21309420</v>
      </c>
      <c r="K195" s="29">
        <v>3320</v>
      </c>
      <c r="L195" s="29">
        <v>6639</v>
      </c>
      <c r="N195" s="33"/>
      <c r="O195" s="29">
        <f>AVERAGE(K195, L195)</f>
        <v>4979.5</v>
      </c>
      <c r="P195" s="31" cm="1">
        <f t="array" ref="P195">WPNFACTOR(C195)</f>
        <v>2.5</v>
      </c>
      <c r="Q195" s="33" cm="1">
        <f t="array" ref="Q195">HPFACTOr(C195)</f>
        <v>4</v>
      </c>
      <c r="R195" s="32">
        <f>O195/P195</f>
        <v>1991.8</v>
      </c>
      <c r="S195" s="33">
        <f>J195/Q195</f>
        <v>5327355</v>
      </c>
      <c r="T195" s="32">
        <f>R195*(1 + (N195/400))</f>
        <v>1991.8</v>
      </c>
      <c r="U195" s="39">
        <f>S195*1.6/(1 + (0.6*(1 - (M195/100))))</f>
        <v>5327355</v>
      </c>
      <c r="V195" s="41">
        <f>VLOOKUP(D195,LevelXp!$A$1:'LevelXp'!$B$1000,2,)/5</f>
        <v>30677131</v>
      </c>
      <c r="W195" s="29">
        <f>T195*U195</f>
        <v>10611025689</v>
      </c>
      <c r="X195" s="32">
        <f>POWER(W195, 1/$X$1)</f>
        <v>101.1932334385651</v>
      </c>
      <c r="Y195" s="41">
        <v>234</v>
      </c>
      <c r="Z195" s="41">
        <v>30677131</v>
      </c>
      <c r="AA195" s="41">
        <v>0</v>
      </c>
      <c r="AC195" s="50">
        <v>194</v>
      </c>
      <c r="AD195" s="51">
        <f t="shared" ref="AD195:AD258" si="51">SUMIF($Y$2:$Y$682, AC195, $Z$2:$Z$682)</f>
        <v>41805094</v>
      </c>
      <c r="AE195" s="51">
        <f t="shared" si="36"/>
        <v>45583420.555555552</v>
      </c>
      <c r="AF195" s="51">
        <f t="shared" ref="AF195:AF258" si="52">SUMIF($Y$2:$Y$682, AC195, $AA$2:$AA$682)</f>
        <v>0</v>
      </c>
      <c r="AG195" s="55">
        <f t="shared" si="36"/>
        <v>0.22222222222222221</v>
      </c>
      <c r="AH195" s="29">
        <f>SUM($AF$2:AF195)</f>
        <v>116</v>
      </c>
      <c r="AI195" s="55">
        <f>SUM($AG$2:AG195)</f>
        <v>115.9999999999998</v>
      </c>
    </row>
    <row r="196" spans="1:35" x14ac:dyDescent="0.2">
      <c r="A196" s="48" t="s">
        <v>2937</v>
      </c>
      <c r="B196" s="29">
        <v>220</v>
      </c>
      <c r="N196" s="33"/>
      <c r="Q196" s="33"/>
      <c r="S196" s="33"/>
      <c r="U196" s="39"/>
      <c r="V196" s="41">
        <f>VLOOKUP(B196,LevelXp!$D$1:'LevelXp'!$F$1000,3,)</f>
        <v>89841291</v>
      </c>
      <c r="Y196" s="41">
        <v>234</v>
      </c>
      <c r="Z196" s="41">
        <v>89841291</v>
      </c>
      <c r="AA196" s="41">
        <v>0</v>
      </c>
      <c r="AC196" s="50">
        <v>195</v>
      </c>
      <c r="AD196" s="51">
        <f t="shared" si="51"/>
        <v>11934768</v>
      </c>
      <c r="AE196" s="51">
        <f t="shared" si="36"/>
        <v>41975014.555555552</v>
      </c>
      <c r="AF196" s="51">
        <f t="shared" si="52"/>
        <v>0</v>
      </c>
      <c r="AG196" s="55">
        <f t="shared" si="36"/>
        <v>0.22222222222222221</v>
      </c>
      <c r="AH196" s="29">
        <f>SUM($AF$2:AF196)</f>
        <v>116</v>
      </c>
      <c r="AI196" s="55">
        <f>SUM($AG$2:AG196)</f>
        <v>116.22222222222203</v>
      </c>
    </row>
    <row r="197" spans="1:35" x14ac:dyDescent="0.2">
      <c r="A197" s="48" t="s">
        <v>8843</v>
      </c>
      <c r="B197" s="29">
        <v>10</v>
      </c>
      <c r="C197" s="29">
        <v>3</v>
      </c>
      <c r="D197" s="29">
        <v>250</v>
      </c>
      <c r="E197" s="29">
        <v>1181</v>
      </c>
      <c r="F197" s="29">
        <v>4636</v>
      </c>
      <c r="G197" s="29">
        <v>1159</v>
      </c>
      <c r="H197" s="29">
        <v>22000</v>
      </c>
      <c r="I197" s="29">
        <v>1704</v>
      </c>
      <c r="J197" s="29">
        <v>22088000</v>
      </c>
      <c r="K197" s="29">
        <v>3418</v>
      </c>
      <c r="L197" s="29">
        <v>6623</v>
      </c>
      <c r="N197" s="33"/>
      <c r="O197" s="29">
        <f t="shared" ref="O197:O203" si="53">AVERAGE(K197, L197)</f>
        <v>5020.5</v>
      </c>
      <c r="P197" s="31" cm="1">
        <f t="array" ref="P197">WPNFACTOR(C197)</f>
        <v>2.5</v>
      </c>
      <c r="Q197" s="33" cm="1">
        <f t="array" ref="Q197">HPFACTOr(C197)</f>
        <v>4</v>
      </c>
      <c r="R197" s="32">
        <f t="shared" ref="R197:R203" si="54">O197/P197</f>
        <v>2008.2</v>
      </c>
      <c r="S197" s="33">
        <f t="shared" ref="S197:S203" si="55">J197/Q197</f>
        <v>5522000</v>
      </c>
      <c r="T197" s="32">
        <f t="shared" ref="T197:T203" si="56">R197*(1 + (N197/400))</f>
        <v>2008.2</v>
      </c>
      <c r="U197" s="39">
        <f t="shared" ref="U197:U203" si="57">S197*1.6/(1 + (0.6*(1 - (M197/100))))</f>
        <v>5522000</v>
      </c>
      <c r="V197" s="41">
        <f>VLOOKUP(D197,LevelXp!$A$1:'LevelXp'!$B$1000,2,)/5</f>
        <v>31862139</v>
      </c>
      <c r="W197" s="29">
        <f t="shared" ref="W197:W203" si="58">T197*U197</f>
        <v>11089280400</v>
      </c>
      <c r="X197" s="32">
        <f t="shared" ref="X197:X203" si="59">POWER(W197, 1/$X$1)</f>
        <v>102.08940508273187</v>
      </c>
      <c r="Y197" s="41">
        <v>235</v>
      </c>
      <c r="Z197" s="41">
        <v>31862139</v>
      </c>
      <c r="AA197" s="41">
        <v>0</v>
      </c>
      <c r="AC197" s="50">
        <v>196</v>
      </c>
      <c r="AD197" s="51">
        <f t="shared" si="51"/>
        <v>12475687</v>
      </c>
      <c r="AE197" s="51">
        <f t="shared" si="36"/>
        <v>55508501.444444448</v>
      </c>
      <c r="AF197" s="51">
        <f t="shared" si="52"/>
        <v>0</v>
      </c>
      <c r="AG197" s="55">
        <f t="shared" si="36"/>
        <v>0.33333333333333331</v>
      </c>
      <c r="AH197" s="29">
        <f>SUM($AF$2:AF197)</f>
        <v>116</v>
      </c>
      <c r="AI197" s="55">
        <f>SUM($AG$2:AG197)</f>
        <v>116.55555555555536</v>
      </c>
    </row>
    <row r="198" spans="1:35" x14ac:dyDescent="0.2">
      <c r="A198" s="48" t="s">
        <v>8844</v>
      </c>
      <c r="B198" s="29">
        <v>4</v>
      </c>
      <c r="C198" s="29">
        <v>3</v>
      </c>
      <c r="D198" s="29">
        <v>258</v>
      </c>
      <c r="E198" s="29">
        <v>1202</v>
      </c>
      <c r="F198" s="29">
        <v>4690</v>
      </c>
      <c r="G198" s="29">
        <v>1172</v>
      </c>
      <c r="H198" s="29">
        <v>21285</v>
      </c>
      <c r="I198" s="29">
        <v>1715</v>
      </c>
      <c r="J198" s="29">
        <v>22051260</v>
      </c>
      <c r="K198" s="29">
        <v>3641</v>
      </c>
      <c r="L198" s="29">
        <v>6896</v>
      </c>
      <c r="N198" s="33"/>
      <c r="O198" s="29">
        <f t="shared" si="53"/>
        <v>5268.5</v>
      </c>
      <c r="P198" s="31" cm="1">
        <f t="array" ref="P198">WPNFACTOR(C198)</f>
        <v>2.5</v>
      </c>
      <c r="Q198" s="33" cm="1">
        <f t="array" ref="Q198">HPFACTOr(C198)</f>
        <v>4</v>
      </c>
      <c r="R198" s="32">
        <f t="shared" si="54"/>
        <v>2107.4</v>
      </c>
      <c r="S198" s="33">
        <f t="shared" si="55"/>
        <v>5512815</v>
      </c>
      <c r="T198" s="32">
        <f t="shared" si="56"/>
        <v>2107.4</v>
      </c>
      <c r="U198" s="39">
        <f t="shared" si="57"/>
        <v>5512815</v>
      </c>
      <c r="V198" s="41">
        <f>VLOOKUP(D198,LevelXp!$A$1:'LevelXp'!$B$1000,2,)/5</f>
        <v>36987473</v>
      </c>
      <c r="W198" s="29">
        <f t="shared" si="58"/>
        <v>11617706331</v>
      </c>
      <c r="X198" s="32">
        <f t="shared" si="59"/>
        <v>103.04432503705473</v>
      </c>
      <c r="Y198" s="41">
        <v>236</v>
      </c>
      <c r="Z198" s="41">
        <v>36987473</v>
      </c>
      <c r="AA198" s="41">
        <v>0</v>
      </c>
      <c r="AC198" s="50">
        <v>197</v>
      </c>
      <c r="AD198" s="51">
        <f t="shared" si="51"/>
        <v>123067419</v>
      </c>
      <c r="AE198" s="51">
        <f t="shared" si="36"/>
        <v>57458772.666666664</v>
      </c>
      <c r="AF198" s="51">
        <f t="shared" si="52"/>
        <v>1</v>
      </c>
      <c r="AG198" s="55">
        <f t="shared" si="36"/>
        <v>0.33333333333333331</v>
      </c>
      <c r="AH198" s="29">
        <f>SUM($AF$2:AF198)</f>
        <v>117</v>
      </c>
      <c r="AI198" s="55">
        <f>SUM($AG$2:AG198)</f>
        <v>116.88888888888869</v>
      </c>
    </row>
    <row r="199" spans="1:35" x14ac:dyDescent="0.2">
      <c r="A199" s="48" t="s">
        <v>8844</v>
      </c>
      <c r="B199" s="29">
        <v>5</v>
      </c>
      <c r="C199" s="29">
        <v>1</v>
      </c>
      <c r="D199" s="29">
        <v>260</v>
      </c>
      <c r="E199" s="29">
        <v>4757</v>
      </c>
      <c r="F199" s="29">
        <v>1562</v>
      </c>
      <c r="G199" s="29">
        <v>1493</v>
      </c>
      <c r="H199" s="29">
        <v>21901</v>
      </c>
      <c r="I199" s="29">
        <v>1272</v>
      </c>
      <c r="J199" s="29">
        <v>28580804</v>
      </c>
      <c r="K199" s="29">
        <v>2786</v>
      </c>
      <c r="L199" s="29">
        <v>5562</v>
      </c>
      <c r="N199" s="33"/>
      <c r="O199" s="29">
        <f t="shared" si="53"/>
        <v>4174</v>
      </c>
      <c r="P199" s="31" cm="1">
        <f t="array" ref="P199">WPNFACTOR(C199)</f>
        <v>2</v>
      </c>
      <c r="Q199" s="33" cm="1">
        <f t="array" ref="Q199">HPFACTOr(C199)</f>
        <v>5</v>
      </c>
      <c r="R199" s="32">
        <f t="shared" si="54"/>
        <v>2087</v>
      </c>
      <c r="S199" s="33">
        <f t="shared" si="55"/>
        <v>5716160.7999999998</v>
      </c>
      <c r="T199" s="32">
        <f t="shared" si="56"/>
        <v>2087</v>
      </c>
      <c r="U199" s="39">
        <f t="shared" si="57"/>
        <v>5716160.7999999989</v>
      </c>
      <c r="V199" s="41">
        <f>VLOOKUP(D199,LevelXp!$A$1:'LevelXp'!$B$1000,2,)/5</f>
        <v>38369989</v>
      </c>
      <c r="W199" s="29">
        <f t="shared" si="58"/>
        <v>11929627589.599998</v>
      </c>
      <c r="X199" s="32">
        <f t="shared" si="59"/>
        <v>103.59179949666081</v>
      </c>
      <c r="Y199" s="41">
        <v>237</v>
      </c>
      <c r="Z199" s="41">
        <v>38369989</v>
      </c>
      <c r="AA199" s="41">
        <v>0</v>
      </c>
      <c r="AC199" s="50">
        <v>198</v>
      </c>
      <c r="AD199" s="51">
        <f t="shared" si="51"/>
        <v>45806574</v>
      </c>
      <c r="AE199" s="51">
        <f t="shared" ref="AE199:AG262" si="60">AVERAGE(AD195:AD203)</f>
        <v>61740481.555555552</v>
      </c>
      <c r="AF199" s="51">
        <f t="shared" si="52"/>
        <v>0</v>
      </c>
      <c r="AG199" s="55">
        <f t="shared" si="60"/>
        <v>0.33333333333333331</v>
      </c>
      <c r="AH199" s="29">
        <f>SUM($AF$2:AF199)</f>
        <v>117</v>
      </c>
      <c r="AI199" s="55">
        <f>SUM($AG$2:AG199)</f>
        <v>117.22222222222202</v>
      </c>
    </row>
    <row r="200" spans="1:35" x14ac:dyDescent="0.2">
      <c r="A200" s="48" t="s">
        <v>8852</v>
      </c>
      <c r="B200" s="29">
        <v>6</v>
      </c>
      <c r="C200" s="29">
        <v>3</v>
      </c>
      <c r="D200" s="29">
        <v>380</v>
      </c>
      <c r="E200" s="29">
        <v>2682</v>
      </c>
      <c r="F200" s="29">
        <v>10690</v>
      </c>
      <c r="G200" s="29">
        <v>2672</v>
      </c>
      <c r="H200" s="29">
        <v>10410</v>
      </c>
      <c r="I200" s="29">
        <v>3812</v>
      </c>
      <c r="J200" s="29">
        <v>15864840</v>
      </c>
      <c r="K200" s="29">
        <v>871</v>
      </c>
      <c r="L200" s="29">
        <v>1335</v>
      </c>
      <c r="N200" s="33"/>
      <c r="O200" s="29">
        <f t="shared" si="53"/>
        <v>1103</v>
      </c>
      <c r="P200" s="31" cm="1">
        <f t="array" ref="P200">WPNFACTOR(C200)</f>
        <v>2.5</v>
      </c>
      <c r="Q200" s="33" cm="1">
        <f t="array" ref="Q200">HPFACTOr(C200)</f>
        <v>4</v>
      </c>
      <c r="R200" s="32">
        <f t="shared" si="54"/>
        <v>441.2</v>
      </c>
      <c r="S200" s="33">
        <f t="shared" si="55"/>
        <v>3966210</v>
      </c>
      <c r="T200" s="32">
        <f t="shared" si="56"/>
        <v>441.2</v>
      </c>
      <c r="U200" s="39">
        <f t="shared" si="57"/>
        <v>3966210</v>
      </c>
      <c r="V200" s="41">
        <f>VLOOKUP(D200,LevelXp!$A$1:'LevelXp'!$B$1000,2,)/5</f>
        <v>252458197</v>
      </c>
      <c r="W200" s="29">
        <f t="shared" si="58"/>
        <v>1749891852</v>
      </c>
      <c r="X200" s="32">
        <f t="shared" si="59"/>
        <v>70.567095385188665</v>
      </c>
      <c r="Y200" s="41">
        <v>238</v>
      </c>
      <c r="Z200" s="41">
        <v>252458197</v>
      </c>
      <c r="AA200" s="41">
        <v>1</v>
      </c>
      <c r="AC200" s="50">
        <v>199</v>
      </c>
      <c r="AD200" s="51">
        <f t="shared" si="51"/>
        <v>14846670</v>
      </c>
      <c r="AE200" s="51">
        <f t="shared" si="60"/>
        <v>72986430</v>
      </c>
      <c r="AF200" s="51">
        <f t="shared" si="52"/>
        <v>0</v>
      </c>
      <c r="AG200" s="55">
        <f t="shared" si="60"/>
        <v>0.44444444444444442</v>
      </c>
      <c r="AH200" s="29">
        <f>SUM($AF$2:AF200)</f>
        <v>117</v>
      </c>
      <c r="AI200" s="55">
        <f>SUM($AG$2:AG200)</f>
        <v>117.66666666666646</v>
      </c>
    </row>
    <row r="201" spans="1:35" x14ac:dyDescent="0.2">
      <c r="A201" s="48" t="s">
        <v>8852</v>
      </c>
      <c r="B201" s="29">
        <v>7</v>
      </c>
      <c r="C201" s="29">
        <v>2</v>
      </c>
      <c r="D201" s="29">
        <v>385</v>
      </c>
      <c r="E201" s="29">
        <v>2888</v>
      </c>
      <c r="F201" s="29">
        <v>2908</v>
      </c>
      <c r="G201" s="29">
        <v>11670</v>
      </c>
      <c r="H201" s="29">
        <v>11230</v>
      </c>
      <c r="I201" s="29">
        <v>4122</v>
      </c>
      <c r="J201" s="29">
        <v>8669560</v>
      </c>
      <c r="K201" s="29">
        <v>1235</v>
      </c>
      <c r="L201" s="29">
        <v>3121</v>
      </c>
      <c r="N201" s="33"/>
      <c r="O201" s="29">
        <f t="shared" si="53"/>
        <v>2178</v>
      </c>
      <c r="P201" s="31" cm="1">
        <f t="array" ref="P201">WPNFACTOR(C201)</f>
        <v>4.5</v>
      </c>
      <c r="Q201" s="33" cm="1">
        <f t="array" ref="Q201">HPFACTOr(C201)</f>
        <v>2</v>
      </c>
      <c r="R201" s="32">
        <f t="shared" si="54"/>
        <v>484</v>
      </c>
      <c r="S201" s="33">
        <f t="shared" si="55"/>
        <v>4334780</v>
      </c>
      <c r="T201" s="32">
        <f t="shared" si="56"/>
        <v>484</v>
      </c>
      <c r="U201" s="39">
        <f t="shared" si="57"/>
        <v>4334780</v>
      </c>
      <c r="V201" s="41">
        <f>VLOOKUP(D201,LevelXp!$A$1:'LevelXp'!$B$1000,2,)/5</f>
        <v>270120546</v>
      </c>
      <c r="W201" s="29">
        <f t="shared" si="58"/>
        <v>2098033520</v>
      </c>
      <c r="X201" s="32">
        <f t="shared" si="59"/>
        <v>73.174958451601029</v>
      </c>
      <c r="Y201" s="41">
        <v>239</v>
      </c>
      <c r="Z201" s="41">
        <v>270120546</v>
      </c>
      <c r="AA201" s="41">
        <v>1</v>
      </c>
      <c r="AC201" s="50">
        <v>200</v>
      </c>
      <c r="AD201" s="51">
        <f t="shared" si="51"/>
        <v>132712488</v>
      </c>
      <c r="AE201" s="51">
        <f t="shared" si="60"/>
        <v>71660344.666666672</v>
      </c>
      <c r="AF201" s="51">
        <f t="shared" si="52"/>
        <v>1</v>
      </c>
      <c r="AG201" s="55">
        <f t="shared" si="60"/>
        <v>0.44444444444444442</v>
      </c>
      <c r="AH201" s="29">
        <f>SUM($AF$2:AF201)</f>
        <v>118</v>
      </c>
      <c r="AI201" s="55">
        <f>SUM($AG$2:AG201)</f>
        <v>118.1111111111109</v>
      </c>
    </row>
    <row r="202" spans="1:35" x14ac:dyDescent="0.2">
      <c r="A202" s="48" t="s">
        <v>8844</v>
      </c>
      <c r="B202" s="29">
        <v>6</v>
      </c>
      <c r="C202" s="29">
        <v>3</v>
      </c>
      <c r="D202" s="29">
        <v>262</v>
      </c>
      <c r="E202" s="29">
        <v>1231</v>
      </c>
      <c r="F202" s="29">
        <v>4820</v>
      </c>
      <c r="G202" s="29">
        <v>1205</v>
      </c>
      <c r="H202" s="29">
        <v>22478</v>
      </c>
      <c r="I202" s="29">
        <v>1768</v>
      </c>
      <c r="J202" s="29">
        <v>23646856</v>
      </c>
      <c r="K202" s="29">
        <v>3508</v>
      </c>
      <c r="L202" s="29">
        <v>6997</v>
      </c>
      <c r="N202" s="33"/>
      <c r="O202" s="29">
        <f t="shared" si="53"/>
        <v>5252.5</v>
      </c>
      <c r="P202" s="31" cm="1">
        <f t="array" ref="P202">WPNFACTOR(C202)</f>
        <v>2.5</v>
      </c>
      <c r="Q202" s="33" cm="1">
        <f t="array" ref="Q202">HPFACTOr(C202)</f>
        <v>4</v>
      </c>
      <c r="R202" s="32">
        <f t="shared" si="54"/>
        <v>2101</v>
      </c>
      <c r="S202" s="33">
        <f t="shared" si="55"/>
        <v>5911714</v>
      </c>
      <c r="T202" s="32">
        <f t="shared" si="56"/>
        <v>2101</v>
      </c>
      <c r="U202" s="39">
        <f t="shared" si="57"/>
        <v>5911714</v>
      </c>
      <c r="V202" s="41">
        <f>VLOOKUP(D202,LevelXp!$A$1:'LevelXp'!$B$1000,2,)/5</f>
        <v>39798074</v>
      </c>
      <c r="W202" s="29">
        <f t="shared" si="58"/>
        <v>12420511114</v>
      </c>
      <c r="X202" s="32">
        <f t="shared" si="59"/>
        <v>104.43062893457002</v>
      </c>
      <c r="Y202" s="41">
        <v>240</v>
      </c>
      <c r="Z202" s="41">
        <v>39798074</v>
      </c>
      <c r="AA202" s="41">
        <v>0</v>
      </c>
      <c r="AC202" s="50">
        <v>201</v>
      </c>
      <c r="AD202" s="51">
        <f t="shared" si="51"/>
        <v>123067419</v>
      </c>
      <c r="AE202" s="51">
        <f t="shared" si="60"/>
        <v>71995858.444444448</v>
      </c>
      <c r="AF202" s="51">
        <f t="shared" si="52"/>
        <v>1</v>
      </c>
      <c r="AG202" s="55">
        <f t="shared" si="60"/>
        <v>0.44444444444444442</v>
      </c>
      <c r="AH202" s="29">
        <f>SUM($AF$2:AF202)</f>
        <v>119</v>
      </c>
      <c r="AI202" s="55">
        <f>SUM($AG$2:AG202)</f>
        <v>118.55555555555534</v>
      </c>
    </row>
    <row r="203" spans="1:35" x14ac:dyDescent="0.2">
      <c r="A203" s="48" t="s">
        <v>8844</v>
      </c>
      <c r="B203" s="29">
        <v>7</v>
      </c>
      <c r="C203" s="29">
        <v>1</v>
      </c>
      <c r="D203" s="29">
        <v>264</v>
      </c>
      <c r="E203" s="29">
        <v>4888</v>
      </c>
      <c r="F203" s="29">
        <v>1637</v>
      </c>
      <c r="G203" s="29">
        <v>1576</v>
      </c>
      <c r="H203" s="29">
        <v>23122</v>
      </c>
      <c r="I203" s="29">
        <v>1295</v>
      </c>
      <c r="J203" s="29">
        <v>30636650</v>
      </c>
      <c r="K203" s="29">
        <v>2874</v>
      </c>
      <c r="L203" s="29">
        <v>5627</v>
      </c>
      <c r="N203" s="33"/>
      <c r="O203" s="29">
        <f t="shared" si="53"/>
        <v>4250.5</v>
      </c>
      <c r="P203" s="31" cm="1">
        <f t="array" ref="P203">WPNFACTOR(C203)</f>
        <v>2</v>
      </c>
      <c r="Q203" s="33" cm="1">
        <f t="array" ref="Q203">HPFACTOr(C203)</f>
        <v>5</v>
      </c>
      <c r="R203" s="32">
        <f t="shared" si="54"/>
        <v>2125.25</v>
      </c>
      <c r="S203" s="33">
        <f t="shared" si="55"/>
        <v>6127330</v>
      </c>
      <c r="T203" s="32">
        <f t="shared" si="56"/>
        <v>2125.25</v>
      </c>
      <c r="U203" s="39">
        <f t="shared" si="57"/>
        <v>6127330</v>
      </c>
      <c r="V203" s="41">
        <f>VLOOKUP(D203,LevelXp!$A$1:'LevelXp'!$B$1000,2,)/5</f>
        <v>41269055</v>
      </c>
      <c r="W203" s="29">
        <f t="shared" si="58"/>
        <v>13022108082.5</v>
      </c>
      <c r="X203" s="32">
        <f t="shared" si="59"/>
        <v>105.42321566652512</v>
      </c>
      <c r="Y203" s="41">
        <v>240</v>
      </c>
      <c r="Z203" s="41">
        <v>41269055</v>
      </c>
      <c r="AA203" s="41">
        <v>0</v>
      </c>
      <c r="AC203" s="50">
        <v>202</v>
      </c>
      <c r="AD203" s="51">
        <f t="shared" si="51"/>
        <v>49948215</v>
      </c>
      <c r="AE203" s="51">
        <f t="shared" si="60"/>
        <v>81494176.555555552</v>
      </c>
      <c r="AF203" s="51">
        <f t="shared" si="52"/>
        <v>0</v>
      </c>
      <c r="AG203" s="55">
        <f t="shared" si="60"/>
        <v>0.44444444444444442</v>
      </c>
      <c r="AH203" s="29">
        <f>SUM($AF$2:AF203)</f>
        <v>119</v>
      </c>
      <c r="AI203" s="55">
        <f>SUM($AG$2:AG203)</f>
        <v>118.99999999999979</v>
      </c>
    </row>
    <row r="204" spans="1:35" x14ac:dyDescent="0.2">
      <c r="A204" s="48" t="s">
        <v>2937</v>
      </c>
      <c r="B204" s="29">
        <v>230</v>
      </c>
      <c r="N204" s="33"/>
      <c r="Q204" s="33"/>
      <c r="S204" s="33"/>
      <c r="U204" s="39"/>
      <c r="V204" s="41">
        <f>VLOOKUP(B204,LevelXp!$D$1:'LevelXp'!$F$1000,3,)</f>
        <v>94835373</v>
      </c>
      <c r="Y204" s="41">
        <v>240</v>
      </c>
      <c r="Z204" s="41">
        <v>94835373</v>
      </c>
      <c r="AA204" s="41">
        <v>0</v>
      </c>
      <c r="AC204" s="50">
        <v>203</v>
      </c>
      <c r="AD204" s="51">
        <f t="shared" si="51"/>
        <v>143018630</v>
      </c>
      <c r="AE204" s="51">
        <f t="shared" si="60"/>
        <v>78200845.777777776</v>
      </c>
      <c r="AF204" s="51">
        <f t="shared" si="52"/>
        <v>1</v>
      </c>
      <c r="AG204" s="55">
        <f t="shared" si="60"/>
        <v>0.44444444444444442</v>
      </c>
      <c r="AH204" s="29">
        <f>SUM($AF$2:AF204)</f>
        <v>120</v>
      </c>
      <c r="AI204" s="55">
        <f>SUM($AG$2:AG204)</f>
        <v>119.44444444444423</v>
      </c>
    </row>
    <row r="205" spans="1:35" x14ac:dyDescent="0.2">
      <c r="A205" s="48" t="s">
        <v>8844</v>
      </c>
      <c r="B205" s="29">
        <v>8</v>
      </c>
      <c r="C205" s="29">
        <v>2</v>
      </c>
      <c r="D205" s="29">
        <v>266</v>
      </c>
      <c r="E205" s="29">
        <v>1213</v>
      </c>
      <c r="F205" s="29">
        <v>1260</v>
      </c>
      <c r="G205" s="29">
        <v>5133</v>
      </c>
      <c r="H205" s="29">
        <v>22583</v>
      </c>
      <c r="I205" s="29">
        <v>1808</v>
      </c>
      <c r="J205" s="29">
        <v>12059322</v>
      </c>
      <c r="K205" s="29">
        <v>6556</v>
      </c>
      <c r="L205" s="29">
        <v>12786</v>
      </c>
      <c r="N205" s="33"/>
      <c r="O205" s="29">
        <f>AVERAGE(K205, L205)</f>
        <v>9671</v>
      </c>
      <c r="P205" s="31" cm="1">
        <f t="array" ref="P205">WPNFACTOR(C205)</f>
        <v>4.5</v>
      </c>
      <c r="Q205" s="33" cm="1">
        <f t="array" ref="Q205">HPFACTOr(C205)</f>
        <v>2</v>
      </c>
      <c r="R205" s="32">
        <f>O205/P205</f>
        <v>2149.1111111111113</v>
      </c>
      <c r="S205" s="33">
        <f>J205/Q205</f>
        <v>6029661</v>
      </c>
      <c r="T205" s="32">
        <f>R205*(1 + (N205/400))</f>
        <v>2149.1111111111113</v>
      </c>
      <c r="U205" s="39">
        <f>S205*1.6/(1 + (0.6*(1 - (M205/100))))</f>
        <v>6029660.9999999991</v>
      </c>
      <c r="V205" s="41">
        <f>VLOOKUP(D205,LevelXp!$A$1:'LevelXp'!$B$1000,2,)/5</f>
        <v>42784003</v>
      </c>
      <c r="W205" s="29">
        <f>T205*U205</f>
        <v>12958411451.333332</v>
      </c>
      <c r="X205" s="32">
        <f>POWER(W205, 1/$X$1)</f>
        <v>105.31987938797788</v>
      </c>
      <c r="Y205" s="41">
        <v>241</v>
      </c>
      <c r="Z205" s="41">
        <v>42784003</v>
      </c>
      <c r="AA205" s="41">
        <v>0</v>
      </c>
      <c r="AC205" s="50">
        <v>204</v>
      </c>
      <c r="AD205" s="51">
        <f t="shared" si="51"/>
        <v>0</v>
      </c>
      <c r="AE205" s="51">
        <f t="shared" si="60"/>
        <v>77999676.111111104</v>
      </c>
      <c r="AF205" s="51">
        <f t="shared" si="52"/>
        <v>0</v>
      </c>
      <c r="AG205" s="55">
        <f t="shared" si="60"/>
        <v>0.44444444444444442</v>
      </c>
      <c r="AH205" s="29">
        <f>SUM($AF$2:AF205)</f>
        <v>120</v>
      </c>
      <c r="AI205" s="55">
        <f>SUM($AG$2:AG205)</f>
        <v>119.88888888888867</v>
      </c>
    </row>
    <row r="206" spans="1:35" x14ac:dyDescent="0.2">
      <c r="A206" s="48" t="s">
        <v>8844</v>
      </c>
      <c r="B206" s="29">
        <v>9</v>
      </c>
      <c r="C206" s="29">
        <v>1</v>
      </c>
      <c r="D206" s="29">
        <v>268</v>
      </c>
      <c r="E206" s="29">
        <v>5008</v>
      </c>
      <c r="F206" s="29">
        <v>1702</v>
      </c>
      <c r="G206" s="29">
        <v>1647</v>
      </c>
      <c r="H206" s="29">
        <v>24162</v>
      </c>
      <c r="I206" s="29">
        <v>1318</v>
      </c>
      <c r="J206" s="29">
        <v>32497890</v>
      </c>
      <c r="K206" s="29">
        <v>2874</v>
      </c>
      <c r="L206" s="29">
        <v>5726</v>
      </c>
      <c r="N206" s="33"/>
      <c r="O206" s="29">
        <f>AVERAGE(K206, L206)</f>
        <v>4300</v>
      </c>
      <c r="P206" s="31" cm="1">
        <f t="array" ref="P206">WPNFACTOR(C206)</f>
        <v>2</v>
      </c>
      <c r="Q206" s="33" cm="1">
        <f t="array" ref="Q206">HPFACTOr(C206)</f>
        <v>5</v>
      </c>
      <c r="R206" s="32">
        <f>O206/P206</f>
        <v>2150</v>
      </c>
      <c r="S206" s="33">
        <f>J206/Q206</f>
        <v>6499578</v>
      </c>
      <c r="T206" s="32">
        <f>R206*(1 + (N206/400))</f>
        <v>2150</v>
      </c>
      <c r="U206" s="39">
        <f>S206*1.6/(1 + (0.6*(1 - (M206/100))))</f>
        <v>6499578</v>
      </c>
      <c r="V206" s="41">
        <f>VLOOKUP(D206,LevelXp!$A$1:'LevelXp'!$B$1000,2,)/5</f>
        <v>44347963</v>
      </c>
      <c r="W206" s="29">
        <f>T206*U206</f>
        <v>13974092700</v>
      </c>
      <c r="X206" s="32">
        <f>POWER(W206, 1/$X$1)</f>
        <v>106.92142149907673</v>
      </c>
      <c r="Y206" s="41">
        <v>241</v>
      </c>
      <c r="Z206" s="41">
        <v>44347963</v>
      </c>
      <c r="AA206" s="41">
        <v>0</v>
      </c>
      <c r="AC206" s="50">
        <v>205</v>
      </c>
      <c r="AD206" s="51">
        <f t="shared" si="51"/>
        <v>15495311</v>
      </c>
      <c r="AE206" s="51">
        <f t="shared" si="60"/>
        <v>65127308.777777776</v>
      </c>
      <c r="AF206" s="51">
        <f t="shared" si="52"/>
        <v>0</v>
      </c>
      <c r="AG206" s="55">
        <f t="shared" si="60"/>
        <v>0.33333333333333331</v>
      </c>
      <c r="AH206" s="29">
        <f>SUM($AF$2:AF206)</f>
        <v>120</v>
      </c>
      <c r="AI206" s="55">
        <f>SUM($AG$2:AG206)</f>
        <v>120.222222222222</v>
      </c>
    </row>
    <row r="207" spans="1:35" x14ac:dyDescent="0.2">
      <c r="A207" s="48" t="s">
        <v>8845</v>
      </c>
      <c r="B207" s="29">
        <v>1</v>
      </c>
      <c r="C207" s="29">
        <v>1</v>
      </c>
      <c r="D207" s="29">
        <v>272</v>
      </c>
      <c r="E207" s="29">
        <v>4966</v>
      </c>
      <c r="F207" s="29">
        <v>1626</v>
      </c>
      <c r="G207" s="29">
        <v>1552</v>
      </c>
      <c r="H207" s="29">
        <v>22764</v>
      </c>
      <c r="I207" s="29">
        <v>1330</v>
      </c>
      <c r="J207" s="29">
        <v>31072860</v>
      </c>
      <c r="K207" s="29">
        <v>3013</v>
      </c>
      <c r="L207" s="29">
        <v>5695</v>
      </c>
      <c r="N207" s="33"/>
      <c r="O207" s="29">
        <f>AVERAGE(K207, L207)</f>
        <v>4354</v>
      </c>
      <c r="P207" s="31" cm="1">
        <f t="array" ref="P207">WPNFACTOR(C207)</f>
        <v>2</v>
      </c>
      <c r="Q207" s="33" cm="1">
        <f t="array" ref="Q207">HPFACTOr(C207)</f>
        <v>5</v>
      </c>
      <c r="R207" s="32">
        <f>O207/P207</f>
        <v>2177</v>
      </c>
      <c r="S207" s="33">
        <f>J207/Q207</f>
        <v>6214572</v>
      </c>
      <c r="T207" s="32">
        <f>R207*(1 + (N207/400))</f>
        <v>2177</v>
      </c>
      <c r="U207" s="39">
        <f>S207*1.6/(1 + (0.6*(1 - (M207/100))))</f>
        <v>6214572</v>
      </c>
      <c r="V207" s="41">
        <f>VLOOKUP(D207,LevelXp!$A$1:'LevelXp'!$B$1000,2,)/5</f>
        <v>47615630</v>
      </c>
      <c r="W207" s="29">
        <f>T207*U207</f>
        <v>13529123244</v>
      </c>
      <c r="X207" s="32">
        <f>POWER(W207, 1/$X$1)</f>
        <v>106.23165087340583</v>
      </c>
      <c r="Y207" s="41">
        <v>242</v>
      </c>
      <c r="Z207" s="41">
        <v>47615630</v>
      </c>
      <c r="AA207" s="41">
        <v>0</v>
      </c>
      <c r="AC207" s="50">
        <v>206</v>
      </c>
      <c r="AD207" s="51">
        <f t="shared" si="51"/>
        <v>208552282</v>
      </c>
      <c r="AE207" s="51">
        <f t="shared" si="60"/>
        <v>76454575.666666672</v>
      </c>
      <c r="AF207" s="51">
        <f t="shared" si="52"/>
        <v>1</v>
      </c>
      <c r="AG207" s="55">
        <f t="shared" si="60"/>
        <v>0.33333333333333331</v>
      </c>
      <c r="AH207" s="29">
        <f>SUM($AF$2:AF207)</f>
        <v>121</v>
      </c>
      <c r="AI207" s="55">
        <f>SUM($AG$2:AG207)</f>
        <v>120.55555555555533</v>
      </c>
    </row>
    <row r="208" spans="1:35" x14ac:dyDescent="0.2">
      <c r="A208" s="48" t="s">
        <v>2937</v>
      </c>
      <c r="B208" s="29">
        <v>240</v>
      </c>
      <c r="N208" s="33"/>
      <c r="Q208" s="33"/>
      <c r="S208" s="33"/>
      <c r="U208" s="39"/>
      <c r="V208" s="41">
        <f>VLOOKUP(B208,LevelXp!$D$1:'LevelXp'!$F$1000,3,)</f>
        <v>99586131</v>
      </c>
      <c r="Y208" s="41">
        <v>242</v>
      </c>
      <c r="Z208" s="41">
        <v>99586131</v>
      </c>
      <c r="AA208" s="41">
        <v>0</v>
      </c>
      <c r="AC208" s="50">
        <v>207</v>
      </c>
      <c r="AD208" s="51">
        <f t="shared" si="51"/>
        <v>16166597</v>
      </c>
      <c r="AE208" s="51">
        <f t="shared" si="60"/>
        <v>72858326.666666672</v>
      </c>
      <c r="AF208" s="51">
        <f t="shared" si="52"/>
        <v>0</v>
      </c>
      <c r="AG208" s="55">
        <f t="shared" si="60"/>
        <v>0.33333333333333331</v>
      </c>
      <c r="AH208" s="29">
        <f>SUM($AF$2:AF208)</f>
        <v>121</v>
      </c>
      <c r="AI208" s="55">
        <f>SUM($AG$2:AG208)</f>
        <v>120.88888888888866</v>
      </c>
    </row>
    <row r="209" spans="1:35" x14ac:dyDescent="0.2">
      <c r="A209" s="48" t="s">
        <v>8859</v>
      </c>
      <c r="B209" s="29">
        <v>4</v>
      </c>
      <c r="C209" s="29">
        <v>3</v>
      </c>
      <c r="D209" s="29">
        <v>219</v>
      </c>
      <c r="E209" s="29">
        <v>3640</v>
      </c>
      <c r="F209" s="29">
        <v>7280</v>
      </c>
      <c r="G209" s="29">
        <v>3640</v>
      </c>
      <c r="H209" s="29">
        <v>15000</v>
      </c>
      <c r="I209" s="29">
        <v>3640</v>
      </c>
      <c r="J209" s="29">
        <v>29500000</v>
      </c>
      <c r="K209" s="29">
        <v>582</v>
      </c>
      <c r="L209" s="29">
        <v>819</v>
      </c>
      <c r="M209" s="29">
        <v>25</v>
      </c>
      <c r="N209" s="33">
        <v>25</v>
      </c>
      <c r="O209" s="29">
        <f t="shared" ref="O209:O217" si="61">AVERAGE(K209, L209)</f>
        <v>700.5</v>
      </c>
      <c r="P209" s="31" cm="1">
        <f t="array" ref="P209">WPNFACTOR(C209)</f>
        <v>2.5</v>
      </c>
      <c r="Q209" s="33" cm="1">
        <f t="array" ref="Q209">HPFACTOr(C209)</f>
        <v>4</v>
      </c>
      <c r="R209" s="32">
        <f t="shared" ref="R209:R217" si="62">O209/P209</f>
        <v>280.2</v>
      </c>
      <c r="S209" s="33">
        <f t="shared" ref="S209:S217" si="63">J209/Q209</f>
        <v>7375000</v>
      </c>
      <c r="T209" s="32">
        <f t="shared" ref="T209:T217" si="64">R209*(1 + (N209/400))</f>
        <v>297.71249999999998</v>
      </c>
      <c r="U209" s="39">
        <f t="shared" ref="U209:U217" si="65">S209*1.6/(1 + (0.6*(1 - (M209/100))))</f>
        <v>8137931.0344827585</v>
      </c>
      <c r="V209" s="41">
        <f>VLOOKUP(D209,LevelXp!$A$1:'LevelXp'!$B$1000,2,)/5</f>
        <v>17216101</v>
      </c>
      <c r="W209" s="29">
        <f t="shared" ref="W209:W217" si="66">T209*U209</f>
        <v>2422763793.1034479</v>
      </c>
      <c r="X209" s="32">
        <f t="shared" ref="X209:X217" si="67">POWER(W209, 1/$X$1)</f>
        <v>75.311659069806765</v>
      </c>
      <c r="Y209" s="41">
        <v>243</v>
      </c>
      <c r="Z209" s="41">
        <v>17216101</v>
      </c>
      <c r="AA209" s="41">
        <v>1</v>
      </c>
      <c r="AC209" s="50">
        <v>208</v>
      </c>
      <c r="AD209" s="51">
        <f t="shared" si="51"/>
        <v>13036143</v>
      </c>
      <c r="AE209" s="51">
        <f t="shared" si="60"/>
        <v>56967367.777777776</v>
      </c>
      <c r="AF209" s="51">
        <f t="shared" si="52"/>
        <v>0</v>
      </c>
      <c r="AG209" s="55">
        <f t="shared" si="60"/>
        <v>0.22222222222222221</v>
      </c>
      <c r="AH209" s="29">
        <f>SUM($AF$2:AF209)</f>
        <v>121</v>
      </c>
      <c r="AI209" s="55">
        <f>SUM($AG$2:AG209)</f>
        <v>121.11111111111089</v>
      </c>
    </row>
    <row r="210" spans="1:35" x14ac:dyDescent="0.2">
      <c r="A210" s="48" t="s">
        <v>8855</v>
      </c>
      <c r="B210" s="29">
        <v>1</v>
      </c>
      <c r="C210" s="29">
        <v>1</v>
      </c>
      <c r="D210" s="29">
        <v>200</v>
      </c>
      <c r="E210" s="29">
        <v>8800</v>
      </c>
      <c r="F210" s="29">
        <v>1120</v>
      </c>
      <c r="G210" s="29">
        <v>1120</v>
      </c>
      <c r="H210" s="29">
        <v>28000</v>
      </c>
      <c r="I210" s="29">
        <v>3600</v>
      </c>
      <c r="J210" s="29">
        <v>28140000</v>
      </c>
      <c r="K210" s="29">
        <v>684</v>
      </c>
      <c r="L210" s="29">
        <v>1154</v>
      </c>
      <c r="N210" s="33"/>
      <c r="O210" s="29">
        <f t="shared" si="61"/>
        <v>919</v>
      </c>
      <c r="P210" s="31" cm="1">
        <f t="array" ref="P210">WPNFACTOR(C210)</f>
        <v>2</v>
      </c>
      <c r="Q210" s="33" cm="1">
        <f t="array" ref="Q210">HPFACTOr(C210)</f>
        <v>5</v>
      </c>
      <c r="R210" s="32">
        <f t="shared" si="62"/>
        <v>459.5</v>
      </c>
      <c r="S210" s="33">
        <f t="shared" si="63"/>
        <v>5628000</v>
      </c>
      <c r="T210" s="32">
        <f t="shared" si="64"/>
        <v>459.5</v>
      </c>
      <c r="U210" s="39">
        <f t="shared" si="65"/>
        <v>5628000</v>
      </c>
      <c r="V210" s="41">
        <f>VLOOKUP(D210,LevelXp!$A$1:'LevelXp'!$B$1000,2,)/5</f>
        <v>11412835</v>
      </c>
      <c r="W210" s="29">
        <f t="shared" si="66"/>
        <v>2586066000</v>
      </c>
      <c r="X210" s="32">
        <f t="shared" si="67"/>
        <v>76.300594342081936</v>
      </c>
      <c r="Y210" s="41">
        <v>243</v>
      </c>
      <c r="Z210" s="41">
        <v>11412835</v>
      </c>
      <c r="AA210" s="41">
        <v>1</v>
      </c>
      <c r="AC210" s="50">
        <v>209</v>
      </c>
      <c r="AD210" s="51">
        <f t="shared" si="51"/>
        <v>16861182</v>
      </c>
      <c r="AE210" s="51">
        <f t="shared" si="60"/>
        <v>56967367.777777776</v>
      </c>
      <c r="AF210" s="51">
        <f t="shared" si="52"/>
        <v>0</v>
      </c>
      <c r="AG210" s="55">
        <f t="shared" si="60"/>
        <v>0.22222222222222221</v>
      </c>
      <c r="AH210" s="29">
        <f>SUM($AF$2:AF210)</f>
        <v>121</v>
      </c>
      <c r="AI210" s="55">
        <f>SUM($AG$2:AG210)</f>
        <v>121.33333333333312</v>
      </c>
    </row>
    <row r="211" spans="1:35" x14ac:dyDescent="0.2">
      <c r="A211" s="48" t="s">
        <v>8845</v>
      </c>
      <c r="B211" s="29">
        <v>3</v>
      </c>
      <c r="C211" s="29">
        <v>2</v>
      </c>
      <c r="D211" s="29">
        <v>276</v>
      </c>
      <c r="E211" s="29">
        <v>1247</v>
      </c>
      <c r="F211" s="29">
        <v>1300</v>
      </c>
      <c r="G211" s="29">
        <v>5307</v>
      </c>
      <c r="H211" s="29">
        <v>22770</v>
      </c>
      <c r="I211" s="29">
        <v>1857</v>
      </c>
      <c r="J211" s="29">
        <v>12614580</v>
      </c>
      <c r="K211" s="29">
        <v>6792</v>
      </c>
      <c r="L211" s="29">
        <v>13218</v>
      </c>
      <c r="N211" s="33"/>
      <c r="O211" s="29">
        <f t="shared" si="61"/>
        <v>10005</v>
      </c>
      <c r="P211" s="31" cm="1">
        <f t="array" ref="P211">WPNFACTOR(C211)</f>
        <v>4.5</v>
      </c>
      <c r="Q211" s="33" cm="1">
        <f t="array" ref="Q211">HPFACTOr(C211)</f>
        <v>2</v>
      </c>
      <c r="R211" s="32">
        <f t="shared" si="62"/>
        <v>2223.3333333333335</v>
      </c>
      <c r="S211" s="33">
        <f t="shared" si="63"/>
        <v>6307290</v>
      </c>
      <c r="T211" s="32">
        <f t="shared" si="64"/>
        <v>2223.3333333333335</v>
      </c>
      <c r="U211" s="39">
        <f t="shared" si="65"/>
        <v>6307290</v>
      </c>
      <c r="V211" s="41">
        <f>VLOOKUP(D211,LevelXp!$A$1:'LevelXp'!$B$1000,2,)/5</f>
        <v>51085818</v>
      </c>
      <c r="W211" s="29">
        <f t="shared" si="66"/>
        <v>14023208100.000002</v>
      </c>
      <c r="X211" s="32">
        <f t="shared" si="67"/>
        <v>106.99647640200988</v>
      </c>
      <c r="Y211" s="41">
        <v>243</v>
      </c>
      <c r="Z211" s="41">
        <v>51085818</v>
      </c>
      <c r="AA211" s="41">
        <v>0</v>
      </c>
      <c r="AC211" s="50">
        <v>210</v>
      </c>
      <c r="AD211" s="51">
        <f t="shared" si="51"/>
        <v>225012821</v>
      </c>
      <c r="AE211" s="51">
        <f t="shared" si="60"/>
        <v>62439099.888888888</v>
      </c>
      <c r="AF211" s="51">
        <f t="shared" si="52"/>
        <v>1</v>
      </c>
      <c r="AG211" s="55">
        <f t="shared" si="60"/>
        <v>0.22222222222222221</v>
      </c>
      <c r="AH211" s="29">
        <f>SUM($AF$2:AF211)</f>
        <v>122</v>
      </c>
      <c r="AI211" s="55">
        <f>SUM($AG$2:AG211)</f>
        <v>121.55555555555534</v>
      </c>
    </row>
    <row r="212" spans="1:35" x14ac:dyDescent="0.2">
      <c r="A212" s="48" t="s">
        <v>8845</v>
      </c>
      <c r="B212" s="29">
        <v>2</v>
      </c>
      <c r="C212" s="29">
        <v>3</v>
      </c>
      <c r="D212" s="29">
        <v>274</v>
      </c>
      <c r="E212" s="29">
        <v>1286</v>
      </c>
      <c r="F212" s="29">
        <v>5032</v>
      </c>
      <c r="G212" s="29">
        <v>1258</v>
      </c>
      <c r="H212" s="29">
        <v>23370</v>
      </c>
      <c r="I212" s="29">
        <v>1845</v>
      </c>
      <c r="J212" s="29">
        <v>25707000</v>
      </c>
      <c r="K212" s="29">
        <v>3681</v>
      </c>
      <c r="L212" s="29">
        <v>7276</v>
      </c>
      <c r="N212" s="33"/>
      <c r="O212" s="29">
        <f t="shared" si="61"/>
        <v>5478.5</v>
      </c>
      <c r="P212" s="31" cm="1">
        <f t="array" ref="P212">WPNFACTOR(C212)</f>
        <v>2.5</v>
      </c>
      <c r="Q212" s="33" cm="1">
        <f t="array" ref="Q212">HPFACTOr(C212)</f>
        <v>4</v>
      </c>
      <c r="R212" s="32">
        <f t="shared" si="62"/>
        <v>2191.4</v>
      </c>
      <c r="S212" s="33">
        <f t="shared" si="63"/>
        <v>6426750</v>
      </c>
      <c r="T212" s="32">
        <f t="shared" si="64"/>
        <v>2191.4</v>
      </c>
      <c r="U212" s="39">
        <f t="shared" si="65"/>
        <v>6426750</v>
      </c>
      <c r="V212" s="41">
        <f>VLOOKUP(D212,LevelXp!$A$1:'LevelXp'!$B$1000,2,)/5</f>
        <v>49325889</v>
      </c>
      <c r="W212" s="29">
        <f t="shared" si="66"/>
        <v>14083579950</v>
      </c>
      <c r="X212" s="32">
        <f t="shared" si="67"/>
        <v>107.08844508819504</v>
      </c>
      <c r="Y212" s="41">
        <v>243</v>
      </c>
      <c r="Z212" s="41">
        <v>49325889</v>
      </c>
      <c r="AA212" s="41">
        <v>0</v>
      </c>
      <c r="AC212" s="50">
        <v>211</v>
      </c>
      <c r="AD212" s="51">
        <f t="shared" si="51"/>
        <v>17581974</v>
      </c>
      <c r="AE212" s="51">
        <f t="shared" si="60"/>
        <v>39266624.111111112</v>
      </c>
      <c r="AF212" s="51">
        <f t="shared" si="52"/>
        <v>0</v>
      </c>
      <c r="AG212" s="55">
        <f t="shared" si="60"/>
        <v>0.1111111111111111</v>
      </c>
      <c r="AH212" s="29">
        <f>SUM($AF$2:AF212)</f>
        <v>122</v>
      </c>
      <c r="AI212" s="55">
        <f>SUM($AG$2:AG212)</f>
        <v>121.66666666666646</v>
      </c>
    </row>
    <row r="213" spans="1:35" x14ac:dyDescent="0.2">
      <c r="A213" s="48" t="s">
        <v>8853</v>
      </c>
      <c r="B213" s="29">
        <v>4</v>
      </c>
      <c r="C213" s="29">
        <v>1</v>
      </c>
      <c r="D213" s="29">
        <v>340</v>
      </c>
      <c r="E213" s="29">
        <v>13280</v>
      </c>
      <c r="F213" s="29">
        <v>4660</v>
      </c>
      <c r="G213" s="29">
        <v>4610</v>
      </c>
      <c r="H213" s="29">
        <v>12720</v>
      </c>
      <c r="I213" s="29">
        <v>3060</v>
      </c>
      <c r="J213" s="29">
        <v>21687600</v>
      </c>
      <c r="K213" s="29">
        <v>355</v>
      </c>
      <c r="L213" s="29">
        <v>594</v>
      </c>
      <c r="N213" s="33"/>
      <c r="O213" s="29">
        <f t="shared" si="61"/>
        <v>474.5</v>
      </c>
      <c r="P213" s="31" cm="1">
        <f t="array" ref="P213">WPNFACTOR(C213)</f>
        <v>2</v>
      </c>
      <c r="Q213" s="33" cm="1">
        <f t="array" ref="Q213">HPFACTOr(C213)</f>
        <v>5</v>
      </c>
      <c r="R213" s="32">
        <f t="shared" si="62"/>
        <v>237.25</v>
      </c>
      <c r="S213" s="33">
        <f t="shared" si="63"/>
        <v>4337520</v>
      </c>
      <c r="T213" s="32">
        <f t="shared" si="64"/>
        <v>237.25</v>
      </c>
      <c r="U213" s="39">
        <f t="shared" si="65"/>
        <v>4337520</v>
      </c>
      <c r="V213" s="41">
        <f>VLOOKUP(D213,LevelXp!$A$1:'LevelXp'!$B$1000,2,)/5</f>
        <v>143018630</v>
      </c>
      <c r="W213" s="29">
        <f t="shared" si="66"/>
        <v>1029076620</v>
      </c>
      <c r="X213" s="32">
        <f t="shared" si="67"/>
        <v>63.458462013403903</v>
      </c>
      <c r="Y213" s="41">
        <v>244</v>
      </c>
      <c r="Z213" s="41">
        <v>143018630</v>
      </c>
      <c r="AA213" s="41">
        <v>1</v>
      </c>
      <c r="AC213" s="50">
        <v>212</v>
      </c>
      <c r="AD213" s="51">
        <f t="shared" si="51"/>
        <v>0</v>
      </c>
      <c r="AE213" s="51">
        <f t="shared" si="60"/>
        <v>40563749.777777776</v>
      </c>
      <c r="AF213" s="51">
        <f t="shared" si="52"/>
        <v>0</v>
      </c>
      <c r="AG213" s="55">
        <f t="shared" si="60"/>
        <v>0.1111111111111111</v>
      </c>
      <c r="AH213" s="29">
        <f>SUM($AF$2:AF213)</f>
        <v>122</v>
      </c>
      <c r="AI213" s="55">
        <f>SUM($AG$2:AG213)</f>
        <v>121.77777777777757</v>
      </c>
    </row>
    <row r="214" spans="1:35" x14ac:dyDescent="0.2">
      <c r="A214" s="48" t="s">
        <v>8844</v>
      </c>
      <c r="B214" s="29">
        <v>10</v>
      </c>
      <c r="C214" s="29">
        <v>3</v>
      </c>
      <c r="D214" s="29">
        <v>270</v>
      </c>
      <c r="E214" s="29">
        <v>1287</v>
      </c>
      <c r="F214" s="29">
        <v>5067</v>
      </c>
      <c r="G214" s="29">
        <v>1266</v>
      </c>
      <c r="H214" s="29">
        <v>24673</v>
      </c>
      <c r="I214" s="29">
        <v>1869</v>
      </c>
      <c r="J214" s="29">
        <v>26745532</v>
      </c>
      <c r="K214" s="29">
        <v>3619</v>
      </c>
      <c r="L214" s="29">
        <v>7224</v>
      </c>
      <c r="N214" s="33"/>
      <c r="O214" s="29">
        <f t="shared" si="61"/>
        <v>5421.5</v>
      </c>
      <c r="P214" s="31" cm="1">
        <f t="array" ref="P214">WPNFACTOR(C214)</f>
        <v>2.5</v>
      </c>
      <c r="Q214" s="33" cm="1">
        <f t="array" ref="Q214">HPFACTOr(C214)</f>
        <v>4</v>
      </c>
      <c r="R214" s="32">
        <f t="shared" si="62"/>
        <v>2168.6</v>
      </c>
      <c r="S214" s="33">
        <f t="shared" si="63"/>
        <v>6686383</v>
      </c>
      <c r="T214" s="32">
        <f t="shared" si="64"/>
        <v>2168.6</v>
      </c>
      <c r="U214" s="39">
        <f t="shared" si="65"/>
        <v>6686383</v>
      </c>
      <c r="V214" s="41">
        <f>VLOOKUP(D214,LevelXp!$A$1:'LevelXp'!$B$1000,2,)/5</f>
        <v>45958126</v>
      </c>
      <c r="W214" s="29">
        <f t="shared" si="66"/>
        <v>14500090173.799999</v>
      </c>
      <c r="X214" s="32">
        <f t="shared" si="67"/>
        <v>107.71449275153476</v>
      </c>
      <c r="Y214" s="41">
        <v>245</v>
      </c>
      <c r="Z214" s="41">
        <v>45958126</v>
      </c>
      <c r="AA214" s="41">
        <v>0</v>
      </c>
      <c r="AC214" s="50">
        <v>213</v>
      </c>
      <c r="AD214" s="51">
        <f t="shared" si="51"/>
        <v>0</v>
      </c>
      <c r="AE214" s="51">
        <f t="shared" si="60"/>
        <v>58894988.666666664</v>
      </c>
      <c r="AF214" s="51">
        <f t="shared" si="52"/>
        <v>0</v>
      </c>
      <c r="AG214" s="55">
        <f t="shared" si="60"/>
        <v>0.22222222222222221</v>
      </c>
      <c r="AH214" s="29">
        <f>SUM($AF$2:AF214)</f>
        <v>122</v>
      </c>
      <c r="AI214" s="55">
        <f>SUM($AG$2:AG214)</f>
        <v>121.9999999999998</v>
      </c>
    </row>
    <row r="215" spans="1:35" x14ac:dyDescent="0.2">
      <c r="A215" s="48" t="s">
        <v>8845</v>
      </c>
      <c r="B215" s="29">
        <v>4</v>
      </c>
      <c r="C215" s="29">
        <v>3</v>
      </c>
      <c r="D215" s="29">
        <v>278</v>
      </c>
      <c r="E215" s="29">
        <v>1311</v>
      </c>
      <c r="F215" s="29">
        <v>5140</v>
      </c>
      <c r="G215" s="29">
        <v>1285</v>
      </c>
      <c r="H215" s="29">
        <v>24233</v>
      </c>
      <c r="I215" s="29">
        <v>1888</v>
      </c>
      <c r="J215" s="29">
        <v>27044028</v>
      </c>
      <c r="K215" s="29">
        <v>3740</v>
      </c>
      <c r="L215" s="29">
        <v>7390</v>
      </c>
      <c r="N215" s="33"/>
      <c r="O215" s="29">
        <f t="shared" si="61"/>
        <v>5565</v>
      </c>
      <c r="P215" s="31" cm="1">
        <f t="array" ref="P215">WPNFACTOR(C215)</f>
        <v>2.5</v>
      </c>
      <c r="Q215" s="33" cm="1">
        <f t="array" ref="Q215">HPFACTOr(C215)</f>
        <v>4</v>
      </c>
      <c r="R215" s="32">
        <f t="shared" si="62"/>
        <v>2226</v>
      </c>
      <c r="S215" s="33">
        <f t="shared" si="63"/>
        <v>6761007</v>
      </c>
      <c r="T215" s="32">
        <f t="shared" si="64"/>
        <v>2226</v>
      </c>
      <c r="U215" s="39">
        <f t="shared" si="65"/>
        <v>6761007</v>
      </c>
      <c r="V215" s="41">
        <f>VLOOKUP(D215,LevelXp!$A$1:'LevelXp'!$B$1000,2,)/5</f>
        <v>52896592</v>
      </c>
      <c r="W215" s="29">
        <f t="shared" si="66"/>
        <v>15050001582</v>
      </c>
      <c r="X215" s="32">
        <f t="shared" si="67"/>
        <v>108.51938131413574</v>
      </c>
      <c r="Y215" s="41">
        <v>245</v>
      </c>
      <c r="Z215" s="41">
        <v>52896592</v>
      </c>
      <c r="AA215" s="41">
        <v>0</v>
      </c>
      <c r="AC215" s="50">
        <v>214</v>
      </c>
      <c r="AD215" s="51">
        <f t="shared" si="51"/>
        <v>64740900</v>
      </c>
      <c r="AE215" s="51">
        <f t="shared" si="60"/>
        <v>66865305.777777776</v>
      </c>
      <c r="AF215" s="51">
        <f t="shared" si="52"/>
        <v>0</v>
      </c>
      <c r="AG215" s="55">
        <f t="shared" si="60"/>
        <v>0.22222222222222221</v>
      </c>
      <c r="AH215" s="29">
        <f>SUM($AF$2:AF215)</f>
        <v>122</v>
      </c>
      <c r="AI215" s="55">
        <f>SUM($AG$2:AG215)</f>
        <v>122.22222222222203</v>
      </c>
    </row>
    <row r="216" spans="1:35" x14ac:dyDescent="0.2">
      <c r="A216" s="48" t="s">
        <v>8859</v>
      </c>
      <c r="B216" s="29">
        <v>5</v>
      </c>
      <c r="C216" s="29">
        <v>3</v>
      </c>
      <c r="D216" s="29">
        <v>222</v>
      </c>
      <c r="E216" s="29">
        <v>3820</v>
      </c>
      <c r="F216" s="29">
        <v>7640</v>
      </c>
      <c r="G216" s="29">
        <v>3820</v>
      </c>
      <c r="H216" s="29">
        <v>16500</v>
      </c>
      <c r="I216" s="29">
        <v>3820</v>
      </c>
      <c r="J216" s="29">
        <v>34000000</v>
      </c>
      <c r="K216" s="29">
        <v>598</v>
      </c>
      <c r="L216" s="29">
        <v>837</v>
      </c>
      <c r="M216" s="29">
        <v>25</v>
      </c>
      <c r="N216" s="33">
        <v>25</v>
      </c>
      <c r="O216" s="29">
        <f t="shared" si="61"/>
        <v>717.5</v>
      </c>
      <c r="P216" s="31" cm="1">
        <f t="array" ref="P216">WPNFACTOR(C216)</f>
        <v>2.5</v>
      </c>
      <c r="Q216" s="33" cm="1">
        <f t="array" ref="Q216">HPFACTOr(C216)</f>
        <v>4</v>
      </c>
      <c r="R216" s="32">
        <f t="shared" si="62"/>
        <v>287</v>
      </c>
      <c r="S216" s="33">
        <f t="shared" si="63"/>
        <v>8500000</v>
      </c>
      <c r="T216" s="32">
        <f t="shared" si="64"/>
        <v>304.9375</v>
      </c>
      <c r="U216" s="39">
        <f t="shared" si="65"/>
        <v>9379310.3448275868</v>
      </c>
      <c r="V216" s="41">
        <f>VLOOKUP(D216,LevelXp!$A$1:'LevelXp'!$B$1000,2,)/5</f>
        <v>18327374</v>
      </c>
      <c r="W216" s="29">
        <f t="shared" si="66"/>
        <v>2860103448.2758622</v>
      </c>
      <c r="X216" s="32">
        <f t="shared" si="67"/>
        <v>77.85317853168992</v>
      </c>
      <c r="Y216" s="41">
        <v>246</v>
      </c>
      <c r="Z216" s="41">
        <v>18327374</v>
      </c>
      <c r="AA216" s="41">
        <v>1</v>
      </c>
      <c r="AC216" s="50">
        <v>215</v>
      </c>
      <c r="AD216" s="51">
        <f t="shared" si="51"/>
        <v>0</v>
      </c>
      <c r="AE216" s="51">
        <f t="shared" si="60"/>
        <v>43985889.555555552</v>
      </c>
      <c r="AF216" s="51">
        <f t="shared" si="52"/>
        <v>0</v>
      </c>
      <c r="AG216" s="55">
        <f t="shared" si="60"/>
        <v>0.1111111111111111</v>
      </c>
      <c r="AH216" s="29">
        <f>SUM($AF$2:AF216)</f>
        <v>122</v>
      </c>
      <c r="AI216" s="55">
        <f>SUM($AG$2:AG216)</f>
        <v>122.33333333333314</v>
      </c>
    </row>
    <row r="217" spans="1:35" x14ac:dyDescent="0.2">
      <c r="A217" s="48" t="s">
        <v>8855</v>
      </c>
      <c r="B217" s="29">
        <v>2</v>
      </c>
      <c r="C217" s="29">
        <v>1</v>
      </c>
      <c r="D217" s="29">
        <v>213</v>
      </c>
      <c r="E217" s="29">
        <v>8069</v>
      </c>
      <c r="F217" s="29">
        <v>1995</v>
      </c>
      <c r="G217" s="29">
        <v>2014</v>
      </c>
      <c r="H217" s="29">
        <v>36296</v>
      </c>
      <c r="I217" s="29">
        <v>3954</v>
      </c>
      <c r="J217" s="29">
        <v>38836720</v>
      </c>
      <c r="K217" s="29">
        <v>728</v>
      </c>
      <c r="L217" s="29">
        <v>1229</v>
      </c>
      <c r="N217" s="33"/>
      <c r="O217" s="29">
        <f t="shared" si="61"/>
        <v>978.5</v>
      </c>
      <c r="P217" s="31" cm="1">
        <f t="array" ref="P217">WPNFACTOR(C217)</f>
        <v>2</v>
      </c>
      <c r="Q217" s="33" cm="1">
        <f t="array" ref="Q217">HPFACTOr(C217)</f>
        <v>5</v>
      </c>
      <c r="R217" s="32">
        <f t="shared" si="62"/>
        <v>489.25</v>
      </c>
      <c r="S217" s="33">
        <f t="shared" si="63"/>
        <v>7767344</v>
      </c>
      <c r="T217" s="32">
        <f t="shared" si="64"/>
        <v>489.25</v>
      </c>
      <c r="U217" s="39">
        <f t="shared" si="65"/>
        <v>7767344</v>
      </c>
      <c r="V217" s="41">
        <f>VLOOKUP(D217,LevelXp!$A$1:'LevelXp'!$B$1000,2,)/5</f>
        <v>15166093</v>
      </c>
      <c r="W217" s="29">
        <f t="shared" si="66"/>
        <v>3800173052</v>
      </c>
      <c r="X217" s="32">
        <f t="shared" si="67"/>
        <v>82.406349297515064</v>
      </c>
      <c r="Y217" s="41">
        <v>246</v>
      </c>
      <c r="Z217" s="41">
        <v>15166093</v>
      </c>
      <c r="AA217" s="41">
        <v>1</v>
      </c>
      <c r="AC217" s="50">
        <v>216</v>
      </c>
      <c r="AD217" s="51">
        <f t="shared" si="51"/>
        <v>27840728</v>
      </c>
      <c r="AE217" s="51">
        <f t="shared" si="60"/>
        <v>42032336.888888888</v>
      </c>
      <c r="AF217" s="51">
        <f t="shared" si="52"/>
        <v>0</v>
      </c>
      <c r="AG217" s="55">
        <f t="shared" si="60"/>
        <v>0.1111111111111111</v>
      </c>
      <c r="AH217" s="29">
        <f>SUM($AF$2:AF217)</f>
        <v>122</v>
      </c>
      <c r="AI217" s="55">
        <f>SUM($AG$2:AG217)</f>
        <v>122.44444444444426</v>
      </c>
    </row>
    <row r="218" spans="1:35" x14ac:dyDescent="0.2">
      <c r="A218" s="48" t="s">
        <v>2937</v>
      </c>
      <c r="B218" s="29">
        <v>250</v>
      </c>
      <c r="N218" s="33"/>
      <c r="Q218" s="33"/>
      <c r="S218" s="33"/>
      <c r="U218" s="39"/>
      <c r="V218" s="41">
        <f>VLOOKUP(B218,LevelXp!$D$1:'LevelXp'!$F$1000,3,)</f>
        <v>104704211</v>
      </c>
      <c r="Y218" s="41">
        <v>246</v>
      </c>
      <c r="Z218" s="41">
        <v>104704211</v>
      </c>
      <c r="AA218" s="41">
        <v>0</v>
      </c>
      <c r="AC218" s="50">
        <v>217</v>
      </c>
      <c r="AD218" s="51">
        <f t="shared" si="51"/>
        <v>178017293</v>
      </c>
      <c r="AE218" s="51">
        <f t="shared" si="60"/>
        <v>63277095.111111112</v>
      </c>
      <c r="AF218" s="51">
        <f t="shared" si="52"/>
        <v>1</v>
      </c>
      <c r="AG218" s="55">
        <f t="shared" si="60"/>
        <v>0.22222222222222221</v>
      </c>
      <c r="AH218" s="29">
        <f>SUM($AF$2:AF218)</f>
        <v>123</v>
      </c>
      <c r="AI218" s="55">
        <f>SUM($AG$2:AG218)</f>
        <v>122.66666666666649</v>
      </c>
    </row>
    <row r="219" spans="1:35" x14ac:dyDescent="0.2">
      <c r="A219" s="48" t="s">
        <v>8855</v>
      </c>
      <c r="B219" s="29">
        <v>3</v>
      </c>
      <c r="C219" s="29">
        <v>2</v>
      </c>
      <c r="D219" s="29">
        <v>228</v>
      </c>
      <c r="E219" s="29">
        <v>1333</v>
      </c>
      <c r="F219" s="29">
        <v>1333</v>
      </c>
      <c r="G219" s="29">
        <v>9709</v>
      </c>
      <c r="H219" s="29">
        <v>37840</v>
      </c>
      <c r="I219" s="29">
        <v>4128</v>
      </c>
      <c r="J219" s="29">
        <v>17330720</v>
      </c>
      <c r="K219" s="29">
        <v>1752</v>
      </c>
      <c r="L219" s="29">
        <v>2959</v>
      </c>
      <c r="N219" s="33"/>
      <c r="O219" s="29">
        <f t="shared" ref="O219:O225" si="68">AVERAGE(K219, L219)</f>
        <v>2355.5</v>
      </c>
      <c r="P219" s="31" cm="1">
        <f t="array" ref="P219">WPNFACTOR(C219)</f>
        <v>4.5</v>
      </c>
      <c r="Q219" s="33" cm="1">
        <f t="array" ref="Q219">HPFACTOr(C219)</f>
        <v>2</v>
      </c>
      <c r="R219" s="32">
        <f t="shared" ref="R219:R225" si="69">O219/P219</f>
        <v>523.44444444444446</v>
      </c>
      <c r="S219" s="33">
        <f t="shared" ref="S219:S225" si="70">J219/Q219</f>
        <v>8665360</v>
      </c>
      <c r="T219" s="32">
        <f t="shared" ref="T219:T225" si="71">R219*(1 + (N219/400))</f>
        <v>523.44444444444446</v>
      </c>
      <c r="U219" s="39">
        <f t="shared" ref="U219:U225" si="72">S219*1.6/(1 + (0.6*(1 - (M219/100))))</f>
        <v>8665360</v>
      </c>
      <c r="V219" s="41">
        <f>VLOOKUP(D219,LevelXp!$A$1:'LevelXp'!$B$1000,2,)/5</f>
        <v>20723258</v>
      </c>
      <c r="W219" s="29">
        <f t="shared" ref="W219:W225" si="73">T219*U219</f>
        <v>4535834551.1111116</v>
      </c>
      <c r="X219" s="32">
        <f t="shared" ref="X219:X225" si="74">POWER(W219, 1/$X$1)</f>
        <v>85.375142382210711</v>
      </c>
      <c r="Y219" s="41">
        <v>247</v>
      </c>
      <c r="Z219" s="41">
        <v>20723258</v>
      </c>
      <c r="AA219" s="41">
        <v>1</v>
      </c>
      <c r="AC219" s="50">
        <v>218</v>
      </c>
      <c r="AD219" s="51">
        <f t="shared" si="51"/>
        <v>88594036</v>
      </c>
      <c r="AE219" s="51">
        <f t="shared" si="60"/>
        <v>82773448.333333328</v>
      </c>
      <c r="AF219" s="51">
        <f t="shared" si="52"/>
        <v>0</v>
      </c>
      <c r="AG219" s="55">
        <f t="shared" si="60"/>
        <v>0.22222222222222221</v>
      </c>
      <c r="AH219" s="29">
        <f>SUM($AF$2:AF219)</f>
        <v>123</v>
      </c>
      <c r="AI219" s="55">
        <f>SUM($AG$2:AG219)</f>
        <v>122.88888888888872</v>
      </c>
    </row>
    <row r="220" spans="1:35" x14ac:dyDescent="0.2">
      <c r="A220" s="48" t="s">
        <v>8853</v>
      </c>
      <c r="B220" s="29">
        <v>5</v>
      </c>
      <c r="C220" s="29">
        <v>1</v>
      </c>
      <c r="D220" s="29">
        <v>350</v>
      </c>
      <c r="E220" s="29">
        <v>13680</v>
      </c>
      <c r="F220" s="29">
        <v>4800</v>
      </c>
      <c r="G220" s="29">
        <v>4750</v>
      </c>
      <c r="H220" s="29">
        <v>13120</v>
      </c>
      <c r="I220" s="29">
        <v>3140</v>
      </c>
      <c r="J220" s="29">
        <v>23025600</v>
      </c>
      <c r="K220" s="29">
        <v>365</v>
      </c>
      <c r="L220" s="29">
        <v>624</v>
      </c>
      <c r="N220" s="33"/>
      <c r="O220" s="29">
        <f t="shared" si="68"/>
        <v>494.5</v>
      </c>
      <c r="P220" s="31" cm="1">
        <f t="array" ref="P220">WPNFACTOR(C220)</f>
        <v>2</v>
      </c>
      <c r="Q220" s="33" cm="1">
        <f t="array" ref="Q220">HPFACTOr(C220)</f>
        <v>5</v>
      </c>
      <c r="R220" s="32">
        <f t="shared" si="69"/>
        <v>247.25</v>
      </c>
      <c r="S220" s="33">
        <f t="shared" si="70"/>
        <v>4605120</v>
      </c>
      <c r="T220" s="32">
        <f t="shared" si="71"/>
        <v>247.25</v>
      </c>
      <c r="U220" s="39">
        <f t="shared" si="72"/>
        <v>4605120</v>
      </c>
      <c r="V220" s="41">
        <f>VLOOKUP(D220,LevelXp!$A$1:'LevelXp'!$B$1000,2,)/5</f>
        <v>165631756</v>
      </c>
      <c r="W220" s="29">
        <f t="shared" si="73"/>
        <v>1138615920</v>
      </c>
      <c r="X220" s="32">
        <f t="shared" si="74"/>
        <v>64.755319477208943</v>
      </c>
      <c r="Y220" s="41">
        <v>247</v>
      </c>
      <c r="Z220" s="41">
        <v>165631756</v>
      </c>
      <c r="AA220" s="41">
        <v>1</v>
      </c>
      <c r="AC220" s="50">
        <v>219</v>
      </c>
      <c r="AD220" s="51">
        <f t="shared" si="51"/>
        <v>19098075</v>
      </c>
      <c r="AE220" s="51">
        <f t="shared" si="60"/>
        <v>82490823.555555552</v>
      </c>
      <c r="AF220" s="51">
        <f t="shared" si="52"/>
        <v>0</v>
      </c>
      <c r="AG220" s="55">
        <f t="shared" si="60"/>
        <v>0.22222222222222221</v>
      </c>
      <c r="AH220" s="29">
        <f>SUM($AF$2:AF220)</f>
        <v>123</v>
      </c>
      <c r="AI220" s="55">
        <f>SUM($AG$2:AG220)</f>
        <v>123.11111111111094</v>
      </c>
    </row>
    <row r="221" spans="1:35" x14ac:dyDescent="0.2">
      <c r="A221" s="48" t="s">
        <v>8845</v>
      </c>
      <c r="B221" s="29">
        <v>5</v>
      </c>
      <c r="C221" s="29">
        <v>3</v>
      </c>
      <c r="D221" s="29">
        <v>280</v>
      </c>
      <c r="E221" s="29">
        <v>1328</v>
      </c>
      <c r="F221" s="29">
        <v>5220</v>
      </c>
      <c r="G221" s="29">
        <v>1305</v>
      </c>
      <c r="H221" s="29">
        <v>25052</v>
      </c>
      <c r="I221" s="29">
        <v>1922</v>
      </c>
      <c r="J221" s="29">
        <v>28158448</v>
      </c>
      <c r="K221" s="29">
        <v>3747</v>
      </c>
      <c r="L221" s="29">
        <v>7490</v>
      </c>
      <c r="N221" s="33"/>
      <c r="O221" s="29">
        <f t="shared" si="68"/>
        <v>5618.5</v>
      </c>
      <c r="P221" s="31" cm="1">
        <f t="array" ref="P221">WPNFACTOR(C221)</f>
        <v>2.5</v>
      </c>
      <c r="Q221" s="33" cm="1">
        <f t="array" ref="Q221">HPFACTOr(C221)</f>
        <v>4</v>
      </c>
      <c r="R221" s="32">
        <f t="shared" si="69"/>
        <v>2247.4</v>
      </c>
      <c r="S221" s="33">
        <f t="shared" si="70"/>
        <v>7039612</v>
      </c>
      <c r="T221" s="32">
        <f t="shared" si="71"/>
        <v>2247.4</v>
      </c>
      <c r="U221" s="39">
        <f t="shared" si="72"/>
        <v>7039612</v>
      </c>
      <c r="V221" s="41">
        <f>VLOOKUP(D221,LevelXp!$A$1:'LevelXp'!$B$1000,2,)/5</f>
        <v>54764113</v>
      </c>
      <c r="W221" s="29">
        <f t="shared" si="73"/>
        <v>15820824008.800001</v>
      </c>
      <c r="X221" s="32">
        <f t="shared" si="74"/>
        <v>109.60890014183283</v>
      </c>
      <c r="Y221" s="41">
        <v>247</v>
      </c>
      <c r="Z221" s="41">
        <v>54764113</v>
      </c>
      <c r="AA221" s="41">
        <v>0</v>
      </c>
      <c r="AC221" s="50">
        <v>220</v>
      </c>
      <c r="AD221" s="51">
        <f t="shared" si="51"/>
        <v>0</v>
      </c>
      <c r="AE221" s="51">
        <f t="shared" si="60"/>
        <v>82490823.555555552</v>
      </c>
      <c r="AF221" s="51">
        <f t="shared" si="52"/>
        <v>0</v>
      </c>
      <c r="AG221" s="55">
        <f t="shared" si="60"/>
        <v>0.22222222222222221</v>
      </c>
      <c r="AH221" s="29">
        <f>SUM($AF$2:AF221)</f>
        <v>123</v>
      </c>
      <c r="AI221" s="55">
        <f>SUM($AG$2:AG221)</f>
        <v>123.33333333333317</v>
      </c>
    </row>
    <row r="222" spans="1:35" x14ac:dyDescent="0.2">
      <c r="A222" s="48" t="s">
        <v>8845</v>
      </c>
      <c r="B222" s="29">
        <v>6</v>
      </c>
      <c r="C222" s="29">
        <v>1</v>
      </c>
      <c r="D222" s="29">
        <v>282</v>
      </c>
      <c r="E222" s="29">
        <v>5276</v>
      </c>
      <c r="F222" s="29">
        <v>1796</v>
      </c>
      <c r="G222" s="29">
        <v>1739</v>
      </c>
      <c r="H222" s="29">
        <v>25514</v>
      </c>
      <c r="I222" s="29">
        <v>1387</v>
      </c>
      <c r="J222" s="29">
        <v>36102312</v>
      </c>
      <c r="K222" s="29">
        <v>3031</v>
      </c>
      <c r="L222" s="29">
        <v>6009</v>
      </c>
      <c r="N222" s="33"/>
      <c r="O222" s="29">
        <f t="shared" si="68"/>
        <v>4520</v>
      </c>
      <c r="P222" s="31" cm="1">
        <f t="array" ref="P222">WPNFACTOR(C222)</f>
        <v>2</v>
      </c>
      <c r="Q222" s="33" cm="1">
        <f t="array" ref="Q222">HPFACTOr(C222)</f>
        <v>5</v>
      </c>
      <c r="R222" s="32">
        <f t="shared" si="69"/>
        <v>2260</v>
      </c>
      <c r="S222" s="33">
        <f t="shared" si="70"/>
        <v>7220462.4000000004</v>
      </c>
      <c r="T222" s="32">
        <f t="shared" si="71"/>
        <v>2260</v>
      </c>
      <c r="U222" s="39">
        <f t="shared" si="72"/>
        <v>7220462.4000000004</v>
      </c>
      <c r="V222" s="41">
        <f>VLOOKUP(D222,LevelXp!$A$1:'LevelXp'!$B$1000,2,)/5</f>
        <v>56685021</v>
      </c>
      <c r="W222" s="29">
        <f t="shared" si="73"/>
        <v>16318245024</v>
      </c>
      <c r="X222" s="32">
        <f t="shared" si="74"/>
        <v>110.28963259849739</v>
      </c>
      <c r="Y222" s="41">
        <v>248</v>
      </c>
      <c r="Z222" s="41">
        <v>56685021</v>
      </c>
      <c r="AA222" s="41">
        <v>0</v>
      </c>
      <c r="AC222" s="50">
        <v>221</v>
      </c>
      <c r="AD222" s="51">
        <f t="shared" si="51"/>
        <v>191202824</v>
      </c>
      <c r="AE222" s="51">
        <f t="shared" si="60"/>
        <v>102194188.77777778</v>
      </c>
      <c r="AF222" s="51">
        <f t="shared" si="52"/>
        <v>1</v>
      </c>
      <c r="AG222" s="55">
        <f t="shared" si="60"/>
        <v>0.33333333333333331</v>
      </c>
      <c r="AH222" s="29">
        <f>SUM($AF$2:AF222)</f>
        <v>124</v>
      </c>
      <c r="AI222" s="55">
        <f>SUM($AG$2:AG222)</f>
        <v>123.6666666666665</v>
      </c>
    </row>
    <row r="223" spans="1:35" x14ac:dyDescent="0.2">
      <c r="A223" s="48" t="s">
        <v>8853</v>
      </c>
      <c r="B223" s="29">
        <v>6</v>
      </c>
      <c r="C223" s="29">
        <v>2</v>
      </c>
      <c r="D223" s="29">
        <v>360</v>
      </c>
      <c r="E223" s="29">
        <v>5910</v>
      </c>
      <c r="F223" s="29">
        <v>5970</v>
      </c>
      <c r="G223" s="29">
        <v>24000</v>
      </c>
      <c r="H223" s="29">
        <v>22680</v>
      </c>
      <c r="I223" s="29">
        <v>8514</v>
      </c>
      <c r="J223" s="29">
        <v>16374960</v>
      </c>
      <c r="K223" s="29">
        <v>867</v>
      </c>
      <c r="L223" s="29">
        <v>1842</v>
      </c>
      <c r="N223" s="33"/>
      <c r="O223" s="29">
        <f t="shared" si="68"/>
        <v>1354.5</v>
      </c>
      <c r="P223" s="31" cm="1">
        <f t="array" ref="P223">WPNFACTOR(C223)</f>
        <v>4.5</v>
      </c>
      <c r="Q223" s="33" cm="1">
        <f t="array" ref="Q223">HPFACTOr(C223)</f>
        <v>2</v>
      </c>
      <c r="R223" s="32">
        <f t="shared" si="69"/>
        <v>301</v>
      </c>
      <c r="S223" s="33">
        <f t="shared" si="70"/>
        <v>8187480</v>
      </c>
      <c r="T223" s="32">
        <f t="shared" si="71"/>
        <v>301</v>
      </c>
      <c r="U223" s="39">
        <f t="shared" si="72"/>
        <v>8187480</v>
      </c>
      <c r="V223" s="41">
        <f>VLOOKUP(D223,LevelXp!$A$1:'LevelXp'!$B$1000,2,)/5</f>
        <v>191202824</v>
      </c>
      <c r="W223" s="29">
        <f t="shared" si="73"/>
        <v>2464431480</v>
      </c>
      <c r="X223" s="32">
        <f t="shared" si="74"/>
        <v>75.568943323568888</v>
      </c>
      <c r="Y223" s="41">
        <v>249</v>
      </c>
      <c r="Z223" s="41">
        <v>191202824</v>
      </c>
      <c r="AA223" s="41">
        <v>1</v>
      </c>
      <c r="AC223" s="50">
        <v>222</v>
      </c>
      <c r="AD223" s="51">
        <f t="shared" si="51"/>
        <v>175467179</v>
      </c>
      <c r="AE223" s="51">
        <f t="shared" si="60"/>
        <v>92970489.888888896</v>
      </c>
      <c r="AF223" s="51">
        <f t="shared" si="52"/>
        <v>0</v>
      </c>
      <c r="AG223" s="55">
        <f t="shared" si="60"/>
        <v>0.33333333333333331</v>
      </c>
      <c r="AH223" s="29">
        <f>SUM($AF$2:AF223)</f>
        <v>124</v>
      </c>
      <c r="AI223" s="55">
        <f>SUM($AG$2:AG223)</f>
        <v>123.99999999999983</v>
      </c>
    </row>
    <row r="224" spans="1:35" x14ac:dyDescent="0.2">
      <c r="A224" s="48" t="s">
        <v>8846</v>
      </c>
      <c r="B224" s="29">
        <v>1</v>
      </c>
      <c r="C224" s="29">
        <v>3</v>
      </c>
      <c r="D224" s="29">
        <v>292</v>
      </c>
      <c r="E224" s="29">
        <v>1381</v>
      </c>
      <c r="F224" s="29">
        <v>5422</v>
      </c>
      <c r="G224" s="29">
        <v>1355</v>
      </c>
      <c r="H224" s="29">
        <v>25806</v>
      </c>
      <c r="I224" s="29">
        <v>1994</v>
      </c>
      <c r="J224" s="29">
        <v>30244632</v>
      </c>
      <c r="K224" s="29">
        <v>3908</v>
      </c>
      <c r="L224" s="29">
        <v>7812</v>
      </c>
      <c r="N224" s="33"/>
      <c r="O224" s="29">
        <f t="shared" si="68"/>
        <v>5860</v>
      </c>
      <c r="P224" s="31" cm="1">
        <f t="array" ref="P224">WPNFACTOR(C224)</f>
        <v>2.5</v>
      </c>
      <c r="Q224" s="33" cm="1">
        <f t="array" ref="Q224">HPFACTOr(C224)</f>
        <v>4</v>
      </c>
      <c r="R224" s="32">
        <f t="shared" si="69"/>
        <v>2344</v>
      </c>
      <c r="S224" s="33">
        <f t="shared" si="70"/>
        <v>7561158</v>
      </c>
      <c r="T224" s="32">
        <f t="shared" si="71"/>
        <v>2344</v>
      </c>
      <c r="U224" s="39">
        <f t="shared" si="72"/>
        <v>7561158</v>
      </c>
      <c r="V224" s="41">
        <f>VLOOKUP(D224,LevelXp!$A$1:'LevelXp'!$B$1000,2,)/5</f>
        <v>67159972</v>
      </c>
      <c r="W224" s="29">
        <f t="shared" si="73"/>
        <v>17723354352</v>
      </c>
      <c r="X224" s="32">
        <f t="shared" si="74"/>
        <v>112.12673705016452</v>
      </c>
      <c r="Y224" s="41">
        <v>250</v>
      </c>
      <c r="Z224" s="41">
        <v>67159972</v>
      </c>
      <c r="AA224" s="41">
        <v>0</v>
      </c>
      <c r="AC224" s="50">
        <v>223</v>
      </c>
      <c r="AD224" s="51">
        <f t="shared" si="51"/>
        <v>62197277</v>
      </c>
      <c r="AE224" s="51">
        <f t="shared" si="60"/>
        <v>107574844.77777778</v>
      </c>
      <c r="AF224" s="51">
        <f t="shared" si="52"/>
        <v>0</v>
      </c>
      <c r="AG224" s="55">
        <f t="shared" si="60"/>
        <v>0.44444444444444442</v>
      </c>
      <c r="AH224" s="29">
        <f>SUM($AF$2:AF224)</f>
        <v>124</v>
      </c>
      <c r="AI224" s="55">
        <f>SUM($AG$2:AG224)</f>
        <v>124.44444444444427</v>
      </c>
    </row>
    <row r="225" spans="1:35" x14ac:dyDescent="0.2">
      <c r="A225" s="48" t="s">
        <v>8846</v>
      </c>
      <c r="B225" s="29">
        <v>2</v>
      </c>
      <c r="C225" s="29">
        <v>3</v>
      </c>
      <c r="D225" s="29">
        <v>294</v>
      </c>
      <c r="E225" s="29">
        <v>1393</v>
      </c>
      <c r="F225" s="29">
        <v>5474</v>
      </c>
      <c r="G225" s="29">
        <v>1368</v>
      </c>
      <c r="H225" s="29">
        <v>26202</v>
      </c>
      <c r="I225" s="29">
        <v>2014</v>
      </c>
      <c r="J225" s="29">
        <v>30918360</v>
      </c>
      <c r="K225" s="29">
        <v>3935</v>
      </c>
      <c r="L225" s="29">
        <v>7864</v>
      </c>
      <c r="N225" s="33"/>
      <c r="O225" s="29">
        <f t="shared" si="68"/>
        <v>5899.5</v>
      </c>
      <c r="P225" s="31" cm="1">
        <f t="array" ref="P225">WPNFACTOR(C225)</f>
        <v>2.5</v>
      </c>
      <c r="Q225" s="33" cm="1">
        <f t="array" ref="Q225">HPFACTOr(C225)</f>
        <v>4</v>
      </c>
      <c r="R225" s="32">
        <f t="shared" si="69"/>
        <v>2359.8000000000002</v>
      </c>
      <c r="S225" s="33">
        <f t="shared" si="70"/>
        <v>7729590</v>
      </c>
      <c r="T225" s="32">
        <f t="shared" si="71"/>
        <v>2359.8000000000002</v>
      </c>
      <c r="U225" s="39">
        <f t="shared" si="72"/>
        <v>7729590</v>
      </c>
      <c r="V225" s="41">
        <f>VLOOKUP(D225,LevelXp!$A$1:'LevelXp'!$B$1000,2,)/5</f>
        <v>69438784</v>
      </c>
      <c r="W225" s="29">
        <f t="shared" si="73"/>
        <v>18240286482</v>
      </c>
      <c r="X225" s="32">
        <f t="shared" si="74"/>
        <v>112.77331089682464</v>
      </c>
      <c r="Y225" s="41">
        <v>250</v>
      </c>
      <c r="Z225" s="41">
        <v>69438784</v>
      </c>
      <c r="AA225" s="41">
        <v>0</v>
      </c>
      <c r="AC225" s="50">
        <v>224</v>
      </c>
      <c r="AD225" s="51">
        <f t="shared" si="51"/>
        <v>0</v>
      </c>
      <c r="AE225" s="51">
        <f t="shared" si="60"/>
        <v>105452836.44444445</v>
      </c>
      <c r="AF225" s="51">
        <f t="shared" si="52"/>
        <v>0</v>
      </c>
      <c r="AG225" s="55">
        <f t="shared" si="60"/>
        <v>0.44444444444444442</v>
      </c>
      <c r="AH225" s="29">
        <f>SUM($AF$2:AF225)</f>
        <v>124</v>
      </c>
      <c r="AI225" s="55">
        <f>SUM($AG$2:AG225)</f>
        <v>124.88888888888872</v>
      </c>
    </row>
    <row r="226" spans="1:35" x14ac:dyDescent="0.2">
      <c r="A226" s="48" t="s">
        <v>2937</v>
      </c>
      <c r="B226" s="29">
        <v>260</v>
      </c>
      <c r="N226" s="33"/>
      <c r="Q226" s="33"/>
      <c r="S226" s="33"/>
      <c r="U226" s="39"/>
      <c r="V226" s="41">
        <f>VLOOKUP(B226,LevelXp!$D$1:'LevelXp'!$F$1000,3,)</f>
        <v>110209564</v>
      </c>
      <c r="Y226" s="41">
        <v>250</v>
      </c>
      <c r="Z226" s="41">
        <v>110209564</v>
      </c>
      <c r="AA226" s="41">
        <v>0</v>
      </c>
      <c r="AC226" s="50">
        <v>225</v>
      </c>
      <c r="AD226" s="51">
        <f t="shared" si="51"/>
        <v>205171015</v>
      </c>
      <c r="AE226" s="51">
        <f t="shared" si="60"/>
        <v>115829601.55555555</v>
      </c>
      <c r="AF226" s="51">
        <f t="shared" si="52"/>
        <v>1</v>
      </c>
      <c r="AG226" s="55">
        <f t="shared" si="60"/>
        <v>0.55555555555555558</v>
      </c>
      <c r="AH226" s="29">
        <f>SUM($AF$2:AF226)</f>
        <v>125</v>
      </c>
      <c r="AI226" s="55">
        <f>SUM($AG$2:AG226)</f>
        <v>125.44444444444427</v>
      </c>
    </row>
    <row r="227" spans="1:35" x14ac:dyDescent="0.2">
      <c r="A227" s="48" t="s">
        <v>8846</v>
      </c>
      <c r="B227" s="29">
        <v>3</v>
      </c>
      <c r="C227" s="29">
        <v>2</v>
      </c>
      <c r="D227" s="29">
        <v>296</v>
      </c>
      <c r="E227" s="29">
        <v>1356</v>
      </c>
      <c r="F227" s="29">
        <v>1406</v>
      </c>
      <c r="G227" s="29">
        <v>5722</v>
      </c>
      <c r="H227" s="29">
        <v>25504</v>
      </c>
      <c r="I227" s="29">
        <v>2022</v>
      </c>
      <c r="J227" s="29">
        <v>15149376</v>
      </c>
      <c r="K227" s="29">
        <v>7161</v>
      </c>
      <c r="L227" s="29">
        <v>14254</v>
      </c>
      <c r="N227" s="33"/>
      <c r="O227" s="29">
        <f t="shared" ref="O227:O235" si="75">AVERAGE(K227, L227)</f>
        <v>10707.5</v>
      </c>
      <c r="P227" s="31" cm="1">
        <f t="array" ref="P227">WPNFACTOR(C227)</f>
        <v>4.5</v>
      </c>
      <c r="Q227" s="33" cm="1">
        <f t="array" ref="Q227">HPFACTOr(C227)</f>
        <v>2</v>
      </c>
      <c r="R227" s="32">
        <f t="shared" ref="R227:R235" si="76">O227/P227</f>
        <v>2379.4444444444443</v>
      </c>
      <c r="S227" s="33">
        <f t="shared" ref="S227:S235" si="77">J227/Q227</f>
        <v>7574688</v>
      </c>
      <c r="T227" s="32">
        <f t="shared" ref="T227:T235" si="78">R227*(1 + (N227/400))</f>
        <v>2379.4444444444443</v>
      </c>
      <c r="U227" s="39">
        <f t="shared" ref="U227:U235" si="79">S227*1.6/(1 + (0.6*(1 - (M227/100))))</f>
        <v>7574688</v>
      </c>
      <c r="V227" s="41">
        <f>VLOOKUP(D227,LevelXp!$A$1:'LevelXp'!$B$1000,2,)/5</f>
        <v>71780394</v>
      </c>
      <c r="W227" s="29">
        <f t="shared" ref="W227:W235" si="80">T227*U227</f>
        <v>18023549280</v>
      </c>
      <c r="X227" s="32">
        <f t="shared" ref="X227:X235" si="81">POWER(W227, 1/$X$1)</f>
        <v>112.50402588191187</v>
      </c>
      <c r="Y227" s="41">
        <v>251</v>
      </c>
      <c r="Z227" s="41">
        <v>71780394</v>
      </c>
      <c r="AA227" s="41">
        <v>0</v>
      </c>
      <c r="AC227" s="50">
        <v>226</v>
      </c>
      <c r="AD227" s="51">
        <f t="shared" si="51"/>
        <v>95004003</v>
      </c>
      <c r="AE227" s="51">
        <f t="shared" si="60"/>
        <v>112806290</v>
      </c>
      <c r="AF227" s="51">
        <f t="shared" si="52"/>
        <v>1</v>
      </c>
      <c r="AG227" s="55">
        <f t="shared" si="60"/>
        <v>0.55555555555555558</v>
      </c>
      <c r="AH227" s="29">
        <f>SUM($AF$2:AF227)</f>
        <v>126</v>
      </c>
      <c r="AI227" s="55">
        <f>SUM($AG$2:AG227)</f>
        <v>125.99999999999983</v>
      </c>
    </row>
    <row r="228" spans="1:35" x14ac:dyDescent="0.2">
      <c r="A228" s="48" t="s">
        <v>8846</v>
      </c>
      <c r="B228" s="29">
        <v>4</v>
      </c>
      <c r="C228" s="29">
        <v>1</v>
      </c>
      <c r="D228" s="29">
        <v>298</v>
      </c>
      <c r="E228" s="29">
        <v>5581</v>
      </c>
      <c r="F228" s="29">
        <v>1903</v>
      </c>
      <c r="G228" s="29">
        <v>1844</v>
      </c>
      <c r="H228" s="29">
        <v>27054</v>
      </c>
      <c r="I228" s="29">
        <v>1466</v>
      </c>
      <c r="J228" s="29">
        <v>40445728</v>
      </c>
      <c r="K228" s="29">
        <v>3190</v>
      </c>
      <c r="L228" s="29">
        <v>6377</v>
      </c>
      <c r="N228" s="33"/>
      <c r="O228" s="29">
        <f t="shared" si="75"/>
        <v>4783.5</v>
      </c>
      <c r="P228" s="31" cm="1">
        <f t="array" ref="P228">WPNFACTOR(C228)</f>
        <v>2</v>
      </c>
      <c r="Q228" s="33" cm="1">
        <f t="array" ref="Q228">HPFACTOr(C228)</f>
        <v>5</v>
      </c>
      <c r="R228" s="32">
        <f t="shared" si="76"/>
        <v>2391.75</v>
      </c>
      <c r="S228" s="33">
        <f t="shared" si="77"/>
        <v>8089145.5999999996</v>
      </c>
      <c r="T228" s="32">
        <f t="shared" si="78"/>
        <v>2391.75</v>
      </c>
      <c r="U228" s="39">
        <f t="shared" si="79"/>
        <v>8089145.6000000006</v>
      </c>
      <c r="V228" s="41">
        <f>VLOOKUP(D228,LevelXp!$A$1:'LevelXp'!$B$1000,2,)/5</f>
        <v>74191870</v>
      </c>
      <c r="W228" s="29">
        <f t="shared" si="80"/>
        <v>19347213988.800003</v>
      </c>
      <c r="X228" s="32">
        <f t="shared" si="81"/>
        <v>114.10999518264525</v>
      </c>
      <c r="Y228" s="41">
        <v>251</v>
      </c>
      <c r="Z228" s="41">
        <v>74191870</v>
      </c>
      <c r="AA228" s="41">
        <v>0</v>
      </c>
      <c r="AC228" s="50">
        <v>227</v>
      </c>
      <c r="AD228" s="51">
        <f t="shared" si="51"/>
        <v>220033230</v>
      </c>
      <c r="AE228" s="51">
        <f t="shared" si="60"/>
        <v>97125906.666666672</v>
      </c>
      <c r="AF228" s="51">
        <f t="shared" si="52"/>
        <v>1</v>
      </c>
      <c r="AG228" s="55">
        <f t="shared" si="60"/>
        <v>0.55555555555555558</v>
      </c>
      <c r="AH228" s="29">
        <f>SUM($AF$2:AF228)</f>
        <v>127</v>
      </c>
      <c r="AI228" s="55">
        <f>SUM($AG$2:AG228)</f>
        <v>126.55555555555539</v>
      </c>
    </row>
    <row r="229" spans="1:35" x14ac:dyDescent="0.2">
      <c r="A229" s="48" t="s">
        <v>8859</v>
      </c>
      <c r="B229" s="29">
        <v>6</v>
      </c>
      <c r="C229" s="29">
        <v>3</v>
      </c>
      <c r="D229" s="29">
        <v>225</v>
      </c>
      <c r="E229" s="29">
        <v>4000</v>
      </c>
      <c r="F229" s="29">
        <v>8000</v>
      </c>
      <c r="G229" s="29">
        <v>4000</v>
      </c>
      <c r="H229" s="29">
        <v>18000</v>
      </c>
      <c r="I229" s="29">
        <v>4000</v>
      </c>
      <c r="J229" s="29">
        <v>38500000</v>
      </c>
      <c r="K229" s="29">
        <v>601</v>
      </c>
      <c r="L229" s="29">
        <v>850</v>
      </c>
      <c r="M229" s="29">
        <v>25</v>
      </c>
      <c r="N229" s="33">
        <v>25</v>
      </c>
      <c r="O229" s="29">
        <f t="shared" si="75"/>
        <v>725.5</v>
      </c>
      <c r="P229" s="31" cm="1">
        <f t="array" ref="P229">WPNFACTOR(C229)</f>
        <v>2.5</v>
      </c>
      <c r="Q229" s="33" cm="1">
        <f t="array" ref="Q229">HPFACTOr(C229)</f>
        <v>4</v>
      </c>
      <c r="R229" s="32">
        <f t="shared" si="76"/>
        <v>290.2</v>
      </c>
      <c r="S229" s="33">
        <f t="shared" si="77"/>
        <v>9625000</v>
      </c>
      <c r="T229" s="32">
        <f t="shared" si="78"/>
        <v>308.33749999999998</v>
      </c>
      <c r="U229" s="39">
        <f t="shared" si="79"/>
        <v>10620689.655172413</v>
      </c>
      <c r="V229" s="41">
        <f>VLOOKUP(D229,LevelXp!$A$1:'LevelXp'!$B$1000,2,)/5</f>
        <v>19491852</v>
      </c>
      <c r="W229" s="29">
        <f t="shared" si="80"/>
        <v>3274756896.5517235</v>
      </c>
      <c r="X229" s="32">
        <f t="shared" si="81"/>
        <v>79.99002141995291</v>
      </c>
      <c r="Y229" s="41">
        <v>252</v>
      </c>
      <c r="Z229" s="41">
        <v>19491852</v>
      </c>
      <c r="AA229" s="41">
        <v>1</v>
      </c>
      <c r="AC229" s="50">
        <v>228</v>
      </c>
      <c r="AD229" s="51">
        <f t="shared" si="51"/>
        <v>0</v>
      </c>
      <c r="AE229" s="51">
        <f t="shared" si="60"/>
        <v>94175732.888888896</v>
      </c>
      <c r="AF229" s="51">
        <f t="shared" si="52"/>
        <v>0</v>
      </c>
      <c r="AG229" s="55">
        <f t="shared" si="60"/>
        <v>0.55555555555555558</v>
      </c>
      <c r="AH229" s="29">
        <f>SUM($AF$2:AF229)</f>
        <v>127</v>
      </c>
      <c r="AI229" s="55">
        <f>SUM($AG$2:AG229)</f>
        <v>127.11111111111094</v>
      </c>
    </row>
    <row r="230" spans="1:35" x14ac:dyDescent="0.2">
      <c r="A230" s="48" t="s">
        <v>8845</v>
      </c>
      <c r="B230" s="29">
        <v>8</v>
      </c>
      <c r="C230" s="29">
        <v>2</v>
      </c>
      <c r="D230" s="29">
        <v>286</v>
      </c>
      <c r="E230" s="29">
        <v>1324</v>
      </c>
      <c r="F230" s="29">
        <v>1366</v>
      </c>
      <c r="G230" s="29">
        <v>5551</v>
      </c>
      <c r="H230" s="29">
        <v>25443</v>
      </c>
      <c r="I230" s="29">
        <v>1976</v>
      </c>
      <c r="J230" s="29">
        <v>14604282</v>
      </c>
      <c r="K230" s="29">
        <v>6923</v>
      </c>
      <c r="L230" s="29">
        <v>13659</v>
      </c>
      <c r="N230" s="33"/>
      <c r="O230" s="29">
        <f t="shared" si="75"/>
        <v>10291</v>
      </c>
      <c r="P230" s="31" cm="1">
        <f t="array" ref="P230">WPNFACTOR(C230)</f>
        <v>4.5</v>
      </c>
      <c r="Q230" s="33" cm="1">
        <f t="array" ref="Q230">HPFACTOr(C230)</f>
        <v>2</v>
      </c>
      <c r="R230" s="32">
        <f t="shared" si="76"/>
        <v>2286.8888888888887</v>
      </c>
      <c r="S230" s="33">
        <f t="shared" si="77"/>
        <v>7302141</v>
      </c>
      <c r="T230" s="32">
        <f t="shared" si="78"/>
        <v>2286.8888888888887</v>
      </c>
      <c r="U230" s="39">
        <f t="shared" si="79"/>
        <v>7302141.0000000009</v>
      </c>
      <c r="V230" s="41">
        <f>VLOOKUP(D230,LevelXp!$A$1:'LevelXp'!$B$1000,2,)/5</f>
        <v>60696773</v>
      </c>
      <c r="W230" s="29">
        <f t="shared" si="80"/>
        <v>16699185118</v>
      </c>
      <c r="X230" s="32">
        <f t="shared" si="81"/>
        <v>110.79982024450446</v>
      </c>
      <c r="Y230" s="41">
        <v>252</v>
      </c>
      <c r="Z230" s="41">
        <v>60696773</v>
      </c>
      <c r="AA230" s="41">
        <v>0</v>
      </c>
      <c r="AC230" s="50">
        <v>229</v>
      </c>
      <c r="AD230" s="51">
        <f t="shared" si="51"/>
        <v>93390886</v>
      </c>
      <c r="AE230" s="51">
        <f t="shared" si="60"/>
        <v>120371173.66666667</v>
      </c>
      <c r="AF230" s="51">
        <f t="shared" si="52"/>
        <v>1</v>
      </c>
      <c r="AG230" s="55">
        <f t="shared" si="60"/>
        <v>0.66666666666666663</v>
      </c>
      <c r="AH230" s="29">
        <f>SUM($AF$2:AF230)</f>
        <v>128</v>
      </c>
      <c r="AI230" s="55">
        <f>SUM($AG$2:AG230)</f>
        <v>127.77777777777762</v>
      </c>
    </row>
    <row r="231" spans="1:35" x14ac:dyDescent="0.2">
      <c r="A231" s="48" t="s">
        <v>8845</v>
      </c>
      <c r="B231" s="29">
        <v>7</v>
      </c>
      <c r="C231" s="29">
        <v>3</v>
      </c>
      <c r="D231" s="29">
        <v>284</v>
      </c>
      <c r="E231" s="29">
        <v>1353</v>
      </c>
      <c r="F231" s="29">
        <v>5325</v>
      </c>
      <c r="G231" s="29">
        <v>1331</v>
      </c>
      <c r="H231" s="29">
        <v>25866</v>
      </c>
      <c r="I231" s="29">
        <v>1963</v>
      </c>
      <c r="J231" s="29">
        <v>29487240</v>
      </c>
      <c r="K231" s="29">
        <v>3800</v>
      </c>
      <c r="L231" s="29">
        <v>7597</v>
      </c>
      <c r="N231" s="33"/>
      <c r="O231" s="29">
        <f t="shared" si="75"/>
        <v>5698.5</v>
      </c>
      <c r="P231" s="31" cm="1">
        <f t="array" ref="P231">WPNFACTOR(C231)</f>
        <v>2.5</v>
      </c>
      <c r="Q231" s="33" cm="1">
        <f t="array" ref="Q231">HPFACTOr(C231)</f>
        <v>4</v>
      </c>
      <c r="R231" s="32">
        <f t="shared" si="76"/>
        <v>2279.4</v>
      </c>
      <c r="S231" s="33">
        <f t="shared" si="77"/>
        <v>7371810</v>
      </c>
      <c r="T231" s="32">
        <f t="shared" si="78"/>
        <v>2279.4</v>
      </c>
      <c r="U231" s="39">
        <f t="shared" si="79"/>
        <v>7371810</v>
      </c>
      <c r="V231" s="41">
        <f>VLOOKUP(D231,LevelXp!$A$1:'LevelXp'!$B$1000,2,)/5</f>
        <v>58660548</v>
      </c>
      <c r="W231" s="29">
        <f t="shared" si="80"/>
        <v>16803303714</v>
      </c>
      <c r="X231" s="32">
        <f t="shared" si="81"/>
        <v>110.93764322743398</v>
      </c>
      <c r="Y231" s="41">
        <v>252</v>
      </c>
      <c r="Z231" s="41">
        <v>58660548</v>
      </c>
      <c r="AA231" s="41">
        <v>0</v>
      </c>
      <c r="AC231" s="50">
        <v>230</v>
      </c>
      <c r="AD231" s="51">
        <f t="shared" si="51"/>
        <v>163993020</v>
      </c>
      <c r="AE231" s="51">
        <f t="shared" si="60"/>
        <v>110965330</v>
      </c>
      <c r="AF231" s="51">
        <f t="shared" si="52"/>
        <v>1</v>
      </c>
      <c r="AG231" s="55">
        <f t="shared" si="60"/>
        <v>0.55555555555555558</v>
      </c>
      <c r="AH231" s="29">
        <f>SUM($AF$2:AF231)</f>
        <v>129</v>
      </c>
      <c r="AI231" s="55">
        <f>SUM($AG$2:AG231)</f>
        <v>128.33333333333317</v>
      </c>
    </row>
    <row r="232" spans="1:35" x14ac:dyDescent="0.2">
      <c r="A232" s="48" t="s">
        <v>8846</v>
      </c>
      <c r="B232" s="29">
        <v>5</v>
      </c>
      <c r="C232" s="29">
        <v>1</v>
      </c>
      <c r="D232" s="29">
        <v>300</v>
      </c>
      <c r="E232" s="29">
        <v>5641</v>
      </c>
      <c r="F232" s="29">
        <v>1936</v>
      </c>
      <c r="G232" s="29">
        <v>1880</v>
      </c>
      <c r="H232" s="29">
        <v>27577</v>
      </c>
      <c r="I232" s="29">
        <v>1477</v>
      </c>
      <c r="J232" s="29">
        <v>41503384</v>
      </c>
      <c r="K232" s="29">
        <v>3213</v>
      </c>
      <c r="L232" s="29">
        <v>6419</v>
      </c>
      <c r="N232" s="33"/>
      <c r="O232" s="29">
        <f t="shared" si="75"/>
        <v>4816</v>
      </c>
      <c r="P232" s="31" cm="1">
        <f t="array" ref="P232">WPNFACTOR(C232)</f>
        <v>2</v>
      </c>
      <c r="Q232" s="33" cm="1">
        <f t="array" ref="Q232">HPFACTOr(C232)</f>
        <v>5</v>
      </c>
      <c r="R232" s="32">
        <f t="shared" si="76"/>
        <v>2408</v>
      </c>
      <c r="S232" s="33">
        <f t="shared" si="77"/>
        <v>8300676.7999999998</v>
      </c>
      <c r="T232" s="32">
        <f t="shared" si="78"/>
        <v>2408</v>
      </c>
      <c r="U232" s="39">
        <f t="shared" si="79"/>
        <v>8300676.7999999998</v>
      </c>
      <c r="V232" s="41">
        <f>VLOOKUP(D232,LevelXp!$A$1:'LevelXp'!$B$1000,2,)/5</f>
        <v>76669139</v>
      </c>
      <c r="W232" s="29">
        <f t="shared" si="80"/>
        <v>19988029734.399998</v>
      </c>
      <c r="X232" s="32">
        <f t="shared" si="81"/>
        <v>114.85608198224055</v>
      </c>
      <c r="Y232" s="41">
        <v>252</v>
      </c>
      <c r="Z232" s="41">
        <v>76669139</v>
      </c>
      <c r="AA232" s="41">
        <v>0</v>
      </c>
      <c r="AC232" s="50">
        <v>231</v>
      </c>
      <c r="AD232" s="51">
        <f t="shared" si="51"/>
        <v>34343729</v>
      </c>
      <c r="AE232" s="51">
        <f t="shared" si="60"/>
        <v>103949567.33333333</v>
      </c>
      <c r="AF232" s="51">
        <f t="shared" si="52"/>
        <v>0</v>
      </c>
      <c r="AG232" s="55">
        <f t="shared" si="60"/>
        <v>0.44444444444444442</v>
      </c>
      <c r="AH232" s="29">
        <f>SUM($AF$2:AF232)</f>
        <v>129</v>
      </c>
      <c r="AI232" s="55">
        <f>SUM($AG$2:AG232)</f>
        <v>128.77777777777763</v>
      </c>
    </row>
    <row r="233" spans="1:35" x14ac:dyDescent="0.2">
      <c r="A233" s="48" t="s">
        <v>8846</v>
      </c>
      <c r="B233" s="29">
        <v>7</v>
      </c>
      <c r="C233" s="29">
        <v>2</v>
      </c>
      <c r="D233" s="29">
        <v>304</v>
      </c>
      <c r="E233" s="29">
        <v>1412</v>
      </c>
      <c r="F233" s="29">
        <v>1455</v>
      </c>
      <c r="G233" s="29">
        <v>5908</v>
      </c>
      <c r="H233" s="29">
        <v>27313</v>
      </c>
      <c r="I233" s="29">
        <v>2108</v>
      </c>
      <c r="J233" s="29">
        <v>16660930</v>
      </c>
      <c r="K233" s="29">
        <v>7333</v>
      </c>
      <c r="L233" s="29">
        <v>14626</v>
      </c>
      <c r="N233" s="33"/>
      <c r="O233" s="29">
        <f t="shared" si="75"/>
        <v>10979.5</v>
      </c>
      <c r="P233" s="31" cm="1">
        <f t="array" ref="P233">WPNFACTOR(C233)</f>
        <v>4.5</v>
      </c>
      <c r="Q233" s="33" cm="1">
        <f t="array" ref="Q233">HPFACTOr(C233)</f>
        <v>2</v>
      </c>
      <c r="R233" s="32">
        <f t="shared" si="76"/>
        <v>2439.8888888888887</v>
      </c>
      <c r="S233" s="33">
        <f t="shared" si="77"/>
        <v>8330465</v>
      </c>
      <c r="T233" s="32">
        <f t="shared" si="78"/>
        <v>2439.8888888888887</v>
      </c>
      <c r="U233" s="39">
        <f t="shared" si="79"/>
        <v>8330465</v>
      </c>
      <c r="V233" s="41">
        <f>VLOOKUP(D233,LevelXp!$A$1:'LevelXp'!$B$1000,2,)/5</f>
        <v>81832831</v>
      </c>
      <c r="W233" s="29">
        <f t="shared" si="80"/>
        <v>20325408992.777775</v>
      </c>
      <c r="X233" s="32">
        <f t="shared" si="81"/>
        <v>115.24122301961734</v>
      </c>
      <c r="Y233" s="41">
        <v>253</v>
      </c>
      <c r="Z233" s="41">
        <v>81832831</v>
      </c>
      <c r="AA233" s="41">
        <v>0</v>
      </c>
      <c r="AC233" s="50">
        <v>232</v>
      </c>
      <c r="AD233" s="51">
        <f t="shared" si="51"/>
        <v>35645713</v>
      </c>
      <c r="AE233" s="51">
        <f t="shared" si="60"/>
        <v>83611149.888888896</v>
      </c>
      <c r="AF233" s="51">
        <f t="shared" si="52"/>
        <v>0</v>
      </c>
      <c r="AG233" s="55">
        <f t="shared" si="60"/>
        <v>0.33333333333333331</v>
      </c>
      <c r="AH233" s="29">
        <f>SUM($AF$2:AF233)</f>
        <v>129</v>
      </c>
      <c r="AI233" s="55">
        <f>SUM($AG$2:AG233)</f>
        <v>129.11111111111097</v>
      </c>
    </row>
    <row r="234" spans="1:35" x14ac:dyDescent="0.2">
      <c r="A234" s="48" t="s">
        <v>8846</v>
      </c>
      <c r="B234" s="29">
        <v>6</v>
      </c>
      <c r="C234" s="29">
        <v>1</v>
      </c>
      <c r="D234" s="29">
        <v>302</v>
      </c>
      <c r="E234" s="29">
        <v>5689</v>
      </c>
      <c r="F234" s="29">
        <v>1958</v>
      </c>
      <c r="G234" s="29">
        <v>1903</v>
      </c>
      <c r="H234" s="29">
        <v>27924</v>
      </c>
      <c r="I234" s="29">
        <v>1488</v>
      </c>
      <c r="J234" s="29">
        <v>42304860</v>
      </c>
      <c r="K234" s="29">
        <v>3235</v>
      </c>
      <c r="L234" s="29">
        <v>6460</v>
      </c>
      <c r="N234" s="33"/>
      <c r="O234" s="29">
        <f t="shared" si="75"/>
        <v>4847.5</v>
      </c>
      <c r="P234" s="31" cm="1">
        <f t="array" ref="P234">WPNFACTOR(C234)</f>
        <v>2</v>
      </c>
      <c r="Q234" s="33" cm="1">
        <f t="array" ref="Q234">HPFACTOr(C234)</f>
        <v>5</v>
      </c>
      <c r="R234" s="32">
        <f t="shared" si="76"/>
        <v>2423.75</v>
      </c>
      <c r="S234" s="33">
        <f t="shared" si="77"/>
        <v>8460972</v>
      </c>
      <c r="T234" s="32">
        <f t="shared" si="78"/>
        <v>2423.75</v>
      </c>
      <c r="U234" s="39">
        <f t="shared" si="79"/>
        <v>8460972</v>
      </c>
      <c r="V234" s="41">
        <f>VLOOKUP(D234,LevelXp!$A$1:'LevelXp'!$B$1000,2,)/5</f>
        <v>79213665</v>
      </c>
      <c r="W234" s="29">
        <f t="shared" si="80"/>
        <v>20507280885</v>
      </c>
      <c r="X234" s="32">
        <f t="shared" si="81"/>
        <v>115.44672464115834</v>
      </c>
      <c r="Y234" s="41">
        <v>253</v>
      </c>
      <c r="Z234" s="41">
        <v>79213665</v>
      </c>
      <c r="AA234" s="41">
        <v>0</v>
      </c>
      <c r="AC234" s="50">
        <v>233</v>
      </c>
      <c r="AD234" s="51">
        <f t="shared" si="51"/>
        <v>235758967</v>
      </c>
      <c r="AE234" s="51">
        <f t="shared" si="60"/>
        <v>87874482</v>
      </c>
      <c r="AF234" s="51">
        <f t="shared" si="52"/>
        <v>1</v>
      </c>
      <c r="AG234" s="55">
        <f t="shared" si="60"/>
        <v>0.33333333333333331</v>
      </c>
      <c r="AH234" s="29">
        <f>SUM($AF$2:AF234)</f>
        <v>130</v>
      </c>
      <c r="AI234" s="55">
        <f>SUM($AG$2:AG234)</f>
        <v>129.44444444444431</v>
      </c>
    </row>
    <row r="235" spans="1:35" x14ac:dyDescent="0.2">
      <c r="A235" s="48" t="s">
        <v>8846</v>
      </c>
      <c r="B235" s="29">
        <v>8</v>
      </c>
      <c r="C235" s="29">
        <v>1</v>
      </c>
      <c r="D235" s="29">
        <v>306</v>
      </c>
      <c r="E235" s="29">
        <v>5784</v>
      </c>
      <c r="F235" s="29">
        <v>2001</v>
      </c>
      <c r="G235" s="29">
        <v>1949</v>
      </c>
      <c r="H235" s="29">
        <v>28584</v>
      </c>
      <c r="I235" s="29">
        <v>1509</v>
      </c>
      <c r="J235" s="29">
        <v>43876440</v>
      </c>
      <c r="K235" s="29">
        <v>3277</v>
      </c>
      <c r="L235" s="29">
        <v>6544</v>
      </c>
      <c r="N235" s="33"/>
      <c r="O235" s="29">
        <f t="shared" si="75"/>
        <v>4910.5</v>
      </c>
      <c r="P235" s="31" cm="1">
        <f t="array" ref="P235">WPNFACTOR(C235)</f>
        <v>2</v>
      </c>
      <c r="Q235" s="33" cm="1">
        <f t="array" ref="Q235">HPFACTOr(C235)</f>
        <v>5</v>
      </c>
      <c r="R235" s="32">
        <f t="shared" si="76"/>
        <v>2455.25</v>
      </c>
      <c r="S235" s="33">
        <f t="shared" si="77"/>
        <v>8775288</v>
      </c>
      <c r="T235" s="32">
        <f t="shared" si="78"/>
        <v>2455.25</v>
      </c>
      <c r="U235" s="39">
        <f t="shared" si="79"/>
        <v>8775288</v>
      </c>
      <c r="V235" s="41">
        <f>VLOOKUP(D235,LevelXp!$A$1:'LevelXp'!$B$1000,2,)/5</f>
        <v>84522443</v>
      </c>
      <c r="W235" s="29">
        <f t="shared" si="80"/>
        <v>21545525862</v>
      </c>
      <c r="X235" s="32">
        <f t="shared" si="81"/>
        <v>116.59271612632256</v>
      </c>
      <c r="Y235" s="41">
        <v>254</v>
      </c>
      <c r="Z235" s="41">
        <v>84522443</v>
      </c>
      <c r="AA235" s="41">
        <v>0</v>
      </c>
      <c r="AC235" s="50">
        <v>234</v>
      </c>
      <c r="AD235" s="51">
        <f t="shared" si="51"/>
        <v>120518422</v>
      </c>
      <c r="AE235" s="51">
        <f t="shared" si="60"/>
        <v>105548627.66666667</v>
      </c>
      <c r="AF235" s="51">
        <f t="shared" si="52"/>
        <v>0</v>
      </c>
      <c r="AG235" s="55">
        <f t="shared" si="60"/>
        <v>0.33333333333333331</v>
      </c>
      <c r="AH235" s="29">
        <f>SUM($AF$2:AF235)</f>
        <v>130</v>
      </c>
      <c r="AI235" s="55">
        <f>SUM($AG$2:AG235)</f>
        <v>129.77777777777766</v>
      </c>
    </row>
    <row r="236" spans="1:35" x14ac:dyDescent="0.2">
      <c r="A236" s="48" t="s">
        <v>2937</v>
      </c>
      <c r="B236" s="29">
        <v>270</v>
      </c>
      <c r="N236" s="33"/>
      <c r="Q236" s="33"/>
      <c r="S236" s="33"/>
      <c r="U236" s="39"/>
      <c r="V236" s="41">
        <f>VLOOKUP(B236,LevelXp!$D$1:'LevelXp'!$F$1000,3,)</f>
        <v>116133363</v>
      </c>
      <c r="Y236" s="41">
        <v>254</v>
      </c>
      <c r="Z236" s="41">
        <v>116133363</v>
      </c>
      <c r="AA236" s="41">
        <v>0</v>
      </c>
      <c r="AC236" s="50">
        <v>235</v>
      </c>
      <c r="AD236" s="51">
        <f t="shared" si="51"/>
        <v>31862139</v>
      </c>
      <c r="AE236" s="51">
        <f t="shared" si="60"/>
        <v>117340575</v>
      </c>
      <c r="AF236" s="51">
        <f t="shared" si="52"/>
        <v>0</v>
      </c>
      <c r="AG236" s="55">
        <f t="shared" si="60"/>
        <v>0.33333333333333331</v>
      </c>
      <c r="AH236" s="29">
        <f>SUM($AF$2:AF236)</f>
        <v>130</v>
      </c>
      <c r="AI236" s="55">
        <f>SUM($AG$2:AG236)</f>
        <v>130.111111111111</v>
      </c>
    </row>
    <row r="237" spans="1:35" x14ac:dyDescent="0.2">
      <c r="A237" s="48" t="s">
        <v>8859</v>
      </c>
      <c r="B237" s="29">
        <v>7</v>
      </c>
      <c r="C237" s="29">
        <v>1</v>
      </c>
      <c r="D237" s="29">
        <v>228</v>
      </c>
      <c r="E237" s="29">
        <v>8360</v>
      </c>
      <c r="F237" s="29">
        <v>4180</v>
      </c>
      <c r="G237" s="29">
        <v>4180</v>
      </c>
      <c r="H237" s="29">
        <v>19500</v>
      </c>
      <c r="I237" s="29">
        <v>4180</v>
      </c>
      <c r="J237" s="29">
        <v>43000000</v>
      </c>
      <c r="K237" s="29">
        <v>614</v>
      </c>
      <c r="L237" s="29">
        <v>862</v>
      </c>
      <c r="M237" s="29">
        <v>25</v>
      </c>
      <c r="N237" s="33">
        <v>25</v>
      </c>
      <c r="O237" s="29">
        <f t="shared" ref="O237:O243" si="82">AVERAGE(K237, L237)</f>
        <v>738</v>
      </c>
      <c r="P237" s="31" cm="1">
        <f t="array" ref="P237">WPNFACTOR(C237)</f>
        <v>2</v>
      </c>
      <c r="Q237" s="33" cm="1">
        <f t="array" ref="Q237">HPFACTOr(C237)</f>
        <v>5</v>
      </c>
      <c r="R237" s="32">
        <f t="shared" ref="R237:R243" si="83">O237/P237</f>
        <v>369</v>
      </c>
      <c r="S237" s="33">
        <f t="shared" ref="S237:S243" si="84">J237/Q237</f>
        <v>8600000</v>
      </c>
      <c r="T237" s="32">
        <f t="shared" ref="T237:T243" si="85">R237*(1 + (N237/400))</f>
        <v>392.0625</v>
      </c>
      <c r="U237" s="39">
        <f t="shared" ref="U237:U243" si="86">S237*1.6/(1 + (0.6*(1 - (M237/100))))</f>
        <v>9489655.1724137943</v>
      </c>
      <c r="V237" s="41">
        <f>VLOOKUP(D237,LevelXp!$A$1:'LevelXp'!$B$1000,2,)/5</f>
        <v>20723258</v>
      </c>
      <c r="W237" s="29">
        <f t="shared" ref="W237:W243" si="87">T237*U237</f>
        <v>3720537931.0344834</v>
      </c>
      <c r="X237" s="32">
        <f t="shared" ref="X237:X243" si="88">POWER(W237, 1/$X$1)</f>
        <v>82.058041494459388</v>
      </c>
      <c r="Y237" s="41">
        <v>255</v>
      </c>
      <c r="Z237" s="41">
        <v>20723258</v>
      </c>
      <c r="AA237" s="41">
        <v>1</v>
      </c>
      <c r="AC237" s="50">
        <v>236</v>
      </c>
      <c r="AD237" s="51">
        <f t="shared" si="51"/>
        <v>36987473</v>
      </c>
      <c r="AE237" s="51">
        <f t="shared" si="60"/>
        <v>133069327.55555555</v>
      </c>
      <c r="AF237" s="51">
        <f t="shared" si="52"/>
        <v>0</v>
      </c>
      <c r="AG237" s="55">
        <f t="shared" si="60"/>
        <v>0.33333333333333331</v>
      </c>
      <c r="AH237" s="29">
        <f>SUM($AF$2:AF237)</f>
        <v>130</v>
      </c>
      <c r="AI237" s="55">
        <f>SUM($AG$2:AG237)</f>
        <v>130.44444444444434</v>
      </c>
    </row>
    <row r="238" spans="1:35" x14ac:dyDescent="0.2">
      <c r="A238" s="48" t="s">
        <v>8856</v>
      </c>
      <c r="B238" s="29">
        <v>1</v>
      </c>
      <c r="C238" s="29">
        <v>1</v>
      </c>
      <c r="D238" s="29">
        <v>210</v>
      </c>
      <c r="E238" s="29">
        <v>8000</v>
      </c>
      <c r="F238" s="29">
        <v>2000</v>
      </c>
      <c r="G238" s="29">
        <v>2000</v>
      </c>
      <c r="H238" s="29">
        <v>36000</v>
      </c>
      <c r="I238" s="29">
        <v>4000</v>
      </c>
      <c r="J238" s="29">
        <v>43560000</v>
      </c>
      <c r="K238" s="29">
        <v>728</v>
      </c>
      <c r="L238" s="29">
        <v>1229</v>
      </c>
      <c r="M238" s="29">
        <v>0</v>
      </c>
      <c r="N238" s="33">
        <v>30</v>
      </c>
      <c r="O238" s="29">
        <f t="shared" si="82"/>
        <v>978.5</v>
      </c>
      <c r="P238" s="31" cm="1">
        <f t="array" ref="P238">WPNFACTOR(C238)</f>
        <v>2</v>
      </c>
      <c r="Q238" s="33" cm="1">
        <f t="array" ref="Q238">HPFACTOr(C238)</f>
        <v>5</v>
      </c>
      <c r="R238" s="32">
        <f t="shared" si="83"/>
        <v>489.25</v>
      </c>
      <c r="S238" s="33">
        <f t="shared" si="84"/>
        <v>8712000</v>
      </c>
      <c r="T238" s="32">
        <f t="shared" si="85"/>
        <v>525.94375000000002</v>
      </c>
      <c r="U238" s="39">
        <f t="shared" si="86"/>
        <v>8712000</v>
      </c>
      <c r="V238" s="41">
        <f>VLOOKUP(D238,LevelXp!$A$1:'LevelXp'!$B$1000,2,)/5</f>
        <v>14222021</v>
      </c>
      <c r="W238" s="29">
        <f t="shared" si="87"/>
        <v>4582021950</v>
      </c>
      <c r="X238" s="32">
        <f t="shared" si="88"/>
        <v>85.548309715687466</v>
      </c>
      <c r="Y238" s="41">
        <v>255</v>
      </c>
      <c r="Z238" s="41">
        <v>14222021</v>
      </c>
      <c r="AA238" s="41">
        <v>1</v>
      </c>
      <c r="AC238" s="50">
        <v>237</v>
      </c>
      <c r="AD238" s="51">
        <f t="shared" si="51"/>
        <v>38369989</v>
      </c>
      <c r="AE238" s="51">
        <f t="shared" si="60"/>
        <v>138790022.33333334</v>
      </c>
      <c r="AF238" s="51">
        <f t="shared" si="52"/>
        <v>0</v>
      </c>
      <c r="AG238" s="55">
        <f t="shared" si="60"/>
        <v>0.33333333333333331</v>
      </c>
      <c r="AH238" s="29">
        <f>SUM($AF$2:AF238)</f>
        <v>130</v>
      </c>
      <c r="AI238" s="55">
        <f>SUM($AG$2:AG238)</f>
        <v>130.77777777777769</v>
      </c>
    </row>
    <row r="239" spans="1:35" x14ac:dyDescent="0.2">
      <c r="A239" s="48" t="s">
        <v>8845</v>
      </c>
      <c r="B239" s="29">
        <v>9</v>
      </c>
      <c r="C239" s="29">
        <v>3</v>
      </c>
      <c r="D239" s="29">
        <v>288</v>
      </c>
      <c r="E239" s="29">
        <v>1380</v>
      </c>
      <c r="F239" s="29">
        <v>5440</v>
      </c>
      <c r="G239" s="29">
        <v>1360</v>
      </c>
      <c r="H239" s="29">
        <v>26840</v>
      </c>
      <c r="I239" s="29">
        <v>2010</v>
      </c>
      <c r="J239" s="29">
        <v>31027040</v>
      </c>
      <c r="K239" s="29">
        <v>3853</v>
      </c>
      <c r="L239" s="29">
        <v>7676</v>
      </c>
      <c r="N239" s="33"/>
      <c r="O239" s="29">
        <f t="shared" si="82"/>
        <v>5764.5</v>
      </c>
      <c r="P239" s="31" cm="1">
        <f t="array" ref="P239">WPNFACTOR(C239)</f>
        <v>2.5</v>
      </c>
      <c r="Q239" s="33" cm="1">
        <f t="array" ref="Q239">HPFACTOr(C239)</f>
        <v>4</v>
      </c>
      <c r="R239" s="32">
        <f t="shared" si="83"/>
        <v>2305.8000000000002</v>
      </c>
      <c r="S239" s="33">
        <f t="shared" si="84"/>
        <v>7756760</v>
      </c>
      <c r="T239" s="32">
        <f t="shared" si="85"/>
        <v>2305.8000000000002</v>
      </c>
      <c r="U239" s="39">
        <f t="shared" si="86"/>
        <v>7756760</v>
      </c>
      <c r="V239" s="41">
        <f>VLOOKUP(D239,LevelXp!$A$1:'LevelXp'!$B$1000,2,)/5</f>
        <v>62790319</v>
      </c>
      <c r="W239" s="29">
        <f t="shared" si="87"/>
        <v>17885537208</v>
      </c>
      <c r="X239" s="32">
        <f t="shared" si="88"/>
        <v>112.33119986445944</v>
      </c>
      <c r="Y239" s="41">
        <v>256</v>
      </c>
      <c r="Z239" s="41">
        <v>62790319</v>
      </c>
      <c r="AA239" s="41">
        <v>0</v>
      </c>
      <c r="AC239" s="50">
        <v>238</v>
      </c>
      <c r="AD239" s="51">
        <f t="shared" si="51"/>
        <v>252458197</v>
      </c>
      <c r="AE239" s="51">
        <f t="shared" si="60"/>
        <v>128950332.77777778</v>
      </c>
      <c r="AF239" s="51">
        <f t="shared" si="52"/>
        <v>1</v>
      </c>
      <c r="AG239" s="55">
        <f t="shared" si="60"/>
        <v>0.22222222222222221</v>
      </c>
      <c r="AH239" s="29">
        <f>SUM($AF$2:AF239)</f>
        <v>131</v>
      </c>
      <c r="AI239" s="55">
        <f>SUM($AG$2:AG239)</f>
        <v>130.99999999999991</v>
      </c>
    </row>
    <row r="240" spans="1:35" x14ac:dyDescent="0.2">
      <c r="A240" s="48" t="s">
        <v>8846</v>
      </c>
      <c r="B240" s="29">
        <v>9</v>
      </c>
      <c r="C240" s="29">
        <v>1</v>
      </c>
      <c r="D240" s="29">
        <v>308</v>
      </c>
      <c r="E240" s="29">
        <v>5827</v>
      </c>
      <c r="F240" s="29">
        <v>2018</v>
      </c>
      <c r="G240" s="29">
        <v>1966</v>
      </c>
      <c r="H240" s="29">
        <v>28842</v>
      </c>
      <c r="I240" s="29">
        <v>1519</v>
      </c>
      <c r="J240" s="29">
        <v>44560888</v>
      </c>
      <c r="K240" s="29">
        <v>3297</v>
      </c>
      <c r="L240" s="29">
        <v>6588</v>
      </c>
      <c r="N240" s="33"/>
      <c r="O240" s="29">
        <f t="shared" si="82"/>
        <v>4942.5</v>
      </c>
      <c r="P240" s="31" cm="1">
        <f t="array" ref="P240">WPNFACTOR(C240)</f>
        <v>2</v>
      </c>
      <c r="Q240" s="33" cm="1">
        <f t="array" ref="Q240">HPFACTOr(C240)</f>
        <v>5</v>
      </c>
      <c r="R240" s="32">
        <f t="shared" si="83"/>
        <v>2471.25</v>
      </c>
      <c r="S240" s="33">
        <f t="shared" si="84"/>
        <v>8912177.5999999996</v>
      </c>
      <c r="T240" s="32">
        <f t="shared" si="85"/>
        <v>2471.25</v>
      </c>
      <c r="U240" s="39">
        <f t="shared" si="86"/>
        <v>8912177.5999999996</v>
      </c>
      <c r="V240" s="41">
        <f>VLOOKUP(D240,LevelXp!$A$1:'LevelXp'!$B$1000,2,)/5</f>
        <v>87284046</v>
      </c>
      <c r="W240" s="29">
        <f t="shared" si="87"/>
        <v>22024218894</v>
      </c>
      <c r="X240" s="32">
        <f t="shared" si="88"/>
        <v>117.1062577711418</v>
      </c>
      <c r="Y240" s="41">
        <v>256</v>
      </c>
      <c r="Z240" s="41">
        <v>87284046</v>
      </c>
      <c r="AA240" s="41">
        <v>0</v>
      </c>
      <c r="AC240" s="50">
        <v>239</v>
      </c>
      <c r="AD240" s="51">
        <f t="shared" si="51"/>
        <v>270120546</v>
      </c>
      <c r="AE240" s="51">
        <f t="shared" si="60"/>
        <v>129897246.22222222</v>
      </c>
      <c r="AF240" s="51">
        <f t="shared" si="52"/>
        <v>1</v>
      </c>
      <c r="AG240" s="55">
        <f t="shared" si="60"/>
        <v>0.44444444444444442</v>
      </c>
      <c r="AH240" s="29">
        <f>SUM($AF$2:AF240)</f>
        <v>132</v>
      </c>
      <c r="AI240" s="55">
        <f>SUM($AG$2:AG240)</f>
        <v>131.44444444444437</v>
      </c>
    </row>
    <row r="241" spans="1:35" x14ac:dyDescent="0.2">
      <c r="A241" s="48" t="s">
        <v>8845</v>
      </c>
      <c r="B241" s="29">
        <v>10</v>
      </c>
      <c r="C241" s="29">
        <v>3</v>
      </c>
      <c r="D241" s="29">
        <v>290</v>
      </c>
      <c r="E241" s="29">
        <v>1392</v>
      </c>
      <c r="F241" s="29">
        <v>5490</v>
      </c>
      <c r="G241" s="29">
        <v>1372</v>
      </c>
      <c r="H241" s="29">
        <v>27220</v>
      </c>
      <c r="I241" s="29">
        <v>2030</v>
      </c>
      <c r="J241" s="29">
        <v>31684080</v>
      </c>
      <c r="K241" s="29">
        <v>3903</v>
      </c>
      <c r="L241" s="29">
        <v>7743</v>
      </c>
      <c r="N241" s="33"/>
      <c r="O241" s="29">
        <f t="shared" si="82"/>
        <v>5823</v>
      </c>
      <c r="P241" s="31" cm="1">
        <f t="array" ref="P241">WPNFACTOR(C241)</f>
        <v>2.5</v>
      </c>
      <c r="Q241" s="33" cm="1">
        <f t="array" ref="Q241">HPFACTOr(C241)</f>
        <v>4</v>
      </c>
      <c r="R241" s="32">
        <f t="shared" si="83"/>
        <v>2329.1999999999998</v>
      </c>
      <c r="S241" s="33">
        <f t="shared" si="84"/>
        <v>7921020</v>
      </c>
      <c r="T241" s="32">
        <f t="shared" si="85"/>
        <v>2329.1999999999998</v>
      </c>
      <c r="U241" s="39">
        <f t="shared" si="86"/>
        <v>7921020</v>
      </c>
      <c r="V241" s="41">
        <f>VLOOKUP(D241,LevelXp!$A$1:'LevelXp'!$B$1000,2,)/5</f>
        <v>64942539</v>
      </c>
      <c r="W241" s="29">
        <f t="shared" si="87"/>
        <v>18449639784</v>
      </c>
      <c r="X241" s="32">
        <f t="shared" si="88"/>
        <v>113.03100218102067</v>
      </c>
      <c r="Y241" s="41">
        <v>257</v>
      </c>
      <c r="Z241" s="41">
        <v>64942539</v>
      </c>
      <c r="AA241" s="41">
        <v>0</v>
      </c>
      <c r="AC241" s="50">
        <v>240</v>
      </c>
      <c r="AD241" s="51">
        <f t="shared" si="51"/>
        <v>175902502</v>
      </c>
      <c r="AE241" s="51">
        <f t="shared" si="60"/>
        <v>142247967.44444445</v>
      </c>
      <c r="AF241" s="51">
        <f t="shared" si="52"/>
        <v>0</v>
      </c>
      <c r="AG241" s="55">
        <f t="shared" si="60"/>
        <v>0.55555555555555558</v>
      </c>
      <c r="AH241" s="29">
        <f>SUM($AF$2:AF241)</f>
        <v>132</v>
      </c>
      <c r="AI241" s="55">
        <f>SUM($AG$2:AG241)</f>
        <v>131.99999999999991</v>
      </c>
    </row>
    <row r="242" spans="1:35" x14ac:dyDescent="0.2">
      <c r="A242" s="48" t="s">
        <v>8847</v>
      </c>
      <c r="B242" s="29">
        <v>1</v>
      </c>
      <c r="C242" s="29">
        <v>1</v>
      </c>
      <c r="D242" s="29">
        <v>312</v>
      </c>
      <c r="E242" s="29">
        <v>5861</v>
      </c>
      <c r="F242" s="29">
        <v>2009</v>
      </c>
      <c r="G242" s="29">
        <v>1950</v>
      </c>
      <c r="H242" s="29">
        <v>28600</v>
      </c>
      <c r="I242" s="29">
        <v>1536</v>
      </c>
      <c r="J242" s="29">
        <v>44759000</v>
      </c>
      <c r="K242" s="29">
        <v>3343</v>
      </c>
      <c r="L242" s="29">
        <v>6676</v>
      </c>
      <c r="N242" s="33"/>
      <c r="O242" s="29">
        <f t="shared" si="82"/>
        <v>5009.5</v>
      </c>
      <c r="P242" s="31" cm="1">
        <f t="array" ref="P242">WPNFACTOR(C242)</f>
        <v>2</v>
      </c>
      <c r="Q242" s="33" cm="1">
        <f t="array" ref="Q242">HPFACTOr(C242)</f>
        <v>5</v>
      </c>
      <c r="R242" s="32">
        <f t="shared" si="83"/>
        <v>2504.75</v>
      </c>
      <c r="S242" s="33">
        <f t="shared" si="84"/>
        <v>8951800</v>
      </c>
      <c r="T242" s="32">
        <f t="shared" si="85"/>
        <v>2504.75</v>
      </c>
      <c r="U242" s="39">
        <f t="shared" si="86"/>
        <v>8951800</v>
      </c>
      <c r="V242" s="41">
        <f>VLOOKUP(D242,LevelXp!$A$1:'LevelXp'!$B$1000,2,)/5</f>
        <v>93042060</v>
      </c>
      <c r="W242" s="29">
        <f t="shared" si="87"/>
        <v>22422021050</v>
      </c>
      <c r="X242" s="32">
        <f t="shared" si="88"/>
        <v>117.5262695339192</v>
      </c>
      <c r="Y242" s="41">
        <v>257</v>
      </c>
      <c r="Z242" s="41">
        <v>93042060</v>
      </c>
      <c r="AA242" s="41">
        <v>0</v>
      </c>
      <c r="AC242" s="50">
        <v>241</v>
      </c>
      <c r="AD242" s="51">
        <f t="shared" si="51"/>
        <v>87131966</v>
      </c>
      <c r="AE242" s="51">
        <f t="shared" si="60"/>
        <v>149122105.77777779</v>
      </c>
      <c r="AF242" s="51">
        <f t="shared" si="52"/>
        <v>0</v>
      </c>
      <c r="AG242" s="55">
        <f t="shared" si="60"/>
        <v>0.55555555555555558</v>
      </c>
      <c r="AH242" s="29">
        <f>SUM($AF$2:AF242)</f>
        <v>132</v>
      </c>
      <c r="AI242" s="55">
        <f>SUM($AG$2:AG242)</f>
        <v>132.55555555555546</v>
      </c>
    </row>
    <row r="243" spans="1:35" x14ac:dyDescent="0.2">
      <c r="A243" s="48" t="s">
        <v>8857</v>
      </c>
      <c r="B243" s="29">
        <v>1</v>
      </c>
      <c r="C243" s="29">
        <v>2</v>
      </c>
      <c r="D243" s="29">
        <v>210</v>
      </c>
      <c r="E243" s="29">
        <v>2000</v>
      </c>
      <c r="F243" s="29">
        <v>2000</v>
      </c>
      <c r="G243" s="29">
        <v>8000</v>
      </c>
      <c r="H243" s="29">
        <v>80000</v>
      </c>
      <c r="I243" s="29">
        <v>4000</v>
      </c>
      <c r="J243" s="29">
        <v>52800000</v>
      </c>
      <c r="K243" s="29">
        <v>630</v>
      </c>
      <c r="L243" s="29">
        <v>1265</v>
      </c>
      <c r="M243" s="29">
        <v>5</v>
      </c>
      <c r="N243" s="33">
        <v>30</v>
      </c>
      <c r="O243" s="29">
        <f t="shared" si="82"/>
        <v>947.5</v>
      </c>
      <c r="P243" s="31" cm="1">
        <f t="array" ref="P243">WPNFACTOR(C243)</f>
        <v>4.5</v>
      </c>
      <c r="Q243" s="33" cm="1">
        <f t="array" ref="Q243">HPFACTOr(C243)</f>
        <v>2</v>
      </c>
      <c r="R243" s="32">
        <f t="shared" si="83"/>
        <v>210.55555555555554</v>
      </c>
      <c r="S243" s="33">
        <f t="shared" si="84"/>
        <v>26400000</v>
      </c>
      <c r="T243" s="32">
        <f t="shared" si="85"/>
        <v>226.3472222222222</v>
      </c>
      <c r="U243" s="39">
        <f t="shared" si="86"/>
        <v>26904458.598726116</v>
      </c>
      <c r="V243" s="41">
        <f>VLOOKUP(D243,LevelXp!$A$1:'LevelXp'!$B$1000,2,)/5</f>
        <v>14222021</v>
      </c>
      <c r="W243" s="29">
        <f t="shared" si="87"/>
        <v>6089749469.2144375</v>
      </c>
      <c r="X243" s="32">
        <f t="shared" si="88"/>
        <v>90.556553487601008</v>
      </c>
      <c r="Y243" s="41">
        <v>258</v>
      </c>
      <c r="Z243" s="41">
        <v>14222021</v>
      </c>
      <c r="AA243" s="41">
        <v>1</v>
      </c>
      <c r="AC243" s="50">
        <v>242</v>
      </c>
      <c r="AD243" s="51">
        <f t="shared" si="51"/>
        <v>147201761</v>
      </c>
      <c r="AE243" s="51">
        <f t="shared" si="60"/>
        <v>160214071.22222221</v>
      </c>
      <c r="AF243" s="51">
        <f t="shared" si="52"/>
        <v>0</v>
      </c>
      <c r="AG243" s="55">
        <f t="shared" si="60"/>
        <v>0.77777777777777779</v>
      </c>
      <c r="AH243" s="29">
        <f>SUM($AF$2:AF243)</f>
        <v>132</v>
      </c>
      <c r="AI243" s="55">
        <f>SUM($AG$2:AG243)</f>
        <v>133.33333333333323</v>
      </c>
    </row>
    <row r="244" spans="1:35" x14ac:dyDescent="0.2">
      <c r="A244" s="48" t="s">
        <v>2937</v>
      </c>
      <c r="B244" s="29">
        <v>280</v>
      </c>
      <c r="N244" s="33"/>
      <c r="Q244" s="33"/>
      <c r="S244" s="33"/>
      <c r="U244" s="39"/>
      <c r="V244" s="41">
        <f>VLOOKUP(B244,LevelXp!$D$1:'LevelXp'!$F$1000,3,)</f>
        <v>122141399</v>
      </c>
      <c r="Y244" s="41">
        <v>258</v>
      </c>
      <c r="Z244" s="41">
        <v>122141399</v>
      </c>
      <c r="AA244" s="41">
        <v>0</v>
      </c>
      <c r="AC244" s="50">
        <v>243</v>
      </c>
      <c r="AD244" s="51">
        <f t="shared" si="51"/>
        <v>129040643</v>
      </c>
      <c r="AE244" s="51">
        <f t="shared" si="60"/>
        <v>158954174.55555555</v>
      </c>
      <c r="AF244" s="51">
        <f t="shared" si="52"/>
        <v>2</v>
      </c>
      <c r="AG244" s="55">
        <f t="shared" si="60"/>
        <v>0.88888888888888884</v>
      </c>
      <c r="AH244" s="29">
        <f>SUM($AF$2:AF244)</f>
        <v>134</v>
      </c>
      <c r="AI244" s="55">
        <f>SUM($AG$2:AG244)</f>
        <v>134.22222222222211</v>
      </c>
    </row>
    <row r="245" spans="1:35" x14ac:dyDescent="0.2">
      <c r="A245" s="48" t="s">
        <v>8852</v>
      </c>
      <c r="B245" s="29">
        <v>8</v>
      </c>
      <c r="C245" s="29">
        <v>1</v>
      </c>
      <c r="D245" s="29">
        <v>390</v>
      </c>
      <c r="E245" s="29">
        <v>12540</v>
      </c>
      <c r="F245" s="29">
        <v>4395</v>
      </c>
      <c r="G245" s="29">
        <v>4370</v>
      </c>
      <c r="H245" s="29">
        <v>12260</v>
      </c>
      <c r="I245" s="29">
        <v>2710</v>
      </c>
      <c r="J245" s="29">
        <v>23968300</v>
      </c>
      <c r="K245" s="29">
        <v>650</v>
      </c>
      <c r="L245" s="29">
        <v>1479</v>
      </c>
      <c r="N245" s="33"/>
      <c r="O245" s="29">
        <f>AVERAGE(K245, L245)</f>
        <v>1064.5</v>
      </c>
      <c r="P245" s="31" cm="1">
        <f t="array" ref="P245">WPNFACTOR(C245)</f>
        <v>2</v>
      </c>
      <c r="Q245" s="33" cm="1">
        <f t="array" ref="Q245">HPFACTOr(C245)</f>
        <v>5</v>
      </c>
      <c r="R245" s="32">
        <f>O245/P245</f>
        <v>532.25</v>
      </c>
      <c r="S245" s="33">
        <f>J245/Q245</f>
        <v>4793660</v>
      </c>
      <c r="T245" s="32">
        <f>R245*(1 + (N245/400))</f>
        <v>532.25</v>
      </c>
      <c r="U245" s="39">
        <f>S245*1.6/(1 + (0.6*(1 - (M245/100))))</f>
        <v>4793660</v>
      </c>
      <c r="V245" s="41">
        <f>VLOOKUP(D245,LevelXp!$A$1:'LevelXp'!$B$1000,2,)/5</f>
        <v>288853442</v>
      </c>
      <c r="W245" s="29">
        <f>T245*U245</f>
        <v>2551425535</v>
      </c>
      <c r="X245" s="32">
        <f>POWER(W245, 1/$X$1)</f>
        <v>76.095080277457058</v>
      </c>
      <c r="Y245" s="41">
        <v>259</v>
      </c>
      <c r="Z245" s="41">
        <v>288853442</v>
      </c>
      <c r="AA245" s="41">
        <v>1</v>
      </c>
      <c r="AC245" s="50">
        <v>244</v>
      </c>
      <c r="AD245" s="51">
        <f t="shared" si="51"/>
        <v>143018630</v>
      </c>
      <c r="AE245" s="51">
        <f t="shared" si="60"/>
        <v>135239116.22222221</v>
      </c>
      <c r="AF245" s="51">
        <f t="shared" si="52"/>
        <v>1</v>
      </c>
      <c r="AG245" s="55">
        <f t="shared" si="60"/>
        <v>0.77777777777777779</v>
      </c>
      <c r="AH245" s="29">
        <f>SUM($AF$2:AF245)</f>
        <v>135</v>
      </c>
      <c r="AI245" s="55">
        <f>SUM($AG$2:AG245)</f>
        <v>134.99999999999989</v>
      </c>
    </row>
    <row r="246" spans="1:35" x14ac:dyDescent="0.2">
      <c r="A246" s="48" t="s">
        <v>8859</v>
      </c>
      <c r="B246" s="29">
        <v>8</v>
      </c>
      <c r="C246" s="29">
        <v>1</v>
      </c>
      <c r="D246" s="29">
        <v>231</v>
      </c>
      <c r="E246" s="29">
        <v>8720</v>
      </c>
      <c r="F246" s="29">
        <v>4360</v>
      </c>
      <c r="G246" s="29">
        <v>4360</v>
      </c>
      <c r="H246" s="29">
        <v>21000</v>
      </c>
      <c r="I246" s="29">
        <v>4360</v>
      </c>
      <c r="J246" s="29">
        <v>47500000</v>
      </c>
      <c r="K246" s="29">
        <v>626</v>
      </c>
      <c r="L246" s="29">
        <v>874</v>
      </c>
      <c r="M246" s="29">
        <v>25</v>
      </c>
      <c r="N246" s="33">
        <v>25</v>
      </c>
      <c r="O246" s="29">
        <f>AVERAGE(K246, L246)</f>
        <v>750</v>
      </c>
      <c r="P246" s="31" cm="1">
        <f t="array" ref="P246">WPNFACTOR(C246)</f>
        <v>2</v>
      </c>
      <c r="Q246" s="33" cm="1">
        <f t="array" ref="Q246">HPFACTOr(C246)</f>
        <v>5</v>
      </c>
      <c r="R246" s="32">
        <f>O246/P246</f>
        <v>375</v>
      </c>
      <c r="S246" s="33">
        <f>J246/Q246</f>
        <v>9500000</v>
      </c>
      <c r="T246" s="32">
        <f>R246*(1 + (N246/400))</f>
        <v>398.4375</v>
      </c>
      <c r="U246" s="39">
        <f>S246*1.6/(1 + (0.6*(1 - (M246/100))))</f>
        <v>10482758.620689655</v>
      </c>
      <c r="V246" s="41">
        <f>VLOOKUP(D246,LevelXp!$A$1:'LevelXp'!$B$1000,2,)/5</f>
        <v>22012436</v>
      </c>
      <c r="W246" s="29">
        <f>T246*U246</f>
        <v>4176724137.9310341</v>
      </c>
      <c r="X246" s="32">
        <f>POWER(W246, 1/$X$1)</f>
        <v>83.978315393055553</v>
      </c>
      <c r="Y246" s="41">
        <v>260</v>
      </c>
      <c r="Z246" s="41">
        <v>22012436</v>
      </c>
      <c r="AA246" s="41">
        <v>1</v>
      </c>
      <c r="AC246" s="50">
        <v>245</v>
      </c>
      <c r="AD246" s="51">
        <f t="shared" si="51"/>
        <v>98854718</v>
      </c>
      <c r="AE246" s="51">
        <f t="shared" si="60"/>
        <v>136939152</v>
      </c>
      <c r="AF246" s="51">
        <f t="shared" si="52"/>
        <v>0</v>
      </c>
      <c r="AG246" s="55">
        <f t="shared" si="60"/>
        <v>0.88888888888888884</v>
      </c>
      <c r="AH246" s="29">
        <f>SUM($AF$2:AF246)</f>
        <v>135</v>
      </c>
      <c r="AI246" s="55">
        <f>SUM($AG$2:AG246)</f>
        <v>135.88888888888877</v>
      </c>
    </row>
    <row r="247" spans="1:35" x14ac:dyDescent="0.2">
      <c r="A247" s="48" t="s">
        <v>8846</v>
      </c>
      <c r="B247" s="29">
        <v>10</v>
      </c>
      <c r="C247" s="29">
        <v>1</v>
      </c>
      <c r="D247" s="29">
        <v>310</v>
      </c>
      <c r="E247" s="29">
        <v>5908</v>
      </c>
      <c r="F247" s="29">
        <v>2069</v>
      </c>
      <c r="G247" s="29">
        <v>2024</v>
      </c>
      <c r="H247" s="29">
        <v>29684</v>
      </c>
      <c r="I247" s="29">
        <v>1531</v>
      </c>
      <c r="J247" s="29">
        <v>46158620</v>
      </c>
      <c r="K247" s="29">
        <v>3317</v>
      </c>
      <c r="L247" s="29">
        <v>6624</v>
      </c>
      <c r="N247" s="33"/>
      <c r="O247" s="29">
        <f>AVERAGE(K247, L247)</f>
        <v>4970.5</v>
      </c>
      <c r="P247" s="31" cm="1">
        <f t="array" ref="P247">WPNFACTOR(C247)</f>
        <v>2</v>
      </c>
      <c r="Q247" s="33" cm="1">
        <f t="array" ref="Q247">HPFACTOr(C247)</f>
        <v>5</v>
      </c>
      <c r="R247" s="32">
        <f>O247/P247</f>
        <v>2485.25</v>
      </c>
      <c r="S247" s="33">
        <f>J247/Q247</f>
        <v>9231724</v>
      </c>
      <c r="T247" s="32">
        <f>R247*(1 + (N247/400))</f>
        <v>2485.25</v>
      </c>
      <c r="U247" s="39">
        <f>S247*1.6/(1 + (0.6*(1 - (M247/100))))</f>
        <v>9231724</v>
      </c>
      <c r="V247" s="41">
        <f>VLOOKUP(D247,LevelXp!$A$1:'LevelXp'!$B$1000,2,)/5</f>
        <v>90125436</v>
      </c>
      <c r="W247" s="29">
        <f>T247*U247</f>
        <v>22943142071</v>
      </c>
      <c r="X247" s="32">
        <f>POWER(W247, 1/$X$1)</f>
        <v>118.06755748204486</v>
      </c>
      <c r="Y247" s="41">
        <v>260</v>
      </c>
      <c r="Z247" s="41">
        <v>90125436</v>
      </c>
      <c r="AA247" s="41">
        <v>0</v>
      </c>
      <c r="AC247" s="50">
        <v>246</v>
      </c>
      <c r="AD247" s="51">
        <f t="shared" si="51"/>
        <v>138197678</v>
      </c>
      <c r="AE247" s="51">
        <f t="shared" si="60"/>
        <v>154680969.1111111</v>
      </c>
      <c r="AF247" s="51">
        <f t="shared" si="52"/>
        <v>2</v>
      </c>
      <c r="AG247" s="55">
        <f t="shared" si="60"/>
        <v>0.88888888888888884</v>
      </c>
      <c r="AH247" s="29">
        <f>SUM($AF$2:AF247)</f>
        <v>137</v>
      </c>
      <c r="AI247" s="55">
        <f>SUM($AG$2:AG247)</f>
        <v>136.77777777777766</v>
      </c>
    </row>
    <row r="248" spans="1:35" x14ac:dyDescent="0.2">
      <c r="A248" s="48" t="s">
        <v>8847</v>
      </c>
      <c r="B248" s="29">
        <v>2</v>
      </c>
      <c r="C248" s="29">
        <v>3</v>
      </c>
      <c r="D248" s="29">
        <v>314</v>
      </c>
      <c r="E248" s="29">
        <v>1502</v>
      </c>
      <c r="F248" s="29">
        <v>5921</v>
      </c>
      <c r="G248" s="29">
        <v>1480</v>
      </c>
      <c r="H248" s="29">
        <v>29112</v>
      </c>
      <c r="I248" s="29">
        <v>2186</v>
      </c>
      <c r="J248" s="29">
        <v>36681120</v>
      </c>
      <c r="K248" s="29">
        <v>4202</v>
      </c>
      <c r="L248" s="29">
        <v>8396</v>
      </c>
      <c r="N248" s="33"/>
      <c r="O248" s="29">
        <f>AVERAGE(K248, L248)</f>
        <v>6299</v>
      </c>
      <c r="P248" s="31" cm="1">
        <f t="array" ref="P248">WPNFACTOR(C248)</f>
        <v>2.5</v>
      </c>
      <c r="Q248" s="33" cm="1">
        <f t="array" ref="Q248">HPFACTOr(C248)</f>
        <v>4</v>
      </c>
      <c r="R248" s="32">
        <f>O248/P248</f>
        <v>2519.6</v>
      </c>
      <c r="S248" s="33">
        <f>J248/Q248</f>
        <v>9170280</v>
      </c>
      <c r="T248" s="32">
        <f>R248*(1 + (N248/400))</f>
        <v>2519.6</v>
      </c>
      <c r="U248" s="39">
        <f>S248*1.6/(1 + (0.6*(1 - (M248/100))))</f>
        <v>9170280</v>
      </c>
      <c r="V248" s="41">
        <f>VLOOKUP(D248,LevelXp!$A$1:'LevelXp'!$B$1000,2,)/5</f>
        <v>96035589</v>
      </c>
      <c r="W248" s="29">
        <f>T248*U248</f>
        <v>23105437488</v>
      </c>
      <c r="X248" s="32">
        <f>POWER(W248, 1/$X$1)</f>
        <v>118.23412432426403</v>
      </c>
      <c r="Y248" s="41">
        <v>261</v>
      </c>
      <c r="Z248" s="41">
        <v>96035589</v>
      </c>
      <c r="AA248" s="41">
        <v>0</v>
      </c>
      <c r="AC248" s="50">
        <v>247</v>
      </c>
      <c r="AD248" s="51">
        <f t="shared" si="51"/>
        <v>241119127</v>
      </c>
      <c r="AE248" s="51">
        <f t="shared" si="60"/>
        <v>154544358.33333334</v>
      </c>
      <c r="AF248" s="51">
        <f t="shared" si="52"/>
        <v>2</v>
      </c>
      <c r="AG248" s="55">
        <f t="shared" si="60"/>
        <v>0.88888888888888884</v>
      </c>
      <c r="AH248" s="29">
        <f>SUM($AF$2:AF248)</f>
        <v>139</v>
      </c>
      <c r="AI248" s="55">
        <f>SUM($AG$2:AG248)</f>
        <v>137.66666666666654</v>
      </c>
    </row>
    <row r="249" spans="1:35" x14ac:dyDescent="0.2">
      <c r="A249" s="48" t="s">
        <v>8847</v>
      </c>
      <c r="B249" s="29">
        <v>3</v>
      </c>
      <c r="C249" s="29">
        <v>1</v>
      </c>
      <c r="D249" s="29">
        <v>316</v>
      </c>
      <c r="E249" s="29">
        <v>5991</v>
      </c>
      <c r="F249" s="29">
        <v>2082</v>
      </c>
      <c r="G249" s="29">
        <v>2031</v>
      </c>
      <c r="H249" s="29">
        <v>29794</v>
      </c>
      <c r="I249" s="29">
        <v>1559</v>
      </c>
      <c r="J249" s="29">
        <v>47223488</v>
      </c>
      <c r="K249" s="29">
        <v>3383</v>
      </c>
      <c r="L249" s="29">
        <v>6762</v>
      </c>
      <c r="N249" s="33"/>
      <c r="O249" s="29">
        <f>AVERAGE(K249, L249)</f>
        <v>5072.5</v>
      </c>
      <c r="P249" s="31" cm="1">
        <f t="array" ref="P249">WPNFACTOR(C249)</f>
        <v>2</v>
      </c>
      <c r="Q249" s="33" cm="1">
        <f t="array" ref="Q249">HPFACTOr(C249)</f>
        <v>5</v>
      </c>
      <c r="R249" s="32">
        <f>O249/P249</f>
        <v>2536.25</v>
      </c>
      <c r="S249" s="33">
        <f>J249/Q249</f>
        <v>9444697.5999999996</v>
      </c>
      <c r="T249" s="32">
        <f>R249*(1 + (N249/400))</f>
        <v>2536.25</v>
      </c>
      <c r="U249" s="39">
        <f>S249*1.6/(1 + (0.6*(1 - (M249/100))))</f>
        <v>9444697.5999999996</v>
      </c>
      <c r="V249" s="41">
        <f>VLOOKUP(D249,LevelXp!$A$1:'LevelXp'!$B$1000,2,)/5</f>
        <v>99114456</v>
      </c>
      <c r="W249" s="29">
        <f>T249*U249</f>
        <v>23954114288</v>
      </c>
      <c r="X249" s="32">
        <f>POWER(W249, 1/$X$1)</f>
        <v>119.09019968326544</v>
      </c>
      <c r="Y249" s="41">
        <v>262</v>
      </c>
      <c r="Z249" s="41">
        <v>99114456</v>
      </c>
      <c r="AA249" s="41">
        <v>0</v>
      </c>
      <c r="AC249" s="50">
        <v>248</v>
      </c>
      <c r="AD249" s="51">
        <f t="shared" si="51"/>
        <v>56685021</v>
      </c>
      <c r="AE249" s="51">
        <f t="shared" si="60"/>
        <v>164152988.22222221</v>
      </c>
      <c r="AF249" s="51">
        <f t="shared" si="52"/>
        <v>0</v>
      </c>
      <c r="AG249" s="55">
        <f t="shared" si="60"/>
        <v>0.77777777777777779</v>
      </c>
      <c r="AH249" s="29">
        <f>SUM($AF$2:AF249)</f>
        <v>139</v>
      </c>
      <c r="AI249" s="55">
        <f>SUM($AG$2:AG249)</f>
        <v>138.44444444444431</v>
      </c>
    </row>
    <row r="250" spans="1:35" x14ac:dyDescent="0.2">
      <c r="A250" s="48" t="s">
        <v>2937</v>
      </c>
      <c r="B250" s="29">
        <v>290</v>
      </c>
      <c r="N250" s="33"/>
      <c r="Q250" s="33"/>
      <c r="S250" s="33"/>
      <c r="U250" s="39"/>
      <c r="V250" s="41">
        <f>VLOOKUP(B250,LevelXp!$D$1:'LevelXp'!$F$1000,3,)</f>
        <v>128407573</v>
      </c>
      <c r="Y250" s="41">
        <v>262</v>
      </c>
      <c r="Z250" s="41">
        <v>128407573</v>
      </c>
      <c r="AA250" s="41">
        <v>0</v>
      </c>
      <c r="AC250" s="50">
        <v>249</v>
      </c>
      <c r="AD250" s="51">
        <f t="shared" si="51"/>
        <v>191202824</v>
      </c>
      <c r="AE250" s="51">
        <f t="shared" si="60"/>
        <v>166156084.44444445</v>
      </c>
      <c r="AF250" s="51">
        <f t="shared" si="52"/>
        <v>1</v>
      </c>
      <c r="AG250" s="55">
        <f t="shared" si="60"/>
        <v>0.66666666666666663</v>
      </c>
      <c r="AH250" s="29">
        <f>SUM($AF$2:AF250)</f>
        <v>140</v>
      </c>
      <c r="AI250" s="55">
        <f>SUM($AG$2:AG250)</f>
        <v>139.11111111111097</v>
      </c>
    </row>
    <row r="251" spans="1:35" x14ac:dyDescent="0.2">
      <c r="A251" s="48" t="s">
        <v>8854</v>
      </c>
      <c r="B251" s="29">
        <v>1</v>
      </c>
      <c r="C251" s="29">
        <v>3</v>
      </c>
      <c r="D251" s="29">
        <v>250</v>
      </c>
      <c r="E251" s="29">
        <v>1400</v>
      </c>
      <c r="F251" s="29">
        <v>11000</v>
      </c>
      <c r="G251" s="29">
        <v>1400</v>
      </c>
      <c r="H251" s="29">
        <v>35000</v>
      </c>
      <c r="I251" s="29">
        <v>4500</v>
      </c>
      <c r="J251" s="29">
        <v>62500000</v>
      </c>
      <c r="K251" s="29">
        <v>600</v>
      </c>
      <c r="L251" s="29">
        <v>649</v>
      </c>
      <c r="N251" s="33"/>
      <c r="O251" s="29">
        <f t="shared" ref="O251:O257" si="89">AVERAGE(K251, L251)</f>
        <v>624.5</v>
      </c>
      <c r="P251" s="31" cm="1">
        <f t="array" ref="P251">WPNFACTOR(C251)</f>
        <v>2.5</v>
      </c>
      <c r="Q251" s="33" cm="1">
        <f t="array" ref="Q251">HPFACTOr(C251)</f>
        <v>4</v>
      </c>
      <c r="R251" s="32">
        <f t="shared" ref="R251:R257" si="90">O251/P251</f>
        <v>249.8</v>
      </c>
      <c r="S251" s="33">
        <f t="shared" ref="S251:S257" si="91">J251/Q251</f>
        <v>15625000</v>
      </c>
      <c r="T251" s="32">
        <f t="shared" ref="T251:T257" si="92">R251*(1 + (N251/400))</f>
        <v>249.8</v>
      </c>
      <c r="U251" s="39">
        <f t="shared" ref="U251:U257" si="93">S251*1.6/(1 + (0.6*(1 - (M251/100))))</f>
        <v>15625000</v>
      </c>
      <c r="V251" s="41">
        <f>VLOOKUP(D251,LevelXp!$A$1:'LevelXp'!$B$1000,2,)/5</f>
        <v>31862139</v>
      </c>
      <c r="W251" s="29">
        <f t="shared" ref="W251:W257" si="94">T251*U251</f>
        <v>3903125000</v>
      </c>
      <c r="X251" s="32">
        <f t="shared" ref="X251:X257" si="95">POWER(W251, 1/$X$1)</f>
        <v>82.848088372891596</v>
      </c>
      <c r="Y251" s="41">
        <v>263</v>
      </c>
      <c r="Z251" s="41">
        <v>31862139</v>
      </c>
      <c r="AA251" s="41">
        <v>1</v>
      </c>
      <c r="AC251" s="50">
        <v>250</v>
      </c>
      <c r="AD251" s="51">
        <f t="shared" si="51"/>
        <v>246808320</v>
      </c>
      <c r="AE251" s="51">
        <f t="shared" si="60"/>
        <v>177467316.44444445</v>
      </c>
      <c r="AF251" s="51">
        <f t="shared" si="52"/>
        <v>0</v>
      </c>
      <c r="AG251" s="55">
        <f t="shared" si="60"/>
        <v>0.66666666666666663</v>
      </c>
      <c r="AH251" s="29">
        <f>SUM($AF$2:AF251)</f>
        <v>140</v>
      </c>
      <c r="AI251" s="55">
        <f>SUM($AG$2:AG251)</f>
        <v>139.77777777777763</v>
      </c>
    </row>
    <row r="252" spans="1:35" x14ac:dyDescent="0.2">
      <c r="A252" s="48" t="s">
        <v>8855</v>
      </c>
      <c r="B252" s="29">
        <v>4</v>
      </c>
      <c r="C252" s="29">
        <v>3</v>
      </c>
      <c r="D252" s="29">
        <v>242</v>
      </c>
      <c r="E252" s="29">
        <v>1749</v>
      </c>
      <c r="F252" s="29">
        <v>10965</v>
      </c>
      <c r="G252" s="29">
        <v>1762</v>
      </c>
      <c r="H252" s="29">
        <v>40940</v>
      </c>
      <c r="I252" s="29">
        <v>5287</v>
      </c>
      <c r="J252" s="29">
        <v>39793680</v>
      </c>
      <c r="K252" s="29">
        <v>1034</v>
      </c>
      <c r="L252" s="29">
        <v>1747</v>
      </c>
      <c r="N252" s="33"/>
      <c r="O252" s="29">
        <f t="shared" si="89"/>
        <v>1390.5</v>
      </c>
      <c r="P252" s="31" cm="1">
        <f t="array" ref="P252">WPNFACTOR(C252)</f>
        <v>2.5</v>
      </c>
      <c r="Q252" s="33" cm="1">
        <f t="array" ref="Q252">HPFACTOr(C252)</f>
        <v>4</v>
      </c>
      <c r="R252" s="32">
        <f t="shared" si="90"/>
        <v>556.20000000000005</v>
      </c>
      <c r="S252" s="33">
        <f t="shared" si="91"/>
        <v>9948420</v>
      </c>
      <c r="T252" s="32">
        <f t="shared" si="92"/>
        <v>556.20000000000005</v>
      </c>
      <c r="U252" s="39">
        <f t="shared" si="93"/>
        <v>9948420</v>
      </c>
      <c r="V252" s="41">
        <f>VLOOKUP(D252,LevelXp!$A$1:'LevelXp'!$B$1000,2,)/5</f>
        <v>27343418</v>
      </c>
      <c r="W252" s="29">
        <f t="shared" si="94"/>
        <v>5533311204</v>
      </c>
      <c r="X252" s="32">
        <f t="shared" si="95"/>
        <v>88.837641315533844</v>
      </c>
      <c r="Y252" s="41">
        <v>263</v>
      </c>
      <c r="Z252" s="41">
        <v>27343418</v>
      </c>
      <c r="AA252" s="41">
        <v>1</v>
      </c>
      <c r="AC252" s="50">
        <v>251</v>
      </c>
      <c r="AD252" s="51">
        <f t="shared" si="51"/>
        <v>145972264</v>
      </c>
      <c r="AE252" s="51">
        <f t="shared" si="60"/>
        <v>165994827.66666666</v>
      </c>
      <c r="AF252" s="51">
        <f t="shared" si="52"/>
        <v>0</v>
      </c>
      <c r="AG252" s="55">
        <f t="shared" si="60"/>
        <v>0.66666666666666663</v>
      </c>
      <c r="AH252" s="29">
        <f>SUM($AF$2:AF252)</f>
        <v>140</v>
      </c>
      <c r="AI252" s="55">
        <f>SUM($AG$2:AG252)</f>
        <v>140.44444444444429</v>
      </c>
    </row>
    <row r="253" spans="1:35" x14ac:dyDescent="0.2">
      <c r="A253" s="48" t="s">
        <v>8847</v>
      </c>
      <c r="B253" s="29">
        <v>4</v>
      </c>
      <c r="C253" s="29">
        <v>3</v>
      </c>
      <c r="D253" s="29">
        <v>318</v>
      </c>
      <c r="E253" s="29">
        <v>1529</v>
      </c>
      <c r="F253" s="29">
        <v>6037</v>
      </c>
      <c r="G253" s="29">
        <v>1509</v>
      </c>
      <c r="H253" s="29">
        <v>30107</v>
      </c>
      <c r="I253" s="29">
        <v>2234</v>
      </c>
      <c r="J253" s="29">
        <v>38416532</v>
      </c>
      <c r="K253" s="29">
        <v>4253</v>
      </c>
      <c r="L253" s="29">
        <v>8490</v>
      </c>
      <c r="N253" s="33"/>
      <c r="O253" s="29">
        <f t="shared" si="89"/>
        <v>6371.5</v>
      </c>
      <c r="P253" s="31" cm="1">
        <f t="array" ref="P253">WPNFACTOR(C253)</f>
        <v>2.5</v>
      </c>
      <c r="Q253" s="33" cm="1">
        <f t="array" ref="Q253">HPFACTOr(C253)</f>
        <v>4</v>
      </c>
      <c r="R253" s="32">
        <f t="shared" si="90"/>
        <v>2548.6</v>
      </c>
      <c r="S253" s="33">
        <f t="shared" si="91"/>
        <v>9604133</v>
      </c>
      <c r="T253" s="32">
        <f t="shared" si="92"/>
        <v>2548.6</v>
      </c>
      <c r="U253" s="39">
        <f t="shared" si="93"/>
        <v>9604133</v>
      </c>
      <c r="V253" s="41">
        <f>VLOOKUP(D253,LevelXp!$A$1:'LevelXp'!$B$1000,2,)/5</f>
        <v>102273668</v>
      </c>
      <c r="W253" s="29">
        <f t="shared" si="94"/>
        <v>24477093363.799999</v>
      </c>
      <c r="X253" s="32">
        <f t="shared" si="95"/>
        <v>119.60572526511066</v>
      </c>
      <c r="Y253" s="41">
        <v>263</v>
      </c>
      <c r="Z253" s="41">
        <v>102273668</v>
      </c>
      <c r="AA253" s="41">
        <v>0</v>
      </c>
      <c r="AC253" s="50">
        <v>252</v>
      </c>
      <c r="AD253" s="51">
        <f t="shared" si="51"/>
        <v>215518312</v>
      </c>
      <c r="AE253" s="51">
        <f t="shared" si="60"/>
        <v>155878743</v>
      </c>
      <c r="AF253" s="51">
        <f t="shared" si="52"/>
        <v>1</v>
      </c>
      <c r="AG253" s="55">
        <f t="shared" si="60"/>
        <v>0.44444444444444442</v>
      </c>
      <c r="AH253" s="29">
        <f>SUM($AF$2:AF253)</f>
        <v>141</v>
      </c>
      <c r="AI253" s="55">
        <f>SUM($AG$2:AG253)</f>
        <v>140.88888888888874</v>
      </c>
    </row>
    <row r="254" spans="1:35" x14ac:dyDescent="0.2">
      <c r="A254" s="48" t="s">
        <v>8847</v>
      </c>
      <c r="B254" s="29">
        <v>5</v>
      </c>
      <c r="C254" s="29">
        <v>3</v>
      </c>
      <c r="D254" s="29">
        <v>320</v>
      </c>
      <c r="E254" s="29">
        <v>1541</v>
      </c>
      <c r="F254" s="29">
        <v>6087</v>
      </c>
      <c r="G254" s="29">
        <v>1521</v>
      </c>
      <c r="H254" s="29">
        <v>30476</v>
      </c>
      <c r="I254" s="29">
        <v>2253</v>
      </c>
      <c r="J254" s="29">
        <v>39131184</v>
      </c>
      <c r="K254" s="29">
        <v>4281</v>
      </c>
      <c r="L254" s="29">
        <v>8558</v>
      </c>
      <c r="N254" s="33"/>
      <c r="O254" s="29">
        <f t="shared" si="89"/>
        <v>6419.5</v>
      </c>
      <c r="P254" s="31" cm="1">
        <f t="array" ref="P254">WPNFACTOR(C254)</f>
        <v>2.5</v>
      </c>
      <c r="Q254" s="33" cm="1">
        <f t="array" ref="Q254">HPFACTOr(C254)</f>
        <v>4</v>
      </c>
      <c r="R254" s="32">
        <f t="shared" si="90"/>
        <v>2567.8000000000002</v>
      </c>
      <c r="S254" s="33">
        <f t="shared" si="91"/>
        <v>9782796</v>
      </c>
      <c r="T254" s="32">
        <f t="shared" si="92"/>
        <v>2567.8000000000002</v>
      </c>
      <c r="U254" s="39">
        <f t="shared" si="93"/>
        <v>9782796</v>
      </c>
      <c r="V254" s="41">
        <f>VLOOKUP(D254,LevelXp!$A$1:'LevelXp'!$B$1000,2,)/5</f>
        <v>105514978</v>
      </c>
      <c r="W254" s="29">
        <f t="shared" si="94"/>
        <v>25120263568.800003</v>
      </c>
      <c r="X254" s="32">
        <f t="shared" si="95"/>
        <v>120.22778288175581</v>
      </c>
      <c r="Y254" s="41">
        <v>264</v>
      </c>
      <c r="Z254" s="41">
        <v>105514978</v>
      </c>
      <c r="AA254" s="41">
        <v>0</v>
      </c>
      <c r="AC254" s="50">
        <v>253</v>
      </c>
      <c r="AD254" s="51">
        <f t="shared" si="51"/>
        <v>161046496</v>
      </c>
      <c r="AE254" s="51">
        <f t="shared" si="60"/>
        <v>167134251.66666666</v>
      </c>
      <c r="AF254" s="51">
        <f t="shared" si="52"/>
        <v>0</v>
      </c>
      <c r="AG254" s="55">
        <f t="shared" si="60"/>
        <v>0.44444444444444442</v>
      </c>
      <c r="AH254" s="29">
        <f>SUM($AF$2:AF254)</f>
        <v>141</v>
      </c>
      <c r="AI254" s="55">
        <f>SUM($AG$2:AG254)</f>
        <v>141.3333333333332</v>
      </c>
    </row>
    <row r="255" spans="1:35" x14ac:dyDescent="0.2">
      <c r="A255" s="48" t="s">
        <v>8859</v>
      </c>
      <c r="B255" s="29">
        <v>9</v>
      </c>
      <c r="C255" s="29">
        <v>3</v>
      </c>
      <c r="D255" s="29">
        <v>234</v>
      </c>
      <c r="E255" s="29">
        <v>4540</v>
      </c>
      <c r="F255" s="29">
        <v>9080</v>
      </c>
      <c r="G255" s="29">
        <v>4540</v>
      </c>
      <c r="H255" s="29">
        <v>22500</v>
      </c>
      <c r="I255" s="29">
        <v>4540</v>
      </c>
      <c r="J255" s="29">
        <v>52000000</v>
      </c>
      <c r="K255" s="29">
        <v>637</v>
      </c>
      <c r="L255" s="29">
        <v>885</v>
      </c>
      <c r="M255" s="29">
        <v>25</v>
      </c>
      <c r="N255" s="33">
        <v>25</v>
      </c>
      <c r="O255" s="29">
        <f t="shared" si="89"/>
        <v>761</v>
      </c>
      <c r="P255" s="31" cm="1">
        <f t="array" ref="P255">WPNFACTOR(C255)</f>
        <v>2.5</v>
      </c>
      <c r="Q255" s="33" cm="1">
        <f t="array" ref="Q255">HPFACTOr(C255)</f>
        <v>4</v>
      </c>
      <c r="R255" s="32">
        <f t="shared" si="90"/>
        <v>304.39999999999998</v>
      </c>
      <c r="S255" s="33">
        <f t="shared" si="91"/>
        <v>13000000</v>
      </c>
      <c r="T255" s="32">
        <f t="shared" si="92"/>
        <v>323.42499999999995</v>
      </c>
      <c r="U255" s="39">
        <f t="shared" si="93"/>
        <v>14344827.586206896</v>
      </c>
      <c r="V255" s="41">
        <f>VLOOKUP(D255,LevelXp!$A$1:'LevelXp'!$B$1000,2,)/5</f>
        <v>23374540</v>
      </c>
      <c r="W255" s="29">
        <f t="shared" si="94"/>
        <v>4639475862.068965</v>
      </c>
      <c r="X255" s="32">
        <f t="shared" si="95"/>
        <v>85.761779528695584</v>
      </c>
      <c r="Y255" s="41">
        <v>265</v>
      </c>
      <c r="Z255" s="41">
        <v>23374540</v>
      </c>
      <c r="AA255" s="41">
        <v>1</v>
      </c>
      <c r="AC255" s="50">
        <v>254</v>
      </c>
      <c r="AD255" s="51">
        <f t="shared" si="51"/>
        <v>200655806</v>
      </c>
      <c r="AE255" s="51">
        <f t="shared" si="60"/>
        <v>161040984.55555555</v>
      </c>
      <c r="AF255" s="51">
        <f t="shared" si="52"/>
        <v>0</v>
      </c>
      <c r="AG255" s="55">
        <f t="shared" si="60"/>
        <v>0.44444444444444442</v>
      </c>
      <c r="AH255" s="29">
        <f>SUM($AF$2:AF255)</f>
        <v>141</v>
      </c>
      <c r="AI255" s="55">
        <f>SUM($AG$2:AG255)</f>
        <v>141.77777777777766</v>
      </c>
    </row>
    <row r="256" spans="1:35" x14ac:dyDescent="0.2">
      <c r="A256" s="48" t="s">
        <v>8852</v>
      </c>
      <c r="B256" s="29">
        <v>9</v>
      </c>
      <c r="C256" s="29">
        <v>1</v>
      </c>
      <c r="D256" s="29">
        <v>395</v>
      </c>
      <c r="E256" s="29">
        <v>13540</v>
      </c>
      <c r="F256" s="29">
        <v>4745</v>
      </c>
      <c r="G256" s="29">
        <v>4720</v>
      </c>
      <c r="H256" s="29">
        <v>13260</v>
      </c>
      <c r="I256" s="29">
        <v>2910</v>
      </c>
      <c r="J256" s="29">
        <v>26254800</v>
      </c>
      <c r="K256" s="29">
        <v>700</v>
      </c>
      <c r="L256" s="29">
        <v>1629</v>
      </c>
      <c r="N256" s="33"/>
      <c r="O256" s="29">
        <f t="shared" si="89"/>
        <v>1164.5</v>
      </c>
      <c r="P256" s="31" cm="1">
        <f t="array" ref="P256">WPNFACTOR(C256)</f>
        <v>2</v>
      </c>
      <c r="Q256" s="33" cm="1">
        <f t="array" ref="Q256">HPFACTOr(C256)</f>
        <v>5</v>
      </c>
      <c r="R256" s="32">
        <f t="shared" si="90"/>
        <v>582.25</v>
      </c>
      <c r="S256" s="33">
        <f t="shared" si="91"/>
        <v>5250960</v>
      </c>
      <c r="T256" s="32">
        <f t="shared" si="92"/>
        <v>582.25</v>
      </c>
      <c r="U256" s="39">
        <f t="shared" si="93"/>
        <v>5250960</v>
      </c>
      <c r="V256" s="41">
        <f>VLOOKUP(D256,LevelXp!$A$1:'LevelXp'!$B$1000,2,)/5</f>
        <v>300000000</v>
      </c>
      <c r="W256" s="29">
        <f t="shared" si="94"/>
        <v>3057371460</v>
      </c>
      <c r="X256" s="32">
        <f t="shared" si="95"/>
        <v>78.898662569539823</v>
      </c>
      <c r="Y256" s="41">
        <v>265</v>
      </c>
      <c r="Z256" s="41">
        <v>300000000</v>
      </c>
      <c r="AA256" s="41">
        <v>1</v>
      </c>
      <c r="AC256" s="50">
        <v>255</v>
      </c>
      <c r="AD256" s="51">
        <f t="shared" si="51"/>
        <v>34945279</v>
      </c>
      <c r="AE256" s="51">
        <f t="shared" si="60"/>
        <v>165712664.77777779</v>
      </c>
      <c r="AF256" s="51">
        <f t="shared" si="52"/>
        <v>2</v>
      </c>
      <c r="AG256" s="55">
        <f t="shared" si="60"/>
        <v>0.55555555555555558</v>
      </c>
      <c r="AH256" s="29">
        <f>SUM($AF$2:AF256)</f>
        <v>143</v>
      </c>
      <c r="AI256" s="55">
        <f>SUM($AG$2:AG256)</f>
        <v>142.3333333333332</v>
      </c>
    </row>
    <row r="257" spans="1:35" x14ac:dyDescent="0.2">
      <c r="A257" s="48" t="s">
        <v>8847</v>
      </c>
      <c r="B257" s="29">
        <v>6</v>
      </c>
      <c r="C257" s="29">
        <v>2</v>
      </c>
      <c r="D257" s="29">
        <v>322</v>
      </c>
      <c r="E257" s="29">
        <v>1514</v>
      </c>
      <c r="F257" s="29">
        <v>1552</v>
      </c>
      <c r="G257" s="29">
        <v>6286</v>
      </c>
      <c r="H257" s="29">
        <v>29936</v>
      </c>
      <c r="I257" s="29">
        <v>2261</v>
      </c>
      <c r="J257" s="29">
        <v>19338656</v>
      </c>
      <c r="K257" s="29">
        <v>7752</v>
      </c>
      <c r="L257" s="29">
        <v>15493</v>
      </c>
      <c r="N257" s="33"/>
      <c r="O257" s="29">
        <f t="shared" si="89"/>
        <v>11622.5</v>
      </c>
      <c r="P257" s="31" cm="1">
        <f t="array" ref="P257">WPNFACTOR(C257)</f>
        <v>4.5</v>
      </c>
      <c r="Q257" s="33" cm="1">
        <f t="array" ref="Q257">HPFACTOr(C257)</f>
        <v>2</v>
      </c>
      <c r="R257" s="32">
        <f t="shared" si="90"/>
        <v>2582.7777777777778</v>
      </c>
      <c r="S257" s="33">
        <f t="shared" si="91"/>
        <v>9669328</v>
      </c>
      <c r="T257" s="32">
        <f t="shared" si="92"/>
        <v>2582.7777777777778</v>
      </c>
      <c r="U257" s="39">
        <f t="shared" si="93"/>
        <v>9669328</v>
      </c>
      <c r="V257" s="41">
        <f>VLOOKUP(D257,LevelXp!$A$1:'LevelXp'!$B$1000,2,)/5</f>
        <v>108847145</v>
      </c>
      <c r="W257" s="29">
        <f t="shared" si="94"/>
        <v>24973725484.444447</v>
      </c>
      <c r="X257" s="32">
        <f t="shared" si="95"/>
        <v>120.08718560763086</v>
      </c>
      <c r="Y257" s="41">
        <v>266</v>
      </c>
      <c r="Z257" s="41">
        <v>108847145</v>
      </c>
      <c r="AA257" s="41">
        <v>0</v>
      </c>
      <c r="AC257" s="50">
        <v>256</v>
      </c>
      <c r="AD257" s="51">
        <f t="shared" si="51"/>
        <v>150074365</v>
      </c>
      <c r="AE257" s="51">
        <f t="shared" si="60"/>
        <v>161953287.8888889</v>
      </c>
      <c r="AF257" s="51">
        <f t="shared" si="52"/>
        <v>0</v>
      </c>
      <c r="AG257" s="55">
        <f t="shared" si="60"/>
        <v>0.66666666666666663</v>
      </c>
      <c r="AH257" s="29">
        <f>SUM($AF$2:AF257)</f>
        <v>143</v>
      </c>
      <c r="AI257" s="55">
        <f>SUM($AG$2:AG257)</f>
        <v>142.99999999999986</v>
      </c>
    </row>
    <row r="258" spans="1:35" x14ac:dyDescent="0.2">
      <c r="A258" s="48" t="s">
        <v>2937</v>
      </c>
      <c r="B258" s="29">
        <v>300</v>
      </c>
      <c r="N258" s="33"/>
      <c r="Q258" s="33"/>
      <c r="S258" s="33"/>
      <c r="U258" s="39"/>
      <c r="V258" s="41">
        <f>VLOOKUP(B258,LevelXp!$D$1:'LevelXp'!$F$1000,3,)</f>
        <v>135142349</v>
      </c>
      <c r="Y258" s="41">
        <v>266</v>
      </c>
      <c r="Z258" s="41">
        <v>135142349</v>
      </c>
      <c r="AA258" s="41">
        <v>0</v>
      </c>
      <c r="AC258" s="50">
        <v>257</v>
      </c>
      <c r="AD258" s="51">
        <f t="shared" si="51"/>
        <v>157984599</v>
      </c>
      <c r="AE258" s="51">
        <f t="shared" si="60"/>
        <v>148677429.77777779</v>
      </c>
      <c r="AF258" s="51">
        <f t="shared" si="52"/>
        <v>0</v>
      </c>
      <c r="AG258" s="55">
        <f t="shared" si="60"/>
        <v>0.55555555555555558</v>
      </c>
      <c r="AH258" s="29">
        <f>SUM($AF$2:AF258)</f>
        <v>143</v>
      </c>
      <c r="AI258" s="55">
        <f>SUM($AG$2:AG258)</f>
        <v>143.5555555555554</v>
      </c>
    </row>
    <row r="259" spans="1:35" x14ac:dyDescent="0.2">
      <c r="A259" s="48" t="s">
        <v>8854</v>
      </c>
      <c r="B259" s="29">
        <v>2</v>
      </c>
      <c r="C259" s="29">
        <v>1</v>
      </c>
      <c r="D259" s="29">
        <v>257</v>
      </c>
      <c r="E259" s="29">
        <v>9722</v>
      </c>
      <c r="F259" s="29">
        <v>2404</v>
      </c>
      <c r="G259" s="29">
        <v>2426</v>
      </c>
      <c r="H259" s="29">
        <v>43730</v>
      </c>
      <c r="I259" s="29">
        <v>4764</v>
      </c>
      <c r="J259" s="29">
        <v>79681528</v>
      </c>
      <c r="K259" s="29">
        <v>279</v>
      </c>
      <c r="L259" s="29">
        <v>787</v>
      </c>
      <c r="N259" s="33"/>
      <c r="O259" s="29">
        <f t="shared" ref="O259:O264" si="96">AVERAGE(K259, L259)</f>
        <v>533</v>
      </c>
      <c r="P259" s="31" cm="1">
        <f t="array" ref="P259">WPNFACTOR(C259)</f>
        <v>2</v>
      </c>
      <c r="Q259" s="33" cm="1">
        <f t="array" ref="Q259">HPFACTOr(C259)</f>
        <v>5</v>
      </c>
      <c r="R259" s="32">
        <f t="shared" ref="R259:R264" si="97">O259/P259</f>
        <v>266.5</v>
      </c>
      <c r="S259" s="33">
        <f t="shared" ref="S259:S264" si="98">J259/Q259</f>
        <v>15936305.6</v>
      </c>
      <c r="T259" s="32">
        <f t="shared" ref="T259:T264" si="99">R259*(1 + (N259/400))</f>
        <v>266.5</v>
      </c>
      <c r="U259" s="39">
        <f t="shared" ref="U259:U264" si="100">S259*1.6/(1 + (0.6*(1 - (M259/100))))</f>
        <v>15936305.6</v>
      </c>
      <c r="V259" s="41">
        <f>VLOOKUP(D259,LevelXp!$A$1:'LevelXp'!$B$1000,2,)/5</f>
        <v>36305620</v>
      </c>
      <c r="W259" s="29">
        <f t="shared" ref="W259:W264" si="101">T259*U259</f>
        <v>4247025442.4000001</v>
      </c>
      <c r="X259" s="32">
        <f t="shared" ref="X259:X264" si="102">POWER(W259, 1/$X$1)</f>
        <v>84.259130376930131</v>
      </c>
      <c r="Y259" s="41">
        <v>267</v>
      </c>
      <c r="Z259" s="41">
        <v>36305620</v>
      </c>
      <c r="AA259" s="41">
        <v>1</v>
      </c>
      <c r="AC259" s="50">
        <v>258</v>
      </c>
      <c r="AD259" s="51">
        <f t="shared" ref="AD259:AD322" si="103">SUMIF($Y$2:$Y$682, AC259, $Z$2:$Z$682)</f>
        <v>136363420</v>
      </c>
      <c r="AE259" s="51">
        <f t="shared" si="60"/>
        <v>156063600.1111111</v>
      </c>
      <c r="AF259" s="51">
        <f t="shared" ref="AF259:AF322" si="104">SUMIF($Y$2:$Y$682, AC259, $AA$2:$AA$682)</f>
        <v>1</v>
      </c>
      <c r="AG259" s="55">
        <f t="shared" si="60"/>
        <v>0.55555555555555558</v>
      </c>
      <c r="AH259" s="29">
        <f>SUM($AF$2:AF259)</f>
        <v>144</v>
      </c>
      <c r="AI259" s="55">
        <f>SUM($AG$2:AG259)</f>
        <v>144.11111111111094</v>
      </c>
    </row>
    <row r="260" spans="1:35" x14ac:dyDescent="0.2">
      <c r="A260" s="48" t="s">
        <v>8847</v>
      </c>
      <c r="B260" s="29">
        <v>7</v>
      </c>
      <c r="C260" s="29">
        <v>1</v>
      </c>
      <c r="D260" s="29">
        <v>324</v>
      </c>
      <c r="E260" s="29">
        <v>6178</v>
      </c>
      <c r="F260" s="29">
        <v>2166</v>
      </c>
      <c r="G260" s="29">
        <v>2119</v>
      </c>
      <c r="H260" s="29">
        <v>31080</v>
      </c>
      <c r="I260" s="29">
        <v>1601</v>
      </c>
      <c r="J260" s="29">
        <v>50505000</v>
      </c>
      <c r="K260" s="29">
        <v>3468</v>
      </c>
      <c r="L260" s="29">
        <v>6932</v>
      </c>
      <c r="N260" s="33"/>
      <c r="O260" s="29">
        <f t="shared" si="96"/>
        <v>5200</v>
      </c>
      <c r="P260" s="31" cm="1">
        <f t="array" ref="P260">WPNFACTOR(C260)</f>
        <v>2</v>
      </c>
      <c r="Q260" s="33" cm="1">
        <f t="array" ref="Q260">HPFACTOr(C260)</f>
        <v>5</v>
      </c>
      <c r="R260" s="32">
        <f t="shared" si="97"/>
        <v>2600</v>
      </c>
      <c r="S260" s="33">
        <f t="shared" si="98"/>
        <v>10101000</v>
      </c>
      <c r="T260" s="32">
        <f t="shared" si="99"/>
        <v>2600</v>
      </c>
      <c r="U260" s="39">
        <f t="shared" si="100"/>
        <v>10101000</v>
      </c>
      <c r="V260" s="41">
        <f>VLOOKUP(D260,LevelXp!$A$1:'LevelXp'!$B$1000,2,)/5</f>
        <v>112265131</v>
      </c>
      <c r="W260" s="29">
        <f t="shared" si="101"/>
        <v>26262600000</v>
      </c>
      <c r="X260" s="32">
        <f t="shared" si="102"/>
        <v>121.30188334439995</v>
      </c>
      <c r="Y260" s="41">
        <v>267</v>
      </c>
      <c r="Z260" s="41">
        <v>112265131</v>
      </c>
      <c r="AA260" s="41">
        <v>0</v>
      </c>
      <c r="AC260" s="50">
        <v>259</v>
      </c>
      <c r="AD260" s="51">
        <f t="shared" si="103"/>
        <v>288853442</v>
      </c>
      <c r="AE260" s="51">
        <f t="shared" si="60"/>
        <v>151710646.66666666</v>
      </c>
      <c r="AF260" s="51">
        <f t="shared" si="104"/>
        <v>1</v>
      </c>
      <c r="AG260" s="55">
        <f t="shared" si="60"/>
        <v>0.77777777777777779</v>
      </c>
      <c r="AH260" s="29">
        <f>SUM($AF$2:AF260)</f>
        <v>145</v>
      </c>
      <c r="AI260" s="55">
        <f>SUM($AG$2:AG260)</f>
        <v>144.88888888888872</v>
      </c>
    </row>
    <row r="261" spans="1:35" x14ac:dyDescent="0.2">
      <c r="A261" s="48" t="s">
        <v>8847</v>
      </c>
      <c r="B261" s="29">
        <v>9</v>
      </c>
      <c r="C261" s="29">
        <v>2</v>
      </c>
      <c r="D261" s="29">
        <v>328</v>
      </c>
      <c r="E261" s="29">
        <v>1551</v>
      </c>
      <c r="F261" s="29">
        <v>1586</v>
      </c>
      <c r="G261" s="29">
        <v>6418</v>
      </c>
      <c r="H261" s="29">
        <v>31009</v>
      </c>
      <c r="I261" s="29">
        <v>2313</v>
      </c>
      <c r="J261" s="29">
        <v>20403922</v>
      </c>
      <c r="K261" s="29">
        <v>7923</v>
      </c>
      <c r="L261" s="29">
        <v>15777</v>
      </c>
      <c r="N261" s="33"/>
      <c r="O261" s="29">
        <f t="shared" si="96"/>
        <v>11850</v>
      </c>
      <c r="P261" s="31" cm="1">
        <f t="array" ref="P261">WPNFACTOR(C261)</f>
        <v>4.5</v>
      </c>
      <c r="Q261" s="33" cm="1">
        <f t="array" ref="Q261">HPFACTOr(C261)</f>
        <v>2</v>
      </c>
      <c r="R261" s="32">
        <f t="shared" si="97"/>
        <v>2633.3333333333335</v>
      </c>
      <c r="S261" s="33">
        <f t="shared" si="98"/>
        <v>10201961</v>
      </c>
      <c r="T261" s="32">
        <f t="shared" si="99"/>
        <v>2633.3333333333335</v>
      </c>
      <c r="U261" s="39">
        <f t="shared" si="100"/>
        <v>10201961</v>
      </c>
      <c r="V261" s="41">
        <f>VLOOKUP(D261,LevelXp!$A$1:'LevelXp'!$B$1000,2,)/5</f>
        <v>119373368</v>
      </c>
      <c r="W261" s="29">
        <f t="shared" si="101"/>
        <v>26865163966.666668</v>
      </c>
      <c r="X261" s="32">
        <f t="shared" si="102"/>
        <v>121.85346946272351</v>
      </c>
      <c r="Y261" s="41">
        <v>268</v>
      </c>
      <c r="Z261" s="41">
        <v>119373368</v>
      </c>
      <c r="AA261" s="41">
        <v>0</v>
      </c>
      <c r="AC261" s="50">
        <v>260</v>
      </c>
      <c r="AD261" s="51">
        <f t="shared" si="103"/>
        <v>112137872</v>
      </c>
      <c r="AE261" s="51">
        <f t="shared" si="60"/>
        <v>159551724.33333334</v>
      </c>
      <c r="AF261" s="51">
        <f t="shared" si="104"/>
        <v>1</v>
      </c>
      <c r="AG261" s="55">
        <f t="shared" si="60"/>
        <v>0.55555555555555558</v>
      </c>
      <c r="AH261" s="29">
        <f>SUM($AF$2:AF261)</f>
        <v>146</v>
      </c>
      <c r="AI261" s="55">
        <f>SUM($AG$2:AG261)</f>
        <v>145.44444444444426</v>
      </c>
    </row>
    <row r="262" spans="1:35" x14ac:dyDescent="0.2">
      <c r="A262" s="48" t="s">
        <v>8847</v>
      </c>
      <c r="B262" s="29">
        <v>8</v>
      </c>
      <c r="C262" s="29">
        <v>3</v>
      </c>
      <c r="D262" s="29">
        <v>326</v>
      </c>
      <c r="E262" s="29">
        <v>1575</v>
      </c>
      <c r="F262" s="29">
        <v>6230</v>
      </c>
      <c r="G262" s="29">
        <v>1557</v>
      </c>
      <c r="H262" s="29">
        <v>31476</v>
      </c>
      <c r="I262" s="29">
        <v>2309</v>
      </c>
      <c r="J262" s="29">
        <v>41170608</v>
      </c>
      <c r="K262" s="29">
        <v>4374</v>
      </c>
      <c r="L262" s="29">
        <v>8717</v>
      </c>
      <c r="N262" s="33"/>
      <c r="O262" s="29">
        <f t="shared" si="96"/>
        <v>6545.5</v>
      </c>
      <c r="P262" s="31" cm="1">
        <f t="array" ref="P262">WPNFACTOR(C262)</f>
        <v>2.5</v>
      </c>
      <c r="Q262" s="33" cm="1">
        <f t="array" ref="Q262">HPFACTOr(C262)</f>
        <v>4</v>
      </c>
      <c r="R262" s="32">
        <f t="shared" si="97"/>
        <v>2618.1999999999998</v>
      </c>
      <c r="S262" s="33">
        <f t="shared" si="98"/>
        <v>10292652</v>
      </c>
      <c r="T262" s="32">
        <f t="shared" si="99"/>
        <v>2618.1999999999998</v>
      </c>
      <c r="U262" s="39">
        <f t="shared" si="100"/>
        <v>10292652</v>
      </c>
      <c r="V262" s="41">
        <f>VLOOKUP(D262,LevelXp!$A$1:'LevelXp'!$B$1000,2,)/5</f>
        <v>115770753</v>
      </c>
      <c r="W262" s="29">
        <f t="shared" si="101"/>
        <v>26948221466.399998</v>
      </c>
      <c r="X262" s="32">
        <f t="shared" si="102"/>
        <v>121.92872194710124</v>
      </c>
      <c r="Y262" s="41">
        <v>268</v>
      </c>
      <c r="Z262" s="41">
        <v>115770753</v>
      </c>
      <c r="AA262" s="41">
        <v>0</v>
      </c>
      <c r="AC262" s="50">
        <v>261</v>
      </c>
      <c r="AD262" s="51">
        <f t="shared" si="103"/>
        <v>96035589</v>
      </c>
      <c r="AE262" s="51">
        <f t="shared" si="60"/>
        <v>178807299.33333334</v>
      </c>
      <c r="AF262" s="51">
        <f t="shared" si="104"/>
        <v>0</v>
      </c>
      <c r="AG262" s="55">
        <f t="shared" si="60"/>
        <v>0.77777777777777779</v>
      </c>
      <c r="AH262" s="29">
        <f>SUM($AF$2:AF262)</f>
        <v>146</v>
      </c>
      <c r="AI262" s="55">
        <f>SUM($AG$2:AG262)</f>
        <v>146.22222222222203</v>
      </c>
    </row>
    <row r="263" spans="1:35" x14ac:dyDescent="0.2">
      <c r="A263" s="48" t="s">
        <v>8858</v>
      </c>
      <c r="B263" s="29">
        <v>1</v>
      </c>
      <c r="C263" s="29">
        <v>2</v>
      </c>
      <c r="D263" s="29">
        <v>410</v>
      </c>
      <c r="E263" s="29">
        <v>7000</v>
      </c>
      <c r="F263" s="29">
        <v>7000</v>
      </c>
      <c r="G263" s="29">
        <v>20000</v>
      </c>
      <c r="H263" s="29">
        <v>18000</v>
      </c>
      <c r="I263" s="29">
        <v>4000</v>
      </c>
      <c r="J263" s="29">
        <v>10000000</v>
      </c>
      <c r="K263" s="29">
        <v>1416</v>
      </c>
      <c r="L263" s="29">
        <v>2290</v>
      </c>
      <c r="N263" s="33"/>
      <c r="O263" s="29">
        <f t="shared" si="96"/>
        <v>1853</v>
      </c>
      <c r="P263" s="31" cm="1">
        <f t="array" ref="P263">WPNFACTOR(C263)</f>
        <v>4.5</v>
      </c>
      <c r="Q263" s="33" cm="1">
        <f t="array" ref="Q263">HPFACTOr(C263)</f>
        <v>2</v>
      </c>
      <c r="R263" s="32">
        <f t="shared" si="97"/>
        <v>411.77777777777777</v>
      </c>
      <c r="S263" s="33">
        <f t="shared" si="98"/>
        <v>5000000</v>
      </c>
      <c r="T263" s="32">
        <f t="shared" si="99"/>
        <v>411.77777777777777</v>
      </c>
      <c r="U263" s="39">
        <f t="shared" si="100"/>
        <v>5000000</v>
      </c>
      <c r="V263" s="41">
        <f>VLOOKUP(D263,LevelXp!$A$1:'LevelXp'!$B$1000,2,)/5</f>
        <v>300000000</v>
      </c>
      <c r="W263" s="29">
        <f t="shared" si="101"/>
        <v>2058888888.8888888</v>
      </c>
      <c r="X263" s="32">
        <f t="shared" si="102"/>
        <v>72.899841148658609</v>
      </c>
      <c r="Y263" s="41">
        <v>269</v>
      </c>
      <c r="Z263" s="41">
        <v>300000000</v>
      </c>
      <c r="AA263" s="41">
        <v>1</v>
      </c>
      <c r="AC263" s="50">
        <v>262</v>
      </c>
      <c r="AD263" s="51">
        <f t="shared" si="103"/>
        <v>227522029</v>
      </c>
      <c r="AE263" s="51">
        <f t="shared" ref="AE263:AG326" si="105">AVERAGE(AD259:AD267)</f>
        <v>188363398.77777779</v>
      </c>
      <c r="AF263" s="51">
        <f t="shared" si="104"/>
        <v>0</v>
      </c>
      <c r="AG263" s="55">
        <f t="shared" si="105"/>
        <v>0.77777777777777779</v>
      </c>
      <c r="AH263" s="29">
        <f>SUM($AF$2:AF263)</f>
        <v>146</v>
      </c>
      <c r="AI263" s="55">
        <f>SUM($AG$2:AG263)</f>
        <v>146.9999999999998</v>
      </c>
    </row>
    <row r="264" spans="1:35" x14ac:dyDescent="0.2">
      <c r="A264" s="48" t="s">
        <v>8847</v>
      </c>
      <c r="B264" s="29">
        <v>10</v>
      </c>
      <c r="C264" s="29">
        <v>2</v>
      </c>
      <c r="D264" s="29">
        <v>330</v>
      </c>
      <c r="E264" s="29">
        <v>1567</v>
      </c>
      <c r="F264" s="29">
        <v>1600</v>
      </c>
      <c r="G264" s="29">
        <v>6468</v>
      </c>
      <c r="H264" s="29">
        <v>31581</v>
      </c>
      <c r="I264" s="29">
        <v>2326</v>
      </c>
      <c r="J264" s="29">
        <v>20906622</v>
      </c>
      <c r="K264" s="29">
        <v>7962</v>
      </c>
      <c r="L264" s="29">
        <v>15873</v>
      </c>
      <c r="N264" s="33"/>
      <c r="O264" s="29">
        <f t="shared" si="96"/>
        <v>11917.5</v>
      </c>
      <c r="P264" s="31" cm="1">
        <f t="array" ref="P264">WPNFACTOR(C264)</f>
        <v>4.5</v>
      </c>
      <c r="Q264" s="33" cm="1">
        <f t="array" ref="Q264">HPFACTOr(C264)</f>
        <v>2</v>
      </c>
      <c r="R264" s="32">
        <f t="shared" si="97"/>
        <v>2648.3333333333335</v>
      </c>
      <c r="S264" s="33">
        <f t="shared" si="98"/>
        <v>10453311</v>
      </c>
      <c r="T264" s="32">
        <f t="shared" si="99"/>
        <v>2648.3333333333335</v>
      </c>
      <c r="U264" s="39">
        <f t="shared" si="100"/>
        <v>10453311</v>
      </c>
      <c r="V264" s="41">
        <f>VLOOKUP(D264,LevelXp!$A$1:'LevelXp'!$B$1000,2,)/5</f>
        <v>123067419</v>
      </c>
      <c r="W264" s="29">
        <f t="shared" si="101"/>
        <v>27683851965</v>
      </c>
      <c r="X264" s="32">
        <f t="shared" si="102"/>
        <v>122.5872502896888</v>
      </c>
      <c r="Y264" s="41">
        <v>270</v>
      </c>
      <c r="Z264" s="41">
        <v>123067419</v>
      </c>
      <c r="AA264" s="41">
        <v>0</v>
      </c>
      <c r="AC264" s="50">
        <v>263</v>
      </c>
      <c r="AD264" s="51">
        <f t="shared" si="103"/>
        <v>161479225</v>
      </c>
      <c r="AE264" s="51">
        <f t="shared" si="105"/>
        <v>189719768.8888889</v>
      </c>
      <c r="AF264" s="51">
        <f t="shared" si="104"/>
        <v>2</v>
      </c>
      <c r="AG264" s="55">
        <f t="shared" si="105"/>
        <v>0.77777777777777779</v>
      </c>
      <c r="AH264" s="29">
        <f>SUM($AF$2:AF264)</f>
        <v>148</v>
      </c>
      <c r="AI264" s="55">
        <f>SUM($AG$2:AG264)</f>
        <v>147.77777777777757</v>
      </c>
    </row>
    <row r="265" spans="1:35" x14ac:dyDescent="0.2">
      <c r="A265" s="48" t="s">
        <v>2937</v>
      </c>
      <c r="B265" s="29">
        <v>310</v>
      </c>
      <c r="N265" s="33"/>
      <c r="Q265" s="33"/>
      <c r="S265" s="33"/>
      <c r="U265" s="39"/>
      <c r="V265" s="41">
        <f>VLOOKUP(B265,LevelXp!$D$1:'LevelXp'!$F$1000,3,)</f>
        <v>141966914</v>
      </c>
      <c r="Y265" s="41">
        <v>270</v>
      </c>
      <c r="Z265" s="41">
        <v>141966914</v>
      </c>
      <c r="AA265" s="41">
        <v>0</v>
      </c>
      <c r="AC265" s="50">
        <v>264</v>
      </c>
      <c r="AD265" s="51">
        <f t="shared" si="103"/>
        <v>105514978</v>
      </c>
      <c r="AE265" s="51">
        <f t="shared" si="105"/>
        <v>183752066.55555555</v>
      </c>
      <c r="AF265" s="51">
        <f t="shared" si="104"/>
        <v>0</v>
      </c>
      <c r="AG265" s="55">
        <f t="shared" si="105"/>
        <v>0.66666666666666663</v>
      </c>
      <c r="AH265" s="29">
        <f>SUM($AF$2:AF265)</f>
        <v>148</v>
      </c>
      <c r="AI265" s="55">
        <f>SUM($AG$2:AG265)</f>
        <v>148.44444444444423</v>
      </c>
    </row>
    <row r="266" spans="1:35" x14ac:dyDescent="0.2">
      <c r="A266" s="48" t="s">
        <v>8859</v>
      </c>
      <c r="B266" s="29">
        <v>10</v>
      </c>
      <c r="C266" s="29">
        <v>2</v>
      </c>
      <c r="D266" s="29">
        <v>240</v>
      </c>
      <c r="E266" s="29">
        <v>4900</v>
      </c>
      <c r="F266" s="29">
        <v>4900</v>
      </c>
      <c r="G266" s="29">
        <v>9800</v>
      </c>
      <c r="H266" s="29">
        <v>25500</v>
      </c>
      <c r="I266" s="29">
        <v>4900</v>
      </c>
      <c r="J266" s="29">
        <v>61000000</v>
      </c>
      <c r="K266" s="29">
        <v>663</v>
      </c>
      <c r="L266" s="29">
        <v>909</v>
      </c>
      <c r="M266" s="29">
        <v>25</v>
      </c>
      <c r="N266" s="33">
        <v>25</v>
      </c>
      <c r="O266" s="29">
        <f t="shared" ref="O266:O274" si="106">AVERAGE(K266, L266)</f>
        <v>786</v>
      </c>
      <c r="P266" s="31" cm="1">
        <f t="array" ref="P266">WPNFACTOR(C266)</f>
        <v>4.5</v>
      </c>
      <c r="Q266" s="33" cm="1">
        <f t="array" ref="Q266">HPFACTOr(C266)</f>
        <v>2</v>
      </c>
      <c r="R266" s="32">
        <f t="shared" ref="R266:R274" si="107">O266/P266</f>
        <v>174.66666666666666</v>
      </c>
      <c r="S266" s="33">
        <f t="shared" ref="S266:S274" si="108">J266/Q266</f>
        <v>30500000</v>
      </c>
      <c r="T266" s="32">
        <f t="shared" ref="T266:T274" si="109">R266*(1 + (N266/400))</f>
        <v>185.58333333333331</v>
      </c>
      <c r="U266" s="39">
        <f t="shared" ref="U266:U274" si="110">S266*1.6/(1 + (0.6*(1 - (M266/100))))</f>
        <v>33655172.413793102</v>
      </c>
      <c r="V266" s="41">
        <f>VLOOKUP(D266,LevelXp!$A$1:'LevelXp'!$B$1000,2,)/5</f>
        <v>26302843</v>
      </c>
      <c r="W266" s="29">
        <f t="shared" ref="W266:W274" si="111">T266*U266</f>
        <v>6245839080.4597692</v>
      </c>
      <c r="X266" s="32">
        <f t="shared" ref="X266:X274" si="112">POWER(W266, 1/$X$1)</f>
        <v>91.01608656851127</v>
      </c>
      <c r="Y266" s="41">
        <v>271</v>
      </c>
      <c r="Z266" s="41">
        <v>26302843</v>
      </c>
      <c r="AA266" s="41">
        <v>1</v>
      </c>
      <c r="AC266" s="50">
        <v>265</v>
      </c>
      <c r="AD266" s="51">
        <f t="shared" si="103"/>
        <v>323374540</v>
      </c>
      <c r="AE266" s="51">
        <f t="shared" si="105"/>
        <v>204625636.33333334</v>
      </c>
      <c r="AF266" s="51">
        <f t="shared" si="104"/>
        <v>2</v>
      </c>
      <c r="AG266" s="55">
        <f t="shared" si="105"/>
        <v>0.66666666666666663</v>
      </c>
      <c r="AH266" s="29">
        <f>SUM($AF$2:AF266)</f>
        <v>150</v>
      </c>
      <c r="AI266" s="55">
        <f>SUM($AG$2:AG266)</f>
        <v>149.11111111111089</v>
      </c>
    </row>
    <row r="267" spans="1:35" x14ac:dyDescent="0.2">
      <c r="A267" s="48" t="s">
        <v>8848</v>
      </c>
      <c r="B267" s="29">
        <v>1</v>
      </c>
      <c r="C267" s="29">
        <v>1</v>
      </c>
      <c r="D267" s="29">
        <v>332</v>
      </c>
      <c r="E267" s="29">
        <v>6290</v>
      </c>
      <c r="F267" s="29">
        <v>2184</v>
      </c>
      <c r="G267" s="29">
        <v>2129</v>
      </c>
      <c r="H267" s="29">
        <v>31229</v>
      </c>
      <c r="I267" s="29">
        <v>1638</v>
      </c>
      <c r="J267" s="29">
        <v>51996284</v>
      </c>
      <c r="K267" s="29">
        <v>3552</v>
      </c>
      <c r="L267" s="29">
        <v>7099</v>
      </c>
      <c r="N267" s="33"/>
      <c r="O267" s="29">
        <f t="shared" si="106"/>
        <v>5325.5</v>
      </c>
      <c r="P267" s="31" cm="1">
        <f t="array" ref="P267">WPNFACTOR(C267)</f>
        <v>2</v>
      </c>
      <c r="Q267" s="33" cm="1">
        <f t="array" ref="Q267">HPFACTOr(C267)</f>
        <v>5</v>
      </c>
      <c r="R267" s="32">
        <f t="shared" si="107"/>
        <v>2662.75</v>
      </c>
      <c r="S267" s="33">
        <f t="shared" si="108"/>
        <v>10399256.800000001</v>
      </c>
      <c r="T267" s="32">
        <f t="shared" si="109"/>
        <v>2662.75</v>
      </c>
      <c r="U267" s="39">
        <f t="shared" si="110"/>
        <v>10399256.800000001</v>
      </c>
      <c r="V267" s="41">
        <f>VLOOKUP(D267,LevelXp!$A$1:'LevelXp'!$B$1000,2,)/5</f>
        <v>126854805</v>
      </c>
      <c r="W267" s="29">
        <f t="shared" si="111"/>
        <v>27690621044.200001</v>
      </c>
      <c r="X267" s="32">
        <f t="shared" si="112"/>
        <v>122.59324455421407</v>
      </c>
      <c r="Y267" s="41">
        <v>271</v>
      </c>
      <c r="Z267" s="41">
        <v>126854805</v>
      </c>
      <c r="AA267" s="41">
        <v>0</v>
      </c>
      <c r="AC267" s="50">
        <v>266</v>
      </c>
      <c r="AD267" s="51">
        <f t="shared" si="103"/>
        <v>243989494</v>
      </c>
      <c r="AE267" s="51">
        <f t="shared" si="105"/>
        <v>223403274.55555555</v>
      </c>
      <c r="AF267" s="51">
        <f t="shared" si="104"/>
        <v>0</v>
      </c>
      <c r="AG267" s="55">
        <f t="shared" si="105"/>
        <v>0.66666666666666663</v>
      </c>
      <c r="AH267" s="29">
        <f>SUM($AF$2:AF267)</f>
        <v>150</v>
      </c>
      <c r="AI267" s="55">
        <f>SUM($AG$2:AG267)</f>
        <v>149.77777777777754</v>
      </c>
    </row>
    <row r="268" spans="1:35" x14ac:dyDescent="0.2">
      <c r="A268" s="48" t="s">
        <v>8854</v>
      </c>
      <c r="B268" s="29">
        <v>3</v>
      </c>
      <c r="C268" s="29">
        <v>3</v>
      </c>
      <c r="D268" s="29">
        <v>265</v>
      </c>
      <c r="E268" s="29">
        <v>1550</v>
      </c>
      <c r="F268" s="29">
        <v>11290</v>
      </c>
      <c r="G268" s="29">
        <v>1560</v>
      </c>
      <c r="H268" s="29">
        <v>44000</v>
      </c>
      <c r="I268" s="29">
        <v>4800</v>
      </c>
      <c r="J268" s="29">
        <v>68425000</v>
      </c>
      <c r="K268" s="29">
        <v>681</v>
      </c>
      <c r="L268" s="29">
        <v>727</v>
      </c>
      <c r="N268" s="33"/>
      <c r="O268" s="29">
        <f t="shared" si="106"/>
        <v>704</v>
      </c>
      <c r="P268" s="31" cm="1">
        <f t="array" ref="P268">WPNFACTOR(C268)</f>
        <v>2.5</v>
      </c>
      <c r="Q268" s="33" cm="1">
        <f t="array" ref="Q268">HPFACTOr(C268)</f>
        <v>4</v>
      </c>
      <c r="R268" s="32">
        <f t="shared" si="107"/>
        <v>281.60000000000002</v>
      </c>
      <c r="S268" s="33">
        <f t="shared" si="108"/>
        <v>17106250</v>
      </c>
      <c r="T268" s="32">
        <f t="shared" si="109"/>
        <v>281.60000000000002</v>
      </c>
      <c r="U268" s="39">
        <f t="shared" si="110"/>
        <v>17106250</v>
      </c>
      <c r="V268" s="41">
        <f>VLOOKUP(D268,LevelXp!$A$1:'LevelXp'!$B$1000,2,)/5</f>
        <v>42016588</v>
      </c>
      <c r="W268" s="29">
        <f t="shared" si="111"/>
        <v>4817120000</v>
      </c>
      <c r="X268" s="32">
        <f t="shared" si="112"/>
        <v>86.408704322672548</v>
      </c>
      <c r="Y268" s="41">
        <v>272</v>
      </c>
      <c r="Z268" s="41">
        <v>42016588</v>
      </c>
      <c r="AA268" s="41">
        <v>1</v>
      </c>
      <c r="AC268" s="50">
        <v>267</v>
      </c>
      <c r="AD268" s="51">
        <f t="shared" si="103"/>
        <v>148570751</v>
      </c>
      <c r="AE268" s="51">
        <f t="shared" si="105"/>
        <v>215140565.55555555</v>
      </c>
      <c r="AF268" s="51">
        <f t="shared" si="104"/>
        <v>1</v>
      </c>
      <c r="AG268" s="55">
        <f t="shared" si="105"/>
        <v>0.77777777777777779</v>
      </c>
      <c r="AH268" s="29">
        <f>SUM($AF$2:AF268)</f>
        <v>151</v>
      </c>
      <c r="AI268" s="55">
        <f>SUM($AG$2:AG268)</f>
        <v>150.55555555555532</v>
      </c>
    </row>
    <row r="269" spans="1:35" x14ac:dyDescent="0.2">
      <c r="A269" s="48" t="s">
        <v>8848</v>
      </c>
      <c r="B269" s="29">
        <v>2</v>
      </c>
      <c r="C269" s="29">
        <v>2</v>
      </c>
      <c r="D269" s="29">
        <v>334</v>
      </c>
      <c r="E269" s="29">
        <v>1562</v>
      </c>
      <c r="F269" s="29">
        <v>1605</v>
      </c>
      <c r="G269" s="29">
        <v>6508</v>
      </c>
      <c r="H269" s="29">
        <v>30613</v>
      </c>
      <c r="I269" s="29">
        <v>2333</v>
      </c>
      <c r="J269" s="29">
        <v>20510710</v>
      </c>
      <c r="K269" s="29">
        <v>8052</v>
      </c>
      <c r="L269" s="29">
        <v>16062</v>
      </c>
      <c r="N269" s="33"/>
      <c r="O269" s="29">
        <f t="shared" si="106"/>
        <v>12057</v>
      </c>
      <c r="P269" s="31" cm="1">
        <f t="array" ref="P269">WPNFACTOR(C269)</f>
        <v>4.5</v>
      </c>
      <c r="Q269" s="33" cm="1">
        <f t="array" ref="Q269">HPFACTOr(C269)</f>
        <v>2</v>
      </c>
      <c r="R269" s="32">
        <f t="shared" si="107"/>
        <v>2679.3333333333335</v>
      </c>
      <c r="S269" s="33">
        <f t="shared" si="108"/>
        <v>10255355</v>
      </c>
      <c r="T269" s="32">
        <f t="shared" si="109"/>
        <v>2679.3333333333335</v>
      </c>
      <c r="U269" s="39">
        <f t="shared" si="110"/>
        <v>10255355</v>
      </c>
      <c r="V269" s="41">
        <f>VLOOKUP(D269,LevelXp!$A$1:'LevelXp'!$B$1000,2,)/5</f>
        <v>130745487</v>
      </c>
      <c r="W269" s="29">
        <f t="shared" si="111"/>
        <v>27477514496.666668</v>
      </c>
      <c r="X269" s="32">
        <f t="shared" si="112"/>
        <v>122.403965875637</v>
      </c>
      <c r="Y269" s="41">
        <v>272</v>
      </c>
      <c r="Z269" s="41">
        <v>130745487</v>
      </c>
      <c r="AA269" s="41">
        <v>0</v>
      </c>
      <c r="AC269" s="50">
        <v>268</v>
      </c>
      <c r="AD269" s="51">
        <f t="shared" si="103"/>
        <v>235144121</v>
      </c>
      <c r="AE269" s="51">
        <f t="shared" si="105"/>
        <v>216394215.55555555</v>
      </c>
      <c r="AF269" s="51">
        <f t="shared" si="104"/>
        <v>0</v>
      </c>
      <c r="AG269" s="55">
        <f t="shared" si="105"/>
        <v>0.66666666666666663</v>
      </c>
      <c r="AH269" s="29">
        <f>SUM($AF$2:AF269)</f>
        <v>151</v>
      </c>
      <c r="AI269" s="55">
        <f>SUM($AG$2:AG269)</f>
        <v>151.22222222222197</v>
      </c>
    </row>
    <row r="270" spans="1:35" x14ac:dyDescent="0.2">
      <c r="A270" s="48" t="s">
        <v>8860</v>
      </c>
      <c r="B270" s="29">
        <v>1</v>
      </c>
      <c r="C270" s="29">
        <v>2</v>
      </c>
      <c r="D270" s="29">
        <v>240</v>
      </c>
      <c r="E270" s="29">
        <v>4900</v>
      </c>
      <c r="F270" s="29">
        <v>4900</v>
      </c>
      <c r="G270" s="29">
        <v>9800</v>
      </c>
      <c r="H270" s="29">
        <v>25500</v>
      </c>
      <c r="I270" s="29">
        <v>4900</v>
      </c>
      <c r="J270" s="29">
        <v>61000000</v>
      </c>
      <c r="K270" s="29">
        <v>662</v>
      </c>
      <c r="L270" s="29">
        <v>908</v>
      </c>
      <c r="M270" s="29">
        <v>25</v>
      </c>
      <c r="N270" s="33">
        <v>25</v>
      </c>
      <c r="O270" s="29">
        <f t="shared" si="106"/>
        <v>785</v>
      </c>
      <c r="P270" s="31" cm="1">
        <f t="array" ref="P270">WPNFACTOR(C270)</f>
        <v>4.5</v>
      </c>
      <c r="Q270" s="33" cm="1">
        <f t="array" ref="Q270">HPFACTOr(C270)</f>
        <v>2</v>
      </c>
      <c r="R270" s="32">
        <f t="shared" si="107"/>
        <v>174.44444444444446</v>
      </c>
      <c r="S270" s="33">
        <f t="shared" si="108"/>
        <v>30500000</v>
      </c>
      <c r="T270" s="32">
        <f t="shared" si="109"/>
        <v>185.34722222222223</v>
      </c>
      <c r="U270" s="39">
        <f t="shared" si="110"/>
        <v>33655172.413793102</v>
      </c>
      <c r="V270" s="41">
        <f>VLOOKUP(D270,LevelXp!$A$1:'LevelXp'!$B$1000,2,)/5</f>
        <v>26302843</v>
      </c>
      <c r="W270" s="29">
        <f t="shared" si="111"/>
        <v>6237892720.3065138</v>
      </c>
      <c r="X270" s="32">
        <f t="shared" si="112"/>
        <v>90.992915464038774</v>
      </c>
      <c r="Y270" s="41">
        <v>273</v>
      </c>
      <c r="Z270" s="41">
        <v>26302843</v>
      </c>
      <c r="AA270" s="41">
        <v>1</v>
      </c>
      <c r="AC270" s="50">
        <v>269</v>
      </c>
      <c r="AD270" s="51">
        <f t="shared" si="103"/>
        <v>300000000</v>
      </c>
      <c r="AE270" s="51">
        <f t="shared" si="105"/>
        <v>222563266.77777779</v>
      </c>
      <c r="AF270" s="51">
        <f t="shared" si="104"/>
        <v>1</v>
      </c>
      <c r="AG270" s="55">
        <f t="shared" si="105"/>
        <v>0.77777777777777779</v>
      </c>
      <c r="AH270" s="29">
        <f>SUM($AF$2:AF270)</f>
        <v>152</v>
      </c>
      <c r="AI270" s="55">
        <f>SUM($AG$2:AG270)</f>
        <v>151.99999999999974</v>
      </c>
    </row>
    <row r="271" spans="1:35" x14ac:dyDescent="0.2">
      <c r="A271" s="48" t="s">
        <v>8848</v>
      </c>
      <c r="B271" s="29">
        <v>3</v>
      </c>
      <c r="C271" s="29">
        <v>3</v>
      </c>
      <c r="D271" s="29">
        <v>336</v>
      </c>
      <c r="E271" s="29">
        <v>1617</v>
      </c>
      <c r="F271" s="29">
        <v>6384</v>
      </c>
      <c r="G271" s="29">
        <v>1596</v>
      </c>
      <c r="H271" s="29">
        <v>31878</v>
      </c>
      <c r="I271" s="29">
        <v>2362</v>
      </c>
      <c r="J271" s="29">
        <v>42971544</v>
      </c>
      <c r="K271" s="29">
        <v>4493</v>
      </c>
      <c r="L271" s="29">
        <v>8978</v>
      </c>
      <c r="N271" s="33"/>
      <c r="O271" s="29">
        <f t="shared" si="106"/>
        <v>6735.5</v>
      </c>
      <c r="P271" s="31" cm="1">
        <f t="array" ref="P271">WPNFACTOR(C271)</f>
        <v>2.5</v>
      </c>
      <c r="Q271" s="33" cm="1">
        <f t="array" ref="Q271">HPFACTOr(C271)</f>
        <v>4</v>
      </c>
      <c r="R271" s="32">
        <f t="shared" si="107"/>
        <v>2694.2</v>
      </c>
      <c r="S271" s="33">
        <f t="shared" si="108"/>
        <v>10742886</v>
      </c>
      <c r="T271" s="32">
        <f t="shared" si="109"/>
        <v>2694.2</v>
      </c>
      <c r="U271" s="39">
        <f t="shared" si="110"/>
        <v>10742886</v>
      </c>
      <c r="V271" s="41">
        <f>VLOOKUP(D271,LevelXp!$A$1:'LevelXp'!$B$1000,2,)/5</f>
        <v>134733596</v>
      </c>
      <c r="W271" s="29">
        <f t="shared" si="111"/>
        <v>28943483461.199997</v>
      </c>
      <c r="X271" s="32">
        <f t="shared" si="112"/>
        <v>123.68304244422072</v>
      </c>
      <c r="Y271" s="41">
        <v>273</v>
      </c>
      <c r="Z271" s="41">
        <v>134733596</v>
      </c>
      <c r="AA271" s="41">
        <v>0</v>
      </c>
      <c r="AC271" s="50">
        <v>270</v>
      </c>
      <c r="AD271" s="51">
        <f t="shared" si="103"/>
        <v>265034333</v>
      </c>
      <c r="AE271" s="51">
        <f t="shared" si="105"/>
        <v>217948297.22222221</v>
      </c>
      <c r="AF271" s="51">
        <f t="shared" si="104"/>
        <v>0</v>
      </c>
      <c r="AG271" s="55">
        <f t="shared" si="105"/>
        <v>0.55555555555555558</v>
      </c>
      <c r="AH271" s="29">
        <f>SUM($AF$2:AF271)</f>
        <v>152</v>
      </c>
      <c r="AI271" s="55">
        <f>SUM($AG$2:AG271)</f>
        <v>152.55555555555529</v>
      </c>
    </row>
    <row r="272" spans="1:35" x14ac:dyDescent="0.2">
      <c r="A272" s="48" t="s">
        <v>8848</v>
      </c>
      <c r="B272" s="29">
        <v>5</v>
      </c>
      <c r="C272" s="29">
        <v>2</v>
      </c>
      <c r="D272" s="29">
        <v>340</v>
      </c>
      <c r="E272" s="29">
        <v>1597</v>
      </c>
      <c r="F272" s="29">
        <v>1638</v>
      </c>
      <c r="G272" s="29">
        <v>6636</v>
      </c>
      <c r="H272" s="29">
        <v>31537</v>
      </c>
      <c r="I272" s="29">
        <v>2386</v>
      </c>
      <c r="J272" s="29">
        <v>21508234</v>
      </c>
      <c r="K272" s="29">
        <v>8187</v>
      </c>
      <c r="L272" s="29">
        <v>16361</v>
      </c>
      <c r="N272" s="33"/>
      <c r="O272" s="29">
        <f t="shared" si="106"/>
        <v>12274</v>
      </c>
      <c r="P272" s="31" cm="1">
        <f t="array" ref="P272">WPNFACTOR(C272)</f>
        <v>4.5</v>
      </c>
      <c r="Q272" s="33" cm="1">
        <f t="array" ref="Q272">HPFACTOr(C272)</f>
        <v>2</v>
      </c>
      <c r="R272" s="32">
        <f t="shared" si="107"/>
        <v>2727.5555555555557</v>
      </c>
      <c r="S272" s="33">
        <f t="shared" si="108"/>
        <v>10754117</v>
      </c>
      <c r="T272" s="32">
        <f t="shared" si="109"/>
        <v>2727.5555555555557</v>
      </c>
      <c r="U272" s="39">
        <f t="shared" si="110"/>
        <v>10754116.999999998</v>
      </c>
      <c r="V272" s="41">
        <f>VLOOKUP(D272,LevelXp!$A$1:'LevelXp'!$B$1000,2,)/5</f>
        <v>143018630</v>
      </c>
      <c r="W272" s="29">
        <f t="shared" si="111"/>
        <v>29332451568.444439</v>
      </c>
      <c r="X272" s="32">
        <f t="shared" si="112"/>
        <v>124.01370211499091</v>
      </c>
      <c r="Y272" s="41">
        <v>274</v>
      </c>
      <c r="Z272" s="41">
        <v>143018630</v>
      </c>
      <c r="AA272" s="41">
        <v>0</v>
      </c>
      <c r="AC272" s="50">
        <v>271</v>
      </c>
      <c r="AD272" s="51">
        <f t="shared" si="103"/>
        <v>153157648</v>
      </c>
      <c r="AE272" s="51">
        <f t="shared" si="105"/>
        <v>223624508</v>
      </c>
      <c r="AF272" s="51">
        <f t="shared" si="104"/>
        <v>1</v>
      </c>
      <c r="AG272" s="55">
        <f t="shared" si="105"/>
        <v>0.55555555555555558</v>
      </c>
      <c r="AH272" s="29">
        <f>SUM($AF$2:AF272)</f>
        <v>153</v>
      </c>
      <c r="AI272" s="55">
        <f>SUM($AG$2:AG272)</f>
        <v>153.11111111111083</v>
      </c>
    </row>
    <row r="273" spans="1:35" x14ac:dyDescent="0.2">
      <c r="A273" s="48" t="s">
        <v>8848</v>
      </c>
      <c r="B273" s="29">
        <v>4</v>
      </c>
      <c r="C273" s="29">
        <v>1</v>
      </c>
      <c r="D273" s="29">
        <v>338</v>
      </c>
      <c r="E273" s="29">
        <v>6426</v>
      </c>
      <c r="F273" s="29">
        <v>2242</v>
      </c>
      <c r="G273" s="29">
        <v>2190</v>
      </c>
      <c r="H273" s="29">
        <v>32126</v>
      </c>
      <c r="I273" s="29">
        <v>1669</v>
      </c>
      <c r="J273" s="29">
        <v>54453568</v>
      </c>
      <c r="K273" s="29">
        <v>3618</v>
      </c>
      <c r="L273" s="29">
        <v>7226</v>
      </c>
      <c r="N273" s="33"/>
      <c r="O273" s="29">
        <f t="shared" si="106"/>
        <v>5422</v>
      </c>
      <c r="P273" s="31" cm="1">
        <f t="array" ref="P273">WPNFACTOR(C273)</f>
        <v>2</v>
      </c>
      <c r="Q273" s="33" cm="1">
        <f t="array" ref="Q273">HPFACTOr(C273)</f>
        <v>5</v>
      </c>
      <c r="R273" s="32">
        <f t="shared" si="107"/>
        <v>2711</v>
      </c>
      <c r="S273" s="33">
        <f t="shared" si="108"/>
        <v>10890713.6</v>
      </c>
      <c r="T273" s="32">
        <f t="shared" si="109"/>
        <v>2711</v>
      </c>
      <c r="U273" s="39">
        <f t="shared" si="110"/>
        <v>10890713.6</v>
      </c>
      <c r="V273" s="41">
        <f>VLOOKUP(D273,LevelXp!$A$1:'LevelXp'!$B$1000,2,)/5</f>
        <v>138821184</v>
      </c>
      <c r="W273" s="29">
        <f t="shared" si="111"/>
        <v>29524724569.599998</v>
      </c>
      <c r="X273" s="32">
        <f t="shared" si="112"/>
        <v>124.17585843222298</v>
      </c>
      <c r="Y273" s="41">
        <v>274</v>
      </c>
      <c r="Z273" s="41">
        <v>138821184</v>
      </c>
      <c r="AA273" s="41">
        <v>0</v>
      </c>
      <c r="AC273" s="50">
        <v>272</v>
      </c>
      <c r="AD273" s="51">
        <f t="shared" si="103"/>
        <v>172762075</v>
      </c>
      <c r="AE273" s="51">
        <f t="shared" si="105"/>
        <v>218492173.77777779</v>
      </c>
      <c r="AF273" s="51">
        <f t="shared" si="104"/>
        <v>1</v>
      </c>
      <c r="AG273" s="55">
        <f t="shared" si="105"/>
        <v>0.66666666666666663</v>
      </c>
      <c r="AH273" s="29">
        <f>SUM($AF$2:AF273)</f>
        <v>154</v>
      </c>
      <c r="AI273" s="55">
        <f>SUM($AG$2:AG273)</f>
        <v>153.77777777777749</v>
      </c>
    </row>
    <row r="274" spans="1:35" x14ac:dyDescent="0.2">
      <c r="A274" s="48" t="s">
        <v>8848</v>
      </c>
      <c r="B274" s="29">
        <v>6</v>
      </c>
      <c r="C274" s="29">
        <v>1</v>
      </c>
      <c r="D274" s="29">
        <v>342</v>
      </c>
      <c r="E274" s="29">
        <v>6525</v>
      </c>
      <c r="F274" s="29">
        <v>2289</v>
      </c>
      <c r="G274" s="29">
        <v>2240</v>
      </c>
      <c r="H274" s="29">
        <v>32862</v>
      </c>
      <c r="I274" s="29">
        <v>1690</v>
      </c>
      <c r="J274" s="29">
        <v>56358328</v>
      </c>
      <c r="K274" s="29">
        <v>3659</v>
      </c>
      <c r="L274" s="29">
        <v>7313</v>
      </c>
      <c r="N274" s="33"/>
      <c r="O274" s="29">
        <f t="shared" si="106"/>
        <v>5486</v>
      </c>
      <c r="P274" s="31" cm="1">
        <f t="array" ref="P274">WPNFACTOR(C274)</f>
        <v>2</v>
      </c>
      <c r="Q274" s="33" cm="1">
        <f t="array" ref="Q274">HPFACTOr(C274)</f>
        <v>5</v>
      </c>
      <c r="R274" s="32">
        <f t="shared" si="107"/>
        <v>2743</v>
      </c>
      <c r="S274" s="33">
        <f t="shared" si="108"/>
        <v>11271665.6</v>
      </c>
      <c r="T274" s="32">
        <f t="shared" si="109"/>
        <v>2743</v>
      </c>
      <c r="U274" s="39">
        <f t="shared" si="110"/>
        <v>11271665.6</v>
      </c>
      <c r="V274" s="41">
        <f>VLOOKUP(D274,LevelXp!$A$1:'LevelXp'!$B$1000,2,)/5</f>
        <v>147319803</v>
      </c>
      <c r="W274" s="29">
        <f t="shared" si="111"/>
        <v>30918178740.799999</v>
      </c>
      <c r="X274" s="32">
        <f t="shared" si="112"/>
        <v>125.32646232269531</v>
      </c>
      <c r="Y274" s="41">
        <v>275</v>
      </c>
      <c r="Z274" s="41">
        <v>147319803</v>
      </c>
      <c r="AA274" s="41">
        <v>0</v>
      </c>
      <c r="AC274" s="50">
        <v>273</v>
      </c>
      <c r="AD274" s="51">
        <f t="shared" si="103"/>
        <v>161036439</v>
      </c>
      <c r="AE274" s="51">
        <f t="shared" si="105"/>
        <v>212320725.66666666</v>
      </c>
      <c r="AF274" s="51">
        <f t="shared" si="104"/>
        <v>1</v>
      </c>
      <c r="AG274" s="55">
        <f t="shared" si="105"/>
        <v>0.77777777777777779</v>
      </c>
      <c r="AH274" s="29">
        <f>SUM($AF$2:AF274)</f>
        <v>155</v>
      </c>
      <c r="AI274" s="55">
        <f>SUM($AG$2:AG274)</f>
        <v>154.55555555555526</v>
      </c>
    </row>
    <row r="275" spans="1:35" x14ac:dyDescent="0.2">
      <c r="A275" s="48" t="s">
        <v>2937</v>
      </c>
      <c r="B275" s="29">
        <v>320</v>
      </c>
      <c r="N275" s="33"/>
      <c r="Q275" s="33"/>
      <c r="S275" s="33"/>
      <c r="U275" s="39"/>
      <c r="V275" s="41">
        <f>VLOOKUP(B275,LevelXp!$D$1:'LevelXp'!$F$1000,3,)</f>
        <v>147755588</v>
      </c>
      <c r="Y275" s="41">
        <v>275</v>
      </c>
      <c r="Z275" s="41">
        <v>147755588</v>
      </c>
      <c r="AA275" s="41">
        <v>0</v>
      </c>
      <c r="AC275" s="50">
        <v>274</v>
      </c>
      <c r="AD275" s="51">
        <f t="shared" si="103"/>
        <v>281839814</v>
      </c>
      <c r="AE275" s="51">
        <f t="shared" si="105"/>
        <v>200458312.1111111</v>
      </c>
      <c r="AF275" s="51">
        <f t="shared" si="104"/>
        <v>0</v>
      </c>
      <c r="AG275" s="55">
        <f t="shared" si="105"/>
        <v>0.77777777777777779</v>
      </c>
      <c r="AH275" s="29">
        <f>SUM($AF$2:AF275)</f>
        <v>155</v>
      </c>
      <c r="AI275" s="55">
        <f>SUM($AG$2:AG275)</f>
        <v>155.33333333333303</v>
      </c>
    </row>
    <row r="276" spans="1:35" x14ac:dyDescent="0.2">
      <c r="A276" s="48" t="s">
        <v>8854</v>
      </c>
      <c r="B276" s="29">
        <v>4</v>
      </c>
      <c r="C276" s="29">
        <v>3</v>
      </c>
      <c r="D276" s="29">
        <v>272</v>
      </c>
      <c r="E276" s="29">
        <v>1965</v>
      </c>
      <c r="F276" s="29">
        <v>12320</v>
      </c>
      <c r="G276" s="29">
        <v>1980</v>
      </c>
      <c r="H276" s="29">
        <v>46000</v>
      </c>
      <c r="I276" s="29">
        <v>5940</v>
      </c>
      <c r="J276" s="29">
        <v>73970000</v>
      </c>
      <c r="K276" s="29">
        <v>466</v>
      </c>
      <c r="L276" s="29">
        <v>989</v>
      </c>
      <c r="N276" s="33"/>
      <c r="O276" s="29">
        <f t="shared" ref="O276:O286" si="113">AVERAGE(K276, L276)</f>
        <v>727.5</v>
      </c>
      <c r="P276" s="31" cm="1">
        <f t="array" ref="P276">WPNFACTOR(C276)</f>
        <v>2.5</v>
      </c>
      <c r="Q276" s="33" cm="1">
        <f t="array" ref="Q276">HPFACTOr(C276)</f>
        <v>4</v>
      </c>
      <c r="R276" s="32">
        <f t="shared" ref="R276:R286" si="114">O276/P276</f>
        <v>291</v>
      </c>
      <c r="S276" s="33">
        <f t="shared" ref="S276:S286" si="115">J276/Q276</f>
        <v>18492500</v>
      </c>
      <c r="T276" s="32">
        <f t="shared" ref="T276:T286" si="116">R276*(1 + (N276/400))</f>
        <v>291</v>
      </c>
      <c r="U276" s="39">
        <f t="shared" ref="U276:U286" si="117">S276*1.6/(1 + (0.6*(1 - (M276/100))))</f>
        <v>18492500</v>
      </c>
      <c r="V276" s="41">
        <f>VLOOKUP(D276,LevelXp!$A$1:'LevelXp'!$B$1000,2,)/5</f>
        <v>47615630</v>
      </c>
      <c r="W276" s="29">
        <f t="shared" ref="W276:W286" si="118">T276*U276</f>
        <v>5381317500</v>
      </c>
      <c r="X276" s="32">
        <f t="shared" ref="X276:X286" si="119">POWER(W276, 1/$X$1)</f>
        <v>88.344135093831156</v>
      </c>
      <c r="Y276" s="41">
        <v>276</v>
      </c>
      <c r="Z276" s="41">
        <v>47615630</v>
      </c>
      <c r="AA276" s="41">
        <v>1</v>
      </c>
      <c r="AC276" s="50">
        <v>275</v>
      </c>
      <c r="AD276" s="51">
        <f t="shared" si="103"/>
        <v>295075391</v>
      </c>
      <c r="AE276" s="51">
        <f t="shared" si="105"/>
        <v>196915164.22222221</v>
      </c>
      <c r="AF276" s="51">
        <f t="shared" si="104"/>
        <v>0</v>
      </c>
      <c r="AG276" s="55">
        <f t="shared" si="105"/>
        <v>1</v>
      </c>
      <c r="AH276" s="29">
        <f>SUM($AF$2:AF276)</f>
        <v>155</v>
      </c>
      <c r="AI276" s="55">
        <f>SUM($AG$2:AG276)</f>
        <v>156.33333333333303</v>
      </c>
    </row>
    <row r="277" spans="1:35" x14ac:dyDescent="0.2">
      <c r="A277" s="48" t="s">
        <v>8854</v>
      </c>
      <c r="B277" s="29">
        <v>5</v>
      </c>
      <c r="C277" s="29">
        <v>2</v>
      </c>
      <c r="D277" s="29">
        <v>280</v>
      </c>
      <c r="E277" s="29">
        <v>3869</v>
      </c>
      <c r="F277" s="29">
        <v>3865</v>
      </c>
      <c r="G277" s="29">
        <v>12249</v>
      </c>
      <c r="H277" s="29">
        <v>49255</v>
      </c>
      <c r="I277" s="29">
        <v>7662</v>
      </c>
      <c r="J277" s="29">
        <v>39995056</v>
      </c>
      <c r="K277" s="29">
        <v>764</v>
      </c>
      <c r="L277" s="29">
        <v>1927</v>
      </c>
      <c r="N277" s="33"/>
      <c r="O277" s="29">
        <f t="shared" si="113"/>
        <v>1345.5</v>
      </c>
      <c r="P277" s="31" cm="1">
        <f t="array" ref="P277">WPNFACTOR(C277)</f>
        <v>4.5</v>
      </c>
      <c r="Q277" s="33" cm="1">
        <f t="array" ref="Q277">HPFACTOr(C277)</f>
        <v>2</v>
      </c>
      <c r="R277" s="32">
        <f t="shared" si="114"/>
        <v>299</v>
      </c>
      <c r="S277" s="33">
        <f t="shared" si="115"/>
        <v>19997528</v>
      </c>
      <c r="T277" s="32">
        <f t="shared" si="116"/>
        <v>299</v>
      </c>
      <c r="U277" s="39">
        <f t="shared" si="117"/>
        <v>19997528</v>
      </c>
      <c r="V277" s="41">
        <f>VLOOKUP(D277,LevelXp!$A$1:'LevelXp'!$B$1000,2,)/5</f>
        <v>54764113</v>
      </c>
      <c r="W277" s="29">
        <f t="shared" si="118"/>
        <v>5979260872</v>
      </c>
      <c r="X277" s="32">
        <f t="shared" si="119"/>
        <v>90.22554215689749</v>
      </c>
      <c r="Y277" s="41">
        <v>276</v>
      </c>
      <c r="Z277" s="41">
        <v>54764113</v>
      </c>
      <c r="AA277" s="41">
        <v>1</v>
      </c>
      <c r="AC277" s="50">
        <v>276</v>
      </c>
      <c r="AD277" s="51">
        <f t="shared" si="103"/>
        <v>102379743</v>
      </c>
      <c r="AE277" s="51">
        <f t="shared" si="105"/>
        <v>236269307.77777779</v>
      </c>
      <c r="AF277" s="51">
        <f t="shared" si="104"/>
        <v>2</v>
      </c>
      <c r="AG277" s="55">
        <f t="shared" si="105"/>
        <v>1</v>
      </c>
      <c r="AH277" s="29">
        <f>SUM($AF$2:AF277)</f>
        <v>157</v>
      </c>
      <c r="AI277" s="55">
        <f>SUM($AG$2:AG277)</f>
        <v>157.33333333333303</v>
      </c>
    </row>
    <row r="278" spans="1:35" x14ac:dyDescent="0.2">
      <c r="A278" s="48" t="s">
        <v>8860</v>
      </c>
      <c r="B278" s="29">
        <v>2</v>
      </c>
      <c r="C278" s="29">
        <v>1</v>
      </c>
      <c r="D278" s="29">
        <v>243</v>
      </c>
      <c r="E278" s="29">
        <v>10160</v>
      </c>
      <c r="F278" s="29">
        <v>5080</v>
      </c>
      <c r="G278" s="29">
        <v>5080</v>
      </c>
      <c r="H278" s="29">
        <v>27000</v>
      </c>
      <c r="I278" s="29">
        <v>5080</v>
      </c>
      <c r="J278" s="29">
        <v>65500000</v>
      </c>
      <c r="K278" s="29">
        <v>673</v>
      </c>
      <c r="L278" s="29">
        <v>922</v>
      </c>
      <c r="M278" s="29">
        <v>25</v>
      </c>
      <c r="N278" s="33">
        <v>25</v>
      </c>
      <c r="O278" s="29">
        <f t="shared" si="113"/>
        <v>797.5</v>
      </c>
      <c r="P278" s="31" cm="1">
        <f t="array" ref="P278">WPNFACTOR(C278)</f>
        <v>2</v>
      </c>
      <c r="Q278" s="33" cm="1">
        <f t="array" ref="Q278">HPFACTOr(C278)</f>
        <v>5</v>
      </c>
      <c r="R278" s="32">
        <f t="shared" si="114"/>
        <v>398.75</v>
      </c>
      <c r="S278" s="33">
        <f t="shared" si="115"/>
        <v>13100000</v>
      </c>
      <c r="T278" s="32">
        <f t="shared" si="116"/>
        <v>423.671875</v>
      </c>
      <c r="U278" s="39">
        <f t="shared" si="117"/>
        <v>14455172.413793104</v>
      </c>
      <c r="V278" s="41">
        <f>VLOOKUP(D278,LevelXp!$A$1:'LevelXp'!$B$1000,2,)/5</f>
        <v>27874231</v>
      </c>
      <c r="W278" s="29">
        <f t="shared" si="118"/>
        <v>6124250000</v>
      </c>
      <c r="X278" s="32">
        <f t="shared" si="119"/>
        <v>90.658928574422418</v>
      </c>
      <c r="Y278" s="41">
        <v>277</v>
      </c>
      <c r="Z278" s="41">
        <v>27874231</v>
      </c>
      <c r="AA278" s="41">
        <v>1</v>
      </c>
      <c r="AC278" s="50">
        <v>277</v>
      </c>
      <c r="AD278" s="51">
        <f t="shared" si="103"/>
        <v>179601088</v>
      </c>
      <c r="AE278" s="51">
        <f t="shared" si="105"/>
        <v>250406855</v>
      </c>
      <c r="AF278" s="51">
        <f t="shared" si="104"/>
        <v>1</v>
      </c>
      <c r="AG278" s="55">
        <f t="shared" si="105"/>
        <v>1</v>
      </c>
      <c r="AH278" s="29">
        <f>SUM($AF$2:AF278)</f>
        <v>158</v>
      </c>
      <c r="AI278" s="55">
        <f>SUM($AG$2:AG278)</f>
        <v>158.33333333333303</v>
      </c>
    </row>
    <row r="279" spans="1:35" x14ac:dyDescent="0.2">
      <c r="A279" s="48" t="s">
        <v>8848</v>
      </c>
      <c r="B279" s="29">
        <v>7</v>
      </c>
      <c r="C279" s="29">
        <v>3</v>
      </c>
      <c r="D279" s="29">
        <v>344</v>
      </c>
      <c r="E279" s="29">
        <v>1661</v>
      </c>
      <c r="F279" s="29">
        <v>6567</v>
      </c>
      <c r="G279" s="29">
        <v>1641</v>
      </c>
      <c r="H279" s="29">
        <v>33110</v>
      </c>
      <c r="I279" s="29">
        <v>2433</v>
      </c>
      <c r="J279" s="29">
        <v>45691800</v>
      </c>
      <c r="K279" s="29">
        <v>4600</v>
      </c>
      <c r="L279" s="29">
        <v>9187</v>
      </c>
      <c r="N279" s="33"/>
      <c r="O279" s="29">
        <f t="shared" si="113"/>
        <v>6893.5</v>
      </c>
      <c r="P279" s="31" cm="1">
        <f t="array" ref="P279">WPNFACTOR(C279)</f>
        <v>2.5</v>
      </c>
      <c r="Q279" s="33" cm="1">
        <f t="array" ref="Q279">HPFACTOr(C279)</f>
        <v>4</v>
      </c>
      <c r="R279" s="32">
        <f t="shared" si="114"/>
        <v>2757.4</v>
      </c>
      <c r="S279" s="33">
        <f t="shared" si="115"/>
        <v>11422950</v>
      </c>
      <c r="T279" s="32">
        <f t="shared" si="116"/>
        <v>2757.4</v>
      </c>
      <c r="U279" s="39">
        <f t="shared" si="117"/>
        <v>11422950</v>
      </c>
      <c r="V279" s="41">
        <f>VLOOKUP(D279,LevelXp!$A$1:'LevelXp'!$B$1000,2,)/5</f>
        <v>151726857</v>
      </c>
      <c r="W279" s="29">
        <f t="shared" si="118"/>
        <v>31497642330</v>
      </c>
      <c r="X279" s="32">
        <f t="shared" si="119"/>
        <v>125.79274939833431</v>
      </c>
      <c r="Y279" s="41">
        <v>277</v>
      </c>
      <c r="Z279" s="41">
        <v>151726857</v>
      </c>
      <c r="AA279" s="41">
        <v>0</v>
      </c>
      <c r="AC279" s="50">
        <v>278</v>
      </c>
      <c r="AD279" s="51">
        <f t="shared" si="103"/>
        <v>193238278</v>
      </c>
      <c r="AE279" s="51">
        <f t="shared" si="105"/>
        <v>254739921.77777779</v>
      </c>
      <c r="AF279" s="51">
        <f t="shared" si="104"/>
        <v>1</v>
      </c>
      <c r="AG279" s="55">
        <f t="shared" si="105"/>
        <v>1</v>
      </c>
      <c r="AH279" s="29">
        <f>SUM($AF$2:AF279)</f>
        <v>159</v>
      </c>
      <c r="AI279" s="55">
        <f>SUM($AG$2:AG279)</f>
        <v>159.33333333333303</v>
      </c>
    </row>
    <row r="280" spans="1:35" x14ac:dyDescent="0.2">
      <c r="A280" s="48" t="s">
        <v>8855</v>
      </c>
      <c r="B280" s="29">
        <v>5</v>
      </c>
      <c r="C280" s="29">
        <v>3</v>
      </c>
      <c r="D280" s="29">
        <v>258</v>
      </c>
      <c r="E280" s="29">
        <v>3559</v>
      </c>
      <c r="F280" s="29">
        <v>11269</v>
      </c>
      <c r="G280" s="29">
        <v>3559</v>
      </c>
      <c r="H280" s="29">
        <v>45315</v>
      </c>
      <c r="I280" s="29">
        <v>7049</v>
      </c>
      <c r="J280" s="29">
        <v>46946340</v>
      </c>
      <c r="K280" s="29">
        <v>1102</v>
      </c>
      <c r="L280" s="29">
        <v>1861</v>
      </c>
      <c r="N280" s="33"/>
      <c r="O280" s="29">
        <f t="shared" si="113"/>
        <v>1481.5</v>
      </c>
      <c r="P280" s="31" cm="1">
        <f t="array" ref="P280">WPNFACTOR(C280)</f>
        <v>2.5</v>
      </c>
      <c r="Q280" s="33" cm="1">
        <f t="array" ref="Q280">HPFACTOr(C280)</f>
        <v>4</v>
      </c>
      <c r="R280" s="32">
        <f t="shared" si="114"/>
        <v>592.6</v>
      </c>
      <c r="S280" s="33">
        <f t="shared" si="115"/>
        <v>11736585</v>
      </c>
      <c r="T280" s="32">
        <f t="shared" si="116"/>
        <v>592.6</v>
      </c>
      <c r="U280" s="39">
        <f t="shared" si="117"/>
        <v>11736585</v>
      </c>
      <c r="V280" s="41">
        <f>VLOOKUP(D280,LevelXp!$A$1:'LevelXp'!$B$1000,2,)/5</f>
        <v>36987473</v>
      </c>
      <c r="W280" s="29">
        <f t="shared" si="118"/>
        <v>6955100271</v>
      </c>
      <c r="X280" s="32">
        <f t="shared" si="119"/>
        <v>92.995231334509043</v>
      </c>
      <c r="Y280" s="41">
        <v>278</v>
      </c>
      <c r="Z280" s="41">
        <v>36987473</v>
      </c>
      <c r="AA280" s="41">
        <v>1</v>
      </c>
      <c r="AC280" s="50">
        <v>279</v>
      </c>
      <c r="AD280" s="51">
        <f t="shared" si="103"/>
        <v>233146002</v>
      </c>
      <c r="AE280" s="51">
        <f t="shared" si="105"/>
        <v>251346031.55555555</v>
      </c>
      <c r="AF280" s="51">
        <f t="shared" si="104"/>
        <v>2</v>
      </c>
      <c r="AG280" s="55">
        <f t="shared" si="105"/>
        <v>1.2222222222222223</v>
      </c>
      <c r="AH280" s="29">
        <f>SUM($AF$2:AF280)</f>
        <v>161</v>
      </c>
      <c r="AI280" s="55">
        <f>SUM($AG$2:AG280)</f>
        <v>160.55555555555526</v>
      </c>
    </row>
    <row r="281" spans="1:35" x14ac:dyDescent="0.2">
      <c r="A281" s="48" t="s">
        <v>8848</v>
      </c>
      <c r="B281" s="29">
        <v>8</v>
      </c>
      <c r="C281" s="29">
        <v>3</v>
      </c>
      <c r="D281" s="29">
        <v>346</v>
      </c>
      <c r="E281" s="29">
        <v>1671</v>
      </c>
      <c r="F281" s="29">
        <v>6608</v>
      </c>
      <c r="G281" s="29">
        <v>1652</v>
      </c>
      <c r="H281" s="29">
        <v>33352</v>
      </c>
      <c r="I281" s="29">
        <v>2449</v>
      </c>
      <c r="J281" s="29">
        <v>46292576</v>
      </c>
      <c r="K281" s="29">
        <v>4636</v>
      </c>
      <c r="L281" s="29">
        <v>9250</v>
      </c>
      <c r="N281" s="33"/>
      <c r="O281" s="29">
        <f t="shared" si="113"/>
        <v>6943</v>
      </c>
      <c r="P281" s="31" cm="1">
        <f t="array" ref="P281">WPNFACTOR(C281)</f>
        <v>2.5</v>
      </c>
      <c r="Q281" s="33" cm="1">
        <f t="array" ref="Q281">HPFACTOr(C281)</f>
        <v>4</v>
      </c>
      <c r="R281" s="32">
        <f t="shared" si="114"/>
        <v>2777.2</v>
      </c>
      <c r="S281" s="33">
        <f t="shared" si="115"/>
        <v>11573144</v>
      </c>
      <c r="T281" s="32">
        <f t="shared" si="116"/>
        <v>2777.2</v>
      </c>
      <c r="U281" s="39">
        <f t="shared" si="117"/>
        <v>11573144</v>
      </c>
      <c r="V281" s="41">
        <f>VLOOKUP(D281,LevelXp!$A$1:'LevelXp'!$B$1000,2,)/5</f>
        <v>156250805</v>
      </c>
      <c r="W281" s="29">
        <f t="shared" si="118"/>
        <v>32140935516.799999</v>
      </c>
      <c r="X281" s="32">
        <f t="shared" si="119"/>
        <v>126.30242896444302</v>
      </c>
      <c r="Y281" s="41">
        <v>278</v>
      </c>
      <c r="Z281" s="41">
        <v>156250805</v>
      </c>
      <c r="AA281" s="41">
        <v>0</v>
      </c>
      <c r="AC281" s="50">
        <v>280</v>
      </c>
      <c r="AD281" s="51">
        <f t="shared" si="103"/>
        <v>507344940</v>
      </c>
      <c r="AE281" s="51">
        <f t="shared" si="105"/>
        <v>238058892</v>
      </c>
      <c r="AF281" s="51">
        <f t="shared" si="104"/>
        <v>1</v>
      </c>
      <c r="AG281" s="55">
        <f t="shared" si="105"/>
        <v>1.2222222222222223</v>
      </c>
      <c r="AH281" s="29">
        <f>SUM($AF$2:AF281)</f>
        <v>162</v>
      </c>
      <c r="AI281" s="55">
        <f>SUM($AG$2:AG281)</f>
        <v>161.77777777777749</v>
      </c>
    </row>
    <row r="282" spans="1:35" x14ac:dyDescent="0.2">
      <c r="A282" s="48" t="s">
        <v>8856</v>
      </c>
      <c r="B282" s="29">
        <v>2</v>
      </c>
      <c r="C282" s="29">
        <v>1</v>
      </c>
      <c r="D282" s="29">
        <v>240</v>
      </c>
      <c r="E282" s="29">
        <v>10965</v>
      </c>
      <c r="F282" s="29">
        <v>1762</v>
      </c>
      <c r="G282" s="29">
        <v>12000</v>
      </c>
      <c r="H282" s="29">
        <v>40500</v>
      </c>
      <c r="I282" s="29">
        <v>5000</v>
      </c>
      <c r="J282" s="29">
        <v>55687500</v>
      </c>
      <c r="K282" s="29">
        <v>840</v>
      </c>
      <c r="L282" s="29">
        <v>1439</v>
      </c>
      <c r="M282" s="29">
        <v>10</v>
      </c>
      <c r="N282" s="33">
        <v>30</v>
      </c>
      <c r="O282" s="29">
        <f t="shared" si="113"/>
        <v>1139.5</v>
      </c>
      <c r="P282" s="31" cm="1">
        <f t="array" ref="P282">WPNFACTOR(C282)</f>
        <v>2</v>
      </c>
      <c r="Q282" s="33" cm="1">
        <f t="array" ref="Q282">HPFACTOr(C282)</f>
        <v>5</v>
      </c>
      <c r="R282" s="32">
        <f t="shared" si="114"/>
        <v>569.75</v>
      </c>
      <c r="S282" s="33">
        <f t="shared" si="115"/>
        <v>11137500</v>
      </c>
      <c r="T282" s="32">
        <f t="shared" si="116"/>
        <v>612.48124999999993</v>
      </c>
      <c r="U282" s="39">
        <f t="shared" si="117"/>
        <v>11571428.571428571</v>
      </c>
      <c r="V282" s="41">
        <f>VLOOKUP(D282,LevelXp!$A$1:'LevelXp'!$B$1000,2,)/5</f>
        <v>26302843</v>
      </c>
      <c r="W282" s="29">
        <f t="shared" si="118"/>
        <v>7087283035.7142849</v>
      </c>
      <c r="X282" s="32">
        <f t="shared" si="119"/>
        <v>93.346052187789851</v>
      </c>
      <c r="Y282" s="41">
        <v>279</v>
      </c>
      <c r="Z282" s="41">
        <v>26302843</v>
      </c>
      <c r="AA282" s="41">
        <v>1</v>
      </c>
      <c r="AC282" s="50">
        <v>281</v>
      </c>
      <c r="AD282" s="51">
        <f t="shared" si="103"/>
        <v>300000000</v>
      </c>
      <c r="AE282" s="51">
        <f t="shared" si="105"/>
        <v>277685489</v>
      </c>
      <c r="AF282" s="51">
        <f t="shared" si="104"/>
        <v>1</v>
      </c>
      <c r="AG282" s="55">
        <f t="shared" si="105"/>
        <v>1.1111111111111112</v>
      </c>
      <c r="AH282" s="29">
        <f>SUM($AF$2:AF282)</f>
        <v>163</v>
      </c>
      <c r="AI282" s="55">
        <f>SUM($AG$2:AG282)</f>
        <v>162.8888888888886</v>
      </c>
    </row>
    <row r="283" spans="1:35" x14ac:dyDescent="0.2">
      <c r="A283" s="48" t="s">
        <v>8856</v>
      </c>
      <c r="B283" s="29">
        <v>3</v>
      </c>
      <c r="C283" s="29">
        <v>2</v>
      </c>
      <c r="D283" s="29">
        <v>270</v>
      </c>
      <c r="E283" s="29">
        <v>4000</v>
      </c>
      <c r="F283" s="29">
        <v>4000</v>
      </c>
      <c r="G283" s="29">
        <v>11500</v>
      </c>
      <c r="H283" s="29">
        <v>51000</v>
      </c>
      <c r="I283" s="29">
        <v>7500</v>
      </c>
      <c r="J283" s="29">
        <v>31416000</v>
      </c>
      <c r="K283" s="29">
        <v>2126</v>
      </c>
      <c r="L283" s="29">
        <v>3643</v>
      </c>
      <c r="M283" s="29">
        <v>35</v>
      </c>
      <c r="N283" s="33">
        <v>30</v>
      </c>
      <c r="O283" s="29">
        <f t="shared" si="113"/>
        <v>2884.5</v>
      </c>
      <c r="P283" s="31" cm="1">
        <f t="array" ref="P283">WPNFACTOR(C283)</f>
        <v>4.5</v>
      </c>
      <c r="Q283" s="33" cm="1">
        <f t="array" ref="Q283">HPFACTOr(C283)</f>
        <v>2</v>
      </c>
      <c r="R283" s="32">
        <f t="shared" si="114"/>
        <v>641</v>
      </c>
      <c r="S283" s="33">
        <f t="shared" si="115"/>
        <v>15708000</v>
      </c>
      <c r="T283" s="32">
        <f t="shared" si="116"/>
        <v>689.07499999999993</v>
      </c>
      <c r="U283" s="39">
        <f t="shared" si="117"/>
        <v>18081151.079136688</v>
      </c>
      <c r="V283" s="41">
        <f>VLOOKUP(D283,LevelXp!$A$1:'LevelXp'!$B$1000,2,)/5</f>
        <v>45958126</v>
      </c>
      <c r="W283" s="29">
        <f t="shared" si="118"/>
        <v>12459269179.856112</v>
      </c>
      <c r="X283" s="32">
        <f t="shared" si="119"/>
        <v>104.49572265715751</v>
      </c>
      <c r="Y283" s="41">
        <v>279</v>
      </c>
      <c r="Z283" s="41">
        <v>45958126</v>
      </c>
      <c r="AA283" s="41">
        <v>1</v>
      </c>
      <c r="AC283" s="50">
        <v>282</v>
      </c>
      <c r="AD283" s="51">
        <f t="shared" si="103"/>
        <v>200034040</v>
      </c>
      <c r="AE283" s="51">
        <f t="shared" si="105"/>
        <v>298445107.66666669</v>
      </c>
      <c r="AF283" s="51">
        <f t="shared" si="104"/>
        <v>1</v>
      </c>
      <c r="AG283" s="55">
        <f t="shared" si="105"/>
        <v>1</v>
      </c>
      <c r="AH283" s="29">
        <f>SUM($AF$2:AF283)</f>
        <v>164</v>
      </c>
      <c r="AI283" s="55">
        <f>SUM($AG$2:AG283)</f>
        <v>163.8888888888886</v>
      </c>
    </row>
    <row r="284" spans="1:35" x14ac:dyDescent="0.2">
      <c r="A284" s="48" t="s">
        <v>8848</v>
      </c>
      <c r="B284" s="29">
        <v>9</v>
      </c>
      <c r="C284" s="29">
        <v>2</v>
      </c>
      <c r="D284" s="29">
        <v>348</v>
      </c>
      <c r="E284" s="29">
        <v>1648</v>
      </c>
      <c r="F284" s="29">
        <v>1685</v>
      </c>
      <c r="G284" s="29">
        <v>6813</v>
      </c>
      <c r="H284" s="29">
        <v>33038</v>
      </c>
      <c r="I284" s="29">
        <v>2454</v>
      </c>
      <c r="J284" s="29">
        <v>23060524</v>
      </c>
      <c r="K284" s="29">
        <v>8377</v>
      </c>
      <c r="L284" s="29">
        <v>16743</v>
      </c>
      <c r="N284" s="33"/>
      <c r="O284" s="29">
        <f t="shared" si="113"/>
        <v>12560</v>
      </c>
      <c r="P284" s="31" cm="1">
        <f t="array" ref="P284">WPNFACTOR(C284)</f>
        <v>4.5</v>
      </c>
      <c r="Q284" s="33" cm="1">
        <f t="array" ref="Q284">HPFACTOr(C284)</f>
        <v>2</v>
      </c>
      <c r="R284" s="32">
        <f t="shared" si="114"/>
        <v>2791.1111111111113</v>
      </c>
      <c r="S284" s="33">
        <f t="shared" si="115"/>
        <v>11530262</v>
      </c>
      <c r="T284" s="32">
        <f t="shared" si="116"/>
        <v>2791.1111111111113</v>
      </c>
      <c r="U284" s="39">
        <f t="shared" si="117"/>
        <v>11530261.999999998</v>
      </c>
      <c r="V284" s="41">
        <f>VLOOKUP(D284,LevelXp!$A$1:'LevelXp'!$B$1000,2,)/5</f>
        <v>160885033</v>
      </c>
      <c r="W284" s="29">
        <f t="shared" si="118"/>
        <v>32182242382.222218</v>
      </c>
      <c r="X284" s="32">
        <f t="shared" si="119"/>
        <v>126.33487654211929</v>
      </c>
      <c r="Y284" s="41">
        <v>279</v>
      </c>
      <c r="Z284" s="41">
        <v>160885033</v>
      </c>
      <c r="AA284" s="41">
        <v>0</v>
      </c>
      <c r="AC284" s="50">
        <v>283</v>
      </c>
      <c r="AD284" s="51">
        <f t="shared" si="103"/>
        <v>251294802</v>
      </c>
      <c r="AE284" s="51">
        <f t="shared" si="105"/>
        <v>310307521.22222221</v>
      </c>
      <c r="AF284" s="51">
        <f t="shared" si="104"/>
        <v>2</v>
      </c>
      <c r="AG284" s="55">
        <f t="shared" si="105"/>
        <v>1</v>
      </c>
      <c r="AH284" s="29">
        <f>SUM($AF$2:AF284)</f>
        <v>166</v>
      </c>
      <c r="AI284" s="55">
        <f>SUM($AG$2:AG284)</f>
        <v>164.8888888888886</v>
      </c>
    </row>
    <row r="285" spans="1:35" x14ac:dyDescent="0.2">
      <c r="A285" s="48" t="s">
        <v>8858</v>
      </c>
      <c r="B285" s="29">
        <v>2</v>
      </c>
      <c r="C285" s="29">
        <v>1</v>
      </c>
      <c r="D285" s="29">
        <v>420</v>
      </c>
      <c r="E285" s="29">
        <v>24000</v>
      </c>
      <c r="F285" s="29">
        <v>8500</v>
      </c>
      <c r="G285" s="29">
        <v>8500</v>
      </c>
      <c r="H285" s="29">
        <v>20000</v>
      </c>
      <c r="I285" s="29">
        <v>5000</v>
      </c>
      <c r="J285" s="29">
        <v>30000000</v>
      </c>
      <c r="K285" s="29">
        <v>651</v>
      </c>
      <c r="L285" s="29">
        <v>1049</v>
      </c>
      <c r="N285" s="33"/>
      <c r="O285" s="29">
        <f t="shared" si="113"/>
        <v>850</v>
      </c>
      <c r="P285" s="31" cm="1">
        <f t="array" ref="P285">WPNFACTOR(C285)</f>
        <v>2</v>
      </c>
      <c r="Q285" s="33" cm="1">
        <f t="array" ref="Q285">HPFACTOr(C285)</f>
        <v>5</v>
      </c>
      <c r="R285" s="32">
        <f t="shared" si="114"/>
        <v>425</v>
      </c>
      <c r="S285" s="33">
        <f t="shared" si="115"/>
        <v>6000000</v>
      </c>
      <c r="T285" s="32">
        <f t="shared" si="116"/>
        <v>425</v>
      </c>
      <c r="U285" s="39">
        <f t="shared" si="117"/>
        <v>6000000</v>
      </c>
      <c r="V285" s="41">
        <f>VLOOKUP(D285,LevelXp!$A$1:'LevelXp'!$B$1000,2,)/5</f>
        <v>300000000</v>
      </c>
      <c r="W285" s="29">
        <f t="shared" si="118"/>
        <v>2550000000</v>
      </c>
      <c r="X285" s="32">
        <f t="shared" si="119"/>
        <v>76.086575192744405</v>
      </c>
      <c r="Y285" s="41">
        <v>280</v>
      </c>
      <c r="Z285" s="41">
        <v>300000000</v>
      </c>
      <c r="AA285" s="41">
        <v>1</v>
      </c>
      <c r="AC285" s="50">
        <v>284</v>
      </c>
      <c r="AD285" s="51">
        <f t="shared" si="103"/>
        <v>175491135</v>
      </c>
      <c r="AE285" s="51">
        <f t="shared" si="105"/>
        <v>305647168.1111111</v>
      </c>
      <c r="AF285" s="51">
        <f t="shared" si="104"/>
        <v>0</v>
      </c>
      <c r="AG285" s="55">
        <f t="shared" si="105"/>
        <v>0.77777777777777779</v>
      </c>
      <c r="AH285" s="29">
        <f>SUM($AF$2:AF285)</f>
        <v>166</v>
      </c>
      <c r="AI285" s="55">
        <f>SUM($AG$2:AG285)</f>
        <v>165.66666666666637</v>
      </c>
    </row>
    <row r="286" spans="1:35" x14ac:dyDescent="0.2">
      <c r="A286" s="48" t="s">
        <v>8848</v>
      </c>
      <c r="B286" s="29">
        <v>10</v>
      </c>
      <c r="C286" s="29">
        <v>2</v>
      </c>
      <c r="D286" s="29">
        <v>279</v>
      </c>
      <c r="E286" s="29">
        <v>1648</v>
      </c>
      <c r="F286" s="29">
        <v>1685</v>
      </c>
      <c r="G286" s="29">
        <v>6813</v>
      </c>
      <c r="H286" s="29">
        <v>33038</v>
      </c>
      <c r="I286" s="29">
        <v>2454</v>
      </c>
      <c r="J286" s="29">
        <v>23060524</v>
      </c>
      <c r="K286" s="29">
        <v>8377</v>
      </c>
      <c r="L286" s="29">
        <v>16743</v>
      </c>
      <c r="N286" s="33"/>
      <c r="O286" s="29">
        <f t="shared" si="113"/>
        <v>12560</v>
      </c>
      <c r="P286" s="31" cm="1">
        <f t="array" ref="P286">WPNFACTOR(C286)</f>
        <v>4.5</v>
      </c>
      <c r="Q286" s="33" cm="1">
        <f t="array" ref="Q286">HPFACTOr(C286)</f>
        <v>2</v>
      </c>
      <c r="R286" s="32">
        <f t="shared" si="114"/>
        <v>2791.1111111111113</v>
      </c>
      <c r="S286" s="33">
        <f t="shared" si="115"/>
        <v>11530262</v>
      </c>
      <c r="T286" s="32">
        <f t="shared" si="116"/>
        <v>2791.1111111111113</v>
      </c>
      <c r="U286" s="39">
        <f t="shared" si="117"/>
        <v>11530261.999999998</v>
      </c>
      <c r="V286" s="41">
        <f>VLOOKUP(D286,LevelXp!$A$1:'LevelXp'!$B$1000,2,)/5</f>
        <v>53818344</v>
      </c>
      <c r="W286" s="29">
        <f t="shared" si="118"/>
        <v>32182242382.222218</v>
      </c>
      <c r="X286" s="32">
        <f t="shared" si="119"/>
        <v>126.33487654211929</v>
      </c>
      <c r="Y286" s="41">
        <v>280</v>
      </c>
      <c r="Z286" s="41">
        <v>53818344</v>
      </c>
      <c r="AA286" s="41">
        <v>0</v>
      </c>
      <c r="AC286" s="50">
        <v>285</v>
      </c>
      <c r="AD286" s="51">
        <f t="shared" si="103"/>
        <v>459019116</v>
      </c>
      <c r="AE286" s="51">
        <f t="shared" si="105"/>
        <v>293610999.77777779</v>
      </c>
      <c r="AF286" s="51">
        <f t="shared" si="104"/>
        <v>1</v>
      </c>
      <c r="AG286" s="55">
        <f t="shared" si="105"/>
        <v>0.66666666666666663</v>
      </c>
      <c r="AH286" s="29">
        <f>SUM($AF$2:AF286)</f>
        <v>167</v>
      </c>
      <c r="AI286" s="55">
        <f>SUM($AG$2:AG286)</f>
        <v>166.33333333333303</v>
      </c>
    </row>
    <row r="287" spans="1:35" x14ac:dyDescent="0.2">
      <c r="A287" s="48" t="s">
        <v>2937</v>
      </c>
      <c r="B287" s="29">
        <v>330</v>
      </c>
      <c r="N287" s="33"/>
      <c r="Q287" s="33"/>
      <c r="S287" s="33"/>
      <c r="U287" s="39"/>
      <c r="V287" s="41">
        <f>VLOOKUP(B287,LevelXp!$D$1:'LevelXp'!$F$1000,3,)</f>
        <v>153526596</v>
      </c>
      <c r="Y287" s="41">
        <v>280</v>
      </c>
      <c r="Z287" s="41">
        <v>153526596</v>
      </c>
      <c r="AA287" s="41">
        <v>0</v>
      </c>
      <c r="AC287" s="50">
        <v>286</v>
      </c>
      <c r="AD287" s="51">
        <f t="shared" si="103"/>
        <v>366437656</v>
      </c>
      <c r="AE287" s="51">
        <f t="shared" si="105"/>
        <v>290871138.66666669</v>
      </c>
      <c r="AF287" s="51">
        <f t="shared" si="104"/>
        <v>0</v>
      </c>
      <c r="AG287" s="55">
        <f t="shared" si="105"/>
        <v>0.77777777777777779</v>
      </c>
      <c r="AH287" s="29">
        <f>SUM($AF$2:AF287)</f>
        <v>167</v>
      </c>
      <c r="AI287" s="55">
        <f>SUM($AG$2:AG287)</f>
        <v>167.1111111111108</v>
      </c>
    </row>
    <row r="288" spans="1:35" x14ac:dyDescent="0.2">
      <c r="A288" s="48" t="s">
        <v>8858</v>
      </c>
      <c r="B288" s="29">
        <v>3</v>
      </c>
      <c r="C288" s="29">
        <v>1</v>
      </c>
      <c r="D288" s="29">
        <v>430</v>
      </c>
      <c r="E288" s="29">
        <v>29000</v>
      </c>
      <c r="F288" s="29">
        <v>10000</v>
      </c>
      <c r="G288" s="29">
        <v>10000</v>
      </c>
      <c r="H288" s="29">
        <v>22000</v>
      </c>
      <c r="I288" s="29">
        <v>6000</v>
      </c>
      <c r="J288" s="29">
        <v>25000000</v>
      </c>
      <c r="K288" s="29">
        <v>650</v>
      </c>
      <c r="L288" s="29">
        <v>1096</v>
      </c>
      <c r="N288" s="33"/>
      <c r="O288" s="29">
        <f t="shared" ref="O288:O294" si="120">AVERAGE(K288, L288)</f>
        <v>873</v>
      </c>
      <c r="P288" s="31" cm="1">
        <f t="array" ref="P288">WPNFACTOR(C288)</f>
        <v>2</v>
      </c>
      <c r="Q288" s="33" cm="1">
        <f t="array" ref="Q288">HPFACTOr(C288)</f>
        <v>5</v>
      </c>
      <c r="R288" s="32">
        <f t="shared" ref="R288:R294" si="121">O288/P288</f>
        <v>436.5</v>
      </c>
      <c r="S288" s="33">
        <f t="shared" ref="S288:S294" si="122">J288/Q288</f>
        <v>5000000</v>
      </c>
      <c r="T288" s="32">
        <f t="shared" ref="T288:T294" si="123">R288*(1 + (N288/400))</f>
        <v>436.5</v>
      </c>
      <c r="U288" s="39">
        <f t="shared" ref="U288:U294" si="124">S288*1.6/(1 + (0.6*(1 - (M288/100))))</f>
        <v>5000000</v>
      </c>
      <c r="V288" s="41">
        <f>VLOOKUP(D288,LevelXp!$A$1:'LevelXp'!$B$1000,2,)/5</f>
        <v>300000000</v>
      </c>
      <c r="W288" s="29">
        <f t="shared" ref="W288:W294" si="125">T288*U288</f>
        <v>2182500000</v>
      </c>
      <c r="X288" s="32">
        <f t="shared" ref="X288:X294" si="126">POWER(W288, 1/$X$1)</f>
        <v>73.754895238737447</v>
      </c>
      <c r="Y288" s="41">
        <v>281</v>
      </c>
      <c r="Z288" s="41">
        <v>300000000</v>
      </c>
      <c r="AA288" s="41">
        <v>1</v>
      </c>
      <c r="AC288" s="50">
        <v>287</v>
      </c>
      <c r="AD288" s="51">
        <f t="shared" si="103"/>
        <v>300000000</v>
      </c>
      <c r="AE288" s="51">
        <f t="shared" si="105"/>
        <v>284052343</v>
      </c>
      <c r="AF288" s="51">
        <f t="shared" si="104"/>
        <v>1</v>
      </c>
      <c r="AG288" s="55">
        <f t="shared" si="105"/>
        <v>1</v>
      </c>
      <c r="AH288" s="29">
        <f>SUM($AF$2:AF288)</f>
        <v>168</v>
      </c>
      <c r="AI288" s="55">
        <f>SUM($AG$2:AG288)</f>
        <v>168.1111111111108</v>
      </c>
    </row>
    <row r="289" spans="1:35" x14ac:dyDescent="0.2">
      <c r="A289" s="48" t="s">
        <v>8849</v>
      </c>
      <c r="B289" s="29">
        <v>1</v>
      </c>
      <c r="C289" s="29">
        <v>3</v>
      </c>
      <c r="D289" s="29">
        <v>352</v>
      </c>
      <c r="E289" s="29">
        <v>1708</v>
      </c>
      <c r="F289" s="29">
        <v>6765</v>
      </c>
      <c r="G289" s="29">
        <v>1691</v>
      </c>
      <c r="H289" s="29">
        <v>34562</v>
      </c>
      <c r="I289" s="29">
        <v>2489</v>
      </c>
      <c r="J289" s="29">
        <v>48801544</v>
      </c>
      <c r="K289" s="29">
        <v>4747</v>
      </c>
      <c r="L289" s="29">
        <v>9412</v>
      </c>
      <c r="N289" s="33"/>
      <c r="O289" s="29">
        <f t="shared" si="120"/>
        <v>7079.5</v>
      </c>
      <c r="P289" s="31" cm="1">
        <f t="array" ref="P289">WPNFACTOR(C289)</f>
        <v>2.5</v>
      </c>
      <c r="Q289" s="33" cm="1">
        <f t="array" ref="Q289">HPFACTOr(C289)</f>
        <v>4</v>
      </c>
      <c r="R289" s="32">
        <f t="shared" si="121"/>
        <v>2831.8</v>
      </c>
      <c r="S289" s="33">
        <f t="shared" si="122"/>
        <v>12200386</v>
      </c>
      <c r="T289" s="32">
        <f t="shared" si="123"/>
        <v>2831.8</v>
      </c>
      <c r="U289" s="39">
        <f t="shared" si="124"/>
        <v>12200386</v>
      </c>
      <c r="V289" s="41">
        <f>VLOOKUP(D289,LevelXp!$A$1:'LevelXp'!$B$1000,2,)/5</f>
        <v>170502819</v>
      </c>
      <c r="W289" s="29">
        <f t="shared" si="125"/>
        <v>34549053074.800003</v>
      </c>
      <c r="X289" s="32">
        <f t="shared" si="126"/>
        <v>128.14074060889328</v>
      </c>
      <c r="Y289" s="41">
        <v>282</v>
      </c>
      <c r="Z289" s="41">
        <v>170502819</v>
      </c>
      <c r="AA289" s="41">
        <v>0</v>
      </c>
      <c r="AC289" s="50">
        <v>288</v>
      </c>
      <c r="AD289" s="51">
        <f t="shared" si="103"/>
        <v>191202824</v>
      </c>
      <c r="AE289" s="51">
        <f t="shared" si="105"/>
        <v>311482000.66666669</v>
      </c>
      <c r="AF289" s="51">
        <f t="shared" si="104"/>
        <v>0</v>
      </c>
      <c r="AG289" s="55">
        <f t="shared" si="105"/>
        <v>0.88888888888888884</v>
      </c>
      <c r="AH289" s="29">
        <f>SUM($AF$2:AF289)</f>
        <v>168</v>
      </c>
      <c r="AI289" s="55">
        <f>SUM($AG$2:AG289)</f>
        <v>168.99999999999969</v>
      </c>
    </row>
    <row r="290" spans="1:35" x14ac:dyDescent="0.2">
      <c r="A290" s="48" t="s">
        <v>8860</v>
      </c>
      <c r="B290" s="29">
        <v>3</v>
      </c>
      <c r="C290" s="29">
        <v>1</v>
      </c>
      <c r="D290" s="29">
        <v>246</v>
      </c>
      <c r="E290" s="29">
        <v>10520</v>
      </c>
      <c r="F290" s="29">
        <v>5260</v>
      </c>
      <c r="G290" s="29">
        <v>5260</v>
      </c>
      <c r="H290" s="29">
        <v>28500</v>
      </c>
      <c r="I290" s="29">
        <v>5260</v>
      </c>
      <c r="J290" s="29">
        <v>70000000</v>
      </c>
      <c r="K290" s="29">
        <v>685</v>
      </c>
      <c r="L290" s="29">
        <v>933</v>
      </c>
      <c r="M290" s="29">
        <v>25</v>
      </c>
      <c r="N290" s="33">
        <v>25</v>
      </c>
      <c r="O290" s="29">
        <f t="shared" si="120"/>
        <v>809</v>
      </c>
      <c r="P290" s="31" cm="1">
        <f t="array" ref="P290">WPNFACTOR(C290)</f>
        <v>2</v>
      </c>
      <c r="Q290" s="33" cm="1">
        <f t="array" ref="Q290">HPFACTOr(C290)</f>
        <v>5</v>
      </c>
      <c r="R290" s="32">
        <f t="shared" si="121"/>
        <v>404.5</v>
      </c>
      <c r="S290" s="33">
        <f t="shared" si="122"/>
        <v>14000000</v>
      </c>
      <c r="T290" s="32">
        <f t="shared" si="123"/>
        <v>429.78125</v>
      </c>
      <c r="U290" s="39">
        <f t="shared" si="124"/>
        <v>15448275.862068966</v>
      </c>
      <c r="V290" s="41">
        <f>VLOOKUP(D290,LevelXp!$A$1:'LevelXp'!$B$1000,2,)/5</f>
        <v>29531221</v>
      </c>
      <c r="W290" s="29">
        <f t="shared" si="125"/>
        <v>6639379310.3448277</v>
      </c>
      <c r="X290" s="32">
        <f t="shared" si="126"/>
        <v>92.13518159409297</v>
      </c>
      <c r="Y290" s="41">
        <v>282</v>
      </c>
      <c r="Z290" s="41">
        <v>29531221</v>
      </c>
      <c r="AA290" s="41">
        <v>1</v>
      </c>
      <c r="AC290" s="50">
        <v>289</v>
      </c>
      <c r="AD290" s="51">
        <f t="shared" si="103"/>
        <v>399019425</v>
      </c>
      <c r="AE290" s="51">
        <f t="shared" si="105"/>
        <v>324999097.44444442</v>
      </c>
      <c r="AF290" s="51">
        <f t="shared" si="104"/>
        <v>0</v>
      </c>
      <c r="AG290" s="55">
        <f t="shared" si="105"/>
        <v>1</v>
      </c>
      <c r="AH290" s="29">
        <f>SUM($AF$2:AF290)</f>
        <v>168</v>
      </c>
      <c r="AI290" s="55">
        <f>SUM($AG$2:AG290)</f>
        <v>169.99999999999969</v>
      </c>
    </row>
    <row r="291" spans="1:35" x14ac:dyDescent="0.2">
      <c r="A291" s="48" t="s">
        <v>8860</v>
      </c>
      <c r="B291" s="29">
        <v>4</v>
      </c>
      <c r="C291" s="29">
        <v>1</v>
      </c>
      <c r="D291" s="29">
        <v>249</v>
      </c>
      <c r="E291" s="29">
        <v>10880</v>
      </c>
      <c r="F291" s="29">
        <v>5440</v>
      </c>
      <c r="G291" s="29">
        <v>5440</v>
      </c>
      <c r="H291" s="29">
        <v>30000</v>
      </c>
      <c r="I291" s="29">
        <v>5440</v>
      </c>
      <c r="J291" s="29">
        <v>74500000</v>
      </c>
      <c r="K291" s="29">
        <v>697</v>
      </c>
      <c r="L291" s="29">
        <v>946</v>
      </c>
      <c r="M291" s="29">
        <v>25</v>
      </c>
      <c r="N291" s="33">
        <v>25</v>
      </c>
      <c r="O291" s="29">
        <f t="shared" si="120"/>
        <v>821.5</v>
      </c>
      <c r="P291" s="31" cm="1">
        <f t="array" ref="P291">WPNFACTOR(C291)</f>
        <v>2</v>
      </c>
      <c r="Q291" s="33" cm="1">
        <f t="array" ref="Q291">HPFACTOr(C291)</f>
        <v>5</v>
      </c>
      <c r="R291" s="32">
        <f t="shared" si="121"/>
        <v>410.75</v>
      </c>
      <c r="S291" s="33">
        <f t="shared" si="122"/>
        <v>14900000</v>
      </c>
      <c r="T291" s="32">
        <f t="shared" si="123"/>
        <v>436.421875</v>
      </c>
      <c r="U291" s="39">
        <f t="shared" si="124"/>
        <v>16441379.310344828</v>
      </c>
      <c r="V291" s="41">
        <f>VLOOKUP(D291,LevelXp!$A$1:'LevelXp'!$B$1000,2,)/5</f>
        <v>31261572</v>
      </c>
      <c r="W291" s="29">
        <f t="shared" si="125"/>
        <v>7175377586.2068968</v>
      </c>
      <c r="X291" s="32">
        <f t="shared" si="126"/>
        <v>93.576964225560218</v>
      </c>
      <c r="Y291" s="41">
        <v>283</v>
      </c>
      <c r="Z291" s="41">
        <v>31261572</v>
      </c>
      <c r="AA291" s="41">
        <v>1</v>
      </c>
      <c r="AC291" s="50">
        <v>290</v>
      </c>
      <c r="AD291" s="51">
        <f t="shared" si="103"/>
        <v>275341250</v>
      </c>
      <c r="AE291" s="51">
        <f t="shared" si="105"/>
        <v>298445110.1111111</v>
      </c>
      <c r="AF291" s="51">
        <f t="shared" si="104"/>
        <v>2</v>
      </c>
      <c r="AG291" s="55">
        <f t="shared" si="105"/>
        <v>0.88888888888888884</v>
      </c>
      <c r="AH291" s="29">
        <f>SUM($AF$2:AF291)</f>
        <v>170</v>
      </c>
      <c r="AI291" s="55">
        <f>SUM($AG$2:AG291)</f>
        <v>170.88888888888857</v>
      </c>
    </row>
    <row r="292" spans="1:35" x14ac:dyDescent="0.2">
      <c r="A292" s="48" t="s">
        <v>8853</v>
      </c>
      <c r="B292" s="29">
        <v>7</v>
      </c>
      <c r="C292" s="29">
        <v>3</v>
      </c>
      <c r="D292" s="29">
        <v>370</v>
      </c>
      <c r="E292" s="29">
        <v>6540</v>
      </c>
      <c r="F292" s="29">
        <v>26040</v>
      </c>
      <c r="G292" s="29">
        <v>6510</v>
      </c>
      <c r="H292" s="29">
        <v>25200</v>
      </c>
      <c r="I292" s="29">
        <v>9327</v>
      </c>
      <c r="J292" s="29">
        <v>37396800</v>
      </c>
      <c r="K292" s="29">
        <v>670</v>
      </c>
      <c r="L292" s="29">
        <v>1034</v>
      </c>
      <c r="N292" s="33"/>
      <c r="O292" s="29">
        <f t="shared" si="120"/>
        <v>852</v>
      </c>
      <c r="P292" s="31" cm="1">
        <f t="array" ref="P292">WPNFACTOR(C292)</f>
        <v>2.5</v>
      </c>
      <c r="Q292" s="33" cm="1">
        <f t="array" ref="Q292">HPFACTOr(C292)</f>
        <v>4</v>
      </c>
      <c r="R292" s="32">
        <f t="shared" si="121"/>
        <v>340.8</v>
      </c>
      <c r="S292" s="33">
        <f t="shared" si="122"/>
        <v>9349200</v>
      </c>
      <c r="T292" s="32">
        <f t="shared" si="123"/>
        <v>340.8</v>
      </c>
      <c r="U292" s="39">
        <f t="shared" si="124"/>
        <v>9349200</v>
      </c>
      <c r="V292" s="41">
        <f>VLOOKUP(D292,LevelXp!$A$1:'LevelXp'!$B$1000,2,)/5</f>
        <v>220033230</v>
      </c>
      <c r="W292" s="29">
        <f t="shared" si="125"/>
        <v>3186207360</v>
      </c>
      <c r="X292" s="32">
        <f t="shared" si="126"/>
        <v>79.552678607243223</v>
      </c>
      <c r="Y292" s="41">
        <v>283</v>
      </c>
      <c r="Z292" s="41">
        <v>220033230</v>
      </c>
      <c r="AA292" s="41">
        <v>1</v>
      </c>
      <c r="AC292" s="50">
        <v>291</v>
      </c>
      <c r="AD292" s="51">
        <f t="shared" si="103"/>
        <v>138664879</v>
      </c>
      <c r="AE292" s="51">
        <f t="shared" si="105"/>
        <v>302568112</v>
      </c>
      <c r="AF292" s="51">
        <f t="shared" si="104"/>
        <v>3</v>
      </c>
      <c r="AG292" s="55">
        <f t="shared" si="105"/>
        <v>0.88888888888888884</v>
      </c>
      <c r="AH292" s="29">
        <f>SUM($AF$2:AF292)</f>
        <v>173</v>
      </c>
      <c r="AI292" s="55">
        <f>SUM($AG$2:AG292)</f>
        <v>171.77777777777746</v>
      </c>
    </row>
    <row r="293" spans="1:35" x14ac:dyDescent="0.2">
      <c r="A293" s="48" t="s">
        <v>8849</v>
      </c>
      <c r="B293" s="29">
        <v>2</v>
      </c>
      <c r="C293" s="29">
        <v>1</v>
      </c>
      <c r="D293" s="29">
        <v>354</v>
      </c>
      <c r="E293" s="29">
        <v>6810</v>
      </c>
      <c r="F293" s="29">
        <v>2393</v>
      </c>
      <c r="G293" s="29">
        <v>2351</v>
      </c>
      <c r="H293" s="29">
        <v>34859</v>
      </c>
      <c r="I293" s="29">
        <v>1702</v>
      </c>
      <c r="J293" s="29">
        <v>61874724</v>
      </c>
      <c r="K293" s="29">
        <v>3793</v>
      </c>
      <c r="L293" s="29">
        <v>7572</v>
      </c>
      <c r="N293" s="33"/>
      <c r="O293" s="29">
        <f t="shared" si="120"/>
        <v>5682.5</v>
      </c>
      <c r="P293" s="31" cm="1">
        <f t="array" ref="P293">WPNFACTOR(C293)</f>
        <v>2</v>
      </c>
      <c r="Q293" s="33" cm="1">
        <f t="array" ref="Q293">HPFACTOr(C293)</f>
        <v>5</v>
      </c>
      <c r="R293" s="32">
        <f t="shared" si="121"/>
        <v>2841.25</v>
      </c>
      <c r="S293" s="33">
        <f t="shared" si="122"/>
        <v>12374944.800000001</v>
      </c>
      <c r="T293" s="32">
        <f t="shared" si="123"/>
        <v>2841.25</v>
      </c>
      <c r="U293" s="39">
        <f t="shared" si="124"/>
        <v>12374944.800000001</v>
      </c>
      <c r="V293" s="41">
        <f>VLOOKUP(D293,LevelXp!$A$1:'LevelXp'!$B$1000,2,)/5</f>
        <v>175491135</v>
      </c>
      <c r="W293" s="29">
        <f t="shared" si="125"/>
        <v>35160311913</v>
      </c>
      <c r="X293" s="32">
        <f t="shared" si="126"/>
        <v>128.59099116417343</v>
      </c>
      <c r="Y293" s="41">
        <v>284</v>
      </c>
      <c r="Z293" s="41">
        <v>175491135</v>
      </c>
      <c r="AA293" s="41">
        <v>0</v>
      </c>
      <c r="AC293" s="50">
        <v>292</v>
      </c>
      <c r="AD293" s="51">
        <f t="shared" si="103"/>
        <v>498161721</v>
      </c>
      <c r="AE293" s="51">
        <f t="shared" si="105"/>
        <v>323091179.1111111</v>
      </c>
      <c r="AF293" s="51">
        <f t="shared" si="104"/>
        <v>1</v>
      </c>
      <c r="AG293" s="55">
        <f t="shared" si="105"/>
        <v>0.77777777777777779</v>
      </c>
      <c r="AH293" s="29">
        <f>SUM($AF$2:AF293)</f>
        <v>174</v>
      </c>
      <c r="AI293" s="55">
        <f>SUM($AG$2:AG293)</f>
        <v>172.55555555555523</v>
      </c>
    </row>
    <row r="294" spans="1:35" x14ac:dyDescent="0.2">
      <c r="A294" s="48" t="s">
        <v>8852</v>
      </c>
      <c r="B294" s="29">
        <v>10</v>
      </c>
      <c r="C294" s="29">
        <v>1</v>
      </c>
      <c r="D294" s="29">
        <v>400</v>
      </c>
      <c r="E294" s="29">
        <v>16840</v>
      </c>
      <c r="F294" s="29">
        <v>5900</v>
      </c>
      <c r="G294" s="29">
        <v>5875</v>
      </c>
      <c r="H294" s="29">
        <v>16560</v>
      </c>
      <c r="I294" s="29">
        <v>3570</v>
      </c>
      <c r="J294" s="29">
        <v>33202800</v>
      </c>
      <c r="K294" s="29">
        <v>866</v>
      </c>
      <c r="L294" s="29">
        <v>2124</v>
      </c>
      <c r="N294" s="33"/>
      <c r="O294" s="29">
        <f t="shared" si="120"/>
        <v>1495</v>
      </c>
      <c r="P294" s="31" cm="1">
        <f t="array" ref="P294">WPNFACTOR(C294)</f>
        <v>2</v>
      </c>
      <c r="Q294" s="33" cm="1">
        <f t="array" ref="Q294">HPFACTOr(C294)</f>
        <v>5</v>
      </c>
      <c r="R294" s="32">
        <f t="shared" si="121"/>
        <v>747.5</v>
      </c>
      <c r="S294" s="33">
        <f t="shared" si="122"/>
        <v>6640560</v>
      </c>
      <c r="T294" s="32">
        <f t="shared" si="123"/>
        <v>747.5</v>
      </c>
      <c r="U294" s="39">
        <f t="shared" si="124"/>
        <v>6640560</v>
      </c>
      <c r="V294" s="41">
        <f>VLOOKUP(D294,LevelXp!$A$1:'LevelXp'!$B$1000,2,)/5</f>
        <v>300000000</v>
      </c>
      <c r="W294" s="29">
        <f t="shared" si="125"/>
        <v>4963818600</v>
      </c>
      <c r="X294" s="32">
        <f t="shared" si="126"/>
        <v>86.928699103254019</v>
      </c>
      <c r="Y294" s="41">
        <v>285</v>
      </c>
      <c r="Z294" s="41">
        <v>300000000</v>
      </c>
      <c r="AA294" s="41">
        <v>1</v>
      </c>
      <c r="AC294" s="50">
        <v>293</v>
      </c>
      <c r="AD294" s="51">
        <f t="shared" si="103"/>
        <v>297145006</v>
      </c>
      <c r="AE294" s="51">
        <f t="shared" si="105"/>
        <v>329897331.66666669</v>
      </c>
      <c r="AF294" s="51">
        <f t="shared" si="104"/>
        <v>1</v>
      </c>
      <c r="AG294" s="55">
        <f t="shared" si="105"/>
        <v>0.77777777777777779</v>
      </c>
      <c r="AH294" s="29">
        <f>SUM($AF$2:AF294)</f>
        <v>175</v>
      </c>
      <c r="AI294" s="55">
        <f>SUM($AG$2:AG294)</f>
        <v>173.333333333333</v>
      </c>
    </row>
    <row r="295" spans="1:35" x14ac:dyDescent="0.2">
      <c r="A295" s="48" t="s">
        <v>2937</v>
      </c>
      <c r="B295" s="29">
        <v>340</v>
      </c>
      <c r="N295" s="33"/>
      <c r="Q295" s="33"/>
      <c r="S295" s="33"/>
      <c r="U295" s="39"/>
      <c r="V295" s="41">
        <f>VLOOKUP(B295,LevelXp!$D$1:'LevelXp'!$F$1000,3,)</f>
        <v>159019116</v>
      </c>
      <c r="Y295" s="41">
        <v>285</v>
      </c>
      <c r="Z295" s="41">
        <v>159019116</v>
      </c>
      <c r="AA295" s="41">
        <v>0</v>
      </c>
      <c r="AC295" s="50">
        <v>294</v>
      </c>
      <c r="AD295" s="51">
        <f t="shared" si="103"/>
        <v>220033230</v>
      </c>
      <c r="AE295" s="51">
        <f t="shared" si="105"/>
        <v>314385329.77777779</v>
      </c>
      <c r="AF295" s="51">
        <f t="shared" si="104"/>
        <v>0</v>
      </c>
      <c r="AG295" s="55">
        <f t="shared" si="105"/>
        <v>0.77777777777777779</v>
      </c>
      <c r="AH295" s="29">
        <f>SUM($AF$2:AF295)</f>
        <v>175</v>
      </c>
      <c r="AI295" s="55">
        <f>SUM($AG$2:AG295)</f>
        <v>174.11111111111077</v>
      </c>
    </row>
    <row r="296" spans="1:35" x14ac:dyDescent="0.2">
      <c r="A296" s="48" t="s">
        <v>8849</v>
      </c>
      <c r="B296" s="29">
        <v>3</v>
      </c>
      <c r="C296" s="29">
        <v>1</v>
      </c>
      <c r="D296" s="29">
        <v>356</v>
      </c>
      <c r="E296" s="29">
        <v>6855</v>
      </c>
      <c r="F296" s="29">
        <v>2409</v>
      </c>
      <c r="G296" s="29">
        <v>2367</v>
      </c>
      <c r="H296" s="29">
        <v>35150</v>
      </c>
      <c r="I296" s="29">
        <v>1705</v>
      </c>
      <c r="J296" s="29">
        <v>62742752</v>
      </c>
      <c r="K296" s="29">
        <v>3845</v>
      </c>
      <c r="L296" s="29">
        <v>7615</v>
      </c>
      <c r="N296" s="33"/>
      <c r="O296" s="29">
        <f t="shared" ref="O296:O303" si="127">AVERAGE(K296, L296)</f>
        <v>5730</v>
      </c>
      <c r="P296" s="31" cm="1">
        <f t="array" ref="P296">WPNFACTOR(C296)</f>
        <v>2</v>
      </c>
      <c r="Q296" s="33" cm="1">
        <f t="array" ref="Q296">HPFACTOr(C296)</f>
        <v>5</v>
      </c>
      <c r="R296" s="32">
        <f t="shared" ref="R296:R303" si="128">O296/P296</f>
        <v>2865</v>
      </c>
      <c r="S296" s="33">
        <f t="shared" ref="S296:S303" si="129">J296/Q296</f>
        <v>12548550.4</v>
      </c>
      <c r="T296" s="32">
        <f t="shared" ref="T296:T303" si="130">R296*(1 + (N296/400))</f>
        <v>2865</v>
      </c>
      <c r="U296" s="39">
        <f t="shared" ref="U296:U303" si="131">S296*1.6/(1 + (0.6*(1 - (M296/100))))</f>
        <v>12548550.4</v>
      </c>
      <c r="V296" s="41">
        <f>VLOOKUP(D296,LevelXp!$A$1:'LevelXp'!$B$1000,2,)/5</f>
        <v>180599019</v>
      </c>
      <c r="W296" s="29">
        <f t="shared" ref="W296:W303" si="132">T296*U296</f>
        <v>35951596896</v>
      </c>
      <c r="X296" s="32">
        <f t="shared" ref="X296:X303" si="133">POWER(W296, 1/$X$1)</f>
        <v>129.16463978417616</v>
      </c>
      <c r="Y296" s="41">
        <v>286</v>
      </c>
      <c r="Z296" s="41">
        <v>180599019</v>
      </c>
      <c r="AA296" s="41">
        <v>0</v>
      </c>
      <c r="AC296" s="50">
        <v>295</v>
      </c>
      <c r="AD296" s="51">
        <f t="shared" si="103"/>
        <v>403544673</v>
      </c>
      <c r="AE296" s="51">
        <f t="shared" si="105"/>
        <v>316751486.66666669</v>
      </c>
      <c r="AF296" s="51">
        <f t="shared" si="104"/>
        <v>0</v>
      </c>
      <c r="AG296" s="55">
        <f t="shared" si="105"/>
        <v>0.55555555555555558</v>
      </c>
      <c r="AH296" s="29">
        <f>SUM($AF$2:AF296)</f>
        <v>175</v>
      </c>
      <c r="AI296" s="55">
        <f>SUM($AG$2:AG296)</f>
        <v>174.66666666666632</v>
      </c>
    </row>
    <row r="297" spans="1:35" x14ac:dyDescent="0.2">
      <c r="A297" s="48" t="s">
        <v>8849</v>
      </c>
      <c r="B297" s="29">
        <v>4</v>
      </c>
      <c r="C297" s="29">
        <v>1</v>
      </c>
      <c r="D297" s="29">
        <v>358</v>
      </c>
      <c r="E297" s="29">
        <v>6899</v>
      </c>
      <c r="F297" s="29">
        <v>2424</v>
      </c>
      <c r="G297" s="29">
        <v>2383</v>
      </c>
      <c r="H297" s="29">
        <v>35442</v>
      </c>
      <c r="I297" s="29">
        <v>1708</v>
      </c>
      <c r="J297" s="29">
        <v>63618392</v>
      </c>
      <c r="K297" s="29">
        <v>3829</v>
      </c>
      <c r="L297" s="29">
        <v>7653</v>
      </c>
      <c r="N297" s="33"/>
      <c r="O297" s="29">
        <f t="shared" si="127"/>
        <v>5741</v>
      </c>
      <c r="P297" s="31" cm="1">
        <f t="array" ref="P297">WPNFACTOR(C297)</f>
        <v>2</v>
      </c>
      <c r="Q297" s="33" cm="1">
        <f t="array" ref="Q297">HPFACTOr(C297)</f>
        <v>5</v>
      </c>
      <c r="R297" s="32">
        <f t="shared" si="128"/>
        <v>2870.5</v>
      </c>
      <c r="S297" s="33">
        <f t="shared" si="129"/>
        <v>12723678.4</v>
      </c>
      <c r="T297" s="32">
        <f t="shared" si="130"/>
        <v>2870.5</v>
      </c>
      <c r="U297" s="39">
        <f t="shared" si="131"/>
        <v>12723678.4</v>
      </c>
      <c r="V297" s="41">
        <f>VLOOKUP(D297,LevelXp!$A$1:'LevelXp'!$B$1000,2,)/5</f>
        <v>185838637</v>
      </c>
      <c r="W297" s="29">
        <f t="shared" si="132"/>
        <v>36523318847.200005</v>
      </c>
      <c r="X297" s="32">
        <f t="shared" si="133"/>
        <v>129.57286062271433</v>
      </c>
      <c r="Y297" s="41">
        <v>286</v>
      </c>
      <c r="Z297" s="41">
        <v>185838637</v>
      </c>
      <c r="AA297" s="41">
        <v>0</v>
      </c>
      <c r="AC297" s="50">
        <v>296</v>
      </c>
      <c r="AD297" s="51">
        <f t="shared" si="103"/>
        <v>484707604</v>
      </c>
      <c r="AE297" s="51">
        <f t="shared" si="105"/>
        <v>321069074.55555558</v>
      </c>
      <c r="AF297" s="51">
        <f t="shared" si="104"/>
        <v>0</v>
      </c>
      <c r="AG297" s="55">
        <f t="shared" si="105"/>
        <v>0.22222222222222221</v>
      </c>
      <c r="AH297" s="29">
        <f>SUM($AF$2:AF297)</f>
        <v>175</v>
      </c>
      <c r="AI297" s="55">
        <f>SUM($AG$2:AG297)</f>
        <v>174.88888888888854</v>
      </c>
    </row>
    <row r="298" spans="1:35" x14ac:dyDescent="0.2">
      <c r="A298" s="48" t="s">
        <v>8867</v>
      </c>
      <c r="B298" s="29">
        <v>1</v>
      </c>
      <c r="C298" s="29">
        <v>3</v>
      </c>
      <c r="D298" s="29">
        <v>410</v>
      </c>
      <c r="E298" s="29">
        <v>7080</v>
      </c>
      <c r="F298" s="29">
        <v>20200</v>
      </c>
      <c r="G298" s="29">
        <v>7050</v>
      </c>
      <c r="H298" s="29">
        <v>18210</v>
      </c>
      <c r="I298" s="29">
        <v>4280</v>
      </c>
      <c r="J298" s="29">
        <v>29937240</v>
      </c>
      <c r="K298" s="29">
        <v>1299</v>
      </c>
      <c r="L298" s="29">
        <v>3185</v>
      </c>
      <c r="N298" s="33"/>
      <c r="O298" s="29">
        <f t="shared" si="127"/>
        <v>2242</v>
      </c>
      <c r="P298" s="31" cm="1">
        <f t="array" ref="P298">WPNFACTOR(C298)</f>
        <v>2.5</v>
      </c>
      <c r="Q298" s="33" cm="1">
        <f t="array" ref="Q298">HPFACTOr(C298)</f>
        <v>4</v>
      </c>
      <c r="R298" s="32">
        <f t="shared" si="128"/>
        <v>896.8</v>
      </c>
      <c r="S298" s="33">
        <f t="shared" si="129"/>
        <v>7484310</v>
      </c>
      <c r="T298" s="32">
        <f t="shared" si="130"/>
        <v>896.8</v>
      </c>
      <c r="U298" s="39">
        <f t="shared" si="131"/>
        <v>7484310</v>
      </c>
      <c r="V298" s="41">
        <f>VLOOKUP(D298,LevelXp!$A$1:'LevelXp'!$B$1000,2,)/5</f>
        <v>300000000</v>
      </c>
      <c r="W298" s="29">
        <f t="shared" si="132"/>
        <v>6711929208</v>
      </c>
      <c r="X298" s="32">
        <f t="shared" si="133"/>
        <v>92.335663327542747</v>
      </c>
      <c r="Y298" s="41">
        <v>287</v>
      </c>
      <c r="Z298" s="41">
        <v>300000000</v>
      </c>
      <c r="AA298" s="41">
        <v>1</v>
      </c>
      <c r="AC298" s="50">
        <v>297</v>
      </c>
      <c r="AD298" s="51">
        <f t="shared" si="103"/>
        <v>252458197</v>
      </c>
      <c r="AE298" s="51">
        <f t="shared" si="105"/>
        <v>299051105.55555558</v>
      </c>
      <c r="AF298" s="51">
        <f t="shared" si="104"/>
        <v>0</v>
      </c>
      <c r="AG298" s="55">
        <f t="shared" si="105"/>
        <v>0.1111111111111111</v>
      </c>
      <c r="AH298" s="29">
        <f>SUM($AF$2:AF298)</f>
        <v>175</v>
      </c>
      <c r="AI298" s="55">
        <f>SUM($AG$2:AG298)</f>
        <v>174.99999999999966</v>
      </c>
    </row>
    <row r="299" spans="1:35" x14ac:dyDescent="0.2">
      <c r="A299" s="48" t="s">
        <v>8849</v>
      </c>
      <c r="B299" s="29">
        <v>5</v>
      </c>
      <c r="C299" s="29">
        <v>3</v>
      </c>
      <c r="D299" s="29">
        <v>360</v>
      </c>
      <c r="E299" s="29">
        <v>1752</v>
      </c>
      <c r="F299" s="29">
        <v>6944</v>
      </c>
      <c r="G299" s="29">
        <v>1736</v>
      </c>
      <c r="H299" s="29">
        <v>35728</v>
      </c>
      <c r="I299" s="29">
        <v>2544</v>
      </c>
      <c r="J299" s="29">
        <v>51591232</v>
      </c>
      <c r="K299" s="29">
        <v>4813</v>
      </c>
      <c r="L299" s="29">
        <v>9626</v>
      </c>
      <c r="N299" s="33"/>
      <c r="O299" s="29">
        <f t="shared" si="127"/>
        <v>7219.5</v>
      </c>
      <c r="P299" s="31" cm="1">
        <f t="array" ref="P299">WPNFACTOR(C299)</f>
        <v>2.5</v>
      </c>
      <c r="Q299" s="33" cm="1">
        <f t="array" ref="Q299">HPFACTOr(C299)</f>
        <v>4</v>
      </c>
      <c r="R299" s="32">
        <f t="shared" si="128"/>
        <v>2887.8</v>
      </c>
      <c r="S299" s="33">
        <f t="shared" si="129"/>
        <v>12897808</v>
      </c>
      <c r="T299" s="32">
        <f t="shared" si="130"/>
        <v>2887.8</v>
      </c>
      <c r="U299" s="39">
        <f t="shared" si="131"/>
        <v>12897808</v>
      </c>
      <c r="V299" s="41">
        <f>VLOOKUP(D299,LevelXp!$A$1:'LevelXp'!$B$1000,2,)/5</f>
        <v>191202824</v>
      </c>
      <c r="W299" s="29">
        <f t="shared" si="132"/>
        <v>37246289942.400002</v>
      </c>
      <c r="X299" s="32">
        <f t="shared" si="133"/>
        <v>130.08181980467592</v>
      </c>
      <c r="Y299" s="41">
        <v>288</v>
      </c>
      <c r="Z299" s="41">
        <v>191202824</v>
      </c>
      <c r="AA299" s="41">
        <v>0</v>
      </c>
      <c r="AC299" s="50">
        <v>298</v>
      </c>
      <c r="AD299" s="51">
        <f t="shared" si="103"/>
        <v>259411408</v>
      </c>
      <c r="AE299" s="51">
        <f t="shared" si="105"/>
        <v>295648537.22222221</v>
      </c>
      <c r="AF299" s="51">
        <f t="shared" si="104"/>
        <v>0</v>
      </c>
      <c r="AG299" s="55">
        <f t="shared" si="105"/>
        <v>0</v>
      </c>
      <c r="AH299" s="29">
        <f>SUM($AF$2:AF299)</f>
        <v>175</v>
      </c>
      <c r="AI299" s="55">
        <f>SUM($AG$2:AG299)</f>
        <v>174.99999999999966</v>
      </c>
    </row>
    <row r="300" spans="1:35" x14ac:dyDescent="0.2">
      <c r="A300" s="48" t="s">
        <v>8849</v>
      </c>
      <c r="B300" s="29">
        <v>6</v>
      </c>
      <c r="C300" s="29">
        <v>3</v>
      </c>
      <c r="D300" s="29">
        <v>362</v>
      </c>
      <c r="E300" s="29">
        <v>1762</v>
      </c>
      <c r="F300" s="29">
        <v>6988</v>
      </c>
      <c r="G300" s="29">
        <v>1747</v>
      </c>
      <c r="H300" s="29">
        <v>36008</v>
      </c>
      <c r="I300" s="29">
        <v>2557</v>
      </c>
      <c r="J300" s="29">
        <v>52283616</v>
      </c>
      <c r="K300" s="29">
        <v>4847</v>
      </c>
      <c r="L300" s="29">
        <v>9672</v>
      </c>
      <c r="N300" s="33"/>
      <c r="O300" s="29">
        <f t="shared" si="127"/>
        <v>7259.5</v>
      </c>
      <c r="P300" s="31" cm="1">
        <f t="array" ref="P300">WPNFACTOR(C300)</f>
        <v>2.5</v>
      </c>
      <c r="Q300" s="33" cm="1">
        <f t="array" ref="Q300">HPFACTOr(C300)</f>
        <v>4</v>
      </c>
      <c r="R300" s="32">
        <f t="shared" si="128"/>
        <v>2903.8</v>
      </c>
      <c r="S300" s="33">
        <f t="shared" si="129"/>
        <v>13070904</v>
      </c>
      <c r="T300" s="32">
        <f t="shared" si="130"/>
        <v>2903.8</v>
      </c>
      <c r="U300" s="39">
        <f t="shared" si="131"/>
        <v>13070904</v>
      </c>
      <c r="V300" s="41">
        <f>VLOOKUP(D300,LevelXp!$A$1:'LevelXp'!$B$1000,2,)/5</f>
        <v>196694080</v>
      </c>
      <c r="W300" s="29">
        <f t="shared" si="132"/>
        <v>37955291035.200005</v>
      </c>
      <c r="X300" s="32">
        <f t="shared" si="133"/>
        <v>130.57332553457459</v>
      </c>
      <c r="Y300" s="41">
        <v>289</v>
      </c>
      <c r="Z300" s="41">
        <v>196694080</v>
      </c>
      <c r="AA300" s="41">
        <v>0</v>
      </c>
      <c r="AC300" s="50">
        <v>299</v>
      </c>
      <c r="AD300" s="51">
        <f t="shared" si="103"/>
        <v>296636662</v>
      </c>
      <c r="AE300" s="51">
        <f t="shared" si="105"/>
        <v>301621806.77777779</v>
      </c>
      <c r="AF300" s="51">
        <f t="shared" si="104"/>
        <v>0</v>
      </c>
      <c r="AG300" s="55">
        <f t="shared" si="105"/>
        <v>0</v>
      </c>
      <c r="AH300" s="29">
        <f>SUM($AF$2:AF300)</f>
        <v>175</v>
      </c>
      <c r="AI300" s="55">
        <f>SUM($AG$2:AG300)</f>
        <v>174.99999999999966</v>
      </c>
    </row>
    <row r="301" spans="1:35" x14ac:dyDescent="0.2">
      <c r="A301" s="48" t="s">
        <v>8849</v>
      </c>
      <c r="B301" s="29">
        <v>7</v>
      </c>
      <c r="C301" s="29">
        <v>2</v>
      </c>
      <c r="D301" s="29">
        <v>364</v>
      </c>
      <c r="E301" s="29">
        <v>1742</v>
      </c>
      <c r="F301" s="29">
        <v>1773</v>
      </c>
      <c r="G301" s="29">
        <v>7156</v>
      </c>
      <c r="H301" s="29">
        <v>35607</v>
      </c>
      <c r="I301" s="29">
        <v>2563</v>
      </c>
      <c r="J301" s="29">
        <v>25993110</v>
      </c>
      <c r="K301" s="29">
        <v>9198</v>
      </c>
      <c r="L301" s="29">
        <v>17512</v>
      </c>
      <c r="N301" s="33"/>
      <c r="O301" s="29">
        <f t="shared" si="127"/>
        <v>13355</v>
      </c>
      <c r="P301" s="31" cm="1">
        <f t="array" ref="P301">WPNFACTOR(C301)</f>
        <v>4.5</v>
      </c>
      <c r="Q301" s="33" cm="1">
        <f t="array" ref="Q301">HPFACTOr(C301)</f>
        <v>2</v>
      </c>
      <c r="R301" s="32">
        <f t="shared" si="128"/>
        <v>2967.7777777777778</v>
      </c>
      <c r="S301" s="33">
        <f t="shared" si="129"/>
        <v>12996555</v>
      </c>
      <c r="T301" s="32">
        <f t="shared" si="130"/>
        <v>2967.7777777777778</v>
      </c>
      <c r="U301" s="39">
        <f t="shared" si="131"/>
        <v>12996555</v>
      </c>
      <c r="V301" s="41">
        <f>VLOOKUP(D301,LevelXp!$A$1:'LevelXp'!$B$1000,2,)/5</f>
        <v>202325345</v>
      </c>
      <c r="W301" s="29">
        <f t="shared" si="132"/>
        <v>38570887116.666664</v>
      </c>
      <c r="X301" s="32">
        <f t="shared" si="133"/>
        <v>130.99415734870757</v>
      </c>
      <c r="Y301" s="41">
        <v>289</v>
      </c>
      <c r="Z301" s="41">
        <v>202325345</v>
      </c>
      <c r="AA301" s="41">
        <v>0</v>
      </c>
      <c r="AC301" s="50">
        <v>300</v>
      </c>
      <c r="AD301" s="51">
        <f t="shared" si="103"/>
        <v>177523170</v>
      </c>
      <c r="AE301" s="51">
        <f t="shared" si="105"/>
        <v>288032378.55555558</v>
      </c>
      <c r="AF301" s="51">
        <f t="shared" si="104"/>
        <v>0</v>
      </c>
      <c r="AG301" s="55">
        <f t="shared" si="105"/>
        <v>0</v>
      </c>
      <c r="AH301" s="29">
        <f>SUM($AF$2:AF301)</f>
        <v>175</v>
      </c>
      <c r="AI301" s="55">
        <f>SUM($AG$2:AG301)</f>
        <v>174.99999999999966</v>
      </c>
    </row>
    <row r="302" spans="1:35" x14ac:dyDescent="0.2">
      <c r="A302" s="48" t="s">
        <v>8854</v>
      </c>
      <c r="B302" s="29">
        <v>6</v>
      </c>
      <c r="C302" s="29">
        <v>3</v>
      </c>
      <c r="D302" s="29">
        <v>287</v>
      </c>
      <c r="E302" s="29">
        <v>4465</v>
      </c>
      <c r="F302" s="29">
        <v>12440</v>
      </c>
      <c r="G302" s="29">
        <v>4430</v>
      </c>
      <c r="H302" s="29">
        <v>54100</v>
      </c>
      <c r="I302" s="29">
        <v>7960</v>
      </c>
      <c r="J302" s="29">
        <v>94220000</v>
      </c>
      <c r="K302" s="29">
        <v>702</v>
      </c>
      <c r="L302" s="29">
        <v>816</v>
      </c>
      <c r="N302" s="33"/>
      <c r="O302" s="29">
        <f t="shared" si="127"/>
        <v>759</v>
      </c>
      <c r="P302" s="31" cm="1">
        <f t="array" ref="P302">WPNFACTOR(C302)</f>
        <v>2.5</v>
      </c>
      <c r="Q302" s="33" cm="1">
        <f t="array" ref="Q302">HPFACTOr(C302)</f>
        <v>4</v>
      </c>
      <c r="R302" s="32">
        <f t="shared" si="128"/>
        <v>303.60000000000002</v>
      </c>
      <c r="S302" s="33">
        <f t="shared" si="129"/>
        <v>23555000</v>
      </c>
      <c r="T302" s="32">
        <f t="shared" si="130"/>
        <v>303.60000000000002</v>
      </c>
      <c r="U302" s="39">
        <f t="shared" si="131"/>
        <v>23555000</v>
      </c>
      <c r="V302" s="41">
        <f>VLOOKUP(D302,LevelXp!$A$1:'LevelXp'!$B$1000,2,)/5</f>
        <v>61727510</v>
      </c>
      <c r="W302" s="29">
        <f t="shared" si="132"/>
        <v>7151298000.000001</v>
      </c>
      <c r="X302" s="32">
        <f t="shared" si="133"/>
        <v>93.514073447925526</v>
      </c>
      <c r="Y302" s="41">
        <v>290</v>
      </c>
      <c r="Z302" s="41">
        <v>61727510</v>
      </c>
      <c r="AA302" s="41">
        <v>1</v>
      </c>
      <c r="AC302" s="50">
        <v>301</v>
      </c>
      <c r="AD302" s="51">
        <f t="shared" si="103"/>
        <v>300000000</v>
      </c>
      <c r="AE302" s="51">
        <f t="shared" si="105"/>
        <v>286352101.66666669</v>
      </c>
      <c r="AF302" s="51">
        <f t="shared" si="104"/>
        <v>0</v>
      </c>
      <c r="AG302" s="55">
        <f t="shared" si="105"/>
        <v>0</v>
      </c>
      <c r="AH302" s="29">
        <f>SUM($AF$2:AF302)</f>
        <v>175</v>
      </c>
      <c r="AI302" s="55">
        <f>SUM($AG$2:AG302)</f>
        <v>174.99999999999966</v>
      </c>
    </row>
    <row r="303" spans="1:35" x14ac:dyDescent="0.2">
      <c r="A303" s="48" t="s">
        <v>8855</v>
      </c>
      <c r="B303" s="29">
        <v>6</v>
      </c>
      <c r="C303" s="29">
        <v>1</v>
      </c>
      <c r="D303" s="29">
        <v>273</v>
      </c>
      <c r="E303" s="29">
        <v>11818</v>
      </c>
      <c r="F303" s="29">
        <v>4209</v>
      </c>
      <c r="G303" s="29">
        <v>4209</v>
      </c>
      <c r="H303" s="29">
        <v>51395</v>
      </c>
      <c r="I303" s="29">
        <v>7562</v>
      </c>
      <c r="J303" s="29">
        <v>70411152</v>
      </c>
      <c r="K303" s="29">
        <v>932</v>
      </c>
      <c r="L303" s="29">
        <v>1574</v>
      </c>
      <c r="N303" s="33"/>
      <c r="O303" s="29">
        <f t="shared" si="127"/>
        <v>1253</v>
      </c>
      <c r="P303" s="31" cm="1">
        <f t="array" ref="P303">WPNFACTOR(C303)</f>
        <v>2</v>
      </c>
      <c r="Q303" s="33" cm="1">
        <f t="array" ref="Q303">HPFACTOr(C303)</f>
        <v>5</v>
      </c>
      <c r="R303" s="32">
        <f t="shared" si="128"/>
        <v>626.5</v>
      </c>
      <c r="S303" s="33">
        <f t="shared" si="129"/>
        <v>14082230.4</v>
      </c>
      <c r="T303" s="32">
        <f t="shared" si="130"/>
        <v>626.5</v>
      </c>
      <c r="U303" s="39">
        <f t="shared" si="131"/>
        <v>14082230.4</v>
      </c>
      <c r="V303" s="41">
        <f>VLOOKUP(D303,LevelXp!$A$1:'LevelXp'!$B$1000,2,)/5</f>
        <v>48459828</v>
      </c>
      <c r="W303" s="29">
        <f t="shared" si="132"/>
        <v>8822517345.6000004</v>
      </c>
      <c r="X303" s="32">
        <f t="shared" si="133"/>
        <v>97.525571549125885</v>
      </c>
      <c r="Y303" s="41">
        <v>290</v>
      </c>
      <c r="Z303" s="41">
        <v>48459828</v>
      </c>
      <c r="AA303" s="41">
        <v>1</v>
      </c>
      <c r="AC303" s="50">
        <v>302</v>
      </c>
      <c r="AD303" s="51">
        <f t="shared" si="103"/>
        <v>266521891</v>
      </c>
      <c r="AE303" s="51">
        <f t="shared" si="105"/>
        <v>291634524.22222221</v>
      </c>
      <c r="AF303" s="51">
        <f t="shared" si="104"/>
        <v>0</v>
      </c>
      <c r="AG303" s="55">
        <f t="shared" si="105"/>
        <v>0</v>
      </c>
      <c r="AH303" s="29">
        <f>SUM($AF$2:AF303)</f>
        <v>175</v>
      </c>
      <c r="AI303" s="55">
        <f>SUM($AG$2:AG303)</f>
        <v>174.99999999999966</v>
      </c>
    </row>
    <row r="304" spans="1:35" x14ac:dyDescent="0.2">
      <c r="A304" s="48" t="s">
        <v>2937</v>
      </c>
      <c r="B304" s="29">
        <v>350</v>
      </c>
      <c r="N304" s="33"/>
      <c r="Q304" s="33"/>
      <c r="S304" s="33"/>
      <c r="U304" s="39"/>
      <c r="V304" s="41">
        <f>VLOOKUP(B304,LevelXp!$D$1:'LevelXp'!$F$1000,3,)</f>
        <v>165153912</v>
      </c>
      <c r="Y304" s="41">
        <v>290</v>
      </c>
      <c r="Z304" s="41">
        <v>165153912</v>
      </c>
      <c r="AA304" s="41">
        <v>0</v>
      </c>
      <c r="AC304" s="50">
        <v>303</v>
      </c>
      <c r="AD304" s="51">
        <f t="shared" si="103"/>
        <v>273792656</v>
      </c>
      <c r="AE304" s="51">
        <f t="shared" si="105"/>
        <v>309181162.66666669</v>
      </c>
      <c r="AF304" s="51">
        <f t="shared" si="104"/>
        <v>0</v>
      </c>
      <c r="AG304" s="55">
        <f t="shared" si="105"/>
        <v>0.33333333333333331</v>
      </c>
      <c r="AH304" s="29">
        <f>SUM($AF$2:AF304)</f>
        <v>175</v>
      </c>
      <c r="AI304" s="55">
        <f>SUM($AG$2:AG304)</f>
        <v>175.333333333333</v>
      </c>
    </row>
    <row r="305" spans="1:35" x14ac:dyDescent="0.2">
      <c r="A305" s="48" t="s">
        <v>8860</v>
      </c>
      <c r="B305" s="29">
        <v>5</v>
      </c>
      <c r="C305" s="29">
        <v>3</v>
      </c>
      <c r="D305" s="29">
        <v>252</v>
      </c>
      <c r="E305" s="29">
        <v>5620</v>
      </c>
      <c r="F305" s="29">
        <v>11240</v>
      </c>
      <c r="G305" s="29">
        <v>5620</v>
      </c>
      <c r="H305" s="29">
        <v>31500</v>
      </c>
      <c r="I305" s="29">
        <v>5620</v>
      </c>
      <c r="J305" s="29">
        <v>79000000</v>
      </c>
      <c r="K305" s="29">
        <v>709</v>
      </c>
      <c r="L305" s="29">
        <v>958</v>
      </c>
      <c r="M305" s="29">
        <v>25</v>
      </c>
      <c r="N305" s="33">
        <v>25</v>
      </c>
      <c r="O305" s="29">
        <f t="shared" ref="O305:O314" si="134">AVERAGE(K305, L305)</f>
        <v>833.5</v>
      </c>
      <c r="P305" s="31" cm="1">
        <f t="array" ref="P305">WPNFACTOR(C305)</f>
        <v>2.5</v>
      </c>
      <c r="Q305" s="33" cm="1">
        <f t="array" ref="Q305">HPFACTOr(C305)</f>
        <v>4</v>
      </c>
      <c r="R305" s="32">
        <f t="shared" ref="R305:R314" si="135">O305/P305</f>
        <v>333.4</v>
      </c>
      <c r="S305" s="33">
        <f t="shared" ref="S305:S314" si="136">J305/Q305</f>
        <v>19750000</v>
      </c>
      <c r="T305" s="32">
        <f t="shared" ref="T305:T314" si="137">R305*(1 + (N305/400))</f>
        <v>354.23749999999995</v>
      </c>
      <c r="U305" s="39">
        <f t="shared" ref="U305:U314" si="138">S305*1.6/(1 + (0.6*(1 - (M305/100))))</f>
        <v>21793103.448275864</v>
      </c>
      <c r="V305" s="41">
        <f>VLOOKUP(D305,LevelXp!$A$1:'LevelXp'!$B$1000,2,)/5</f>
        <v>33084028</v>
      </c>
      <c r="W305" s="29">
        <f t="shared" ref="W305:W314" si="139">T305*U305</f>
        <v>7719934482.7586203</v>
      </c>
      <c r="X305" s="32">
        <f t="shared" ref="X305:X314" si="140">POWER(W305, 1/$X$1)</f>
        <v>94.956068029968705</v>
      </c>
      <c r="Y305" s="41">
        <v>291</v>
      </c>
      <c r="Z305" s="41">
        <v>33084028</v>
      </c>
      <c r="AA305" s="41">
        <v>1</v>
      </c>
      <c r="AC305" s="50">
        <v>304</v>
      </c>
      <c r="AD305" s="51">
        <f t="shared" si="103"/>
        <v>281239819</v>
      </c>
      <c r="AE305" s="51">
        <f t="shared" si="105"/>
        <v>309554866.8888889</v>
      </c>
      <c r="AF305" s="51">
        <f t="shared" si="104"/>
        <v>0</v>
      </c>
      <c r="AG305" s="55">
        <f t="shared" si="105"/>
        <v>0.33333333333333331</v>
      </c>
      <c r="AH305" s="29">
        <f>SUM($AF$2:AF305)</f>
        <v>175</v>
      </c>
      <c r="AI305" s="55">
        <f>SUM($AG$2:AG305)</f>
        <v>175.66666666666634</v>
      </c>
    </row>
    <row r="306" spans="1:35" x14ac:dyDescent="0.2">
      <c r="A306" s="48" t="s">
        <v>8860</v>
      </c>
      <c r="B306" s="29">
        <v>6</v>
      </c>
      <c r="C306" s="29">
        <v>2</v>
      </c>
      <c r="D306" s="29">
        <v>255</v>
      </c>
      <c r="E306" s="29">
        <v>5800</v>
      </c>
      <c r="F306" s="29">
        <v>5800</v>
      </c>
      <c r="G306" s="29">
        <v>11600</v>
      </c>
      <c r="H306" s="29">
        <v>33000</v>
      </c>
      <c r="I306" s="29">
        <v>5800</v>
      </c>
      <c r="J306" s="29">
        <v>83500000</v>
      </c>
      <c r="K306" s="29">
        <v>721</v>
      </c>
      <c r="L306" s="29">
        <v>966</v>
      </c>
      <c r="M306" s="29">
        <v>25</v>
      </c>
      <c r="N306" s="33">
        <v>25</v>
      </c>
      <c r="O306" s="29">
        <f t="shared" si="134"/>
        <v>843.5</v>
      </c>
      <c r="P306" s="31" cm="1">
        <f t="array" ref="P306">WPNFACTOR(C306)</f>
        <v>4.5</v>
      </c>
      <c r="Q306" s="33" cm="1">
        <f t="array" ref="Q306">HPFACTOr(C306)</f>
        <v>2</v>
      </c>
      <c r="R306" s="32">
        <f t="shared" si="135"/>
        <v>187.44444444444446</v>
      </c>
      <c r="S306" s="33">
        <f t="shared" si="136"/>
        <v>41750000</v>
      </c>
      <c r="T306" s="32">
        <f t="shared" si="137"/>
        <v>199.15972222222223</v>
      </c>
      <c r="U306" s="39">
        <f t="shared" si="138"/>
        <v>46068965.517241381</v>
      </c>
      <c r="V306" s="41">
        <f>VLOOKUP(D306,LevelXp!$A$1:'LevelXp'!$B$1000,2,)/5</f>
        <v>34985806</v>
      </c>
      <c r="W306" s="29">
        <f t="shared" si="139"/>
        <v>9175082375.4789276</v>
      </c>
      <c r="X306" s="32">
        <f t="shared" si="140"/>
        <v>98.292865120712449</v>
      </c>
      <c r="Y306" s="41">
        <v>291</v>
      </c>
      <c r="Z306" s="41">
        <v>34985806</v>
      </c>
      <c r="AA306" s="41">
        <v>1</v>
      </c>
      <c r="AC306" s="50">
        <v>305</v>
      </c>
      <c r="AD306" s="51">
        <f t="shared" si="103"/>
        <v>469585112</v>
      </c>
      <c r="AE306" s="51">
        <f t="shared" si="105"/>
        <v>320803519.1111111</v>
      </c>
      <c r="AF306" s="51">
        <f t="shared" si="104"/>
        <v>0</v>
      </c>
      <c r="AG306" s="55">
        <f t="shared" si="105"/>
        <v>0.55555555555555558</v>
      </c>
      <c r="AH306" s="29">
        <f>SUM($AF$2:AF306)</f>
        <v>175</v>
      </c>
      <c r="AI306" s="55">
        <f>SUM($AG$2:AG306)</f>
        <v>176.22222222222189</v>
      </c>
    </row>
    <row r="307" spans="1:35" x14ac:dyDescent="0.2">
      <c r="A307" s="48" t="s">
        <v>8854</v>
      </c>
      <c r="B307" s="29">
        <v>7</v>
      </c>
      <c r="C307" s="29">
        <v>3</v>
      </c>
      <c r="D307" s="29">
        <v>295</v>
      </c>
      <c r="E307" s="29">
        <v>3910</v>
      </c>
      <c r="F307" s="29">
        <v>12980</v>
      </c>
      <c r="G307" s="29">
        <v>3850</v>
      </c>
      <c r="H307" s="29">
        <v>54500</v>
      </c>
      <c r="I307" s="29">
        <v>7970</v>
      </c>
      <c r="J307" s="29">
        <v>96325000</v>
      </c>
      <c r="K307" s="29">
        <v>402</v>
      </c>
      <c r="L307" s="29">
        <v>1167</v>
      </c>
      <c r="N307" s="33"/>
      <c r="O307" s="29">
        <f t="shared" si="134"/>
        <v>784.5</v>
      </c>
      <c r="P307" s="31" cm="1">
        <f t="array" ref="P307">WPNFACTOR(C307)</f>
        <v>2.5</v>
      </c>
      <c r="Q307" s="33" cm="1">
        <f t="array" ref="Q307">HPFACTOr(C307)</f>
        <v>4</v>
      </c>
      <c r="R307" s="32">
        <f t="shared" si="135"/>
        <v>313.8</v>
      </c>
      <c r="S307" s="33">
        <f t="shared" si="136"/>
        <v>24081250</v>
      </c>
      <c r="T307" s="32">
        <f t="shared" si="137"/>
        <v>313.8</v>
      </c>
      <c r="U307" s="39">
        <f t="shared" si="138"/>
        <v>24081250</v>
      </c>
      <c r="V307" s="41">
        <f>VLOOKUP(D307,LevelXp!$A$1:'LevelXp'!$B$1000,2,)/5</f>
        <v>70595045</v>
      </c>
      <c r="W307" s="29">
        <f t="shared" si="139"/>
        <v>7556696250</v>
      </c>
      <c r="X307" s="32">
        <f t="shared" si="140"/>
        <v>94.55105806075899</v>
      </c>
      <c r="Y307" s="41">
        <v>291</v>
      </c>
      <c r="Z307" s="41">
        <v>70595045</v>
      </c>
      <c r="AA307" s="41">
        <v>1</v>
      </c>
      <c r="AC307" s="50">
        <v>306</v>
      </c>
      <c r="AD307" s="51">
        <f t="shared" si="103"/>
        <v>300000000</v>
      </c>
      <c r="AE307" s="51">
        <f t="shared" si="105"/>
        <v>341987908.22222221</v>
      </c>
      <c r="AF307" s="51">
        <f t="shared" si="104"/>
        <v>0</v>
      </c>
      <c r="AG307" s="55">
        <f t="shared" si="105"/>
        <v>0.55555555555555558</v>
      </c>
      <c r="AH307" s="29">
        <f>SUM($AF$2:AF307)</f>
        <v>175</v>
      </c>
      <c r="AI307" s="55">
        <f>SUM($AG$2:AG307)</f>
        <v>176.77777777777743</v>
      </c>
    </row>
    <row r="308" spans="1:35" x14ac:dyDescent="0.2">
      <c r="A308" s="48" t="s">
        <v>8849</v>
      </c>
      <c r="B308" s="29">
        <v>8</v>
      </c>
      <c r="C308" s="29">
        <v>1</v>
      </c>
      <c r="D308" s="29">
        <v>366</v>
      </c>
      <c r="E308" s="29">
        <v>7076</v>
      </c>
      <c r="F308" s="29">
        <v>2485</v>
      </c>
      <c r="G308" s="29">
        <v>2447</v>
      </c>
      <c r="H308" s="29">
        <v>36570</v>
      </c>
      <c r="I308" s="29">
        <v>1723</v>
      </c>
      <c r="J308" s="29">
        <v>67105952</v>
      </c>
      <c r="K308" s="29">
        <v>3916</v>
      </c>
      <c r="L308" s="29">
        <v>7591</v>
      </c>
      <c r="N308" s="33"/>
      <c r="O308" s="29">
        <f t="shared" si="134"/>
        <v>5753.5</v>
      </c>
      <c r="P308" s="31" cm="1">
        <f t="array" ref="P308">WPNFACTOR(C308)</f>
        <v>2</v>
      </c>
      <c r="Q308" s="33" cm="1">
        <f t="array" ref="Q308">HPFACTOr(C308)</f>
        <v>5</v>
      </c>
      <c r="R308" s="32">
        <f t="shared" si="135"/>
        <v>2876.75</v>
      </c>
      <c r="S308" s="33">
        <f t="shared" si="136"/>
        <v>13421190.4</v>
      </c>
      <c r="T308" s="32">
        <f t="shared" si="137"/>
        <v>2876.75</v>
      </c>
      <c r="U308" s="39">
        <f t="shared" si="138"/>
        <v>13421190.4</v>
      </c>
      <c r="V308" s="41">
        <f>VLOOKUP(D308,LevelXp!$A$1:'LevelXp'!$B$1000,2,)/5</f>
        <v>208088681</v>
      </c>
      <c r="W308" s="29">
        <f t="shared" si="139"/>
        <v>38609409483.200005</v>
      </c>
      <c r="X308" s="32">
        <f t="shared" si="140"/>
        <v>131.02031277620532</v>
      </c>
      <c r="Y308" s="41">
        <v>292</v>
      </c>
      <c r="Z308" s="41">
        <v>208088681</v>
      </c>
      <c r="AA308" s="41">
        <v>0</v>
      </c>
      <c r="AC308" s="50">
        <v>307</v>
      </c>
      <c r="AD308" s="51">
        <f t="shared" si="103"/>
        <v>417331154</v>
      </c>
      <c r="AE308" s="51">
        <f t="shared" si="105"/>
        <v>345707698.1111111</v>
      </c>
      <c r="AF308" s="51">
        <f t="shared" si="104"/>
        <v>3</v>
      </c>
      <c r="AG308" s="55">
        <f t="shared" si="105"/>
        <v>0.55555555555555558</v>
      </c>
      <c r="AH308" s="29">
        <f>SUM($AF$2:AF308)</f>
        <v>178</v>
      </c>
      <c r="AI308" s="55">
        <f>SUM($AG$2:AG308)</f>
        <v>177.33333333333297</v>
      </c>
    </row>
    <row r="309" spans="1:35" x14ac:dyDescent="0.2">
      <c r="A309" s="48" t="s">
        <v>8850</v>
      </c>
      <c r="B309" s="29">
        <v>1</v>
      </c>
      <c r="C309" s="29">
        <v>1</v>
      </c>
      <c r="D309" s="29">
        <v>372</v>
      </c>
      <c r="E309" s="29">
        <v>7206</v>
      </c>
      <c r="F309" s="29">
        <v>2531</v>
      </c>
      <c r="G309" s="29">
        <v>2494</v>
      </c>
      <c r="H309" s="29">
        <v>37389</v>
      </c>
      <c r="I309" s="29">
        <v>1736</v>
      </c>
      <c r="J309" s="29">
        <v>69730488</v>
      </c>
      <c r="K309" s="29">
        <v>3980</v>
      </c>
      <c r="L309" s="29">
        <v>7945</v>
      </c>
      <c r="N309" s="33"/>
      <c r="O309" s="29">
        <f t="shared" si="134"/>
        <v>5962.5</v>
      </c>
      <c r="P309" s="31" cm="1">
        <f t="array" ref="P309">WPNFACTOR(C309)</f>
        <v>2</v>
      </c>
      <c r="Q309" s="33" cm="1">
        <f t="array" ref="Q309">HPFACTOr(C309)</f>
        <v>5</v>
      </c>
      <c r="R309" s="32">
        <f t="shared" si="135"/>
        <v>2981.25</v>
      </c>
      <c r="S309" s="33">
        <f t="shared" si="136"/>
        <v>13946097.6</v>
      </c>
      <c r="T309" s="32">
        <f t="shared" si="137"/>
        <v>2981.25</v>
      </c>
      <c r="U309" s="39">
        <f t="shared" si="138"/>
        <v>13946097.6</v>
      </c>
      <c r="V309" s="41">
        <f>VLOOKUP(D309,LevelXp!$A$1:'LevelXp'!$B$1000,2,)/5</f>
        <v>226219912</v>
      </c>
      <c r="W309" s="29">
        <f t="shared" si="139"/>
        <v>41576803470</v>
      </c>
      <c r="X309" s="32">
        <f t="shared" si="140"/>
        <v>132.97506746237903</v>
      </c>
      <c r="Y309" s="41">
        <v>292</v>
      </c>
      <c r="Z309" s="41">
        <v>226219912</v>
      </c>
      <c r="AA309" s="41">
        <v>0</v>
      </c>
      <c r="AC309" s="50">
        <v>308</v>
      </c>
      <c r="AD309" s="51">
        <f t="shared" si="103"/>
        <v>300000000</v>
      </c>
      <c r="AE309" s="51">
        <f t="shared" si="105"/>
        <v>348619625.22222221</v>
      </c>
      <c r="AF309" s="51">
        <f t="shared" si="104"/>
        <v>0</v>
      </c>
      <c r="AG309" s="55">
        <f t="shared" si="105"/>
        <v>0.66666666666666663</v>
      </c>
      <c r="AH309" s="29">
        <f>SUM($AF$2:AF309)</f>
        <v>178</v>
      </c>
      <c r="AI309" s="55">
        <f>SUM($AG$2:AG309)</f>
        <v>177.99999999999963</v>
      </c>
    </row>
    <row r="310" spans="1:35" x14ac:dyDescent="0.2">
      <c r="A310" s="48" t="s">
        <v>8855</v>
      </c>
      <c r="B310" s="29">
        <v>7</v>
      </c>
      <c r="C310" s="29">
        <v>3</v>
      </c>
      <c r="D310" s="29">
        <v>289</v>
      </c>
      <c r="E310" s="29">
        <v>3832</v>
      </c>
      <c r="F310" s="29">
        <v>12720</v>
      </c>
      <c r="G310" s="29">
        <v>3773</v>
      </c>
      <c r="H310" s="29">
        <v>53410</v>
      </c>
      <c r="I310" s="29">
        <v>7811</v>
      </c>
      <c r="J310" s="29">
        <v>61955600</v>
      </c>
      <c r="K310" s="29">
        <v>1232</v>
      </c>
      <c r="L310" s="29">
        <v>2084</v>
      </c>
      <c r="N310" s="33"/>
      <c r="O310" s="29">
        <f t="shared" si="134"/>
        <v>1658</v>
      </c>
      <c r="P310" s="31" cm="1">
        <f t="array" ref="P310">WPNFACTOR(C310)</f>
        <v>2.5</v>
      </c>
      <c r="Q310" s="33" cm="1">
        <f t="array" ref="Q310">HPFACTOr(C310)</f>
        <v>4</v>
      </c>
      <c r="R310" s="32">
        <f t="shared" si="135"/>
        <v>663.2</v>
      </c>
      <c r="S310" s="33">
        <f t="shared" si="136"/>
        <v>15488900</v>
      </c>
      <c r="T310" s="32">
        <f t="shared" si="137"/>
        <v>663.2</v>
      </c>
      <c r="U310" s="39">
        <f t="shared" si="138"/>
        <v>15488900</v>
      </c>
      <c r="V310" s="41">
        <f>VLOOKUP(D310,LevelXp!$A$1:'LevelXp'!$B$1000,2,)/5</f>
        <v>63853128</v>
      </c>
      <c r="W310" s="29">
        <f t="shared" si="139"/>
        <v>10272238480</v>
      </c>
      <c r="X310" s="32">
        <f t="shared" si="140"/>
        <v>100.53864289637666</v>
      </c>
      <c r="Y310" s="41">
        <v>292</v>
      </c>
      <c r="Z310" s="41">
        <v>63853128</v>
      </c>
      <c r="AA310" s="41">
        <v>1</v>
      </c>
      <c r="AC310" s="50">
        <v>309</v>
      </c>
      <c r="AD310" s="51">
        <f t="shared" si="103"/>
        <v>278761040</v>
      </c>
      <c r="AE310" s="51">
        <f t="shared" si="105"/>
        <v>350704089.77777779</v>
      </c>
      <c r="AF310" s="51">
        <f t="shared" si="104"/>
        <v>2</v>
      </c>
      <c r="AG310" s="55">
        <f t="shared" si="105"/>
        <v>0.66666666666666663</v>
      </c>
      <c r="AH310" s="29">
        <f>SUM($AF$2:AF310)</f>
        <v>180</v>
      </c>
      <c r="AI310" s="55">
        <f>SUM($AG$2:AG310)</f>
        <v>178.66666666666629</v>
      </c>
    </row>
    <row r="311" spans="1:35" x14ac:dyDescent="0.2">
      <c r="A311" s="48" t="s">
        <v>8849</v>
      </c>
      <c r="B311" s="29">
        <v>9</v>
      </c>
      <c r="C311" s="29">
        <v>1</v>
      </c>
      <c r="D311" s="29">
        <v>368</v>
      </c>
      <c r="E311" s="29">
        <v>7119</v>
      </c>
      <c r="F311" s="29">
        <v>2500</v>
      </c>
      <c r="G311" s="29">
        <v>2463</v>
      </c>
      <c r="H311" s="29">
        <v>36844</v>
      </c>
      <c r="I311" s="29">
        <v>1727</v>
      </c>
      <c r="J311" s="29">
        <v>67977184</v>
      </c>
      <c r="K311" s="29">
        <v>3952</v>
      </c>
      <c r="L311" s="29">
        <v>7833</v>
      </c>
      <c r="N311" s="33"/>
      <c r="O311" s="29">
        <f t="shared" si="134"/>
        <v>5892.5</v>
      </c>
      <c r="P311" s="31" cm="1">
        <f t="array" ref="P311">WPNFACTOR(C311)</f>
        <v>2</v>
      </c>
      <c r="Q311" s="33" cm="1">
        <f t="array" ref="Q311">HPFACTOr(C311)</f>
        <v>5</v>
      </c>
      <c r="R311" s="32">
        <f t="shared" si="135"/>
        <v>2946.25</v>
      </c>
      <c r="S311" s="33">
        <f t="shared" si="136"/>
        <v>13595436.800000001</v>
      </c>
      <c r="T311" s="32">
        <f t="shared" si="137"/>
        <v>2946.25</v>
      </c>
      <c r="U311" s="39">
        <f t="shared" si="138"/>
        <v>13595436.800000001</v>
      </c>
      <c r="V311" s="41">
        <f>VLOOKUP(D311,LevelXp!$A$1:'LevelXp'!$B$1000,2,)/5</f>
        <v>213986701</v>
      </c>
      <c r="W311" s="29">
        <f t="shared" si="139"/>
        <v>40055555672</v>
      </c>
      <c r="X311" s="32">
        <f t="shared" si="140"/>
        <v>131.98742380572648</v>
      </c>
      <c r="Y311" s="41">
        <v>293</v>
      </c>
      <c r="Z311" s="41">
        <v>213986701</v>
      </c>
      <c r="AA311" s="41">
        <v>0</v>
      </c>
      <c r="AC311" s="50">
        <v>310</v>
      </c>
      <c r="AD311" s="51">
        <f t="shared" si="103"/>
        <v>490659502</v>
      </c>
      <c r="AE311" s="51">
        <f t="shared" si="105"/>
        <v>331861299.55555558</v>
      </c>
      <c r="AF311" s="51">
        <f t="shared" si="104"/>
        <v>0</v>
      </c>
      <c r="AG311" s="55">
        <f t="shared" si="105"/>
        <v>0.77777777777777779</v>
      </c>
      <c r="AH311" s="29">
        <f>SUM($AF$2:AF311)</f>
        <v>180</v>
      </c>
      <c r="AI311" s="55">
        <f>SUM($AG$2:AG311)</f>
        <v>179.44444444444406</v>
      </c>
    </row>
    <row r="312" spans="1:35" x14ac:dyDescent="0.2">
      <c r="A312" s="48" t="s">
        <v>8855</v>
      </c>
      <c r="B312" s="29">
        <v>8</v>
      </c>
      <c r="C312" s="29">
        <v>2</v>
      </c>
      <c r="D312" s="29">
        <v>305</v>
      </c>
      <c r="E312" s="29">
        <v>3163</v>
      </c>
      <c r="F312" s="29">
        <v>3163</v>
      </c>
      <c r="G312" s="29">
        <v>15023</v>
      </c>
      <c r="H312" s="29">
        <v>58878</v>
      </c>
      <c r="I312" s="29">
        <v>8102</v>
      </c>
      <c r="J312" s="29">
        <v>36033336</v>
      </c>
      <c r="K312" s="29">
        <v>2340</v>
      </c>
      <c r="L312" s="29">
        <v>3959</v>
      </c>
      <c r="N312" s="33"/>
      <c r="O312" s="29">
        <f t="shared" si="134"/>
        <v>3149.5</v>
      </c>
      <c r="P312" s="31" cm="1">
        <f t="array" ref="P312">WPNFACTOR(C312)</f>
        <v>4.5</v>
      </c>
      <c r="Q312" s="33" cm="1">
        <f t="array" ref="Q312">HPFACTOr(C312)</f>
        <v>2</v>
      </c>
      <c r="R312" s="32">
        <f t="shared" si="135"/>
        <v>699.88888888888891</v>
      </c>
      <c r="S312" s="33">
        <f t="shared" si="136"/>
        <v>18016668</v>
      </c>
      <c r="T312" s="32">
        <f t="shared" si="137"/>
        <v>699.88888888888891</v>
      </c>
      <c r="U312" s="39">
        <f t="shared" si="138"/>
        <v>18016668</v>
      </c>
      <c r="V312" s="41">
        <f>VLOOKUP(D312,LevelXp!$A$1:'LevelXp'!$B$1000,2,)/5</f>
        <v>83158305</v>
      </c>
      <c r="W312" s="29">
        <f t="shared" si="139"/>
        <v>12609665748</v>
      </c>
      <c r="X312" s="32">
        <f t="shared" si="140"/>
        <v>104.74678811384949</v>
      </c>
      <c r="Y312" s="41">
        <v>293</v>
      </c>
      <c r="Z312" s="41">
        <v>83158305</v>
      </c>
      <c r="AA312" s="41">
        <v>1</v>
      </c>
      <c r="AC312" s="50">
        <v>311</v>
      </c>
      <c r="AD312" s="51">
        <f t="shared" si="103"/>
        <v>300000000</v>
      </c>
      <c r="AE312" s="51">
        <f t="shared" si="105"/>
        <v>325551467.1111111</v>
      </c>
      <c r="AF312" s="51">
        <f t="shared" si="104"/>
        <v>0</v>
      </c>
      <c r="AG312" s="55">
        <f t="shared" si="105"/>
        <v>0.88888888888888884</v>
      </c>
      <c r="AH312" s="29">
        <f>SUM($AF$2:AF312)</f>
        <v>180</v>
      </c>
      <c r="AI312" s="55">
        <f>SUM($AG$2:AG312)</f>
        <v>180.33333333333294</v>
      </c>
    </row>
    <row r="313" spans="1:35" x14ac:dyDescent="0.2">
      <c r="A313" s="48" t="s">
        <v>8849</v>
      </c>
      <c r="B313" s="29">
        <v>10</v>
      </c>
      <c r="C313" s="29">
        <v>1</v>
      </c>
      <c r="D313" s="29">
        <v>370</v>
      </c>
      <c r="E313" s="29">
        <v>7163</v>
      </c>
      <c r="F313" s="29">
        <v>2516</v>
      </c>
      <c r="G313" s="29">
        <v>2479</v>
      </c>
      <c r="H313" s="29">
        <v>37114</v>
      </c>
      <c r="I313" s="29">
        <v>1731</v>
      </c>
      <c r="J313" s="29">
        <v>68846472</v>
      </c>
      <c r="K313" s="29">
        <v>3964</v>
      </c>
      <c r="L313" s="29">
        <v>7873</v>
      </c>
      <c r="N313" s="33"/>
      <c r="O313" s="29">
        <f t="shared" si="134"/>
        <v>5918.5</v>
      </c>
      <c r="P313" s="31" cm="1">
        <f t="array" ref="P313">WPNFACTOR(C313)</f>
        <v>2</v>
      </c>
      <c r="Q313" s="33" cm="1">
        <f t="array" ref="Q313">HPFACTOr(C313)</f>
        <v>5</v>
      </c>
      <c r="R313" s="32">
        <f t="shared" si="135"/>
        <v>2959.25</v>
      </c>
      <c r="S313" s="33">
        <f t="shared" si="136"/>
        <v>13769294.4</v>
      </c>
      <c r="T313" s="32">
        <f t="shared" si="137"/>
        <v>2959.25</v>
      </c>
      <c r="U313" s="39">
        <f t="shared" si="138"/>
        <v>13769294.4</v>
      </c>
      <c r="V313" s="41">
        <f>VLOOKUP(D313,LevelXp!$A$1:'LevelXp'!$B$1000,2,)/5</f>
        <v>220033230</v>
      </c>
      <c r="W313" s="29">
        <f t="shared" si="139"/>
        <v>40746784453.200005</v>
      </c>
      <c r="X313" s="32">
        <f t="shared" si="140"/>
        <v>132.43984639619407</v>
      </c>
      <c r="Y313" s="41">
        <v>294</v>
      </c>
      <c r="Z313" s="41">
        <v>220033230</v>
      </c>
      <c r="AA313" s="41">
        <v>0</v>
      </c>
      <c r="AC313" s="50">
        <v>312</v>
      </c>
      <c r="AD313" s="51">
        <f t="shared" si="103"/>
        <v>300000000</v>
      </c>
      <c r="AE313" s="51">
        <f t="shared" si="105"/>
        <v>312514672.22222221</v>
      </c>
      <c r="AF313" s="51">
        <f t="shared" si="104"/>
        <v>1</v>
      </c>
      <c r="AG313" s="55">
        <f t="shared" si="105"/>
        <v>0.55555555555555558</v>
      </c>
      <c r="AH313" s="29">
        <f>SUM($AF$2:AF313)</f>
        <v>181</v>
      </c>
      <c r="AI313" s="55">
        <f>SUM($AG$2:AG313)</f>
        <v>180.88888888888849</v>
      </c>
    </row>
    <row r="314" spans="1:35" x14ac:dyDescent="0.2">
      <c r="A314" s="48" t="s">
        <v>8850</v>
      </c>
      <c r="B314" s="29">
        <v>2</v>
      </c>
      <c r="C314" s="29">
        <v>3</v>
      </c>
      <c r="D314" s="29">
        <v>374</v>
      </c>
      <c r="E314" s="29">
        <v>1826</v>
      </c>
      <c r="F314" s="29">
        <v>7249</v>
      </c>
      <c r="G314" s="29">
        <v>1812</v>
      </c>
      <c r="H314" s="29">
        <v>37658</v>
      </c>
      <c r="I314" s="29">
        <v>2639</v>
      </c>
      <c r="J314" s="29">
        <v>56487000</v>
      </c>
      <c r="K314" s="29">
        <v>5024</v>
      </c>
      <c r="L314" s="29">
        <v>9980</v>
      </c>
      <c r="N314" s="33"/>
      <c r="O314" s="29">
        <f t="shared" si="134"/>
        <v>7502</v>
      </c>
      <c r="P314" s="31" cm="1">
        <f t="array" ref="P314">WPNFACTOR(C314)</f>
        <v>2.5</v>
      </c>
      <c r="Q314" s="33" cm="1">
        <f t="array" ref="Q314">HPFACTOr(C314)</f>
        <v>4</v>
      </c>
      <c r="R314" s="32">
        <f t="shared" si="135"/>
        <v>3000.8</v>
      </c>
      <c r="S314" s="33">
        <f t="shared" si="136"/>
        <v>14121750</v>
      </c>
      <c r="T314" s="32">
        <f t="shared" si="137"/>
        <v>3000.8</v>
      </c>
      <c r="U314" s="39">
        <f t="shared" si="138"/>
        <v>14121750</v>
      </c>
      <c r="V314" s="41">
        <f>VLOOKUP(D314,LevelXp!$A$1:'LevelXp'!$B$1000,2,)/5</f>
        <v>232549429</v>
      </c>
      <c r="W314" s="29">
        <f t="shared" si="139"/>
        <v>42376547400</v>
      </c>
      <c r="X314" s="32">
        <f t="shared" si="140"/>
        <v>133.48274035594059</v>
      </c>
      <c r="Y314" s="41">
        <v>295</v>
      </c>
      <c r="Z314" s="41">
        <v>232549429</v>
      </c>
      <c r="AA314" s="41">
        <v>0</v>
      </c>
      <c r="AC314" s="50">
        <v>313</v>
      </c>
      <c r="AD314" s="51">
        <f t="shared" si="103"/>
        <v>300000000</v>
      </c>
      <c r="AE314" s="51">
        <f t="shared" si="105"/>
        <v>312514672.22222221</v>
      </c>
      <c r="AF314" s="51">
        <f t="shared" si="104"/>
        <v>0</v>
      </c>
      <c r="AG314" s="55">
        <f t="shared" si="105"/>
        <v>0.55555555555555558</v>
      </c>
      <c r="AH314" s="29">
        <f>SUM($AF$2:AF314)</f>
        <v>181</v>
      </c>
      <c r="AI314" s="55">
        <f>SUM($AG$2:AG314)</f>
        <v>181.44444444444403</v>
      </c>
    </row>
    <row r="315" spans="1:35" x14ac:dyDescent="0.2">
      <c r="A315" s="48" t="s">
        <v>2937</v>
      </c>
      <c r="B315" s="29">
        <v>360</v>
      </c>
      <c r="N315" s="33"/>
      <c r="Q315" s="33"/>
      <c r="S315" s="33"/>
      <c r="U315" s="39"/>
      <c r="V315" s="41">
        <f>VLOOKUP(B315,LevelXp!$D$1:'LevelXp'!$F$1000,3,)</f>
        <v>170995244</v>
      </c>
      <c r="Y315" s="41">
        <v>295</v>
      </c>
      <c r="Z315" s="41">
        <v>170995244</v>
      </c>
      <c r="AA315" s="41">
        <v>0</v>
      </c>
      <c r="AC315" s="50">
        <v>314</v>
      </c>
      <c r="AD315" s="51">
        <f t="shared" si="103"/>
        <v>300000000</v>
      </c>
      <c r="AE315" s="51">
        <f t="shared" si="105"/>
        <v>323676075</v>
      </c>
      <c r="AF315" s="51">
        <f t="shared" si="104"/>
        <v>1</v>
      </c>
      <c r="AG315" s="55">
        <f t="shared" si="105"/>
        <v>0.44444444444444442</v>
      </c>
      <c r="AH315" s="29">
        <f>SUM($AF$2:AF315)</f>
        <v>182</v>
      </c>
      <c r="AI315" s="55">
        <f>SUM($AG$2:AG315)</f>
        <v>181.88888888888849</v>
      </c>
    </row>
    <row r="316" spans="1:35" x14ac:dyDescent="0.2">
      <c r="A316" s="48" t="s">
        <v>8850</v>
      </c>
      <c r="B316" s="29">
        <v>3</v>
      </c>
      <c r="C316" s="29">
        <v>1</v>
      </c>
      <c r="D316" s="29">
        <v>376</v>
      </c>
      <c r="E316" s="29">
        <v>7292</v>
      </c>
      <c r="F316" s="29">
        <v>2561</v>
      </c>
      <c r="G316" s="29">
        <v>2525</v>
      </c>
      <c r="H316" s="29">
        <v>37922</v>
      </c>
      <c r="I316" s="29">
        <v>1745</v>
      </c>
      <c r="J316" s="29">
        <v>71482968</v>
      </c>
      <c r="K316" s="29">
        <v>4082</v>
      </c>
      <c r="L316" s="29">
        <v>7966</v>
      </c>
      <c r="N316" s="33"/>
      <c r="O316" s="29">
        <f>AVERAGE(K316, L316)</f>
        <v>6024</v>
      </c>
      <c r="P316" s="31" cm="1">
        <f t="array" ref="P316">WPNFACTOR(C316)</f>
        <v>2</v>
      </c>
      <c r="Q316" s="33" cm="1">
        <f t="array" ref="Q316">HPFACTOr(C316)</f>
        <v>5</v>
      </c>
      <c r="R316" s="32">
        <f>O316/P316</f>
        <v>3012</v>
      </c>
      <c r="S316" s="33">
        <f>J316/Q316</f>
        <v>14296593.6</v>
      </c>
      <c r="T316" s="32">
        <f>R316*(1 + (N316/400))</f>
        <v>3012</v>
      </c>
      <c r="U316" s="39">
        <f>S316*1.6/(1 + (0.6*(1 - (M316/100))))</f>
        <v>14296593.6</v>
      </c>
      <c r="V316" s="41">
        <f>VLOOKUP(D316,LevelXp!$A$1:'LevelXp'!$B$1000,2,)/5</f>
        <v>239036142</v>
      </c>
      <c r="W316" s="29">
        <f>T316*U316</f>
        <v>43061339923.199997</v>
      </c>
      <c r="X316" s="32">
        <f>POWER(W316, 1/$X$1)</f>
        <v>133.91138687142924</v>
      </c>
      <c r="Y316" s="41">
        <v>296</v>
      </c>
      <c r="Z316" s="41">
        <v>239036142</v>
      </c>
      <c r="AA316" s="41">
        <v>0</v>
      </c>
      <c r="AC316" s="50">
        <v>315</v>
      </c>
      <c r="AD316" s="51">
        <f t="shared" si="103"/>
        <v>243211508</v>
      </c>
      <c r="AE316" s="51">
        <f t="shared" si="105"/>
        <v>312505623.22222221</v>
      </c>
      <c r="AF316" s="51">
        <f t="shared" si="104"/>
        <v>1</v>
      </c>
      <c r="AG316" s="55">
        <f t="shared" si="105"/>
        <v>0.55555555555555558</v>
      </c>
      <c r="AH316" s="29">
        <f>SUM($AF$2:AF316)</f>
        <v>183</v>
      </c>
      <c r="AI316" s="55">
        <f>SUM($AG$2:AG316)</f>
        <v>182.44444444444403</v>
      </c>
    </row>
    <row r="317" spans="1:35" x14ac:dyDescent="0.2">
      <c r="A317" s="48" t="s">
        <v>8850</v>
      </c>
      <c r="B317" s="29">
        <v>4</v>
      </c>
      <c r="C317" s="29">
        <v>1</v>
      </c>
      <c r="D317" s="29">
        <v>378</v>
      </c>
      <c r="E317" s="29">
        <v>7336</v>
      </c>
      <c r="F317" s="29">
        <v>2576</v>
      </c>
      <c r="G317" s="29">
        <v>2541</v>
      </c>
      <c r="H317" s="29">
        <v>38192</v>
      </c>
      <c r="I317" s="29">
        <v>1750</v>
      </c>
      <c r="J317" s="29">
        <v>72373840</v>
      </c>
      <c r="K317" s="29">
        <v>4055</v>
      </c>
      <c r="L317" s="29">
        <v>8051</v>
      </c>
      <c r="N317" s="33"/>
      <c r="O317" s="29">
        <f>AVERAGE(K317, L317)</f>
        <v>6053</v>
      </c>
      <c r="P317" s="31" cm="1">
        <f t="array" ref="P317">WPNFACTOR(C317)</f>
        <v>2</v>
      </c>
      <c r="Q317" s="33" cm="1">
        <f t="array" ref="Q317">HPFACTOr(C317)</f>
        <v>5</v>
      </c>
      <c r="R317" s="32">
        <f>O317/P317</f>
        <v>3026.5</v>
      </c>
      <c r="S317" s="33">
        <f>J317/Q317</f>
        <v>14474768</v>
      </c>
      <c r="T317" s="32">
        <f>R317*(1 + (N317/400))</f>
        <v>3026.5</v>
      </c>
      <c r="U317" s="39">
        <f>S317*1.6/(1 + (0.6*(1 - (M317/100))))</f>
        <v>14474768</v>
      </c>
      <c r="V317" s="41">
        <f>VLOOKUP(D317,LevelXp!$A$1:'LevelXp'!$B$1000,2,)/5</f>
        <v>245671462</v>
      </c>
      <c r="W317" s="29">
        <f>T317*U317</f>
        <v>43807885352</v>
      </c>
      <c r="X317" s="32">
        <f>POWER(W317, 1/$X$1)</f>
        <v>134.37251877733004</v>
      </c>
      <c r="Y317" s="41">
        <v>296</v>
      </c>
      <c r="Z317" s="41">
        <v>245671462</v>
      </c>
      <c r="AA317" s="41">
        <v>0</v>
      </c>
      <c r="AC317" s="50">
        <v>316</v>
      </c>
      <c r="AD317" s="51">
        <f t="shared" si="103"/>
        <v>300000000</v>
      </c>
      <c r="AE317" s="51">
        <f t="shared" si="105"/>
        <v>339854637.33333331</v>
      </c>
      <c r="AF317" s="51">
        <f t="shared" si="104"/>
        <v>0</v>
      </c>
      <c r="AG317" s="55">
        <f t="shared" si="105"/>
        <v>0.88888888888888884</v>
      </c>
      <c r="AH317" s="29">
        <f>SUM($AF$2:AF317)</f>
        <v>183</v>
      </c>
      <c r="AI317" s="55">
        <f>SUM($AG$2:AG317)</f>
        <v>183.33333333333292</v>
      </c>
    </row>
    <row r="318" spans="1:35" x14ac:dyDescent="0.2">
      <c r="A318" s="48" t="s">
        <v>8850</v>
      </c>
      <c r="B318" s="29">
        <v>5</v>
      </c>
      <c r="C318" s="29">
        <v>2</v>
      </c>
      <c r="D318" s="29">
        <v>380</v>
      </c>
      <c r="E318" s="29">
        <v>1830</v>
      </c>
      <c r="F318" s="29">
        <v>1858</v>
      </c>
      <c r="G318" s="29">
        <v>7489</v>
      </c>
      <c r="H318" s="29">
        <v>37846</v>
      </c>
      <c r="I318" s="29">
        <v>2673</v>
      </c>
      <c r="J318" s="29">
        <v>28838652</v>
      </c>
      <c r="K318" s="29">
        <v>9157</v>
      </c>
      <c r="L318" s="29">
        <v>17530</v>
      </c>
      <c r="N318" s="33"/>
      <c r="O318" s="29">
        <f>AVERAGE(K318, L318)</f>
        <v>13343.5</v>
      </c>
      <c r="P318" s="31" cm="1">
        <f t="array" ref="P318">WPNFACTOR(C318)</f>
        <v>4.5</v>
      </c>
      <c r="Q318" s="33" cm="1">
        <f t="array" ref="Q318">HPFACTOr(C318)</f>
        <v>2</v>
      </c>
      <c r="R318" s="32">
        <f>O318/P318</f>
        <v>2965.2222222222222</v>
      </c>
      <c r="S318" s="33">
        <f>J318/Q318</f>
        <v>14419326</v>
      </c>
      <c r="T318" s="32">
        <f>R318*(1 + (N318/400))</f>
        <v>2965.2222222222222</v>
      </c>
      <c r="U318" s="39">
        <f>S318*1.6/(1 + (0.6*(1 - (M318/100))))</f>
        <v>14419326</v>
      </c>
      <c r="V318" s="41">
        <f>VLOOKUP(D318,LevelXp!$A$1:'LevelXp'!$B$1000,2,)/5</f>
        <v>252458197</v>
      </c>
      <c r="W318" s="29">
        <f>T318*U318</f>
        <v>42756505884.666664</v>
      </c>
      <c r="X318" s="32">
        <f>POWER(W318, 1/$X$1)</f>
        <v>133.72125423068206</v>
      </c>
      <c r="Y318" s="41">
        <v>297</v>
      </c>
      <c r="Z318" s="41">
        <v>252458197</v>
      </c>
      <c r="AA318" s="41">
        <v>0</v>
      </c>
      <c r="AC318" s="50">
        <v>317</v>
      </c>
      <c r="AD318" s="51">
        <f t="shared" si="103"/>
        <v>300000000</v>
      </c>
      <c r="AE318" s="51">
        <f t="shared" si="105"/>
        <v>345939538.77777779</v>
      </c>
      <c r="AF318" s="51">
        <f t="shared" si="104"/>
        <v>0</v>
      </c>
      <c r="AG318" s="55">
        <f t="shared" si="105"/>
        <v>1</v>
      </c>
      <c r="AH318" s="29">
        <f>SUM($AF$2:AF318)</f>
        <v>183</v>
      </c>
      <c r="AI318" s="55">
        <f>SUM($AG$2:AG318)</f>
        <v>184.33333333333292</v>
      </c>
    </row>
    <row r="319" spans="1:35" x14ac:dyDescent="0.2">
      <c r="A319" s="48" t="s">
        <v>8850</v>
      </c>
      <c r="B319" s="29">
        <v>6</v>
      </c>
      <c r="C319" s="29">
        <v>3</v>
      </c>
      <c r="D319" s="29">
        <v>382</v>
      </c>
      <c r="E319" s="29">
        <v>1869</v>
      </c>
      <c r="F319" s="29">
        <v>7421</v>
      </c>
      <c r="G319" s="29">
        <v>1855</v>
      </c>
      <c r="H319" s="29">
        <v>38714</v>
      </c>
      <c r="I319" s="29">
        <v>2694</v>
      </c>
      <c r="J319" s="29">
        <v>59309848</v>
      </c>
      <c r="K319" s="29">
        <v>5163</v>
      </c>
      <c r="L319" s="29">
        <v>9965</v>
      </c>
      <c r="N319" s="33"/>
      <c r="O319" s="29">
        <f>AVERAGE(K319, L319)</f>
        <v>7564</v>
      </c>
      <c r="P319" s="31" cm="1">
        <f t="array" ref="P319">WPNFACTOR(C319)</f>
        <v>2.5</v>
      </c>
      <c r="Q319" s="33" cm="1">
        <f t="array" ref="Q319">HPFACTOr(C319)</f>
        <v>4</v>
      </c>
      <c r="R319" s="32">
        <f>O319/P319</f>
        <v>3025.6</v>
      </c>
      <c r="S319" s="33">
        <f>J319/Q319</f>
        <v>14827462</v>
      </c>
      <c r="T319" s="32">
        <f>R319*(1 + (N319/400))</f>
        <v>3025.6</v>
      </c>
      <c r="U319" s="39">
        <f>S319*1.6/(1 + (0.6*(1 - (M319/100))))</f>
        <v>14827462.000000002</v>
      </c>
      <c r="V319" s="41">
        <f>VLOOKUP(D319,LevelXp!$A$1:'LevelXp'!$B$1000,2,)/5</f>
        <v>259411408</v>
      </c>
      <c r="W319" s="29">
        <f>T319*U319</f>
        <v>44861969027.200005</v>
      </c>
      <c r="X319" s="32">
        <f>POWER(W319, 1/$X$1)</f>
        <v>135.01302449939794</v>
      </c>
      <c r="Y319" s="41">
        <v>298</v>
      </c>
      <c r="Z319" s="41">
        <v>259411408</v>
      </c>
      <c r="AA319" s="41">
        <v>0</v>
      </c>
      <c r="AC319" s="50">
        <v>318</v>
      </c>
      <c r="AD319" s="51">
        <f t="shared" si="103"/>
        <v>379213665</v>
      </c>
      <c r="AE319" s="51">
        <f t="shared" si="105"/>
        <v>361830497.66666669</v>
      </c>
      <c r="AF319" s="51">
        <f t="shared" si="104"/>
        <v>1</v>
      </c>
      <c r="AG319" s="55">
        <f t="shared" si="105"/>
        <v>1.1111111111111112</v>
      </c>
      <c r="AH319" s="29">
        <f>SUM($AF$2:AF319)</f>
        <v>184</v>
      </c>
      <c r="AI319" s="55">
        <f>SUM($AG$2:AG319)</f>
        <v>185.44444444444403</v>
      </c>
    </row>
    <row r="320" spans="1:35" x14ac:dyDescent="0.2">
      <c r="A320" s="48" t="s">
        <v>8851</v>
      </c>
      <c r="B320" s="29">
        <v>1</v>
      </c>
      <c r="C320" s="29">
        <v>2</v>
      </c>
      <c r="D320" s="29">
        <v>392</v>
      </c>
      <c r="E320" s="29">
        <v>1895</v>
      </c>
      <c r="F320" s="29">
        <v>1921</v>
      </c>
      <c r="G320" s="29">
        <v>7737</v>
      </c>
      <c r="H320" s="29">
        <v>39440</v>
      </c>
      <c r="I320" s="29">
        <v>2756</v>
      </c>
      <c r="J320" s="29">
        <v>30999840</v>
      </c>
      <c r="K320" s="29">
        <v>9910</v>
      </c>
      <c r="L320" s="29">
        <v>18710</v>
      </c>
      <c r="N320" s="33"/>
      <c r="O320" s="29">
        <f>AVERAGE(K320, L320)</f>
        <v>14310</v>
      </c>
      <c r="P320" s="31" cm="1">
        <f t="array" ref="P320">WPNFACTOR(C320)</f>
        <v>4.5</v>
      </c>
      <c r="Q320" s="33" cm="1">
        <f t="array" ref="Q320">HPFACTOr(C320)</f>
        <v>2</v>
      </c>
      <c r="R320" s="32">
        <f>O320/P320</f>
        <v>3180</v>
      </c>
      <c r="S320" s="33">
        <f>J320/Q320</f>
        <v>15499920</v>
      </c>
      <c r="T320" s="32">
        <f>R320*(1 + (N320/400))</f>
        <v>3180</v>
      </c>
      <c r="U320" s="39">
        <f>S320*1.6/(1 + (0.6*(1 - (M320/100))))</f>
        <v>15499920</v>
      </c>
      <c r="V320" s="41">
        <f>VLOOKUP(D320,LevelXp!$A$1:'LevelXp'!$B$1000,2,)/5</f>
        <v>296636662</v>
      </c>
      <c r="W320" s="29">
        <f>T320*U320</f>
        <v>49289745600</v>
      </c>
      <c r="X320" s="32">
        <f>POWER(W320, 1/$X$1)</f>
        <v>137.57873608230435</v>
      </c>
      <c r="Y320" s="41">
        <v>299</v>
      </c>
      <c r="Z320" s="41">
        <v>296636662</v>
      </c>
      <c r="AA320" s="41">
        <v>0</v>
      </c>
      <c r="AC320" s="50">
        <v>319</v>
      </c>
      <c r="AD320" s="51">
        <f t="shared" si="103"/>
        <v>390125436</v>
      </c>
      <c r="AE320" s="51">
        <f t="shared" si="105"/>
        <v>395163831</v>
      </c>
      <c r="AF320" s="51">
        <f t="shared" si="104"/>
        <v>1</v>
      </c>
      <c r="AG320" s="55">
        <f t="shared" si="105"/>
        <v>1.2222222222222223</v>
      </c>
      <c r="AH320" s="29">
        <f>SUM($AF$2:AF320)</f>
        <v>185</v>
      </c>
      <c r="AI320" s="55">
        <f>SUM($AG$2:AG320)</f>
        <v>186.66666666666626</v>
      </c>
    </row>
    <row r="321" spans="1:35" x14ac:dyDescent="0.2">
      <c r="A321" s="48" t="s">
        <v>2937</v>
      </c>
      <c r="B321" s="29">
        <v>370</v>
      </c>
      <c r="N321" s="33"/>
      <c r="Q321" s="33"/>
      <c r="S321" s="33"/>
      <c r="U321" s="39"/>
      <c r="V321" s="41">
        <f>VLOOKUP(B321,LevelXp!$D$1:'LevelXp'!$F$1000,3,)</f>
        <v>177523170</v>
      </c>
      <c r="Y321" s="41">
        <v>300</v>
      </c>
      <c r="Z321" s="41">
        <v>177523170</v>
      </c>
      <c r="AA321" s="41">
        <v>0</v>
      </c>
      <c r="AC321" s="50">
        <v>320</v>
      </c>
      <c r="AD321" s="51">
        <f t="shared" si="103"/>
        <v>546141127</v>
      </c>
      <c r="AE321" s="51">
        <f t="shared" si="105"/>
        <v>401473663.44444442</v>
      </c>
      <c r="AF321" s="51">
        <f t="shared" si="104"/>
        <v>3</v>
      </c>
      <c r="AG321" s="55">
        <f t="shared" si="105"/>
        <v>1.1111111111111112</v>
      </c>
      <c r="AH321" s="29">
        <f>SUM($AF$2:AF321)</f>
        <v>188</v>
      </c>
      <c r="AI321" s="55">
        <f>SUM($AG$2:AG321)</f>
        <v>187.77777777777737</v>
      </c>
    </row>
    <row r="322" spans="1:35" x14ac:dyDescent="0.2">
      <c r="A322" s="48" t="s">
        <v>8851</v>
      </c>
      <c r="B322" s="29">
        <v>2</v>
      </c>
      <c r="C322" s="29">
        <v>2</v>
      </c>
      <c r="D322" s="29">
        <v>394</v>
      </c>
      <c r="E322" s="29">
        <v>1906</v>
      </c>
      <c r="F322" s="29">
        <v>1931</v>
      </c>
      <c r="G322" s="29">
        <v>7778</v>
      </c>
      <c r="H322" s="29">
        <v>39704</v>
      </c>
      <c r="I322" s="29">
        <v>2770</v>
      </c>
      <c r="J322" s="29">
        <v>31366160</v>
      </c>
      <c r="K322" s="29">
        <v>9918</v>
      </c>
      <c r="L322" s="29">
        <v>18819</v>
      </c>
      <c r="N322" s="33"/>
      <c r="O322" s="29">
        <f>AVERAGE(K322, L322)</f>
        <v>14368.5</v>
      </c>
      <c r="P322" s="31" cm="1">
        <f t="array" ref="P322">WPNFACTOR(C322)</f>
        <v>4.5</v>
      </c>
      <c r="Q322" s="33" cm="1">
        <f t="array" ref="Q322">HPFACTOr(C322)</f>
        <v>2</v>
      </c>
      <c r="R322" s="32">
        <f>O322/P322</f>
        <v>3193</v>
      </c>
      <c r="S322" s="33">
        <f>J322/Q322</f>
        <v>15683080</v>
      </c>
      <c r="T322" s="32">
        <f>R322*(1 + (N322/400))</f>
        <v>3193</v>
      </c>
      <c r="U322" s="39">
        <f>S322*1.6/(1 + (0.6*(1 - (M322/100))))</f>
        <v>15683080</v>
      </c>
      <c r="V322" s="41">
        <f>VLOOKUP(D322,LevelXp!$A$1:'LevelXp'!$B$1000,2,)/5</f>
        <v>300000000</v>
      </c>
      <c r="W322" s="29">
        <f>T322*U322</f>
        <v>50076074440</v>
      </c>
      <c r="X322" s="32">
        <f>POWER(W322, 1/$X$1)</f>
        <v>138.01492548216115</v>
      </c>
      <c r="Y322" s="41">
        <v>301</v>
      </c>
      <c r="Z322" s="41">
        <v>300000000</v>
      </c>
      <c r="AA322" s="41">
        <v>0</v>
      </c>
      <c r="AC322" s="50">
        <v>321</v>
      </c>
      <c r="AD322" s="51">
        <f t="shared" si="103"/>
        <v>354764113</v>
      </c>
      <c r="AE322" s="51">
        <f t="shared" si="105"/>
        <v>424986435.8888889</v>
      </c>
      <c r="AF322" s="51">
        <f t="shared" si="104"/>
        <v>2</v>
      </c>
      <c r="AG322" s="55">
        <f t="shared" si="105"/>
        <v>1.1111111111111112</v>
      </c>
      <c r="AH322" s="29">
        <f>SUM($AF$2:AF322)</f>
        <v>190</v>
      </c>
      <c r="AI322" s="55">
        <f>SUM($AG$2:AG322)</f>
        <v>188.88888888888849</v>
      </c>
    </row>
    <row r="323" spans="1:35" x14ac:dyDescent="0.2">
      <c r="A323" s="48" t="s">
        <v>8850</v>
      </c>
      <c r="B323" s="29">
        <v>7</v>
      </c>
      <c r="C323" s="29">
        <v>1</v>
      </c>
      <c r="D323" s="29">
        <v>384</v>
      </c>
      <c r="E323" s="29">
        <v>7464</v>
      </c>
      <c r="F323" s="29">
        <v>2620</v>
      </c>
      <c r="G323" s="29">
        <v>2586</v>
      </c>
      <c r="H323" s="29">
        <v>38978</v>
      </c>
      <c r="I323" s="29">
        <v>1765</v>
      </c>
      <c r="J323" s="29">
        <v>75032648</v>
      </c>
      <c r="K323" s="29">
        <v>4115</v>
      </c>
      <c r="L323" s="29">
        <v>8191</v>
      </c>
      <c r="N323" s="33"/>
      <c r="O323" s="29">
        <f>AVERAGE(K323, L323)</f>
        <v>6153</v>
      </c>
      <c r="P323" s="31" cm="1">
        <f t="array" ref="P323">WPNFACTOR(C323)</f>
        <v>2</v>
      </c>
      <c r="Q323" s="33" cm="1">
        <f t="array" ref="Q323">HPFACTOr(C323)</f>
        <v>5</v>
      </c>
      <c r="R323" s="32">
        <f>O323/P323</f>
        <v>3076.5</v>
      </c>
      <c r="S323" s="33">
        <f>J323/Q323</f>
        <v>15006529.6</v>
      </c>
      <c r="T323" s="32">
        <f>R323*(1 + (N323/400))</f>
        <v>3076.5</v>
      </c>
      <c r="U323" s="39">
        <f>S323*1.6/(1 + (0.6*(1 - (M323/100))))</f>
        <v>15006529.6</v>
      </c>
      <c r="V323" s="41">
        <f>VLOOKUP(D323,LevelXp!$A$1:'LevelXp'!$B$1000,2,)/5</f>
        <v>266521891</v>
      </c>
      <c r="W323" s="29">
        <f>T323*U323</f>
        <v>46167588314.400002</v>
      </c>
      <c r="X323" s="32">
        <f>POWER(W323, 1/$X$1)</f>
        <v>135.78989038062602</v>
      </c>
      <c r="Y323" s="41">
        <v>302</v>
      </c>
      <c r="Z323" s="41">
        <v>266521891</v>
      </c>
      <c r="AA323" s="41">
        <v>0</v>
      </c>
      <c r="AC323" s="50">
        <v>322</v>
      </c>
      <c r="AD323" s="51">
        <f t="shared" ref="AD323:AD386" si="141">SUMIF($Y$2:$Y$682, AC323, $Z$2:$Z$682)</f>
        <v>443018630</v>
      </c>
      <c r="AE323" s="51">
        <f t="shared" si="105"/>
        <v>445950134</v>
      </c>
      <c r="AF323" s="51">
        <f t="shared" ref="AF323:AF386" si="142">SUMIF($Y$2:$Y$682, AC323, $AA$2:$AA$682)</f>
        <v>1</v>
      </c>
      <c r="AG323" s="55">
        <f t="shared" si="105"/>
        <v>1.2222222222222223</v>
      </c>
      <c r="AH323" s="29">
        <f>SUM($AF$2:AF323)</f>
        <v>191</v>
      </c>
      <c r="AI323" s="55">
        <f>SUM($AG$2:AG323)</f>
        <v>190.11111111111072</v>
      </c>
    </row>
    <row r="324" spans="1:35" x14ac:dyDescent="0.2">
      <c r="A324" s="48" t="s">
        <v>8850</v>
      </c>
      <c r="B324" s="29">
        <v>8</v>
      </c>
      <c r="C324" s="29">
        <v>3</v>
      </c>
      <c r="D324" s="29">
        <v>386</v>
      </c>
      <c r="E324" s="29">
        <v>1890</v>
      </c>
      <c r="F324" s="29">
        <v>7507</v>
      </c>
      <c r="G324" s="29">
        <v>1876</v>
      </c>
      <c r="H324" s="29">
        <v>39237</v>
      </c>
      <c r="I324" s="29">
        <v>2721</v>
      </c>
      <c r="J324" s="29">
        <v>60738876</v>
      </c>
      <c r="K324" s="29">
        <v>5162</v>
      </c>
      <c r="L324" s="29">
        <v>10319</v>
      </c>
      <c r="N324" s="33"/>
      <c r="O324" s="29">
        <f>AVERAGE(K324, L324)</f>
        <v>7740.5</v>
      </c>
      <c r="P324" s="31" cm="1">
        <f t="array" ref="P324">WPNFACTOR(C324)</f>
        <v>2.5</v>
      </c>
      <c r="Q324" s="33" cm="1">
        <f t="array" ref="Q324">HPFACTOr(C324)</f>
        <v>4</v>
      </c>
      <c r="R324" s="32">
        <f>O324/P324</f>
        <v>3096.2</v>
      </c>
      <c r="S324" s="33">
        <f>J324/Q324</f>
        <v>15184719</v>
      </c>
      <c r="T324" s="32">
        <f>R324*(1 + (N324/400))</f>
        <v>3096.2</v>
      </c>
      <c r="U324" s="39">
        <f>S324*1.6/(1 + (0.6*(1 - (M324/100))))</f>
        <v>15184719</v>
      </c>
      <c r="V324" s="41">
        <f>VLOOKUP(D324,LevelXp!$A$1:'LevelXp'!$B$1000,2,)/5</f>
        <v>273792656</v>
      </c>
      <c r="W324" s="29">
        <f>T324*U324</f>
        <v>47014926967.799995</v>
      </c>
      <c r="X324" s="32">
        <f>POWER(W324, 1/$X$1)</f>
        <v>136.28471589644076</v>
      </c>
      <c r="Y324" s="41">
        <v>303</v>
      </c>
      <c r="Z324" s="41">
        <v>273792656</v>
      </c>
      <c r="AA324" s="41">
        <v>0</v>
      </c>
      <c r="AC324" s="50">
        <v>323</v>
      </c>
      <c r="AD324" s="51">
        <f t="shared" si="141"/>
        <v>600000000</v>
      </c>
      <c r="AE324" s="51">
        <f t="shared" si="105"/>
        <v>428507750.66666669</v>
      </c>
      <c r="AF324" s="51">
        <f t="shared" si="142"/>
        <v>2</v>
      </c>
      <c r="AG324" s="55">
        <f t="shared" si="105"/>
        <v>1.4444444444444444</v>
      </c>
      <c r="AH324" s="29">
        <f>SUM($AF$2:AF324)</f>
        <v>193</v>
      </c>
      <c r="AI324" s="55">
        <f>SUM($AG$2:AG324)</f>
        <v>191.55555555555517</v>
      </c>
    </row>
    <row r="325" spans="1:35" x14ac:dyDescent="0.2">
      <c r="A325" s="48" t="s">
        <v>8850</v>
      </c>
      <c r="B325" s="29">
        <v>9</v>
      </c>
      <c r="C325" s="29">
        <v>2</v>
      </c>
      <c r="D325" s="29">
        <v>388</v>
      </c>
      <c r="E325" s="29">
        <v>1874</v>
      </c>
      <c r="F325" s="29">
        <v>1900</v>
      </c>
      <c r="G325" s="29">
        <v>7654</v>
      </c>
      <c r="H325" s="29">
        <v>38918</v>
      </c>
      <c r="I325" s="29">
        <v>2729</v>
      </c>
      <c r="J325" s="29">
        <v>30278204</v>
      </c>
      <c r="K325" s="29">
        <v>9868</v>
      </c>
      <c r="L325" s="29">
        <v>18597</v>
      </c>
      <c r="N325" s="33"/>
      <c r="O325" s="29">
        <f>AVERAGE(K325, L325)</f>
        <v>14232.5</v>
      </c>
      <c r="P325" s="31" cm="1">
        <f t="array" ref="P325">WPNFACTOR(C325)</f>
        <v>4.5</v>
      </c>
      <c r="Q325" s="33" cm="1">
        <f t="array" ref="Q325">HPFACTOr(C325)</f>
        <v>2</v>
      </c>
      <c r="R325" s="32">
        <f>O325/P325</f>
        <v>3162.7777777777778</v>
      </c>
      <c r="S325" s="33">
        <f>J325/Q325</f>
        <v>15139102</v>
      </c>
      <c r="T325" s="32">
        <f>R325*(1 + (N325/400))</f>
        <v>3162.7777777777778</v>
      </c>
      <c r="U325" s="39">
        <f>S325*1.6/(1 + (0.6*(1 - (M325/100))))</f>
        <v>15139102.000000002</v>
      </c>
      <c r="V325" s="41">
        <f>VLOOKUP(D325,LevelXp!$A$1:'LevelXp'!$B$1000,2,)/5</f>
        <v>281239819</v>
      </c>
      <c r="W325" s="29">
        <f>T325*U325</f>
        <v>47881615381.111115</v>
      </c>
      <c r="X325" s="32">
        <f>POWER(W325, 1/$X$1)</f>
        <v>136.78351465747414</v>
      </c>
      <c r="Y325" s="41">
        <v>304</v>
      </c>
      <c r="Z325" s="41">
        <v>281239819</v>
      </c>
      <c r="AA325" s="41">
        <v>0</v>
      </c>
      <c r="AC325" s="50">
        <v>324</v>
      </c>
      <c r="AD325" s="51">
        <f t="shared" si="141"/>
        <v>300000000</v>
      </c>
      <c r="AE325" s="51">
        <f t="shared" si="105"/>
        <v>425344608.77777779</v>
      </c>
      <c r="AF325" s="51">
        <f t="shared" si="142"/>
        <v>0</v>
      </c>
      <c r="AG325" s="55">
        <f t="shared" si="105"/>
        <v>1.7777777777777777</v>
      </c>
      <c r="AH325" s="29">
        <f>SUM($AF$2:AF325)</f>
        <v>193</v>
      </c>
      <c r="AI325" s="55">
        <f>SUM($AG$2:AG325)</f>
        <v>193.33333333333294</v>
      </c>
    </row>
    <row r="326" spans="1:35" x14ac:dyDescent="0.2">
      <c r="A326" s="48" t="s">
        <v>8850</v>
      </c>
      <c r="B326" s="29">
        <v>10</v>
      </c>
      <c r="C326" s="29">
        <v>1</v>
      </c>
      <c r="D326" s="29">
        <v>390</v>
      </c>
      <c r="E326" s="29">
        <v>7592</v>
      </c>
      <c r="F326" s="29">
        <v>2665</v>
      </c>
      <c r="G326" s="29">
        <v>2632</v>
      </c>
      <c r="H326" s="29">
        <v>39754</v>
      </c>
      <c r="I326" s="29">
        <v>1781</v>
      </c>
      <c r="J326" s="29">
        <v>77719072</v>
      </c>
      <c r="K326" s="29">
        <v>4180</v>
      </c>
      <c r="L326" s="29">
        <v>8336</v>
      </c>
      <c r="N326" s="33"/>
      <c r="O326" s="29">
        <f>AVERAGE(K326, L326)</f>
        <v>6258</v>
      </c>
      <c r="P326" s="31" cm="1">
        <f t="array" ref="P326">WPNFACTOR(C326)</f>
        <v>2</v>
      </c>
      <c r="Q326" s="33" cm="1">
        <f t="array" ref="Q326">HPFACTOr(C326)</f>
        <v>5</v>
      </c>
      <c r="R326" s="32">
        <f>O326/P326</f>
        <v>3129</v>
      </c>
      <c r="S326" s="33">
        <f>J326/Q326</f>
        <v>15543814.4</v>
      </c>
      <c r="T326" s="32">
        <f>R326*(1 + (N326/400))</f>
        <v>3129</v>
      </c>
      <c r="U326" s="39">
        <f>S326*1.6/(1 + (0.6*(1 - (M326/100))))</f>
        <v>15543814.4</v>
      </c>
      <c r="V326" s="41">
        <f>VLOOKUP(D326,LevelXp!$A$1:'LevelXp'!$B$1000,2,)/5</f>
        <v>288853442</v>
      </c>
      <c r="W326" s="29">
        <f>T326*U326</f>
        <v>48636595257.599998</v>
      </c>
      <c r="X326" s="32">
        <f>POWER(W326, 1/$X$1)</f>
        <v>137.21217009410765</v>
      </c>
      <c r="Y326" s="41">
        <v>305</v>
      </c>
      <c r="Z326" s="41">
        <v>288853442</v>
      </c>
      <c r="AA326" s="41">
        <v>0</v>
      </c>
      <c r="AC326" s="50">
        <v>325</v>
      </c>
      <c r="AD326" s="51">
        <f t="shared" si="141"/>
        <v>511614952</v>
      </c>
      <c r="AE326" s="51">
        <f t="shared" si="105"/>
        <v>442852775.66666669</v>
      </c>
      <c r="AF326" s="51">
        <f t="shared" si="142"/>
        <v>0</v>
      </c>
      <c r="AG326" s="55">
        <f t="shared" si="105"/>
        <v>1.7777777777777777</v>
      </c>
      <c r="AH326" s="29">
        <f>SUM($AF$2:AF326)</f>
        <v>193</v>
      </c>
      <c r="AI326" s="55">
        <f>SUM($AG$2:AG326)</f>
        <v>195.11111111111072</v>
      </c>
    </row>
    <row r="327" spans="1:35" x14ac:dyDescent="0.2">
      <c r="A327" s="48" t="s">
        <v>2937</v>
      </c>
      <c r="B327" s="29">
        <v>380</v>
      </c>
      <c r="N327" s="33"/>
      <c r="Q327" s="33"/>
      <c r="S327" s="33"/>
      <c r="U327" s="39"/>
      <c r="V327" s="41">
        <f>VLOOKUP(B327,LevelXp!$D$1:'LevelXp'!$F$1000,3,)</f>
        <v>180731670</v>
      </c>
      <c r="Y327" s="41">
        <v>305</v>
      </c>
      <c r="Z327" s="41">
        <v>180731670</v>
      </c>
      <c r="AA327" s="41">
        <v>0</v>
      </c>
      <c r="AC327" s="50">
        <v>326</v>
      </c>
      <c r="AD327" s="51">
        <f t="shared" si="141"/>
        <v>488673283</v>
      </c>
      <c r="AE327" s="51">
        <f t="shared" ref="AE327:AG390" si="143">AVERAGE(AD323:AD331)</f>
        <v>461148130.44444442</v>
      </c>
      <c r="AF327" s="51">
        <f t="shared" si="142"/>
        <v>1</v>
      </c>
      <c r="AG327" s="55">
        <f t="shared" si="143"/>
        <v>1.6666666666666667</v>
      </c>
      <c r="AH327" s="29">
        <f>SUM($AF$2:AF327)</f>
        <v>194</v>
      </c>
      <c r="AI327" s="55">
        <f>SUM($AG$2:AG327)</f>
        <v>196.77777777777737</v>
      </c>
    </row>
    <row r="328" spans="1:35" x14ac:dyDescent="0.2">
      <c r="A328" s="48" t="s">
        <v>8851</v>
      </c>
      <c r="B328" s="29">
        <v>3</v>
      </c>
      <c r="C328" s="29">
        <v>1</v>
      </c>
      <c r="D328" s="29">
        <v>396</v>
      </c>
      <c r="E328" s="29">
        <v>7718</v>
      </c>
      <c r="F328" s="29">
        <v>2709</v>
      </c>
      <c r="G328" s="29">
        <v>2677</v>
      </c>
      <c r="H328" s="29">
        <v>40513</v>
      </c>
      <c r="I328" s="29">
        <v>1797</v>
      </c>
      <c r="J328" s="29">
        <v>80418304</v>
      </c>
      <c r="K328" s="29">
        <v>4237</v>
      </c>
      <c r="L328" s="29">
        <v>8464</v>
      </c>
      <c r="N328" s="33"/>
      <c r="O328" s="29">
        <f t="shared" ref="O328:O336" si="144">AVERAGE(K328, L328)</f>
        <v>6350.5</v>
      </c>
      <c r="P328" s="31" cm="1">
        <f t="array" ref="P328">WPNFACTOR(C328)</f>
        <v>2</v>
      </c>
      <c r="Q328" s="33" cm="1">
        <f t="array" ref="Q328">HPFACTOr(C328)</f>
        <v>5</v>
      </c>
      <c r="R328" s="32">
        <f t="shared" ref="R328:R336" si="145">O328/P328</f>
        <v>3175.25</v>
      </c>
      <c r="S328" s="33">
        <f t="shared" ref="S328:S336" si="146">J328/Q328</f>
        <v>16083660.800000001</v>
      </c>
      <c r="T328" s="32">
        <f t="shared" ref="T328:T336" si="147">R328*(1 + (N328/400))</f>
        <v>3175.25</v>
      </c>
      <c r="U328" s="39">
        <f t="shared" ref="U328:U336" si="148">S328*1.6/(1 + (0.6*(1 - (M328/100))))</f>
        <v>16083660.800000001</v>
      </c>
      <c r="V328" s="41">
        <f>VLOOKUP(D328,LevelXp!$A$1:'LevelXp'!$B$1000,2,)/5</f>
        <v>300000000</v>
      </c>
      <c r="W328" s="29">
        <f t="shared" ref="W328:W336" si="149">T328*U328</f>
        <v>51069643955.200005</v>
      </c>
      <c r="X328" s="32">
        <f t="shared" ref="X328:X336" si="150">POWER(W328, 1/$X$1)</f>
        <v>138.55830630305508</v>
      </c>
      <c r="Y328" s="41">
        <v>306</v>
      </c>
      <c r="Z328" s="41">
        <v>300000000</v>
      </c>
      <c r="AA328" s="41">
        <v>0</v>
      </c>
      <c r="AC328" s="50">
        <v>327</v>
      </c>
      <c r="AD328" s="51">
        <f t="shared" si="141"/>
        <v>222232215</v>
      </c>
      <c r="AE328" s="51">
        <f t="shared" si="143"/>
        <v>478590504.8888889</v>
      </c>
      <c r="AF328" s="51">
        <f t="shared" si="142"/>
        <v>3</v>
      </c>
      <c r="AG328" s="55">
        <f t="shared" si="143"/>
        <v>1.5555555555555556</v>
      </c>
      <c r="AH328" s="29">
        <f>SUM($AF$2:AF328)</f>
        <v>197</v>
      </c>
      <c r="AI328" s="55">
        <f>SUM($AG$2:AG328)</f>
        <v>198.33333333333292</v>
      </c>
    </row>
    <row r="329" spans="1:35" x14ac:dyDescent="0.2">
      <c r="A329" s="48" t="s">
        <v>8851</v>
      </c>
      <c r="B329" s="29">
        <v>4</v>
      </c>
      <c r="C329" s="29">
        <v>3</v>
      </c>
      <c r="D329" s="29">
        <v>398</v>
      </c>
      <c r="E329" s="29">
        <v>1952</v>
      </c>
      <c r="F329" s="29">
        <v>7761</v>
      </c>
      <c r="G329" s="29">
        <v>1940</v>
      </c>
      <c r="H329" s="29">
        <v>40766</v>
      </c>
      <c r="I329" s="29">
        <v>2804</v>
      </c>
      <c r="J329" s="29">
        <v>65062536</v>
      </c>
      <c r="K329" s="29">
        <v>5335</v>
      </c>
      <c r="L329" s="29">
        <v>10577</v>
      </c>
      <c r="N329" s="33"/>
      <c r="O329" s="29">
        <f t="shared" si="144"/>
        <v>7956</v>
      </c>
      <c r="P329" s="31" cm="1">
        <f t="array" ref="P329">WPNFACTOR(C329)</f>
        <v>2.5</v>
      </c>
      <c r="Q329" s="33" cm="1">
        <f t="array" ref="Q329">HPFACTOr(C329)</f>
        <v>4</v>
      </c>
      <c r="R329" s="32">
        <f t="shared" si="145"/>
        <v>3182.4</v>
      </c>
      <c r="S329" s="33">
        <f t="shared" si="146"/>
        <v>16265634</v>
      </c>
      <c r="T329" s="32">
        <f t="shared" si="147"/>
        <v>3182.4</v>
      </c>
      <c r="U329" s="39">
        <f t="shared" si="148"/>
        <v>16265634</v>
      </c>
      <c r="V329" s="41">
        <f>VLOOKUP(D329,LevelXp!$A$1:'LevelXp'!$B$1000,2,)/5</f>
        <v>300000000</v>
      </c>
      <c r="W329" s="29">
        <f t="shared" si="149"/>
        <v>51763753641.599998</v>
      </c>
      <c r="X329" s="32">
        <f t="shared" si="150"/>
        <v>138.93291641664385</v>
      </c>
      <c r="Y329" s="41">
        <v>307</v>
      </c>
      <c r="Z329" s="41">
        <v>300000000</v>
      </c>
      <c r="AA329" s="41">
        <v>0</v>
      </c>
      <c r="AC329" s="50">
        <v>328</v>
      </c>
      <c r="AD329" s="51">
        <f t="shared" si="141"/>
        <v>361657159</v>
      </c>
      <c r="AE329" s="51">
        <f t="shared" si="143"/>
        <v>473625969.8888889</v>
      </c>
      <c r="AF329" s="51">
        <f t="shared" si="142"/>
        <v>4</v>
      </c>
      <c r="AG329" s="55">
        <f t="shared" si="143"/>
        <v>1.5555555555555556</v>
      </c>
      <c r="AH329" s="29">
        <f>SUM($AF$2:AF329)</f>
        <v>201</v>
      </c>
      <c r="AI329" s="55">
        <f>SUM($AG$2:AG329)</f>
        <v>199.88888888888846</v>
      </c>
    </row>
    <row r="330" spans="1:35" x14ac:dyDescent="0.2">
      <c r="A330" s="48" t="s">
        <v>8860</v>
      </c>
      <c r="B330" s="29">
        <v>7</v>
      </c>
      <c r="C330" s="29">
        <v>3</v>
      </c>
      <c r="D330" s="29">
        <v>258</v>
      </c>
      <c r="E330" s="29">
        <v>5980</v>
      </c>
      <c r="F330" s="29">
        <v>11960</v>
      </c>
      <c r="G330" s="29">
        <v>5980</v>
      </c>
      <c r="H330" s="29">
        <v>34500</v>
      </c>
      <c r="I330" s="29">
        <v>5980</v>
      </c>
      <c r="J330" s="29">
        <v>88000000</v>
      </c>
      <c r="K330" s="29">
        <v>733</v>
      </c>
      <c r="L330" s="29">
        <v>982</v>
      </c>
      <c r="M330" s="29">
        <v>25</v>
      </c>
      <c r="N330" s="33">
        <v>25</v>
      </c>
      <c r="O330" s="29">
        <f t="shared" si="144"/>
        <v>857.5</v>
      </c>
      <c r="P330" s="31" cm="1">
        <f t="array" ref="P330">WPNFACTOR(C330)</f>
        <v>2.5</v>
      </c>
      <c r="Q330" s="33" cm="1">
        <f t="array" ref="Q330">HPFACTOr(C330)</f>
        <v>4</v>
      </c>
      <c r="R330" s="32">
        <f t="shared" si="145"/>
        <v>343</v>
      </c>
      <c r="S330" s="33">
        <f t="shared" si="146"/>
        <v>22000000</v>
      </c>
      <c r="T330" s="32">
        <f t="shared" si="147"/>
        <v>364.4375</v>
      </c>
      <c r="U330" s="39">
        <f t="shared" si="148"/>
        <v>24275862.068965517</v>
      </c>
      <c r="V330" s="41">
        <f>VLOOKUP(D330,LevelXp!$A$1:'LevelXp'!$B$1000,2,)/5</f>
        <v>36987473</v>
      </c>
      <c r="W330" s="29">
        <f t="shared" si="149"/>
        <v>8847034482.7586212</v>
      </c>
      <c r="X330" s="32">
        <f t="shared" si="150"/>
        <v>97.579714699521304</v>
      </c>
      <c r="Y330" s="41">
        <v>307</v>
      </c>
      <c r="Z330" s="41">
        <v>36987473</v>
      </c>
      <c r="AA330" s="41">
        <v>1</v>
      </c>
      <c r="AC330" s="50">
        <v>329</v>
      </c>
      <c r="AD330" s="51">
        <f t="shared" si="141"/>
        <v>703714629</v>
      </c>
      <c r="AE330" s="51">
        <f t="shared" si="143"/>
        <v>466622207.55555558</v>
      </c>
      <c r="AF330" s="51">
        <f t="shared" si="142"/>
        <v>3</v>
      </c>
      <c r="AG330" s="55">
        <f t="shared" si="143"/>
        <v>1.5555555555555556</v>
      </c>
      <c r="AH330" s="29">
        <f>SUM($AF$2:AF330)</f>
        <v>204</v>
      </c>
      <c r="AI330" s="55">
        <f>SUM($AG$2:AG330)</f>
        <v>201.444444444444</v>
      </c>
    </row>
    <row r="331" spans="1:35" x14ac:dyDescent="0.2">
      <c r="A331" s="48" t="s">
        <v>8860</v>
      </c>
      <c r="B331" s="29">
        <v>8</v>
      </c>
      <c r="C331" s="29">
        <v>2</v>
      </c>
      <c r="D331" s="29">
        <v>261</v>
      </c>
      <c r="E331" s="29">
        <v>6160</v>
      </c>
      <c r="F331" s="29">
        <v>6160</v>
      </c>
      <c r="G331" s="29">
        <v>12320</v>
      </c>
      <c r="H331" s="29">
        <v>36000</v>
      </c>
      <c r="I331" s="29">
        <v>6160</v>
      </c>
      <c r="J331" s="29">
        <v>92500000</v>
      </c>
      <c r="K331" s="29">
        <v>744</v>
      </c>
      <c r="L331" s="29">
        <v>994</v>
      </c>
      <c r="M331" s="29">
        <v>25</v>
      </c>
      <c r="N331" s="33">
        <v>25</v>
      </c>
      <c r="O331" s="29">
        <f t="shared" si="144"/>
        <v>869</v>
      </c>
      <c r="P331" s="31" cm="1">
        <f t="array" ref="P331">WPNFACTOR(C331)</f>
        <v>4.5</v>
      </c>
      <c r="Q331" s="33" cm="1">
        <f t="array" ref="Q331">HPFACTOr(C331)</f>
        <v>2</v>
      </c>
      <c r="R331" s="32">
        <f t="shared" si="145"/>
        <v>193.11111111111111</v>
      </c>
      <c r="S331" s="33">
        <f t="shared" si="146"/>
        <v>46250000</v>
      </c>
      <c r="T331" s="32">
        <f t="shared" si="147"/>
        <v>205.18055555555557</v>
      </c>
      <c r="U331" s="39">
        <f t="shared" si="148"/>
        <v>51034482.758620694</v>
      </c>
      <c r="V331" s="41">
        <f>VLOOKUP(D331,LevelXp!$A$1:'LevelXp'!$B$1000,2,)/5</f>
        <v>39074626</v>
      </c>
      <c r="W331" s="29">
        <f t="shared" si="149"/>
        <v>10471283524.904217</v>
      </c>
      <c r="X331" s="32">
        <f t="shared" si="150"/>
        <v>100.92528483793089</v>
      </c>
      <c r="Y331" s="41">
        <v>307</v>
      </c>
      <c r="Z331" s="41">
        <v>39074626</v>
      </c>
      <c r="AA331" s="41">
        <v>1</v>
      </c>
      <c r="AC331" s="50">
        <v>330</v>
      </c>
      <c r="AD331" s="51">
        <f t="shared" si="141"/>
        <v>519422306</v>
      </c>
      <c r="AE331" s="51">
        <f t="shared" si="143"/>
        <v>455965907</v>
      </c>
      <c r="AF331" s="51">
        <f t="shared" si="142"/>
        <v>1</v>
      </c>
      <c r="AG331" s="55">
        <f t="shared" si="143"/>
        <v>1.6666666666666667</v>
      </c>
      <c r="AH331" s="29">
        <f>SUM($AF$2:AF331)</f>
        <v>205</v>
      </c>
      <c r="AI331" s="55">
        <f>SUM($AG$2:AG331)</f>
        <v>203.11111111111066</v>
      </c>
    </row>
    <row r="332" spans="1:35" x14ac:dyDescent="0.2">
      <c r="A332" s="48" t="s">
        <v>8860</v>
      </c>
      <c r="B332" s="29">
        <v>9</v>
      </c>
      <c r="C332" s="29">
        <v>2</v>
      </c>
      <c r="D332" s="29">
        <v>264</v>
      </c>
      <c r="E332" s="29">
        <v>6340</v>
      </c>
      <c r="F332" s="29">
        <v>6340</v>
      </c>
      <c r="G332" s="29">
        <v>12680</v>
      </c>
      <c r="H332" s="29">
        <v>37500</v>
      </c>
      <c r="I332" s="29">
        <v>6340</v>
      </c>
      <c r="J332" s="29">
        <v>97000000</v>
      </c>
      <c r="K332" s="29">
        <v>756</v>
      </c>
      <c r="L332" s="29">
        <v>1002</v>
      </c>
      <c r="M332" s="29">
        <v>25</v>
      </c>
      <c r="N332" s="33">
        <v>25</v>
      </c>
      <c r="O332" s="29">
        <f t="shared" si="144"/>
        <v>879</v>
      </c>
      <c r="P332" s="31" cm="1">
        <f t="array" ref="P332">WPNFACTOR(C332)</f>
        <v>4.5</v>
      </c>
      <c r="Q332" s="33" cm="1">
        <f t="array" ref="Q332">HPFACTOr(C332)</f>
        <v>2</v>
      </c>
      <c r="R332" s="32">
        <f t="shared" si="145"/>
        <v>195.33333333333334</v>
      </c>
      <c r="S332" s="33">
        <f t="shared" si="146"/>
        <v>48500000</v>
      </c>
      <c r="T332" s="32">
        <f t="shared" si="147"/>
        <v>207.54166666666669</v>
      </c>
      <c r="U332" s="39">
        <f t="shared" si="148"/>
        <v>53517241.379310347</v>
      </c>
      <c r="V332" s="41">
        <f>VLOOKUP(D332,LevelXp!$A$1:'LevelXp'!$B$1000,2,)/5</f>
        <v>41269055</v>
      </c>
      <c r="W332" s="29">
        <f t="shared" si="149"/>
        <v>11107057471.26437</v>
      </c>
      <c r="X332" s="32">
        <f t="shared" si="150"/>
        <v>102.12211573549639</v>
      </c>
      <c r="Y332" s="41">
        <v>307</v>
      </c>
      <c r="Z332" s="41">
        <v>41269055</v>
      </c>
      <c r="AA332" s="41">
        <v>1</v>
      </c>
      <c r="AC332" s="50">
        <v>331</v>
      </c>
      <c r="AD332" s="51">
        <f t="shared" si="141"/>
        <v>600000000</v>
      </c>
      <c r="AE332" s="51">
        <f t="shared" si="143"/>
        <v>443660667.33333331</v>
      </c>
      <c r="AF332" s="51">
        <f t="shared" si="142"/>
        <v>0</v>
      </c>
      <c r="AG332" s="55">
        <f t="shared" si="143"/>
        <v>1.7777777777777777</v>
      </c>
      <c r="AH332" s="29">
        <f>SUM($AF$2:AF332)</f>
        <v>205</v>
      </c>
      <c r="AI332" s="55">
        <f>SUM($AG$2:AG332)</f>
        <v>204.88888888888843</v>
      </c>
    </row>
    <row r="333" spans="1:35" x14ac:dyDescent="0.2">
      <c r="A333" s="48" t="s">
        <v>8851</v>
      </c>
      <c r="B333" s="29">
        <v>5</v>
      </c>
      <c r="C333" s="29">
        <v>2</v>
      </c>
      <c r="D333" s="29">
        <v>400</v>
      </c>
      <c r="E333" s="29">
        <v>1938</v>
      </c>
      <c r="F333" s="29">
        <v>1963</v>
      </c>
      <c r="G333" s="29">
        <v>7901</v>
      </c>
      <c r="H333" s="29">
        <v>40480</v>
      </c>
      <c r="I333" s="29">
        <v>2812</v>
      </c>
      <c r="J333" s="29">
        <v>32464960</v>
      </c>
      <c r="K333" s="29">
        <v>9869</v>
      </c>
      <c r="L333" s="29">
        <v>19019</v>
      </c>
      <c r="N333" s="33"/>
      <c r="O333" s="29">
        <f t="shared" si="144"/>
        <v>14444</v>
      </c>
      <c r="P333" s="31" cm="1">
        <f t="array" ref="P333">WPNFACTOR(C333)</f>
        <v>4.5</v>
      </c>
      <c r="Q333" s="33" cm="1">
        <f t="array" ref="Q333">HPFACTOr(C333)</f>
        <v>2</v>
      </c>
      <c r="R333" s="32">
        <f t="shared" si="145"/>
        <v>3209.7777777777778</v>
      </c>
      <c r="S333" s="33">
        <f t="shared" si="146"/>
        <v>16232480</v>
      </c>
      <c r="T333" s="32">
        <f t="shared" si="147"/>
        <v>3209.7777777777778</v>
      </c>
      <c r="U333" s="39">
        <f t="shared" si="148"/>
        <v>16232480</v>
      </c>
      <c r="V333" s="41">
        <f>VLOOKUP(D333,LevelXp!$A$1:'LevelXp'!$B$1000,2,)/5</f>
        <v>300000000</v>
      </c>
      <c r="W333" s="29">
        <f t="shared" si="149"/>
        <v>52102653582.222221</v>
      </c>
      <c r="X333" s="32">
        <f t="shared" si="150"/>
        <v>139.11436204416049</v>
      </c>
      <c r="Y333" s="41">
        <v>308</v>
      </c>
      <c r="Z333" s="41">
        <v>300000000</v>
      </c>
      <c r="AA333" s="41">
        <v>0</v>
      </c>
      <c r="AC333" s="50">
        <v>332</v>
      </c>
      <c r="AD333" s="51">
        <f t="shared" si="141"/>
        <v>555319185</v>
      </c>
      <c r="AE333" s="51">
        <f t="shared" si="143"/>
        <v>486599216</v>
      </c>
      <c r="AF333" s="51">
        <f t="shared" si="142"/>
        <v>2</v>
      </c>
      <c r="AG333" s="55">
        <f t="shared" si="143"/>
        <v>1.6666666666666667</v>
      </c>
      <c r="AH333" s="29">
        <f>SUM($AF$2:AF333)</f>
        <v>207</v>
      </c>
      <c r="AI333" s="55">
        <f>SUM($AG$2:AG333)</f>
        <v>206.55555555555509</v>
      </c>
    </row>
    <row r="334" spans="1:35" x14ac:dyDescent="0.2">
      <c r="A334" s="48" t="s">
        <v>8853</v>
      </c>
      <c r="B334" s="29">
        <v>8</v>
      </c>
      <c r="C334" s="29">
        <v>1</v>
      </c>
      <c r="D334" s="29">
        <v>380</v>
      </c>
      <c r="E334" s="29">
        <v>22000</v>
      </c>
      <c r="F334" s="29">
        <v>7200</v>
      </c>
      <c r="G334" s="29">
        <v>7000</v>
      </c>
      <c r="H334" s="29">
        <v>25000</v>
      </c>
      <c r="I334" s="29">
        <v>7020</v>
      </c>
      <c r="J334" s="29">
        <v>59493152</v>
      </c>
      <c r="K334" s="29">
        <v>420</v>
      </c>
      <c r="L334" s="29">
        <v>699</v>
      </c>
      <c r="N334" s="33"/>
      <c r="O334" s="29">
        <f t="shared" si="144"/>
        <v>559.5</v>
      </c>
      <c r="P334" s="31" cm="1">
        <f t="array" ref="P334">WPNFACTOR(C334)</f>
        <v>2</v>
      </c>
      <c r="Q334" s="33" cm="1">
        <f t="array" ref="Q334">HPFACTOr(C334)</f>
        <v>5</v>
      </c>
      <c r="R334" s="32">
        <f t="shared" si="145"/>
        <v>279.75</v>
      </c>
      <c r="S334" s="33">
        <f t="shared" si="146"/>
        <v>11898630.4</v>
      </c>
      <c r="T334" s="32">
        <f t="shared" si="147"/>
        <v>279.75</v>
      </c>
      <c r="U334" s="39">
        <f t="shared" si="148"/>
        <v>11898630.4</v>
      </c>
      <c r="V334" s="41">
        <f>VLOOKUP(D334,LevelXp!$A$1:'LevelXp'!$B$1000,2,)/5</f>
        <v>252458197</v>
      </c>
      <c r="W334" s="29">
        <f t="shared" si="149"/>
        <v>3328641854.4000001</v>
      </c>
      <c r="X334" s="32">
        <f t="shared" si="150"/>
        <v>80.251547173323019</v>
      </c>
      <c r="Y334" s="41">
        <v>309</v>
      </c>
      <c r="Z334" s="41">
        <v>252458197</v>
      </c>
      <c r="AA334" s="41">
        <v>1</v>
      </c>
      <c r="AC334" s="50">
        <v>333</v>
      </c>
      <c r="AD334" s="51">
        <f t="shared" si="141"/>
        <v>236966139</v>
      </c>
      <c r="AE334" s="51">
        <f t="shared" si="143"/>
        <v>488988232.22222221</v>
      </c>
      <c r="AF334" s="51">
        <f t="shared" si="142"/>
        <v>0</v>
      </c>
      <c r="AG334" s="55">
        <f t="shared" si="143"/>
        <v>1.4444444444444444</v>
      </c>
      <c r="AH334" s="29">
        <f>SUM($AF$2:AF334)</f>
        <v>207</v>
      </c>
      <c r="AI334" s="55">
        <f>SUM($AG$2:AG334)</f>
        <v>207.99999999999955</v>
      </c>
    </row>
    <row r="335" spans="1:35" x14ac:dyDescent="0.2">
      <c r="A335" s="48" t="s">
        <v>8857</v>
      </c>
      <c r="B335" s="29">
        <v>2</v>
      </c>
      <c r="C335" s="29">
        <v>1</v>
      </c>
      <c r="D335" s="29">
        <v>240</v>
      </c>
      <c r="E335" s="29">
        <v>12000</v>
      </c>
      <c r="F335" s="29">
        <v>4000</v>
      </c>
      <c r="G335" s="29">
        <v>4000</v>
      </c>
      <c r="H335" s="29">
        <v>100000</v>
      </c>
      <c r="I335" s="29">
        <v>5000</v>
      </c>
      <c r="J335" s="29">
        <v>187500000</v>
      </c>
      <c r="K335" s="29">
        <v>320</v>
      </c>
      <c r="L335" s="29">
        <v>639</v>
      </c>
      <c r="M335" s="29">
        <v>10</v>
      </c>
      <c r="N335" s="33">
        <v>35</v>
      </c>
      <c r="O335" s="29">
        <f t="shared" si="144"/>
        <v>479.5</v>
      </c>
      <c r="P335" s="31" cm="1">
        <f t="array" ref="P335">WPNFACTOR(C335)</f>
        <v>2</v>
      </c>
      <c r="Q335" s="33" cm="1">
        <f t="array" ref="Q335">HPFACTOr(C335)</f>
        <v>5</v>
      </c>
      <c r="R335" s="32">
        <f t="shared" si="145"/>
        <v>239.75</v>
      </c>
      <c r="S335" s="33">
        <f t="shared" si="146"/>
        <v>37500000</v>
      </c>
      <c r="T335" s="32">
        <f t="shared" si="147"/>
        <v>260.72812499999998</v>
      </c>
      <c r="U335" s="39">
        <f t="shared" si="148"/>
        <v>38961038.961038962</v>
      </c>
      <c r="V335" s="41">
        <f>VLOOKUP(D335,LevelXp!$A$1:'LevelXp'!$B$1000,2,)/5</f>
        <v>26302843</v>
      </c>
      <c r="W335" s="29">
        <f t="shared" si="149"/>
        <v>10158238636.363636</v>
      </c>
      <c r="X335" s="32">
        <f t="shared" si="150"/>
        <v>100.31449292589507</v>
      </c>
      <c r="Y335" s="41">
        <v>309</v>
      </c>
      <c r="Z335" s="41">
        <v>26302843</v>
      </c>
      <c r="AA335" s="41">
        <v>1</v>
      </c>
      <c r="AC335" s="50">
        <v>334</v>
      </c>
      <c r="AD335" s="51">
        <f t="shared" si="141"/>
        <v>415708247</v>
      </c>
      <c r="AE335" s="51">
        <f t="shared" si="143"/>
        <v>443419664.66666669</v>
      </c>
      <c r="AF335" s="51">
        <f t="shared" si="142"/>
        <v>1</v>
      </c>
      <c r="AG335" s="55">
        <f t="shared" si="143"/>
        <v>1.2222222222222223</v>
      </c>
      <c r="AH335" s="29">
        <f>SUM($AF$2:AF335)</f>
        <v>208</v>
      </c>
      <c r="AI335" s="55">
        <f>SUM($AG$2:AG335)</f>
        <v>209.22222222222177</v>
      </c>
    </row>
    <row r="336" spans="1:35" x14ac:dyDescent="0.2">
      <c r="A336" s="48" t="s">
        <v>8851</v>
      </c>
      <c r="B336" s="29">
        <v>6</v>
      </c>
      <c r="C336" s="29">
        <v>1</v>
      </c>
      <c r="D336" s="29">
        <v>404</v>
      </c>
      <c r="E336" s="29">
        <v>7884</v>
      </c>
      <c r="F336" s="29">
        <v>2766</v>
      </c>
      <c r="G336" s="29">
        <v>2736</v>
      </c>
      <c r="H336" s="29">
        <v>41476</v>
      </c>
      <c r="I336" s="29">
        <v>1824</v>
      </c>
      <c r="J336" s="29">
        <v>83988896</v>
      </c>
      <c r="K336" s="29">
        <v>4343</v>
      </c>
      <c r="L336" s="29">
        <v>8638</v>
      </c>
      <c r="N336" s="33"/>
      <c r="O336" s="29">
        <f t="shared" si="144"/>
        <v>6490.5</v>
      </c>
      <c r="P336" s="31" cm="1">
        <f t="array" ref="P336">WPNFACTOR(C336)</f>
        <v>2</v>
      </c>
      <c r="Q336" s="33" cm="1">
        <f t="array" ref="Q336">HPFACTOr(C336)</f>
        <v>5</v>
      </c>
      <c r="R336" s="32">
        <f t="shared" si="145"/>
        <v>3245.25</v>
      </c>
      <c r="S336" s="33">
        <f t="shared" si="146"/>
        <v>16797779.199999999</v>
      </c>
      <c r="T336" s="32">
        <f t="shared" si="147"/>
        <v>3245.25</v>
      </c>
      <c r="U336" s="39">
        <f t="shared" si="148"/>
        <v>16797779.199999999</v>
      </c>
      <c r="V336" s="41">
        <f>VLOOKUP(D336,LevelXp!$A$1:'LevelXp'!$B$1000,2,)/5</f>
        <v>300000000</v>
      </c>
      <c r="W336" s="29">
        <f t="shared" si="149"/>
        <v>54512992948.799995</v>
      </c>
      <c r="X336" s="32">
        <f t="shared" si="150"/>
        <v>140.37830861146821</v>
      </c>
      <c r="Y336" s="41">
        <v>310</v>
      </c>
      <c r="Z336" s="41">
        <v>300000000</v>
      </c>
      <c r="AA336" s="41">
        <v>0</v>
      </c>
      <c r="AC336" s="50">
        <v>335</v>
      </c>
      <c r="AD336" s="51">
        <f t="shared" si="141"/>
        <v>377926126</v>
      </c>
      <c r="AE336" s="51">
        <f t="shared" si="143"/>
        <v>411144588.44444442</v>
      </c>
      <c r="AF336" s="51">
        <f t="shared" si="142"/>
        <v>2</v>
      </c>
      <c r="AG336" s="55">
        <f t="shared" si="143"/>
        <v>1.2222222222222223</v>
      </c>
      <c r="AH336" s="29">
        <f>SUM($AF$2:AF336)</f>
        <v>210</v>
      </c>
      <c r="AI336" s="55">
        <f>SUM($AG$2:AG336)</f>
        <v>210.444444444444</v>
      </c>
    </row>
    <row r="337" spans="1:35" x14ac:dyDescent="0.2">
      <c r="A337" s="48" t="s">
        <v>2937</v>
      </c>
      <c r="B337" s="29">
        <v>390</v>
      </c>
      <c r="N337" s="33"/>
      <c r="Q337" s="33"/>
      <c r="S337" s="33"/>
      <c r="U337" s="39"/>
      <c r="V337" s="41">
        <f>VLOOKUP(B337,LevelXp!$D$1:'LevelXp'!$F$1000,3,)</f>
        <v>190659502</v>
      </c>
      <c r="Y337" s="41">
        <v>310</v>
      </c>
      <c r="Z337" s="41">
        <v>190659502</v>
      </c>
      <c r="AA337" s="41">
        <v>0</v>
      </c>
      <c r="AC337" s="50">
        <v>336</v>
      </c>
      <c r="AD337" s="51">
        <f t="shared" si="141"/>
        <v>608679153</v>
      </c>
      <c r="AE337" s="51">
        <f t="shared" si="143"/>
        <v>388766679</v>
      </c>
      <c r="AF337" s="51">
        <f t="shared" si="142"/>
        <v>2</v>
      </c>
      <c r="AG337" s="55">
        <f t="shared" si="143"/>
        <v>1.3333333333333333</v>
      </c>
      <c r="AH337" s="29">
        <f>SUM($AF$2:AF337)</f>
        <v>212</v>
      </c>
      <c r="AI337" s="55">
        <f>SUM($AG$2:AG337)</f>
        <v>211.77777777777735</v>
      </c>
    </row>
    <row r="338" spans="1:35" x14ac:dyDescent="0.2">
      <c r="A338" s="48" t="s">
        <v>8851</v>
      </c>
      <c r="B338" s="29">
        <v>7</v>
      </c>
      <c r="C338" s="29">
        <v>3</v>
      </c>
      <c r="D338" s="29">
        <v>408</v>
      </c>
      <c r="E338" s="29">
        <v>2003</v>
      </c>
      <c r="F338" s="29">
        <v>7965</v>
      </c>
      <c r="G338" s="29">
        <v>1991</v>
      </c>
      <c r="H338" s="29">
        <v>41932</v>
      </c>
      <c r="I338" s="29">
        <v>2874</v>
      </c>
      <c r="J338" s="29">
        <v>68600752</v>
      </c>
      <c r="K338" s="29">
        <v>5473</v>
      </c>
      <c r="L338" s="29">
        <v>10904</v>
      </c>
      <c r="N338" s="33"/>
      <c r="O338" s="29">
        <f>AVERAGE(K338, L338)</f>
        <v>8188.5</v>
      </c>
      <c r="P338" s="31" cm="1">
        <f t="array" ref="P338">WPNFACTOR(C338)</f>
        <v>2.5</v>
      </c>
      <c r="Q338" s="33" cm="1">
        <f t="array" ref="Q338">HPFACTOr(C338)</f>
        <v>4</v>
      </c>
      <c r="R338" s="32">
        <f>O338/P338</f>
        <v>3275.4</v>
      </c>
      <c r="S338" s="33">
        <f>J338/Q338</f>
        <v>17150188</v>
      </c>
      <c r="T338" s="32">
        <f>R338*(1 + (N338/400))</f>
        <v>3275.4</v>
      </c>
      <c r="U338" s="39">
        <f>S338*1.6/(1 + (0.6*(1 - (M338/100))))</f>
        <v>17150188</v>
      </c>
      <c r="V338" s="41">
        <f>VLOOKUP(D338,LevelXp!$A$1:'LevelXp'!$B$1000,2,)/5</f>
        <v>300000000</v>
      </c>
      <c r="W338" s="29">
        <f>T338*U338</f>
        <v>56173725775.200005</v>
      </c>
      <c r="X338" s="32">
        <f>POWER(W338, 1/$X$1)</f>
        <v>141.22339443832573</v>
      </c>
      <c r="Y338" s="41">
        <v>311</v>
      </c>
      <c r="Z338" s="41">
        <v>300000000</v>
      </c>
      <c r="AA338" s="41">
        <v>0</v>
      </c>
      <c r="AC338" s="50">
        <v>337</v>
      </c>
      <c r="AD338" s="51">
        <f t="shared" si="141"/>
        <v>383158305</v>
      </c>
      <c r="AE338" s="51">
        <f t="shared" si="143"/>
        <v>362326615.44444442</v>
      </c>
      <c r="AF338" s="51">
        <f t="shared" si="142"/>
        <v>2</v>
      </c>
      <c r="AG338" s="55">
        <f t="shared" si="143"/>
        <v>1.1111111111111112</v>
      </c>
      <c r="AH338" s="29">
        <f>SUM($AF$2:AF338)</f>
        <v>214</v>
      </c>
      <c r="AI338" s="55">
        <f>SUM($AG$2:AG338)</f>
        <v>212.88888888888846</v>
      </c>
    </row>
    <row r="339" spans="1:35" x14ac:dyDescent="0.2">
      <c r="A339" s="48" t="s">
        <v>8858</v>
      </c>
      <c r="B339" s="29">
        <v>4</v>
      </c>
      <c r="C339" s="29">
        <v>3</v>
      </c>
      <c r="D339" s="29">
        <v>440</v>
      </c>
      <c r="E339" s="29">
        <v>12000</v>
      </c>
      <c r="F339" s="29">
        <v>35000</v>
      </c>
      <c r="G339" s="29">
        <v>12000</v>
      </c>
      <c r="H339" s="29">
        <v>24000</v>
      </c>
      <c r="I339" s="29">
        <v>7500</v>
      </c>
      <c r="J339" s="29">
        <v>35000000</v>
      </c>
      <c r="K339" s="29">
        <v>850</v>
      </c>
      <c r="L339" s="29">
        <v>1396</v>
      </c>
      <c r="N339" s="33"/>
      <c r="O339" s="29">
        <f>AVERAGE(K339, L339)</f>
        <v>1123</v>
      </c>
      <c r="P339" s="31" cm="1">
        <f t="array" ref="P339">WPNFACTOR(C339)</f>
        <v>2.5</v>
      </c>
      <c r="Q339" s="33" cm="1">
        <f t="array" ref="Q339">HPFACTOr(C339)</f>
        <v>4</v>
      </c>
      <c r="R339" s="32">
        <f>O339/P339</f>
        <v>449.2</v>
      </c>
      <c r="S339" s="33">
        <f>J339/Q339</f>
        <v>8750000</v>
      </c>
      <c r="T339" s="32">
        <f>R339*(1 + (N339/400))</f>
        <v>449.2</v>
      </c>
      <c r="U339" s="39">
        <f>S339*1.6/(1 + (0.6*(1 - (M339/100))))</f>
        <v>8750000</v>
      </c>
      <c r="V339" s="41">
        <f>VLOOKUP(D339,LevelXp!$A$1:'LevelXp'!$B$1000,2,)/5</f>
        <v>300000000</v>
      </c>
      <c r="W339" s="29">
        <f>T339*U339</f>
        <v>3930500000</v>
      </c>
      <c r="X339" s="32">
        <f>POWER(W339, 1/$X$1)</f>
        <v>82.963976560432073</v>
      </c>
      <c r="Y339" s="41">
        <v>312</v>
      </c>
      <c r="Z339" s="41">
        <v>300000000</v>
      </c>
      <c r="AA339" s="41">
        <v>1</v>
      </c>
      <c r="AC339" s="50">
        <v>338</v>
      </c>
      <c r="AD339" s="51">
        <f t="shared" si="141"/>
        <v>293597521</v>
      </c>
      <c r="AE339" s="51">
        <f t="shared" si="143"/>
        <v>402387162.55555558</v>
      </c>
      <c r="AF339" s="51">
        <f t="shared" si="142"/>
        <v>1</v>
      </c>
      <c r="AG339" s="55">
        <f t="shared" si="143"/>
        <v>1.5555555555555556</v>
      </c>
      <c r="AH339" s="29">
        <f>SUM($AF$2:AF339)</f>
        <v>215</v>
      </c>
      <c r="AI339" s="55">
        <f>SUM($AG$2:AG339)</f>
        <v>214.444444444444</v>
      </c>
    </row>
    <row r="340" spans="1:35" x14ac:dyDescent="0.2">
      <c r="A340" s="48" t="s">
        <v>8851</v>
      </c>
      <c r="B340" s="29">
        <v>8</v>
      </c>
      <c r="C340" s="29">
        <v>1</v>
      </c>
      <c r="D340" s="29">
        <v>412</v>
      </c>
      <c r="E340" s="29">
        <v>8046</v>
      </c>
      <c r="F340" s="29">
        <v>2823</v>
      </c>
      <c r="G340" s="29">
        <v>2793</v>
      </c>
      <c r="H340" s="29">
        <v>42383</v>
      </c>
      <c r="I340" s="29">
        <v>1854</v>
      </c>
      <c r="J340" s="29">
        <v>87520896</v>
      </c>
      <c r="K340" s="29">
        <v>4431</v>
      </c>
      <c r="L340" s="29">
        <v>8806</v>
      </c>
      <c r="N340" s="33"/>
      <c r="O340" s="29">
        <f>AVERAGE(K340, L340)</f>
        <v>6618.5</v>
      </c>
      <c r="P340" s="31" cm="1">
        <f t="array" ref="P340">WPNFACTOR(C340)</f>
        <v>2</v>
      </c>
      <c r="Q340" s="33" cm="1">
        <f t="array" ref="Q340">HPFACTOr(C340)</f>
        <v>5</v>
      </c>
      <c r="R340" s="32">
        <f>O340/P340</f>
        <v>3309.25</v>
      </c>
      <c r="S340" s="33">
        <f>J340/Q340</f>
        <v>17504179.199999999</v>
      </c>
      <c r="T340" s="32">
        <f>R340*(1 + (N340/400))</f>
        <v>3309.25</v>
      </c>
      <c r="U340" s="39">
        <f>S340*1.6/(1 + (0.6*(1 - (M340/100))))</f>
        <v>17504179.199999999</v>
      </c>
      <c r="V340" s="41">
        <f>VLOOKUP(D340,LevelXp!$A$1:'LevelXp'!$B$1000,2,)/5</f>
        <v>300000000</v>
      </c>
      <c r="W340" s="29">
        <f>T340*U340</f>
        <v>57925705017.599998</v>
      </c>
      <c r="X340" s="32">
        <f>POWER(W340, 1/$X$1)</f>
        <v>142.09351762799631</v>
      </c>
      <c r="Y340" s="41">
        <v>313</v>
      </c>
      <c r="Z340" s="41">
        <v>300000000</v>
      </c>
      <c r="AA340" s="41">
        <v>0</v>
      </c>
      <c r="AC340" s="50">
        <v>339</v>
      </c>
      <c r="AD340" s="51">
        <f t="shared" si="141"/>
        <v>228946620</v>
      </c>
      <c r="AE340" s="51">
        <f t="shared" si="143"/>
        <v>414291261.44444442</v>
      </c>
      <c r="AF340" s="51">
        <f t="shared" si="142"/>
        <v>1</v>
      </c>
      <c r="AG340" s="55">
        <f t="shared" si="143"/>
        <v>1.7777777777777777</v>
      </c>
      <c r="AH340" s="29">
        <f>SUM($AF$2:AF340)</f>
        <v>216</v>
      </c>
      <c r="AI340" s="55">
        <f>SUM($AG$2:AG340)</f>
        <v>216.22222222222177</v>
      </c>
    </row>
    <row r="341" spans="1:35" x14ac:dyDescent="0.2">
      <c r="A341" s="48" t="s">
        <v>8858</v>
      </c>
      <c r="B341" s="29">
        <v>5</v>
      </c>
      <c r="C341" s="29">
        <v>1</v>
      </c>
      <c r="D341" s="29">
        <v>450</v>
      </c>
      <c r="E341" s="29">
        <v>42000</v>
      </c>
      <c r="F341" s="29">
        <v>15000</v>
      </c>
      <c r="G341" s="29">
        <v>15000</v>
      </c>
      <c r="H341" s="29">
        <v>26000</v>
      </c>
      <c r="I341" s="29">
        <v>9000</v>
      </c>
      <c r="J341" s="29">
        <v>10000000</v>
      </c>
      <c r="K341" s="29">
        <v>703</v>
      </c>
      <c r="L341" s="29">
        <v>1136</v>
      </c>
      <c r="N341" s="33"/>
      <c r="O341" s="29">
        <f>AVERAGE(K341, L341)</f>
        <v>919.5</v>
      </c>
      <c r="P341" s="31" cm="1">
        <f t="array" ref="P341">WPNFACTOR(C341)</f>
        <v>2</v>
      </c>
      <c r="Q341" s="33" cm="1">
        <f t="array" ref="Q341">HPFACTOr(C341)</f>
        <v>5</v>
      </c>
      <c r="R341" s="32">
        <f>O341/P341</f>
        <v>459.75</v>
      </c>
      <c r="S341" s="33">
        <f>J341/Q341</f>
        <v>2000000</v>
      </c>
      <c r="T341" s="32">
        <f>R341*(1 + (N341/400))</f>
        <v>459.75</v>
      </c>
      <c r="U341" s="39">
        <f>S341*1.6/(1 + (0.6*(1 - (M341/100))))</f>
        <v>2000000</v>
      </c>
      <c r="V341" s="41">
        <f>VLOOKUP(D341,LevelXp!$A$1:'LevelXp'!$B$1000,2,)/5</f>
        <v>300000000</v>
      </c>
      <c r="W341" s="29">
        <f>T341*U341</f>
        <v>919500000</v>
      </c>
      <c r="X341" s="32">
        <f>POWER(W341, 1/$X$1)</f>
        <v>62.045508285589023</v>
      </c>
      <c r="Y341" s="41">
        <v>314</v>
      </c>
      <c r="Z341" s="41">
        <v>300000000</v>
      </c>
      <c r="AA341" s="41">
        <v>1</v>
      </c>
      <c r="AC341" s="50">
        <v>340</v>
      </c>
      <c r="AD341" s="51">
        <f t="shared" si="141"/>
        <v>398598815</v>
      </c>
      <c r="AE341" s="51">
        <f t="shared" si="143"/>
        <v>438966136.33333331</v>
      </c>
      <c r="AF341" s="51">
        <f t="shared" si="142"/>
        <v>1</v>
      </c>
      <c r="AG341" s="55">
        <f t="shared" si="143"/>
        <v>1.7777777777777777</v>
      </c>
      <c r="AH341" s="29">
        <f>SUM($AF$2:AF341)</f>
        <v>217</v>
      </c>
      <c r="AI341" s="55">
        <f>SUM($AG$2:AG341)</f>
        <v>217.99999999999955</v>
      </c>
    </row>
    <row r="342" spans="1:35" x14ac:dyDescent="0.2">
      <c r="A342" s="48" t="s">
        <v>8860</v>
      </c>
      <c r="B342" s="29">
        <v>10</v>
      </c>
      <c r="C342" s="29">
        <v>3</v>
      </c>
      <c r="D342" s="29">
        <v>270</v>
      </c>
      <c r="E342" s="29">
        <v>6700</v>
      </c>
      <c r="F342" s="29">
        <v>13400</v>
      </c>
      <c r="G342" s="29">
        <v>6700</v>
      </c>
      <c r="H342" s="29">
        <v>40500</v>
      </c>
      <c r="I342" s="29">
        <v>6700</v>
      </c>
      <c r="J342" s="29">
        <v>106000000</v>
      </c>
      <c r="K342" s="29">
        <v>781</v>
      </c>
      <c r="L342" s="29">
        <v>1029</v>
      </c>
      <c r="M342" s="29">
        <v>25</v>
      </c>
      <c r="N342" s="33">
        <v>25</v>
      </c>
      <c r="O342" s="29">
        <f>AVERAGE(K342, L342)</f>
        <v>905</v>
      </c>
      <c r="P342" s="31" cm="1">
        <f t="array" ref="P342">WPNFACTOR(C342)</f>
        <v>2.5</v>
      </c>
      <c r="Q342" s="33" cm="1">
        <f t="array" ref="Q342">HPFACTOr(C342)</f>
        <v>4</v>
      </c>
      <c r="R342" s="32">
        <f>O342/P342</f>
        <v>362</v>
      </c>
      <c r="S342" s="33">
        <f>J342/Q342</f>
        <v>26500000</v>
      </c>
      <c r="T342" s="32">
        <f>R342*(1 + (N342/400))</f>
        <v>384.625</v>
      </c>
      <c r="U342" s="39">
        <f>S342*1.6/(1 + (0.6*(1 - (M342/100))))</f>
        <v>29241379.31034483</v>
      </c>
      <c r="V342" s="41">
        <f>VLOOKUP(D342,LevelXp!$A$1:'LevelXp'!$B$1000,2,)/5</f>
        <v>45958126</v>
      </c>
      <c r="W342" s="29">
        <f>T342*U342</f>
        <v>11246965517.241381</v>
      </c>
      <c r="X342" s="32">
        <f>POWER(W342, 1/$X$1)</f>
        <v>102.37810173401095</v>
      </c>
      <c r="Y342" s="41">
        <v>315</v>
      </c>
      <c r="Z342" s="41">
        <v>45958126</v>
      </c>
      <c r="AA342" s="41">
        <v>1</v>
      </c>
      <c r="AC342" s="50">
        <v>341</v>
      </c>
      <c r="AD342" s="51">
        <f t="shared" si="141"/>
        <v>317358613</v>
      </c>
      <c r="AE342" s="51">
        <f t="shared" si="143"/>
        <v>447113845.22222221</v>
      </c>
      <c r="AF342" s="51">
        <f t="shared" si="142"/>
        <v>0</v>
      </c>
      <c r="AG342" s="55">
        <f t="shared" si="143"/>
        <v>1.7777777777777777</v>
      </c>
      <c r="AH342" s="29">
        <f>SUM($AF$2:AF342)</f>
        <v>217</v>
      </c>
      <c r="AI342" s="55">
        <f>SUM($AG$2:AG342)</f>
        <v>219.77777777777732</v>
      </c>
    </row>
    <row r="343" spans="1:35" x14ac:dyDescent="0.2">
      <c r="A343" s="48" t="s">
        <v>2937</v>
      </c>
      <c r="B343" s="29">
        <v>400</v>
      </c>
      <c r="N343" s="33"/>
      <c r="Q343" s="33"/>
      <c r="S343" s="33"/>
      <c r="U343" s="39"/>
      <c r="V343" s="41">
        <f>VLOOKUP(B343,LevelXp!$D$1:'LevelXp'!$F$1000,3,)</f>
        <v>197253382</v>
      </c>
      <c r="Y343" s="41">
        <v>315</v>
      </c>
      <c r="Z343" s="41">
        <v>197253382</v>
      </c>
      <c r="AA343" s="41">
        <v>0</v>
      </c>
      <c r="AC343" s="50">
        <v>342</v>
      </c>
      <c r="AD343" s="51">
        <f t="shared" si="141"/>
        <v>597511063</v>
      </c>
      <c r="AE343" s="51">
        <f t="shared" si="143"/>
        <v>484881524.55555558</v>
      </c>
      <c r="AF343" s="51">
        <f t="shared" si="142"/>
        <v>4</v>
      </c>
      <c r="AG343" s="55">
        <f t="shared" si="143"/>
        <v>1.8888888888888888</v>
      </c>
      <c r="AH343" s="29">
        <f>SUM($AF$2:AF343)</f>
        <v>221</v>
      </c>
      <c r="AI343" s="55">
        <f>SUM($AG$2:AG343)</f>
        <v>221.6666666666662</v>
      </c>
    </row>
    <row r="344" spans="1:35" x14ac:dyDescent="0.2">
      <c r="A344" s="48" t="s">
        <v>8851</v>
      </c>
      <c r="B344" s="29">
        <v>9</v>
      </c>
      <c r="C344" s="29">
        <v>1</v>
      </c>
      <c r="D344" s="29">
        <v>416</v>
      </c>
      <c r="E344" s="29">
        <v>8127</v>
      </c>
      <c r="F344" s="29">
        <v>2851</v>
      </c>
      <c r="G344" s="29">
        <v>2821</v>
      </c>
      <c r="H344" s="29">
        <v>42840</v>
      </c>
      <c r="I344" s="29">
        <v>1868</v>
      </c>
      <c r="J344" s="29">
        <v>89321400</v>
      </c>
      <c r="K344" s="29">
        <v>4609</v>
      </c>
      <c r="L344" s="29">
        <v>8868</v>
      </c>
      <c r="N344" s="33"/>
      <c r="O344" s="29">
        <f t="shared" ref="O344:O352" si="151">AVERAGE(K344, L344)</f>
        <v>6738.5</v>
      </c>
      <c r="P344" s="31" cm="1">
        <f t="array" ref="P344">WPNFACTOR(C344)</f>
        <v>2</v>
      </c>
      <c r="Q344" s="33" cm="1">
        <f t="array" ref="Q344">HPFACTOr(C344)</f>
        <v>5</v>
      </c>
      <c r="R344" s="32">
        <f t="shared" ref="R344:R352" si="152">O344/P344</f>
        <v>3369.25</v>
      </c>
      <c r="S344" s="33">
        <f t="shared" ref="S344:S352" si="153">J344/Q344</f>
        <v>17864280</v>
      </c>
      <c r="T344" s="32">
        <f t="shared" ref="T344:T352" si="154">R344*(1 + (N344/400))</f>
        <v>3369.25</v>
      </c>
      <c r="U344" s="39">
        <f t="shared" ref="U344:U352" si="155">S344*1.6/(1 + (0.6*(1 - (M344/100))))</f>
        <v>17864280</v>
      </c>
      <c r="V344" s="41">
        <f>VLOOKUP(D344,LevelXp!$A$1:'LevelXp'!$B$1000,2,)/5</f>
        <v>300000000</v>
      </c>
      <c r="W344" s="29">
        <f t="shared" ref="W344:W352" si="156">T344*U344</f>
        <v>60189225390</v>
      </c>
      <c r="X344" s="32">
        <f t="shared" ref="X344:X352" si="157">POWER(W344, 1/$X$1)</f>
        <v>143.18705302491338</v>
      </c>
      <c r="Y344" s="41">
        <v>316</v>
      </c>
      <c r="Z344" s="41">
        <v>300000000</v>
      </c>
      <c r="AA344" s="41">
        <v>0</v>
      </c>
      <c r="AC344" s="50">
        <v>343</v>
      </c>
      <c r="AD344" s="51">
        <f t="shared" si="141"/>
        <v>522845137</v>
      </c>
      <c r="AE344" s="51">
        <f t="shared" si="143"/>
        <v>512738780</v>
      </c>
      <c r="AF344" s="51">
        <f t="shared" si="142"/>
        <v>3</v>
      </c>
      <c r="AG344" s="55">
        <f t="shared" si="143"/>
        <v>2.1111111111111112</v>
      </c>
      <c r="AH344" s="29">
        <f>SUM($AF$2:AF344)</f>
        <v>224</v>
      </c>
      <c r="AI344" s="55">
        <f>SUM($AG$2:AG344)</f>
        <v>223.77777777777732</v>
      </c>
    </row>
    <row r="345" spans="1:35" x14ac:dyDescent="0.2">
      <c r="A345" s="48" t="s">
        <v>8851</v>
      </c>
      <c r="B345" s="29">
        <v>10</v>
      </c>
      <c r="C345" s="29">
        <v>1</v>
      </c>
      <c r="D345" s="29">
        <v>420</v>
      </c>
      <c r="E345" s="29">
        <v>8208</v>
      </c>
      <c r="F345" s="29">
        <v>2880</v>
      </c>
      <c r="G345" s="29">
        <v>2850</v>
      </c>
      <c r="H345" s="29">
        <v>43296</v>
      </c>
      <c r="I345" s="29">
        <v>1884</v>
      </c>
      <c r="J345" s="29">
        <v>91138080</v>
      </c>
      <c r="K345" s="29">
        <v>4499</v>
      </c>
      <c r="L345" s="29">
        <v>8979</v>
      </c>
      <c r="N345" s="33"/>
      <c r="O345" s="29">
        <f t="shared" si="151"/>
        <v>6739</v>
      </c>
      <c r="P345" s="31" cm="1">
        <f t="array" ref="P345">WPNFACTOR(C345)</f>
        <v>2</v>
      </c>
      <c r="Q345" s="33" cm="1">
        <f t="array" ref="Q345">HPFACTOr(C345)</f>
        <v>5</v>
      </c>
      <c r="R345" s="32">
        <f t="shared" si="152"/>
        <v>3369.5</v>
      </c>
      <c r="S345" s="33">
        <f t="shared" si="153"/>
        <v>18227616</v>
      </c>
      <c r="T345" s="32">
        <f t="shared" si="154"/>
        <v>3369.5</v>
      </c>
      <c r="U345" s="39">
        <f t="shared" si="155"/>
        <v>18227616</v>
      </c>
      <c r="V345" s="41">
        <f>VLOOKUP(D345,LevelXp!$A$1:'LevelXp'!$B$1000,2,)/5</f>
        <v>300000000</v>
      </c>
      <c r="W345" s="29">
        <f t="shared" si="156"/>
        <v>61417952112</v>
      </c>
      <c r="X345" s="32">
        <f t="shared" si="157"/>
        <v>143.76695230574754</v>
      </c>
      <c r="Y345" s="41">
        <v>317</v>
      </c>
      <c r="Z345" s="41">
        <v>300000000</v>
      </c>
      <c r="AA345" s="41">
        <v>0</v>
      </c>
      <c r="AC345" s="50">
        <v>344</v>
      </c>
      <c r="AD345" s="51">
        <f t="shared" si="141"/>
        <v>600000000</v>
      </c>
      <c r="AE345" s="51">
        <f t="shared" si="143"/>
        <v>538318685.22222221</v>
      </c>
      <c r="AF345" s="51">
        <f t="shared" si="142"/>
        <v>2</v>
      </c>
      <c r="AG345" s="55">
        <f t="shared" si="143"/>
        <v>2.2222222222222223</v>
      </c>
      <c r="AH345" s="29">
        <f>SUM($AF$2:AF345)</f>
        <v>226</v>
      </c>
      <c r="AI345" s="55">
        <f>SUM($AG$2:AG345)</f>
        <v>225.99999999999955</v>
      </c>
    </row>
    <row r="346" spans="1:35" x14ac:dyDescent="0.2">
      <c r="A346" s="48" t="s">
        <v>8852</v>
      </c>
      <c r="B346" s="29">
        <v>1</v>
      </c>
      <c r="C346" s="29">
        <v>1</v>
      </c>
      <c r="D346" s="29">
        <v>424</v>
      </c>
      <c r="E346" s="29">
        <v>9041</v>
      </c>
      <c r="F346" s="29">
        <v>3171</v>
      </c>
      <c r="G346" s="29">
        <v>3141</v>
      </c>
      <c r="H346" s="29">
        <v>47883</v>
      </c>
      <c r="I346" s="29">
        <v>2049</v>
      </c>
      <c r="J346" s="29">
        <v>101751376</v>
      </c>
      <c r="K346" s="29">
        <v>4535</v>
      </c>
      <c r="L346" s="29">
        <v>9045</v>
      </c>
      <c r="N346" s="33"/>
      <c r="O346" s="29">
        <f t="shared" si="151"/>
        <v>6790</v>
      </c>
      <c r="P346" s="31" cm="1">
        <f t="array" ref="P346">WPNFACTOR(C346)</f>
        <v>2</v>
      </c>
      <c r="Q346" s="33" cm="1">
        <f t="array" ref="Q346">HPFACTOr(C346)</f>
        <v>5</v>
      </c>
      <c r="R346" s="32">
        <f t="shared" si="152"/>
        <v>3395</v>
      </c>
      <c r="S346" s="33">
        <f t="shared" si="153"/>
        <v>20350275.199999999</v>
      </c>
      <c r="T346" s="32">
        <f t="shared" si="154"/>
        <v>3395</v>
      </c>
      <c r="U346" s="39">
        <f t="shared" si="155"/>
        <v>20350275.199999999</v>
      </c>
      <c r="V346" s="41">
        <f>VLOOKUP(D346,LevelXp!$A$1:'LevelXp'!$B$1000,2,)/5</f>
        <v>300000000</v>
      </c>
      <c r="W346" s="29">
        <f t="shared" si="156"/>
        <v>69089184304</v>
      </c>
      <c r="X346" s="32">
        <f t="shared" si="157"/>
        <v>147.19125662742744</v>
      </c>
      <c r="Y346" s="41">
        <v>318</v>
      </c>
      <c r="Z346" s="41">
        <v>300000000</v>
      </c>
      <c r="AA346" s="41">
        <v>0</v>
      </c>
      <c r="AC346" s="50">
        <v>345</v>
      </c>
      <c r="AD346" s="51">
        <f t="shared" si="141"/>
        <v>682008533</v>
      </c>
      <c r="AE346" s="51">
        <f>AVERAGE(AD342:AD350)</f>
        <v>567256664.33333337</v>
      </c>
      <c r="AF346" s="51">
        <f t="shared" si="142"/>
        <v>2</v>
      </c>
      <c r="AG346" s="55">
        <f>AVERAGE(AF342:AF350)</f>
        <v>2.4444444444444446</v>
      </c>
      <c r="AH346" s="29">
        <f>SUM($AF$2:AF346)</f>
        <v>228</v>
      </c>
      <c r="AI346" s="55">
        <f>SUM($AG$2:AG346)</f>
        <v>228.444444444444</v>
      </c>
    </row>
    <row r="347" spans="1:35" x14ac:dyDescent="0.2">
      <c r="A347" s="48" t="s">
        <v>8854</v>
      </c>
      <c r="B347" s="29">
        <v>8</v>
      </c>
      <c r="C347" s="29">
        <v>1</v>
      </c>
      <c r="D347" s="29">
        <v>302</v>
      </c>
      <c r="E347" s="29">
        <v>14874</v>
      </c>
      <c r="F347" s="29">
        <v>3132</v>
      </c>
      <c r="G347" s="29">
        <v>1986</v>
      </c>
      <c r="H347" s="29">
        <v>58295</v>
      </c>
      <c r="I347" s="29">
        <v>8022</v>
      </c>
      <c r="J347" s="29">
        <v>138640080</v>
      </c>
      <c r="K347" s="29">
        <v>564</v>
      </c>
      <c r="L347" s="29">
        <v>675</v>
      </c>
      <c r="N347" s="33"/>
      <c r="O347" s="29">
        <f t="shared" si="151"/>
        <v>619.5</v>
      </c>
      <c r="P347" s="31" cm="1">
        <f t="array" ref="P347">WPNFACTOR(C347)</f>
        <v>2</v>
      </c>
      <c r="Q347" s="33" cm="1">
        <f t="array" ref="Q347">HPFACTOr(C347)</f>
        <v>5</v>
      </c>
      <c r="R347" s="32">
        <f t="shared" si="152"/>
        <v>309.75</v>
      </c>
      <c r="S347" s="33">
        <f t="shared" si="153"/>
        <v>27728016</v>
      </c>
      <c r="T347" s="32">
        <f t="shared" si="154"/>
        <v>309.75</v>
      </c>
      <c r="U347" s="39">
        <f t="shared" si="155"/>
        <v>27728016</v>
      </c>
      <c r="V347" s="41">
        <f>VLOOKUP(D347,LevelXp!$A$1:'LevelXp'!$B$1000,2,)/5</f>
        <v>79213665</v>
      </c>
      <c r="W347" s="29">
        <f t="shared" si="156"/>
        <v>8588752956</v>
      </c>
      <c r="X347" s="32">
        <f t="shared" si="157"/>
        <v>97.003191274191508</v>
      </c>
      <c r="Y347" s="41">
        <v>318</v>
      </c>
      <c r="Z347" s="41">
        <v>79213665</v>
      </c>
      <c r="AA347" s="41">
        <v>1</v>
      </c>
      <c r="AC347" s="50">
        <v>346</v>
      </c>
      <c r="AD347" s="51">
        <f t="shared" si="141"/>
        <v>723067419</v>
      </c>
      <c r="AE347" s="51">
        <f>AVERAGE(AD343:$AD$350,$AD$352:AD352)</f>
        <v>596413855.55555558</v>
      </c>
      <c r="AF347" s="51">
        <f t="shared" si="142"/>
        <v>3</v>
      </c>
      <c r="AG347" s="55">
        <f t="shared" ref="AG347:AG355" si="158">AVERAGE(AF343:AF351)</f>
        <v>2.4444444444444446</v>
      </c>
      <c r="AH347" s="29">
        <f>SUM($AF$2:AF347)</f>
        <v>231</v>
      </c>
      <c r="AI347" s="55">
        <f>SUM($AG$2:AG347)</f>
        <v>230.88888888888846</v>
      </c>
    </row>
    <row r="348" spans="1:35" x14ac:dyDescent="0.2">
      <c r="A348" s="48" t="s">
        <v>8852</v>
      </c>
      <c r="B348" s="29">
        <v>2</v>
      </c>
      <c r="C348" s="29">
        <v>2</v>
      </c>
      <c r="D348" s="29">
        <v>428</v>
      </c>
      <c r="E348" s="29">
        <v>2342</v>
      </c>
      <c r="F348" s="29">
        <v>2365</v>
      </c>
      <c r="G348" s="29">
        <v>9511</v>
      </c>
      <c r="H348" s="29">
        <v>49434</v>
      </c>
      <c r="I348" s="29">
        <v>3374</v>
      </c>
      <c r="J348" s="29">
        <v>42414372</v>
      </c>
      <c r="K348" s="29">
        <v>10557</v>
      </c>
      <c r="L348" s="29">
        <v>20581</v>
      </c>
      <c r="N348" s="33"/>
      <c r="O348" s="29">
        <f t="shared" si="151"/>
        <v>15569</v>
      </c>
      <c r="P348" s="31" cm="1">
        <f t="array" ref="P348">WPNFACTOR(C348)</f>
        <v>4.5</v>
      </c>
      <c r="Q348" s="33" cm="1">
        <f t="array" ref="Q348">HPFACTOr(C348)</f>
        <v>2</v>
      </c>
      <c r="R348" s="32">
        <f t="shared" si="152"/>
        <v>3459.7777777777778</v>
      </c>
      <c r="S348" s="33">
        <f t="shared" si="153"/>
        <v>21207186</v>
      </c>
      <c r="T348" s="32">
        <f t="shared" si="154"/>
        <v>3459.7777777777778</v>
      </c>
      <c r="U348" s="39">
        <f t="shared" si="155"/>
        <v>21207186</v>
      </c>
      <c r="V348" s="41">
        <f>VLOOKUP(D348,LevelXp!$A$1:'LevelXp'!$B$1000,2,)/5</f>
        <v>300000000</v>
      </c>
      <c r="W348" s="29">
        <f t="shared" si="156"/>
        <v>73372150852</v>
      </c>
      <c r="X348" s="32">
        <f t="shared" si="157"/>
        <v>148.9725494177512</v>
      </c>
      <c r="Y348" s="41">
        <v>319</v>
      </c>
      <c r="Z348" s="41">
        <v>300000000</v>
      </c>
      <c r="AA348" s="41">
        <v>0</v>
      </c>
      <c r="AC348" s="50">
        <v>347</v>
      </c>
      <c r="AD348" s="51">
        <f t="shared" si="141"/>
        <v>544312820</v>
      </c>
      <c r="AE348" s="51">
        <f>AVERAGE(AD344:$AD$350,$AD$352:AD353)</f>
        <v>583159392</v>
      </c>
      <c r="AF348" s="51">
        <f t="shared" si="142"/>
        <v>3</v>
      </c>
      <c r="AG348" s="55">
        <f t="shared" si="158"/>
        <v>2.2222222222222223</v>
      </c>
      <c r="AH348" s="29">
        <f>SUM($AF$2:AF348)</f>
        <v>234</v>
      </c>
      <c r="AI348" s="55">
        <f>SUM($AG$2:AG348)</f>
        <v>233.11111111111069</v>
      </c>
    </row>
    <row r="349" spans="1:35" x14ac:dyDescent="0.2">
      <c r="A349" s="48" t="s">
        <v>8854</v>
      </c>
      <c r="B349" s="29">
        <v>9</v>
      </c>
      <c r="C349" s="29">
        <v>1</v>
      </c>
      <c r="D349" s="29">
        <v>310</v>
      </c>
      <c r="E349" s="29">
        <v>14470</v>
      </c>
      <c r="F349" s="29">
        <v>5540</v>
      </c>
      <c r="G349" s="29">
        <v>5569</v>
      </c>
      <c r="H349" s="29">
        <v>70050</v>
      </c>
      <c r="I349" s="29">
        <v>10197</v>
      </c>
      <c r="J349" s="29">
        <v>174284400</v>
      </c>
      <c r="K349" s="29">
        <v>446</v>
      </c>
      <c r="L349" s="29">
        <v>945</v>
      </c>
      <c r="N349" s="33"/>
      <c r="O349" s="29">
        <f t="shared" si="151"/>
        <v>695.5</v>
      </c>
      <c r="P349" s="31" cm="1">
        <f t="array" ref="P349">WPNFACTOR(C349)</f>
        <v>2</v>
      </c>
      <c r="Q349" s="33" cm="1">
        <f t="array" ref="Q349">HPFACTOr(C349)</f>
        <v>5</v>
      </c>
      <c r="R349" s="32">
        <f t="shared" si="152"/>
        <v>347.75</v>
      </c>
      <c r="S349" s="33">
        <f t="shared" si="153"/>
        <v>34856880</v>
      </c>
      <c r="T349" s="32">
        <f t="shared" si="154"/>
        <v>347.75</v>
      </c>
      <c r="U349" s="39">
        <f t="shared" si="155"/>
        <v>34856880</v>
      </c>
      <c r="V349" s="41">
        <f>VLOOKUP(D349,LevelXp!$A$1:'LevelXp'!$B$1000,2,)/5</f>
        <v>90125436</v>
      </c>
      <c r="W349" s="29">
        <f t="shared" si="156"/>
        <v>12121480020</v>
      </c>
      <c r="X349" s="32">
        <f t="shared" si="157"/>
        <v>103.9228695240069</v>
      </c>
      <c r="Y349" s="41">
        <v>319</v>
      </c>
      <c r="Z349" s="41">
        <v>90125436</v>
      </c>
      <c r="AA349" s="41">
        <v>1</v>
      </c>
      <c r="AC349" s="50">
        <v>348</v>
      </c>
      <c r="AD349" s="51">
        <f t="shared" si="141"/>
        <v>459165767</v>
      </c>
      <c r="AE349" s="51">
        <f>AVERAGE(AD345:$AD$350,$AD$352:AD354)</f>
        <v>567152685.22222221</v>
      </c>
      <c r="AF349" s="51">
        <f t="shared" si="142"/>
        <v>2</v>
      </c>
      <c r="AG349" s="55">
        <f t="shared" si="158"/>
        <v>1.8888888888888888</v>
      </c>
      <c r="AH349" s="29">
        <f>SUM($AF$2:AF349)</f>
        <v>236</v>
      </c>
      <c r="AI349" s="55">
        <f>SUM($AG$2:AG349)</f>
        <v>234.99999999999957</v>
      </c>
    </row>
    <row r="350" spans="1:35" x14ac:dyDescent="0.2">
      <c r="A350" s="48" t="s">
        <v>8854</v>
      </c>
      <c r="B350" s="29">
        <v>10</v>
      </c>
      <c r="C350" s="29">
        <v>2</v>
      </c>
      <c r="D350" s="29">
        <v>317</v>
      </c>
      <c r="E350" s="29">
        <v>5911</v>
      </c>
      <c r="F350" s="29">
        <v>4338</v>
      </c>
      <c r="G350" s="29">
        <v>12174</v>
      </c>
      <c r="H350" s="29">
        <v>70050</v>
      </c>
      <c r="I350" s="29">
        <v>8540</v>
      </c>
      <c r="J350" s="29">
        <v>71282872</v>
      </c>
      <c r="K350" s="29">
        <v>1027</v>
      </c>
      <c r="L350" s="29">
        <v>2059</v>
      </c>
      <c r="N350" s="33"/>
      <c r="O350" s="29">
        <f t="shared" si="151"/>
        <v>1543</v>
      </c>
      <c r="P350" s="31" cm="1">
        <f t="array" ref="P350">WPNFACTOR(C350)</f>
        <v>4.5</v>
      </c>
      <c r="Q350" s="33" cm="1">
        <f t="array" ref="Q350">HPFACTOr(C350)</f>
        <v>2</v>
      </c>
      <c r="R350" s="32">
        <f t="shared" si="152"/>
        <v>342.88888888888891</v>
      </c>
      <c r="S350" s="33">
        <f t="shared" si="153"/>
        <v>35641436</v>
      </c>
      <c r="T350" s="32">
        <f t="shared" si="154"/>
        <v>342.88888888888891</v>
      </c>
      <c r="U350" s="39">
        <f t="shared" si="155"/>
        <v>35641436</v>
      </c>
      <c r="V350" s="41">
        <f>VLOOKUP(D350,LevelXp!$A$1:'LevelXp'!$B$1000,2,)/5</f>
        <v>100672054</v>
      </c>
      <c r="W350" s="29">
        <f t="shared" si="156"/>
        <v>12221052388.444445</v>
      </c>
      <c r="X350" s="32">
        <f t="shared" si="157"/>
        <v>104.09304695691888</v>
      </c>
      <c r="Y350" s="41">
        <v>320</v>
      </c>
      <c r="Z350" s="41">
        <v>100672054</v>
      </c>
      <c r="AA350" s="41">
        <v>1</v>
      </c>
      <c r="AC350" s="50">
        <v>349</v>
      </c>
      <c r="AD350" s="51">
        <f t="shared" si="141"/>
        <v>659040627</v>
      </c>
      <c r="AE350" s="51">
        <f>AVERAGE(AD346:$AD$350,$AD$352:AD355)</f>
        <v>537334623.55555558</v>
      </c>
      <c r="AF350" s="51">
        <f t="shared" si="142"/>
        <v>3</v>
      </c>
      <c r="AG350" s="55">
        <f t="shared" si="158"/>
        <v>1.6666666666666667</v>
      </c>
      <c r="AH350" s="29">
        <f>SUM($AF$2:AF350)</f>
        <v>239</v>
      </c>
      <c r="AI350" s="55">
        <f>SUM($AG$2:AG350)</f>
        <v>236.66666666666623</v>
      </c>
    </row>
    <row r="351" spans="1:35" x14ac:dyDescent="0.2">
      <c r="A351" s="48" t="s">
        <v>8865</v>
      </c>
      <c r="B351" s="29">
        <v>1</v>
      </c>
      <c r="C351" s="29">
        <v>2</v>
      </c>
      <c r="D351" s="29">
        <v>325</v>
      </c>
      <c r="E351" s="29">
        <v>3221</v>
      </c>
      <c r="F351" s="29">
        <v>3221</v>
      </c>
      <c r="G351" s="29">
        <v>16577</v>
      </c>
      <c r="H351" s="29">
        <v>61790</v>
      </c>
      <c r="I351" s="29">
        <v>8964</v>
      </c>
      <c r="J351" s="29">
        <v>64459324</v>
      </c>
      <c r="K351" s="29">
        <v>861</v>
      </c>
      <c r="L351" s="29">
        <v>2432</v>
      </c>
      <c r="N351" s="33"/>
      <c r="O351" s="29">
        <f t="shared" si="151"/>
        <v>1646.5</v>
      </c>
      <c r="P351" s="31" cm="1">
        <f t="array" ref="P351">WPNFACTOR(C351)</f>
        <v>4.5</v>
      </c>
      <c r="Q351" s="33" cm="1">
        <f t="array" ref="Q351">HPFACTOr(C351)</f>
        <v>2</v>
      </c>
      <c r="R351" s="32">
        <f t="shared" si="152"/>
        <v>365.88888888888891</v>
      </c>
      <c r="S351" s="33">
        <f t="shared" si="153"/>
        <v>32229662</v>
      </c>
      <c r="T351" s="32">
        <f t="shared" si="154"/>
        <v>365.88888888888891</v>
      </c>
      <c r="U351" s="39">
        <f t="shared" si="155"/>
        <v>32229662</v>
      </c>
      <c r="V351" s="41">
        <f>VLOOKUP(D351,LevelXp!$A$1:'LevelXp'!$B$1000,2,)/5</f>
        <v>113997992</v>
      </c>
      <c r="W351" s="29">
        <f t="shared" si="156"/>
        <v>11792475218.444445</v>
      </c>
      <c r="X351" s="32">
        <f t="shared" si="157"/>
        <v>103.352501948045</v>
      </c>
      <c r="Y351" s="41">
        <v>320</v>
      </c>
      <c r="Z351" s="41">
        <v>113997992</v>
      </c>
      <c r="AA351" s="41">
        <v>1</v>
      </c>
      <c r="AC351" s="50">
        <v>350</v>
      </c>
      <c r="AD351" s="51">
        <f t="shared" si="141"/>
        <v>1403552551</v>
      </c>
      <c r="AE351" s="51">
        <f>AD351</f>
        <v>1403552551</v>
      </c>
      <c r="AF351" s="51">
        <f t="shared" si="142"/>
        <v>0</v>
      </c>
      <c r="AG351" s="55">
        <f t="shared" si="158"/>
        <v>1.5555555555555556</v>
      </c>
      <c r="AH351" s="29">
        <f>SUM($AF$2:AF351)</f>
        <v>239</v>
      </c>
      <c r="AI351" s="55">
        <f>SUM($AG$2:AG351)</f>
        <v>238.22222222222177</v>
      </c>
    </row>
    <row r="352" spans="1:35" x14ac:dyDescent="0.2">
      <c r="A352" s="48" t="s">
        <v>8865</v>
      </c>
      <c r="B352" s="29">
        <v>2</v>
      </c>
      <c r="C352" s="29">
        <v>2</v>
      </c>
      <c r="D352" s="29">
        <v>332</v>
      </c>
      <c r="E352" s="29">
        <v>6128</v>
      </c>
      <c r="F352" s="29">
        <v>6057</v>
      </c>
      <c r="G352" s="29">
        <v>17028</v>
      </c>
      <c r="H352" s="29">
        <v>76695</v>
      </c>
      <c r="I352" s="29">
        <v>10905</v>
      </c>
      <c r="J352" s="29">
        <v>83003160</v>
      </c>
      <c r="K352" s="29">
        <v>1291</v>
      </c>
      <c r="L352" s="29">
        <v>2100</v>
      </c>
      <c r="N352" s="33"/>
      <c r="O352" s="29">
        <f t="shared" si="151"/>
        <v>1695.5</v>
      </c>
      <c r="P352" s="31" cm="1">
        <f t="array" ref="P352">WPNFACTOR(C352)</f>
        <v>4.5</v>
      </c>
      <c r="Q352" s="33" cm="1">
        <f t="array" ref="Q352">HPFACTOr(C352)</f>
        <v>2</v>
      </c>
      <c r="R352" s="32">
        <f t="shared" si="152"/>
        <v>376.77777777777777</v>
      </c>
      <c r="S352" s="33">
        <f t="shared" si="153"/>
        <v>41501580</v>
      </c>
      <c r="T352" s="32">
        <f t="shared" si="154"/>
        <v>376.77777777777777</v>
      </c>
      <c r="U352" s="39">
        <f t="shared" si="155"/>
        <v>41501580</v>
      </c>
      <c r="V352" s="41">
        <f>VLOOKUP(D352,LevelXp!$A$1:'LevelXp'!$B$1000,2,)/5</f>
        <v>126854805</v>
      </c>
      <c r="W352" s="29">
        <f t="shared" si="156"/>
        <v>15636873086.666666</v>
      </c>
      <c r="X352" s="32">
        <f t="shared" si="157"/>
        <v>109.3528187718571</v>
      </c>
      <c r="Y352" s="41">
        <v>320</v>
      </c>
      <c r="Z352" s="41">
        <v>126854805</v>
      </c>
      <c r="AA352" s="41">
        <v>1</v>
      </c>
      <c r="AC352" s="50">
        <v>351</v>
      </c>
      <c r="AD352" s="51">
        <f t="shared" si="141"/>
        <v>579773334</v>
      </c>
      <c r="AE352" s="51">
        <f>AVERAGE(AD347:$AD$350,$AD$352:AD356)</f>
        <v>590083723.22222221</v>
      </c>
      <c r="AF352" s="51">
        <f t="shared" si="142"/>
        <v>2</v>
      </c>
      <c r="AG352" s="55">
        <f t="shared" si="158"/>
        <v>1.5555555555555556</v>
      </c>
      <c r="AH352" s="29">
        <f>SUM($AF$2:AF352)</f>
        <v>241</v>
      </c>
      <c r="AI352" s="55">
        <f>SUM($AG$2:AG352)</f>
        <v>239.77777777777732</v>
      </c>
    </row>
    <row r="353" spans="1:35" x14ac:dyDescent="0.2">
      <c r="A353" s="48" t="s">
        <v>2937</v>
      </c>
      <c r="B353" s="29">
        <v>410</v>
      </c>
      <c r="N353" s="33"/>
      <c r="Q353" s="33"/>
      <c r="S353" s="33"/>
      <c r="U353" s="39"/>
      <c r="V353" s="41">
        <f>VLOOKUP(B353,LevelXp!$D$1:'LevelXp'!$F$1000,3,)</f>
        <v>204616276</v>
      </c>
      <c r="Y353" s="41">
        <v>320</v>
      </c>
      <c r="Z353" s="41">
        <v>204616276</v>
      </c>
      <c r="AA353" s="41">
        <v>0</v>
      </c>
      <c r="AC353" s="50">
        <v>352</v>
      </c>
      <c r="AD353" s="51">
        <f t="shared" si="141"/>
        <v>478220891</v>
      </c>
      <c r="AE353" s="51">
        <f>AVERAGE(AD348:$AD$350,$AD$352:AD357)</f>
        <v>602603375.77777779</v>
      </c>
      <c r="AF353" s="51">
        <f t="shared" si="142"/>
        <v>0</v>
      </c>
      <c r="AG353" s="55">
        <f t="shared" si="158"/>
        <v>1.2222222222222223</v>
      </c>
      <c r="AH353" s="29">
        <f>SUM($AF$2:AF353)</f>
        <v>241</v>
      </c>
      <c r="AI353" s="55">
        <f>SUM($AG$2:AG353)</f>
        <v>240.99999999999955</v>
      </c>
    </row>
    <row r="354" spans="1:35" x14ac:dyDescent="0.2">
      <c r="A354" s="48" t="s">
        <v>8861</v>
      </c>
      <c r="B354" s="29">
        <v>1</v>
      </c>
      <c r="C354" s="29">
        <v>2</v>
      </c>
      <c r="D354" s="29">
        <v>280</v>
      </c>
      <c r="E354" s="29">
        <v>7300</v>
      </c>
      <c r="F354" s="29">
        <v>7300</v>
      </c>
      <c r="G354" s="29">
        <v>14600</v>
      </c>
      <c r="H354" s="29">
        <v>45500</v>
      </c>
      <c r="I354" s="29">
        <v>7300</v>
      </c>
      <c r="J354" s="29">
        <v>121000000</v>
      </c>
      <c r="K354" s="29">
        <v>820</v>
      </c>
      <c r="L354" s="29">
        <v>1069</v>
      </c>
      <c r="M354" s="29">
        <v>25</v>
      </c>
      <c r="N354" s="33">
        <v>25</v>
      </c>
      <c r="O354" s="29">
        <f t="shared" ref="O354:O361" si="159">AVERAGE(K354, L354)</f>
        <v>944.5</v>
      </c>
      <c r="P354" s="31" cm="1">
        <f t="array" ref="P354">WPNFACTOR(C354)</f>
        <v>4.5</v>
      </c>
      <c r="Q354" s="33" cm="1">
        <f t="array" ref="Q354">HPFACTOr(C354)</f>
        <v>2</v>
      </c>
      <c r="R354" s="32">
        <f t="shared" ref="R354:R361" si="160">O354/P354</f>
        <v>209.88888888888889</v>
      </c>
      <c r="S354" s="33">
        <f t="shared" ref="S354:S361" si="161">J354/Q354</f>
        <v>60500000</v>
      </c>
      <c r="T354" s="32">
        <f t="shared" ref="T354:T361" si="162">R354*(1 + (N354/400))</f>
        <v>223.00694444444443</v>
      </c>
      <c r="U354" s="39">
        <f t="shared" ref="U354:U361" si="163">S354*1.6/(1 + (0.6*(1 - (M354/100))))</f>
        <v>66758620.689655177</v>
      </c>
      <c r="V354" s="41">
        <f>VLOOKUP(D354,LevelXp!$A$1:'LevelXp'!$B$1000,2,)/5</f>
        <v>54764113</v>
      </c>
      <c r="W354" s="29">
        <f t="shared" ref="W354:W361" si="164">T354*U354</f>
        <v>14887636015.32567</v>
      </c>
      <c r="X354" s="32">
        <f t="shared" ref="X354:X361" si="165">POWER(W354, 1/$X$1)</f>
        <v>108.28421399452056</v>
      </c>
      <c r="Y354" s="41">
        <v>321</v>
      </c>
      <c r="Z354" s="41">
        <v>54764113</v>
      </c>
      <c r="AA354" s="41">
        <v>1</v>
      </c>
      <c r="AC354" s="50">
        <v>353</v>
      </c>
      <c r="AD354" s="51">
        <f t="shared" si="141"/>
        <v>378784776</v>
      </c>
      <c r="AE354" s="51">
        <f>AVERAGE(AD349:$AD$350,$AD$352:AD358)</f>
        <v>695152177.77777779</v>
      </c>
      <c r="AF354" s="51">
        <f t="shared" si="142"/>
        <v>0</v>
      </c>
      <c r="AG354" s="55">
        <f t="shared" si="158"/>
        <v>1.2222222222222223</v>
      </c>
      <c r="AH354" s="29">
        <f>SUM($AF$2:AF354)</f>
        <v>241</v>
      </c>
      <c r="AI354" s="55">
        <f>SUM($AG$2:AG354)</f>
        <v>242.22222222222177</v>
      </c>
    </row>
    <row r="355" spans="1:35" x14ac:dyDescent="0.2">
      <c r="A355" s="48" t="s">
        <v>8858</v>
      </c>
      <c r="B355" s="29">
        <v>6</v>
      </c>
      <c r="C355" s="29">
        <v>2</v>
      </c>
      <c r="D355" s="29">
        <v>460</v>
      </c>
      <c r="E355" s="29">
        <v>18000</v>
      </c>
      <c r="F355" s="29">
        <v>18000</v>
      </c>
      <c r="G355" s="29">
        <v>50000</v>
      </c>
      <c r="H355" s="29">
        <v>29000</v>
      </c>
      <c r="I355" s="29">
        <v>11000</v>
      </c>
      <c r="J355" s="29">
        <v>25000000</v>
      </c>
      <c r="K355" s="29">
        <v>1551</v>
      </c>
      <c r="L355" s="29">
        <v>2599</v>
      </c>
      <c r="N355" s="33"/>
      <c r="O355" s="29">
        <f t="shared" si="159"/>
        <v>2075</v>
      </c>
      <c r="P355" s="31" cm="1">
        <f t="array" ref="P355">WPNFACTOR(C355)</f>
        <v>4.5</v>
      </c>
      <c r="Q355" s="33" cm="1">
        <f t="array" ref="Q355">HPFACTOr(C355)</f>
        <v>2</v>
      </c>
      <c r="R355" s="32">
        <f t="shared" si="160"/>
        <v>461.11111111111109</v>
      </c>
      <c r="S355" s="33">
        <f t="shared" si="161"/>
        <v>12500000</v>
      </c>
      <c r="T355" s="32">
        <f t="shared" si="162"/>
        <v>461.11111111111109</v>
      </c>
      <c r="U355" s="39">
        <f t="shared" si="163"/>
        <v>12500000</v>
      </c>
      <c r="V355" s="41">
        <f>VLOOKUP(D355,LevelXp!$A$1:'LevelXp'!$B$1000,2,)/5</f>
        <v>300000000</v>
      </c>
      <c r="W355" s="29">
        <f t="shared" si="164"/>
        <v>5763888888.8888884</v>
      </c>
      <c r="X355" s="32">
        <f t="shared" si="165"/>
        <v>89.565987814710553</v>
      </c>
      <c r="Y355" s="41">
        <v>321</v>
      </c>
      <c r="Z355" s="41">
        <v>300000000</v>
      </c>
      <c r="AA355" s="41">
        <v>1</v>
      </c>
      <c r="AC355" s="50">
        <v>354</v>
      </c>
      <c r="AD355" s="51">
        <f t="shared" si="141"/>
        <v>331637445</v>
      </c>
      <c r="AE355" s="51">
        <f>AVERAGE(AD350:$AD$350,$AD$352:AD359)</f>
        <v>844133759.22222221</v>
      </c>
      <c r="AF355" s="51">
        <f t="shared" si="142"/>
        <v>1</v>
      </c>
      <c r="AG355" s="55">
        <f t="shared" si="158"/>
        <v>1.2222222222222223</v>
      </c>
      <c r="AH355" s="29">
        <f>SUM($AF$2:AF355)</f>
        <v>242</v>
      </c>
      <c r="AI355" s="55">
        <f>SUM($AG$2:AG355)</f>
        <v>243.444444444444</v>
      </c>
    </row>
    <row r="356" spans="1:35" x14ac:dyDescent="0.2">
      <c r="A356" s="48" t="s">
        <v>8853</v>
      </c>
      <c r="B356" s="29">
        <v>1</v>
      </c>
      <c r="C356" s="29">
        <v>1</v>
      </c>
      <c r="D356" s="29">
        <v>464</v>
      </c>
      <c r="E356" s="29">
        <v>9040</v>
      </c>
      <c r="F356" s="29">
        <v>3173</v>
      </c>
      <c r="G356" s="29">
        <v>3135</v>
      </c>
      <c r="H356" s="29">
        <v>47416</v>
      </c>
      <c r="I356" s="29">
        <v>2110</v>
      </c>
      <c r="J356" s="29">
        <v>110242200</v>
      </c>
      <c r="K356" s="29">
        <v>4966</v>
      </c>
      <c r="L356" s="29">
        <v>9792</v>
      </c>
      <c r="N356" s="33"/>
      <c r="O356" s="29">
        <f t="shared" si="159"/>
        <v>7379</v>
      </c>
      <c r="P356" s="31" cm="1">
        <f t="array" ref="P356">WPNFACTOR(C356)</f>
        <v>2</v>
      </c>
      <c r="Q356" s="33" cm="1">
        <f t="array" ref="Q356">HPFACTOr(C356)</f>
        <v>5</v>
      </c>
      <c r="R356" s="32">
        <f t="shared" si="160"/>
        <v>3689.5</v>
      </c>
      <c r="S356" s="33">
        <f t="shared" si="161"/>
        <v>22048440</v>
      </c>
      <c r="T356" s="32">
        <f t="shared" si="162"/>
        <v>3689.5</v>
      </c>
      <c r="U356" s="39">
        <f t="shared" si="163"/>
        <v>22048440</v>
      </c>
      <c r="V356" s="41">
        <f>VLOOKUP(D356,LevelXp!$A$1:'LevelXp'!$B$1000,2,)/5</f>
        <v>300000000</v>
      </c>
      <c r="W356" s="29">
        <f t="shared" si="164"/>
        <v>81347719380</v>
      </c>
      <c r="X356" s="32">
        <f t="shared" si="165"/>
        <v>152.07893984344821</v>
      </c>
      <c r="Y356" s="41">
        <v>322</v>
      </c>
      <c r="Z356" s="41">
        <v>300000000</v>
      </c>
      <c r="AA356" s="41">
        <v>0</v>
      </c>
      <c r="AC356" s="50">
        <v>355</v>
      </c>
      <c r="AD356" s="51">
        <f t="shared" si="141"/>
        <v>1156750430</v>
      </c>
      <c r="AE356" s="51">
        <f t="shared" si="143"/>
        <v>904240356.22222221</v>
      </c>
      <c r="AF356" s="51">
        <f t="shared" si="142"/>
        <v>3</v>
      </c>
      <c r="AG356" s="55">
        <f t="shared" si="143"/>
        <v>1.2222222222222223</v>
      </c>
      <c r="AH356" s="29">
        <f>SUM($AF$2:AF356)</f>
        <v>245</v>
      </c>
      <c r="AI356" s="55">
        <f>SUM($AG$2:AG356)</f>
        <v>244.66666666666623</v>
      </c>
    </row>
    <row r="357" spans="1:35" x14ac:dyDescent="0.2">
      <c r="A357" s="48" t="s">
        <v>8865</v>
      </c>
      <c r="B357" s="29">
        <v>3</v>
      </c>
      <c r="C357" s="29">
        <v>2</v>
      </c>
      <c r="D357" s="29">
        <v>340</v>
      </c>
      <c r="E357" s="29">
        <v>5151</v>
      </c>
      <c r="F357" s="29">
        <v>5237</v>
      </c>
      <c r="G357" s="29">
        <v>18553</v>
      </c>
      <c r="H357" s="29">
        <v>79880</v>
      </c>
      <c r="I357" s="29">
        <v>12130</v>
      </c>
      <c r="J357" s="29">
        <v>90152560</v>
      </c>
      <c r="K357" s="29">
        <v>992</v>
      </c>
      <c r="L357" s="29">
        <v>2507</v>
      </c>
      <c r="N357" s="33"/>
      <c r="O357" s="29">
        <f t="shared" si="159"/>
        <v>1749.5</v>
      </c>
      <c r="P357" s="31" cm="1">
        <f t="array" ref="P357">WPNFACTOR(C357)</f>
        <v>4.5</v>
      </c>
      <c r="Q357" s="33" cm="1">
        <f t="array" ref="Q357">HPFACTOr(C357)</f>
        <v>2</v>
      </c>
      <c r="R357" s="32">
        <f t="shared" si="160"/>
        <v>388.77777777777777</v>
      </c>
      <c r="S357" s="33">
        <f t="shared" si="161"/>
        <v>45076280</v>
      </c>
      <c r="T357" s="32">
        <f t="shared" si="162"/>
        <v>388.77777777777777</v>
      </c>
      <c r="U357" s="39">
        <f t="shared" si="163"/>
        <v>45076280</v>
      </c>
      <c r="V357" s="41">
        <f>VLOOKUP(D357,LevelXp!$A$1:'LevelXp'!$B$1000,2,)/5</f>
        <v>143018630</v>
      </c>
      <c r="W357" s="29">
        <f t="shared" si="164"/>
        <v>17524655968.888889</v>
      </c>
      <c r="X357" s="32">
        <f t="shared" si="165"/>
        <v>111.87418903947346</v>
      </c>
      <c r="Y357" s="41">
        <v>322</v>
      </c>
      <c r="Z357" s="41">
        <v>143018630</v>
      </c>
      <c r="AA357" s="41">
        <v>1</v>
      </c>
      <c r="AC357" s="50">
        <v>356</v>
      </c>
      <c r="AD357" s="51">
        <f t="shared" si="141"/>
        <v>835744292</v>
      </c>
      <c r="AE357" s="51">
        <f t="shared" si="143"/>
        <v>1006487763.5555556</v>
      </c>
      <c r="AF357" s="51">
        <f t="shared" si="142"/>
        <v>0</v>
      </c>
      <c r="AG357" s="55">
        <f t="shared" si="143"/>
        <v>1.2222222222222223</v>
      </c>
      <c r="AH357" s="29">
        <f>SUM($AF$2:AF357)</f>
        <v>245</v>
      </c>
      <c r="AI357" s="55">
        <f>SUM($AG$2:AG357)</f>
        <v>245.88888888888846</v>
      </c>
    </row>
    <row r="358" spans="1:35" x14ac:dyDescent="0.2">
      <c r="A358" s="48" t="s">
        <v>8867</v>
      </c>
      <c r="B358" s="29">
        <v>2</v>
      </c>
      <c r="C358" s="29">
        <v>1</v>
      </c>
      <c r="D358" s="29">
        <v>420</v>
      </c>
      <c r="E358" s="29">
        <v>24240</v>
      </c>
      <c r="F358" s="29">
        <v>8490</v>
      </c>
      <c r="G358" s="29">
        <v>8460</v>
      </c>
      <c r="H358" s="29">
        <v>20030</v>
      </c>
      <c r="I358" s="29">
        <v>5130</v>
      </c>
      <c r="J358" s="29">
        <v>42163152</v>
      </c>
      <c r="K358" s="29">
        <v>1247</v>
      </c>
      <c r="L358" s="29">
        <v>3060</v>
      </c>
      <c r="N358" s="33"/>
      <c r="O358" s="29">
        <f t="shared" si="159"/>
        <v>2153.5</v>
      </c>
      <c r="P358" s="31" cm="1">
        <f t="array" ref="P358">WPNFACTOR(C358)</f>
        <v>2</v>
      </c>
      <c r="Q358" s="33" cm="1">
        <f t="array" ref="Q358">HPFACTOr(C358)</f>
        <v>5</v>
      </c>
      <c r="R358" s="32">
        <f t="shared" si="160"/>
        <v>1076.75</v>
      </c>
      <c r="S358" s="33">
        <f t="shared" si="161"/>
        <v>8432630.4000000004</v>
      </c>
      <c r="T358" s="32">
        <f t="shared" si="162"/>
        <v>1076.75</v>
      </c>
      <c r="U358" s="39">
        <f t="shared" si="163"/>
        <v>8432630.4000000004</v>
      </c>
      <c r="V358" s="41">
        <f>VLOOKUP(D358,LevelXp!$A$1:'LevelXp'!$B$1000,2,)/5</f>
        <v>300000000</v>
      </c>
      <c r="W358" s="29">
        <f t="shared" si="164"/>
        <v>9079834783.2000008</v>
      </c>
      <c r="X358" s="32">
        <f t="shared" si="165"/>
        <v>98.087934458813436</v>
      </c>
      <c r="Y358" s="41">
        <v>323</v>
      </c>
      <c r="Z358" s="41">
        <v>300000000</v>
      </c>
      <c r="AA358" s="41">
        <v>1</v>
      </c>
      <c r="AC358" s="50">
        <v>357</v>
      </c>
      <c r="AD358" s="51">
        <f t="shared" si="141"/>
        <v>1377252038</v>
      </c>
      <c r="AE358" s="51">
        <f t="shared" si="143"/>
        <v>1020018775.6666666</v>
      </c>
      <c r="AF358" s="51">
        <f t="shared" si="142"/>
        <v>2</v>
      </c>
      <c r="AG358" s="55">
        <f t="shared" si="143"/>
        <v>1.2222222222222223</v>
      </c>
      <c r="AH358" s="29">
        <f>SUM($AF$2:AF358)</f>
        <v>247</v>
      </c>
      <c r="AI358" s="55">
        <f>SUM($AG$2:AG358)</f>
        <v>247.11111111111069</v>
      </c>
    </row>
    <row r="359" spans="1:35" x14ac:dyDescent="0.2">
      <c r="A359" s="48" t="s">
        <v>8867</v>
      </c>
      <c r="B359" s="29">
        <v>3</v>
      </c>
      <c r="C359" s="29">
        <v>2</v>
      </c>
      <c r="D359" s="29">
        <v>430</v>
      </c>
      <c r="E359" s="29">
        <v>10150</v>
      </c>
      <c r="F359" s="29">
        <v>10180</v>
      </c>
      <c r="G359" s="29">
        <v>29080</v>
      </c>
      <c r="H359" s="29">
        <v>22030</v>
      </c>
      <c r="I359" s="29">
        <v>6150</v>
      </c>
      <c r="J359" s="29">
        <v>18989860</v>
      </c>
      <c r="K359" s="29">
        <v>3364</v>
      </c>
      <c r="L359" s="29">
        <v>8263</v>
      </c>
      <c r="N359" s="33"/>
      <c r="O359" s="29">
        <f t="shared" si="159"/>
        <v>5813.5</v>
      </c>
      <c r="P359" s="31" cm="1">
        <f t="array" ref="P359">WPNFACTOR(C359)</f>
        <v>4.5</v>
      </c>
      <c r="Q359" s="33" cm="1">
        <f t="array" ref="Q359">HPFACTOr(C359)</f>
        <v>2</v>
      </c>
      <c r="R359" s="32">
        <f t="shared" si="160"/>
        <v>1291.8888888888889</v>
      </c>
      <c r="S359" s="33">
        <f t="shared" si="161"/>
        <v>9494930</v>
      </c>
      <c r="T359" s="32">
        <f t="shared" si="162"/>
        <v>1291.8888888888889</v>
      </c>
      <c r="U359" s="39">
        <f t="shared" si="163"/>
        <v>9494930</v>
      </c>
      <c r="V359" s="41">
        <f>VLOOKUP(D359,LevelXp!$A$1:'LevelXp'!$B$1000,2,)/5</f>
        <v>300000000</v>
      </c>
      <c r="W359" s="29">
        <f t="shared" si="164"/>
        <v>12266394567.777779</v>
      </c>
      <c r="X359" s="32">
        <f t="shared" si="165"/>
        <v>104.17017315674181</v>
      </c>
      <c r="Y359" s="41">
        <v>323</v>
      </c>
      <c r="Z359" s="41">
        <v>300000000</v>
      </c>
      <c r="AA359" s="41">
        <v>1</v>
      </c>
      <c r="AC359" s="50">
        <v>358</v>
      </c>
      <c r="AD359" s="51">
        <f t="shared" si="141"/>
        <v>1800000000</v>
      </c>
      <c r="AE359" s="51">
        <f t="shared" si="143"/>
        <v>1044598245</v>
      </c>
      <c r="AF359" s="51">
        <f t="shared" si="142"/>
        <v>3</v>
      </c>
      <c r="AG359" s="55">
        <f t="shared" si="143"/>
        <v>1.2222222222222223</v>
      </c>
      <c r="AH359" s="29">
        <f>SUM($AF$2:AF359)</f>
        <v>250</v>
      </c>
      <c r="AI359" s="55">
        <f>SUM($AG$2:AG359)</f>
        <v>248.33333333333292</v>
      </c>
    </row>
    <row r="360" spans="1:35" x14ac:dyDescent="0.2">
      <c r="A360" s="48" t="s">
        <v>8853</v>
      </c>
      <c r="B360" s="29">
        <v>2</v>
      </c>
      <c r="C360" s="29">
        <v>1</v>
      </c>
      <c r="D360" s="29">
        <v>468</v>
      </c>
      <c r="E360" s="29">
        <v>9126</v>
      </c>
      <c r="F360" s="29">
        <v>3202</v>
      </c>
      <c r="G360" s="29">
        <v>3166</v>
      </c>
      <c r="H360" s="29">
        <v>47938</v>
      </c>
      <c r="I360" s="29">
        <v>2120</v>
      </c>
      <c r="J360" s="29">
        <v>112414608</v>
      </c>
      <c r="K360" s="29">
        <v>5030</v>
      </c>
      <c r="L360" s="29">
        <v>9944</v>
      </c>
      <c r="N360" s="33"/>
      <c r="O360" s="29">
        <f t="shared" si="159"/>
        <v>7487</v>
      </c>
      <c r="P360" s="31" cm="1">
        <f t="array" ref="P360">WPNFACTOR(C360)</f>
        <v>2</v>
      </c>
      <c r="Q360" s="33" cm="1">
        <f t="array" ref="Q360">HPFACTOr(C360)</f>
        <v>5</v>
      </c>
      <c r="R360" s="32">
        <f t="shared" si="160"/>
        <v>3743.5</v>
      </c>
      <c r="S360" s="33">
        <f t="shared" si="161"/>
        <v>22482921.600000001</v>
      </c>
      <c r="T360" s="32">
        <f t="shared" si="162"/>
        <v>3743.5</v>
      </c>
      <c r="U360" s="39">
        <f t="shared" si="163"/>
        <v>22482921.600000001</v>
      </c>
      <c r="V360" s="41">
        <f>VLOOKUP(D360,LevelXp!$A$1:'LevelXp'!$B$1000,2,)/5</f>
        <v>300000000</v>
      </c>
      <c r="W360" s="29">
        <f t="shared" si="164"/>
        <v>84164817009.600006</v>
      </c>
      <c r="X360" s="32">
        <f t="shared" si="165"/>
        <v>153.11795378246984</v>
      </c>
      <c r="Y360" s="41">
        <v>324</v>
      </c>
      <c r="Z360" s="41">
        <v>300000000</v>
      </c>
      <c r="AA360" s="41">
        <v>0</v>
      </c>
      <c r="AC360" s="50">
        <v>359</v>
      </c>
      <c r="AD360" s="51">
        <f t="shared" si="141"/>
        <v>1200000000</v>
      </c>
      <c r="AE360" s="51">
        <f t="shared" si="143"/>
        <v>1074416306.6666667</v>
      </c>
      <c r="AF360" s="51">
        <f t="shared" si="142"/>
        <v>0</v>
      </c>
      <c r="AG360" s="55">
        <f t="shared" si="143"/>
        <v>1.1111111111111112</v>
      </c>
      <c r="AH360" s="29">
        <f>SUM($AF$2:AF360)</f>
        <v>250</v>
      </c>
      <c r="AI360" s="55">
        <f>SUM($AG$2:AG360)</f>
        <v>249.44444444444403</v>
      </c>
    </row>
    <row r="361" spans="1:35" x14ac:dyDescent="0.2">
      <c r="A361" s="48" t="s">
        <v>8852</v>
      </c>
      <c r="B361" s="29">
        <v>3</v>
      </c>
      <c r="C361" s="29">
        <v>1</v>
      </c>
      <c r="D361" s="29">
        <v>432</v>
      </c>
      <c r="E361" s="29">
        <v>9811</v>
      </c>
      <c r="F361" s="29">
        <v>3441</v>
      </c>
      <c r="G361" s="29">
        <v>3411</v>
      </c>
      <c r="H361" s="29">
        <v>52140</v>
      </c>
      <c r="I361" s="29">
        <v>2201</v>
      </c>
      <c r="J361" s="29">
        <v>112883104</v>
      </c>
      <c r="K361" s="29">
        <v>4628</v>
      </c>
      <c r="L361" s="29">
        <v>9222</v>
      </c>
      <c r="N361" s="33"/>
      <c r="O361" s="29">
        <f t="shared" si="159"/>
        <v>6925</v>
      </c>
      <c r="P361" s="31" cm="1">
        <f t="array" ref="P361">WPNFACTOR(C361)</f>
        <v>2</v>
      </c>
      <c r="Q361" s="33" cm="1">
        <f t="array" ref="Q361">HPFACTOr(C361)</f>
        <v>5</v>
      </c>
      <c r="R361" s="32">
        <f t="shared" si="160"/>
        <v>3462.5</v>
      </c>
      <c r="S361" s="33">
        <f t="shared" si="161"/>
        <v>22576620.800000001</v>
      </c>
      <c r="T361" s="32">
        <f t="shared" si="162"/>
        <v>3462.5</v>
      </c>
      <c r="U361" s="39">
        <f t="shared" si="163"/>
        <v>22576620.800000001</v>
      </c>
      <c r="V361" s="41">
        <f>VLOOKUP(D361,LevelXp!$A$1:'LevelXp'!$B$1000,2,)/5</f>
        <v>300000000</v>
      </c>
      <c r="W361" s="29">
        <f t="shared" si="164"/>
        <v>78171549520</v>
      </c>
      <c r="X361" s="32">
        <f t="shared" si="165"/>
        <v>150.87238096344987</v>
      </c>
      <c r="Y361" s="41">
        <v>325</v>
      </c>
      <c r="Z361" s="41">
        <v>300000000</v>
      </c>
      <c r="AA361" s="41">
        <v>0</v>
      </c>
      <c r="AC361" s="50">
        <v>360</v>
      </c>
      <c r="AD361" s="51">
        <f t="shared" si="141"/>
        <v>1500000000</v>
      </c>
      <c r="AE361" s="51">
        <f t="shared" si="143"/>
        <v>1012555147.7777778</v>
      </c>
      <c r="AF361" s="51">
        <f t="shared" si="142"/>
        <v>2</v>
      </c>
      <c r="AG361" s="55">
        <f t="shared" si="143"/>
        <v>0.88888888888888884</v>
      </c>
      <c r="AH361" s="29">
        <f>SUM($AF$2:AF361)</f>
        <v>252</v>
      </c>
      <c r="AI361" s="55">
        <f>SUM($AG$2:AG361)</f>
        <v>250.33333333333292</v>
      </c>
    </row>
    <row r="362" spans="1:35" x14ac:dyDescent="0.2">
      <c r="A362" s="48" t="s">
        <v>2937</v>
      </c>
      <c r="B362" s="29">
        <v>420</v>
      </c>
      <c r="N362" s="33"/>
      <c r="Q362" s="33"/>
      <c r="S362" s="33"/>
      <c r="U362" s="39"/>
      <c r="V362" s="41">
        <f>VLOOKUP(B362,LevelXp!$D$1:'LevelXp'!$F$1000,3,)</f>
        <v>211614952</v>
      </c>
      <c r="Y362" s="41">
        <v>325</v>
      </c>
      <c r="Z362" s="41">
        <v>211614952</v>
      </c>
      <c r="AA362" s="41">
        <v>0</v>
      </c>
      <c r="AC362" s="50">
        <v>361</v>
      </c>
      <c r="AD362" s="51">
        <f t="shared" si="141"/>
        <v>600000000</v>
      </c>
      <c r="AE362" s="51">
        <f t="shared" si="143"/>
        <v>986361337.55555558</v>
      </c>
      <c r="AF362" s="51">
        <f t="shared" si="142"/>
        <v>0</v>
      </c>
      <c r="AG362" s="55">
        <f t="shared" si="143"/>
        <v>0.88888888888888884</v>
      </c>
      <c r="AH362" s="29">
        <f>SUM($AF$2:AF362)</f>
        <v>252</v>
      </c>
      <c r="AI362" s="55">
        <f>SUM($AG$2:AG362)</f>
        <v>251.2222222222218</v>
      </c>
    </row>
    <row r="363" spans="1:35" x14ac:dyDescent="0.2">
      <c r="A363" s="48" t="s">
        <v>8859</v>
      </c>
      <c r="B363" s="29">
        <v>1</v>
      </c>
      <c r="C363" s="29">
        <v>3</v>
      </c>
      <c r="D363" s="29">
        <v>320</v>
      </c>
      <c r="E363" s="29">
        <v>9700</v>
      </c>
      <c r="F363" s="29">
        <v>19400</v>
      </c>
      <c r="G363" s="29">
        <v>9700</v>
      </c>
      <c r="H363" s="29">
        <v>65500</v>
      </c>
      <c r="I363" s="29">
        <v>9700</v>
      </c>
      <c r="J363" s="29">
        <v>181000000</v>
      </c>
      <c r="K363" s="29">
        <v>981</v>
      </c>
      <c r="L363" s="29">
        <v>1226</v>
      </c>
      <c r="M363" s="29">
        <v>50</v>
      </c>
      <c r="N363" s="33">
        <v>50</v>
      </c>
      <c r="O363" s="29">
        <f t="shared" ref="O363:O377" si="166">AVERAGE(K363, L363)</f>
        <v>1103.5</v>
      </c>
      <c r="P363" s="31" cm="1">
        <f t="array" ref="P363">WPNFACTOR(C363)</f>
        <v>2.5</v>
      </c>
      <c r="Q363" s="33" cm="1">
        <f t="array" ref="Q363">HPFACTOr(C363)</f>
        <v>4</v>
      </c>
      <c r="R363" s="32">
        <f t="shared" ref="R363:R377" si="167">O363/P363</f>
        <v>441.4</v>
      </c>
      <c r="S363" s="33">
        <f t="shared" ref="S363:S377" si="168">J363/Q363</f>
        <v>45250000</v>
      </c>
      <c r="T363" s="32">
        <f t="shared" ref="T363:T377" si="169">R363*(1 + (N363/400))</f>
        <v>496.57499999999999</v>
      </c>
      <c r="U363" s="39">
        <f t="shared" ref="U363:U377" si="170">S363*1.6/(1 + (0.6*(1 - (M363/100))))</f>
        <v>55692307.692307688</v>
      </c>
      <c r="V363" s="41">
        <f>VLOOKUP(D363,LevelXp!$A$1:'LevelXp'!$B$1000,2,)/5</f>
        <v>105514978</v>
      </c>
      <c r="W363" s="29">
        <f t="shared" ref="W363:W377" si="171">T363*U363</f>
        <v>27655407692.30769</v>
      </c>
      <c r="X363" s="32">
        <f t="shared" ref="X363:X377" si="172">POWER(W363, 1/$X$1)</f>
        <v>122.56204903418593</v>
      </c>
      <c r="Y363" s="41">
        <v>326</v>
      </c>
      <c r="Z363" s="41">
        <v>105514978</v>
      </c>
      <c r="AA363" s="41">
        <v>0</v>
      </c>
      <c r="AC363" s="50">
        <v>362</v>
      </c>
      <c r="AD363" s="51">
        <f t="shared" si="141"/>
        <v>600000000</v>
      </c>
      <c r="AE363" s="51">
        <f t="shared" si="143"/>
        <v>883773805.11111116</v>
      </c>
      <c r="AF363" s="51">
        <f t="shared" si="142"/>
        <v>0</v>
      </c>
      <c r="AG363" s="55">
        <f t="shared" si="143"/>
        <v>0.88888888888888884</v>
      </c>
      <c r="AH363" s="29">
        <f>SUM($AF$2:AF363)</f>
        <v>252</v>
      </c>
      <c r="AI363" s="55">
        <f>SUM($AG$2:AG363)</f>
        <v>252.11111111111069</v>
      </c>
    </row>
    <row r="364" spans="1:35" x14ac:dyDescent="0.2">
      <c r="A364" s="48" t="s">
        <v>8852</v>
      </c>
      <c r="B364" s="29">
        <v>4</v>
      </c>
      <c r="C364" s="29">
        <v>2</v>
      </c>
      <c r="D364" s="29">
        <v>436</v>
      </c>
      <c r="E364" s="29">
        <v>2545</v>
      </c>
      <c r="F364" s="29">
        <v>2568</v>
      </c>
      <c r="G364" s="29">
        <v>10322</v>
      </c>
      <c r="H364" s="29">
        <v>53922</v>
      </c>
      <c r="I364" s="29">
        <v>3657</v>
      </c>
      <c r="J364" s="29">
        <v>47127828</v>
      </c>
      <c r="K364" s="29">
        <v>10533</v>
      </c>
      <c r="L364" s="29">
        <v>19240</v>
      </c>
      <c r="N364" s="33"/>
      <c r="O364" s="29">
        <f t="shared" si="166"/>
        <v>14886.5</v>
      </c>
      <c r="P364" s="31" cm="1">
        <f t="array" ref="P364">WPNFACTOR(C364)</f>
        <v>4.5</v>
      </c>
      <c r="Q364" s="33" cm="1">
        <f t="array" ref="Q364">HPFACTOr(C364)</f>
        <v>2</v>
      </c>
      <c r="R364" s="32">
        <f t="shared" si="167"/>
        <v>3308.1111111111113</v>
      </c>
      <c r="S364" s="33">
        <f t="shared" si="168"/>
        <v>23563914</v>
      </c>
      <c r="T364" s="32">
        <f t="shared" si="169"/>
        <v>3308.1111111111113</v>
      </c>
      <c r="U364" s="39">
        <f t="shared" si="170"/>
        <v>23563913.999999996</v>
      </c>
      <c r="V364" s="41">
        <f>VLOOKUP(D364,LevelXp!$A$1:'LevelXp'!$B$1000,2,)/5</f>
        <v>300000000</v>
      </c>
      <c r="W364" s="29">
        <f t="shared" si="171"/>
        <v>77952045724.666656</v>
      </c>
      <c r="X364" s="32">
        <f t="shared" si="172"/>
        <v>150.7875564461275</v>
      </c>
      <c r="Y364" s="41">
        <v>326</v>
      </c>
      <c r="Z364" s="41">
        <v>300000000</v>
      </c>
      <c r="AA364" s="41">
        <v>0</v>
      </c>
      <c r="AC364" s="50">
        <v>363</v>
      </c>
      <c r="AD364" s="51">
        <f t="shared" si="141"/>
        <v>600000000</v>
      </c>
      <c r="AE364" s="51">
        <f t="shared" si="143"/>
        <v>750440471.77777779</v>
      </c>
      <c r="AF364" s="51">
        <f t="shared" si="142"/>
        <v>0</v>
      </c>
      <c r="AG364" s="55">
        <f t="shared" si="143"/>
        <v>0.55555555555555558</v>
      </c>
      <c r="AH364" s="29">
        <f>SUM($AF$2:AF364)</f>
        <v>252</v>
      </c>
      <c r="AI364" s="55">
        <f>SUM($AG$2:AG364)</f>
        <v>252.66666666666623</v>
      </c>
    </row>
    <row r="365" spans="1:35" x14ac:dyDescent="0.2">
      <c r="A365" s="48" t="s">
        <v>8856</v>
      </c>
      <c r="B365" s="29">
        <v>4</v>
      </c>
      <c r="C365" s="29">
        <v>1</v>
      </c>
      <c r="D365" s="29">
        <v>305</v>
      </c>
      <c r="E365" s="29">
        <v>15000</v>
      </c>
      <c r="F365" s="29">
        <v>3500</v>
      </c>
      <c r="G365" s="29">
        <v>3500</v>
      </c>
      <c r="H365" s="29">
        <v>58500</v>
      </c>
      <c r="I365" s="29">
        <v>8000</v>
      </c>
      <c r="J365" s="29">
        <v>101351256</v>
      </c>
      <c r="K365" s="29">
        <v>1067</v>
      </c>
      <c r="L365" s="29">
        <v>1829</v>
      </c>
      <c r="M365" s="29">
        <v>15</v>
      </c>
      <c r="N365" s="33">
        <v>30</v>
      </c>
      <c r="O365" s="29">
        <f t="shared" si="166"/>
        <v>1448</v>
      </c>
      <c r="P365" s="31" cm="1">
        <f t="array" ref="P365">WPNFACTOR(C365)</f>
        <v>2</v>
      </c>
      <c r="Q365" s="33" cm="1">
        <f t="array" ref="Q365">HPFACTOr(C365)</f>
        <v>5</v>
      </c>
      <c r="R365" s="32">
        <f t="shared" si="167"/>
        <v>724</v>
      </c>
      <c r="S365" s="33">
        <f t="shared" si="168"/>
        <v>20270251.199999999</v>
      </c>
      <c r="T365" s="32">
        <f t="shared" si="169"/>
        <v>778.3</v>
      </c>
      <c r="U365" s="39">
        <f t="shared" si="170"/>
        <v>21478411.867549669</v>
      </c>
      <c r="V365" s="41">
        <f>VLOOKUP(D365,LevelXp!$A$1:'LevelXp'!$B$1000,2,)/5</f>
        <v>83158305</v>
      </c>
      <c r="W365" s="29">
        <f t="shared" si="171"/>
        <v>16716647956.513906</v>
      </c>
      <c r="X365" s="32">
        <f t="shared" si="172"/>
        <v>110.82298389611418</v>
      </c>
      <c r="Y365" s="41">
        <v>326</v>
      </c>
      <c r="Z365" s="41">
        <v>83158305</v>
      </c>
      <c r="AA365" s="41">
        <v>1</v>
      </c>
      <c r="AC365" s="50">
        <v>364</v>
      </c>
      <c r="AD365" s="51">
        <f t="shared" si="141"/>
        <v>600000000</v>
      </c>
      <c r="AE365" s="51">
        <f t="shared" si="143"/>
        <v>693025575.33333337</v>
      </c>
      <c r="AF365" s="51">
        <f t="shared" si="142"/>
        <v>1</v>
      </c>
      <c r="AG365" s="55">
        <f t="shared" si="143"/>
        <v>0.55555555555555558</v>
      </c>
      <c r="AH365" s="29">
        <f>SUM($AF$2:AF365)</f>
        <v>253</v>
      </c>
      <c r="AI365" s="55">
        <f>SUM($AG$2:AG365)</f>
        <v>253.22222222222177</v>
      </c>
    </row>
    <row r="366" spans="1:35" x14ac:dyDescent="0.2">
      <c r="A366" s="48" t="s">
        <v>8861</v>
      </c>
      <c r="B366" s="29">
        <v>2</v>
      </c>
      <c r="C366" s="29">
        <v>1</v>
      </c>
      <c r="D366" s="29">
        <v>283</v>
      </c>
      <c r="E366" s="29">
        <v>14960</v>
      </c>
      <c r="F366" s="29">
        <v>7480</v>
      </c>
      <c r="G366" s="29">
        <v>7480</v>
      </c>
      <c r="H366" s="29">
        <v>47000</v>
      </c>
      <c r="I366" s="29">
        <v>7480</v>
      </c>
      <c r="J366" s="29">
        <v>125500000</v>
      </c>
      <c r="K366" s="29">
        <v>832</v>
      </c>
      <c r="L366" s="29">
        <v>1080</v>
      </c>
      <c r="M366" s="29">
        <v>25</v>
      </c>
      <c r="N366" s="33">
        <v>25</v>
      </c>
      <c r="O366" s="29">
        <f t="shared" si="166"/>
        <v>956</v>
      </c>
      <c r="P366" s="31" cm="1">
        <f t="array" ref="P366">WPNFACTOR(C366)</f>
        <v>2</v>
      </c>
      <c r="Q366" s="33" cm="1">
        <f t="array" ref="Q366">HPFACTOr(C366)</f>
        <v>5</v>
      </c>
      <c r="R366" s="32">
        <f t="shared" si="167"/>
        <v>478</v>
      </c>
      <c r="S366" s="33">
        <f t="shared" si="168"/>
        <v>25100000</v>
      </c>
      <c r="T366" s="32">
        <f t="shared" si="169"/>
        <v>507.875</v>
      </c>
      <c r="U366" s="39">
        <f t="shared" si="170"/>
        <v>27696551.724137932</v>
      </c>
      <c r="V366" s="41">
        <f>VLOOKUP(D366,LevelXp!$A$1:'LevelXp'!$B$1000,2,)/5</f>
        <v>57660160</v>
      </c>
      <c r="W366" s="29">
        <f t="shared" si="171"/>
        <v>14066386206.896553</v>
      </c>
      <c r="X366" s="32">
        <f t="shared" si="172"/>
        <v>107.06228482175263</v>
      </c>
      <c r="Y366" s="41">
        <v>327</v>
      </c>
      <c r="Z366" s="41">
        <v>57660160</v>
      </c>
      <c r="AA366" s="41">
        <v>1</v>
      </c>
      <c r="AC366" s="50">
        <v>365</v>
      </c>
      <c r="AD366" s="51">
        <f t="shared" si="141"/>
        <v>600000000</v>
      </c>
      <c r="AE366" s="51">
        <f>AVERAGE(AD362:AD370)</f>
        <v>614270333.55555558</v>
      </c>
      <c r="AF366" s="51">
        <f t="shared" si="142"/>
        <v>0</v>
      </c>
      <c r="AG366" s="55">
        <f t="shared" si="143"/>
        <v>0.55555555555555558</v>
      </c>
      <c r="AH366" s="29">
        <f>SUM($AF$2:AF366)</f>
        <v>253</v>
      </c>
      <c r="AI366" s="55">
        <f>SUM($AG$2:AG366)</f>
        <v>253.77777777777732</v>
      </c>
    </row>
    <row r="367" spans="1:35" x14ac:dyDescent="0.2">
      <c r="A367" s="48" t="s">
        <v>8861</v>
      </c>
      <c r="B367" s="29">
        <v>3</v>
      </c>
      <c r="C367" s="29">
        <v>3</v>
      </c>
      <c r="D367" s="29">
        <v>286</v>
      </c>
      <c r="E367" s="29">
        <v>7660</v>
      </c>
      <c r="F367" s="29">
        <v>15320</v>
      </c>
      <c r="G367" s="29">
        <v>7660</v>
      </c>
      <c r="H367" s="29">
        <v>48500</v>
      </c>
      <c r="I367" s="29">
        <v>7660</v>
      </c>
      <c r="J367" s="29">
        <v>130000000</v>
      </c>
      <c r="K367" s="29">
        <v>847</v>
      </c>
      <c r="L367" s="29">
        <v>1094</v>
      </c>
      <c r="M367" s="29">
        <v>25</v>
      </c>
      <c r="N367" s="33">
        <v>25</v>
      </c>
      <c r="O367" s="29">
        <f t="shared" si="166"/>
        <v>970.5</v>
      </c>
      <c r="P367" s="31" cm="1">
        <f t="array" ref="P367">WPNFACTOR(C367)</f>
        <v>2.5</v>
      </c>
      <c r="Q367" s="33" cm="1">
        <f t="array" ref="Q367">HPFACTOr(C367)</f>
        <v>4</v>
      </c>
      <c r="R367" s="32">
        <f t="shared" si="167"/>
        <v>388.2</v>
      </c>
      <c r="S367" s="33">
        <f t="shared" si="168"/>
        <v>32500000</v>
      </c>
      <c r="T367" s="32">
        <f t="shared" si="169"/>
        <v>412.46249999999998</v>
      </c>
      <c r="U367" s="39">
        <f t="shared" si="170"/>
        <v>35862068.965517245</v>
      </c>
      <c r="V367" s="41">
        <f>VLOOKUP(D367,LevelXp!$A$1:'LevelXp'!$B$1000,2,)/5</f>
        <v>60696773</v>
      </c>
      <c r="W367" s="29">
        <f t="shared" si="171"/>
        <v>14791758620.689655</v>
      </c>
      <c r="X367" s="32">
        <f t="shared" si="172"/>
        <v>108.14438176790978</v>
      </c>
      <c r="Y367" s="41">
        <v>327</v>
      </c>
      <c r="Z367" s="41">
        <v>60696773</v>
      </c>
      <c r="AA367" s="41">
        <v>1</v>
      </c>
      <c r="AC367" s="50">
        <v>366</v>
      </c>
      <c r="AD367" s="51">
        <f t="shared" si="141"/>
        <v>453964246</v>
      </c>
      <c r="AE367" s="51">
        <f>AVERAGE(AD363:$AD$370,$AD$372:AD372)</f>
        <v>614270333.55555558</v>
      </c>
      <c r="AF367" s="51">
        <f t="shared" si="142"/>
        <v>2</v>
      </c>
      <c r="AG367" s="55">
        <f t="shared" ref="AG367" si="173">AVERAGE(AF363:AF371)</f>
        <v>0.55555555555555558</v>
      </c>
      <c r="AH367" s="29">
        <f>SUM($AF$2:AF367)</f>
        <v>255</v>
      </c>
      <c r="AI367" s="55">
        <f>SUM($AG$2:AG367)</f>
        <v>254.33333333333286</v>
      </c>
    </row>
    <row r="368" spans="1:35" x14ac:dyDescent="0.2">
      <c r="A368" s="48" t="s">
        <v>8855</v>
      </c>
      <c r="B368" s="29">
        <v>9</v>
      </c>
      <c r="C368" s="29">
        <v>5</v>
      </c>
      <c r="D368" s="29">
        <v>319</v>
      </c>
      <c r="E368" s="29">
        <v>14904</v>
      </c>
      <c r="F368" s="29">
        <v>5706</v>
      </c>
      <c r="G368" s="29">
        <v>5736</v>
      </c>
      <c r="H368" s="29">
        <v>72152</v>
      </c>
      <c r="I368" s="29">
        <v>10503</v>
      </c>
      <c r="J368" s="29">
        <v>115443200</v>
      </c>
      <c r="K368" s="29">
        <v>1088</v>
      </c>
      <c r="L368" s="29">
        <v>1839</v>
      </c>
      <c r="N368" s="33"/>
      <c r="O368" s="29">
        <f t="shared" si="166"/>
        <v>1463.5</v>
      </c>
      <c r="P368" s="31" cm="1">
        <f t="array" ref="P368">WPNFACTOR(C368)</f>
        <v>2</v>
      </c>
      <c r="Q368" s="33" cm="1">
        <f t="array" ref="Q368">HPFACTOr(C368)</f>
        <v>5</v>
      </c>
      <c r="R368" s="32">
        <f t="shared" si="167"/>
        <v>731.75</v>
      </c>
      <c r="S368" s="33">
        <f t="shared" si="168"/>
        <v>23088640</v>
      </c>
      <c r="T368" s="32">
        <f t="shared" si="169"/>
        <v>731.75</v>
      </c>
      <c r="U368" s="39">
        <f t="shared" si="170"/>
        <v>23088640</v>
      </c>
      <c r="V368" s="41">
        <f>VLOOKUP(D368,LevelXp!$A$1:'LevelXp'!$B$1000,2,)/5</f>
        <v>103875282</v>
      </c>
      <c r="W368" s="29">
        <f t="shared" si="171"/>
        <v>16895112320</v>
      </c>
      <c r="X368" s="32">
        <f t="shared" si="172"/>
        <v>111.05860567586336</v>
      </c>
      <c r="Y368" s="41">
        <v>327</v>
      </c>
      <c r="Z368" s="41">
        <v>103875282</v>
      </c>
      <c r="AA368" s="41">
        <v>1</v>
      </c>
      <c r="AC368" s="50">
        <v>367</v>
      </c>
      <c r="AD368" s="51">
        <f t="shared" si="141"/>
        <v>600000000</v>
      </c>
      <c r="AE368" s="51">
        <f>AVERAGE(AD364:$AD$370,$AD$372:AD373)</f>
        <v>614270333.55555558</v>
      </c>
      <c r="AF368" s="51">
        <f t="shared" si="142"/>
        <v>0</v>
      </c>
      <c r="AG368" s="55">
        <f t="shared" ref="AG368" si="174">AVERAGE(AF364:AF372)</f>
        <v>0.66666666666666663</v>
      </c>
      <c r="AH368" s="29">
        <f>SUM($AF$2:AF368)</f>
        <v>255</v>
      </c>
      <c r="AI368" s="55">
        <f>SUM($AG$2:AG368)</f>
        <v>254.99999999999952</v>
      </c>
    </row>
    <row r="369" spans="1:35" x14ac:dyDescent="0.2">
      <c r="A369" s="48" t="s">
        <v>8861</v>
      </c>
      <c r="B369" s="29">
        <v>4</v>
      </c>
      <c r="C369" s="29">
        <v>1</v>
      </c>
      <c r="D369" s="29">
        <v>289</v>
      </c>
      <c r="E369" s="29">
        <v>15680</v>
      </c>
      <c r="F369" s="29">
        <v>7840</v>
      </c>
      <c r="G369" s="29">
        <v>7840</v>
      </c>
      <c r="H369" s="29">
        <v>50000</v>
      </c>
      <c r="I369" s="29">
        <v>7840</v>
      </c>
      <c r="J369" s="29">
        <v>134500000</v>
      </c>
      <c r="K369" s="29">
        <v>857</v>
      </c>
      <c r="L369" s="29">
        <v>1106</v>
      </c>
      <c r="M369" s="29">
        <v>25</v>
      </c>
      <c r="N369" s="33">
        <v>25</v>
      </c>
      <c r="O369" s="29">
        <f t="shared" si="166"/>
        <v>981.5</v>
      </c>
      <c r="P369" s="31" cm="1">
        <f t="array" ref="P369">WPNFACTOR(C369)</f>
        <v>2</v>
      </c>
      <c r="Q369" s="33" cm="1">
        <f t="array" ref="Q369">HPFACTOr(C369)</f>
        <v>5</v>
      </c>
      <c r="R369" s="32">
        <f t="shared" si="167"/>
        <v>490.75</v>
      </c>
      <c r="S369" s="33">
        <f t="shared" si="168"/>
        <v>26900000</v>
      </c>
      <c r="T369" s="32">
        <f t="shared" si="169"/>
        <v>521.421875</v>
      </c>
      <c r="U369" s="39">
        <f t="shared" si="170"/>
        <v>29682758.620689657</v>
      </c>
      <c r="V369" s="41">
        <f>VLOOKUP(D369,LevelXp!$A$1:'LevelXp'!$B$1000,2,)/5</f>
        <v>63853128</v>
      </c>
      <c r="W369" s="29">
        <f t="shared" si="171"/>
        <v>15477239655.172415</v>
      </c>
      <c r="X369" s="32">
        <f t="shared" si="172"/>
        <v>109.1286295918963</v>
      </c>
      <c r="Y369" s="41">
        <v>328</v>
      </c>
      <c r="Z369" s="41">
        <v>63853128</v>
      </c>
      <c r="AA369" s="41">
        <v>1</v>
      </c>
      <c r="AC369" s="50">
        <v>368</v>
      </c>
      <c r="AD369" s="51">
        <f t="shared" si="141"/>
        <v>683265932</v>
      </c>
      <c r="AE369" s="51">
        <f>AVERAGE(AD365:$AD$370,$AD$372:AD374)</f>
        <v>617927096.33333337</v>
      </c>
      <c r="AF369" s="51">
        <f t="shared" si="142"/>
        <v>0</v>
      </c>
      <c r="AG369" s="55">
        <f t="shared" ref="AG369" si="175">AVERAGE(AF365:AF373)</f>
        <v>0.77777777777777779</v>
      </c>
      <c r="AH369" s="29">
        <f>SUM($AF$2:AF369)</f>
        <v>255</v>
      </c>
      <c r="AI369" s="55">
        <f>SUM($AG$2:AG369)</f>
        <v>255.77777777777729</v>
      </c>
    </row>
    <row r="370" spans="1:35" x14ac:dyDescent="0.2">
      <c r="A370" s="48" t="s">
        <v>8855</v>
      </c>
      <c r="B370" s="29">
        <v>10</v>
      </c>
      <c r="C370" s="29">
        <v>3</v>
      </c>
      <c r="D370" s="29">
        <v>333</v>
      </c>
      <c r="E370" s="29">
        <v>6207</v>
      </c>
      <c r="F370" s="29">
        <v>12783</v>
      </c>
      <c r="G370" s="29">
        <v>6207</v>
      </c>
      <c r="H370" s="29">
        <v>73553</v>
      </c>
      <c r="I370" s="29">
        <v>8967</v>
      </c>
      <c r="J370" s="29">
        <v>98266808</v>
      </c>
      <c r="K370" s="29">
        <v>1420</v>
      </c>
      <c r="L370" s="29">
        <v>2399</v>
      </c>
      <c r="N370" s="33"/>
      <c r="O370" s="29">
        <f t="shared" si="166"/>
        <v>1909.5</v>
      </c>
      <c r="P370" s="31" cm="1">
        <f t="array" ref="P370">WPNFACTOR(C370)</f>
        <v>2.5</v>
      </c>
      <c r="Q370" s="33" cm="1">
        <f t="array" ref="Q370">HPFACTOr(C370)</f>
        <v>4</v>
      </c>
      <c r="R370" s="32">
        <f t="shared" si="167"/>
        <v>763.8</v>
      </c>
      <c r="S370" s="33">
        <f t="shared" si="168"/>
        <v>24566702</v>
      </c>
      <c r="T370" s="32">
        <f t="shared" si="169"/>
        <v>763.8</v>
      </c>
      <c r="U370" s="39">
        <f t="shared" si="170"/>
        <v>24566702</v>
      </c>
      <c r="V370" s="41">
        <f>VLOOKUP(D370,LevelXp!$A$1:'LevelXp'!$B$1000,2,)/5</f>
        <v>128778486</v>
      </c>
      <c r="W370" s="29">
        <f t="shared" si="171"/>
        <v>18764046987.599998</v>
      </c>
      <c r="X370" s="32">
        <f t="shared" si="172"/>
        <v>113.41364340941085</v>
      </c>
      <c r="Y370" s="41">
        <v>328</v>
      </c>
      <c r="Z370" s="41">
        <v>128778486</v>
      </c>
      <c r="AA370" s="41">
        <v>1</v>
      </c>
      <c r="AC370" s="50">
        <v>369</v>
      </c>
      <c r="AD370" s="51">
        <f t="shared" si="141"/>
        <v>791202824</v>
      </c>
      <c r="AE370" s="51">
        <f>AVERAGE(AD366:$AD$370,$AD$372:AD375)</f>
        <v>598902483.66666663</v>
      </c>
      <c r="AF370" s="51">
        <f t="shared" si="142"/>
        <v>2</v>
      </c>
      <c r="AG370" s="55">
        <f t="shared" ref="AG370" si="176">AVERAGE(AF366:AF374)</f>
        <v>1</v>
      </c>
      <c r="AH370" s="29">
        <f>SUM($AF$2:AF370)</f>
        <v>257</v>
      </c>
      <c r="AI370" s="55">
        <f>SUM($AG$2:AG370)</f>
        <v>256.77777777777726</v>
      </c>
    </row>
    <row r="371" spans="1:35" x14ac:dyDescent="0.2">
      <c r="A371" s="48" t="s">
        <v>8856</v>
      </c>
      <c r="B371" s="29">
        <v>5</v>
      </c>
      <c r="C371" s="29">
        <v>1</v>
      </c>
      <c r="D371" s="29">
        <v>330</v>
      </c>
      <c r="E371" s="29">
        <v>12500</v>
      </c>
      <c r="F371" s="29">
        <v>6000</v>
      </c>
      <c r="G371" s="29">
        <v>6000</v>
      </c>
      <c r="H371" s="29">
        <v>73500</v>
      </c>
      <c r="I371" s="29">
        <v>9000</v>
      </c>
      <c r="J371" s="29">
        <v>137445008</v>
      </c>
      <c r="K371" s="29">
        <v>1155</v>
      </c>
      <c r="L371" s="29">
        <v>1979</v>
      </c>
      <c r="M371" s="29">
        <v>30</v>
      </c>
      <c r="N371" s="33">
        <v>40</v>
      </c>
      <c r="O371" s="29">
        <f t="shared" si="166"/>
        <v>1567</v>
      </c>
      <c r="P371" s="31" cm="1">
        <f t="array" ref="P371">WPNFACTOR(C371)</f>
        <v>2</v>
      </c>
      <c r="Q371" s="33" cm="1">
        <f t="array" ref="Q371">HPFACTOr(C371)</f>
        <v>5</v>
      </c>
      <c r="R371" s="32">
        <f t="shared" si="167"/>
        <v>783.5</v>
      </c>
      <c r="S371" s="33">
        <f t="shared" si="168"/>
        <v>27489001.600000001</v>
      </c>
      <c r="T371" s="32">
        <f t="shared" si="169"/>
        <v>861.85</v>
      </c>
      <c r="U371" s="39">
        <f t="shared" si="170"/>
        <v>30973522.92957747</v>
      </c>
      <c r="V371" s="41">
        <f>VLOOKUP(D371,LevelXp!$A$1:'LevelXp'!$B$1000,2,)/5</f>
        <v>123067419</v>
      </c>
      <c r="W371" s="29">
        <f t="shared" si="171"/>
        <v>26694530736.856342</v>
      </c>
      <c r="X371" s="32">
        <f t="shared" si="172"/>
        <v>121.69828501777995</v>
      </c>
      <c r="Y371" s="41">
        <v>328</v>
      </c>
      <c r="Z371" s="41">
        <v>123067419</v>
      </c>
      <c r="AA371" s="41">
        <v>1</v>
      </c>
      <c r="AC371" s="50">
        <v>370</v>
      </c>
      <c r="AD371" s="51">
        <f t="shared" si="141"/>
        <v>2499720599</v>
      </c>
      <c r="AE371" s="51">
        <f>AD371</f>
        <v>2499720599</v>
      </c>
      <c r="AF371" s="51">
        <f t="shared" si="142"/>
        <v>0</v>
      </c>
      <c r="AG371" s="55">
        <f t="shared" ref="AG371" si="177">AVERAGE(AF367:AF375)</f>
        <v>1.1111111111111112</v>
      </c>
      <c r="AH371" s="29">
        <f>SUM($AF$2:AF371)</f>
        <v>257</v>
      </c>
      <c r="AI371" s="55">
        <f>SUM($AG$2:AG371)</f>
        <v>257.88888888888835</v>
      </c>
    </row>
    <row r="372" spans="1:35" x14ac:dyDescent="0.2">
      <c r="A372" s="48" t="s">
        <v>8857</v>
      </c>
      <c r="B372" s="29">
        <v>3</v>
      </c>
      <c r="C372" s="29">
        <v>3</v>
      </c>
      <c r="D372" s="29">
        <v>270</v>
      </c>
      <c r="E372" s="29">
        <v>6000</v>
      </c>
      <c r="F372" s="29">
        <v>16000</v>
      </c>
      <c r="G372" s="29">
        <v>6000</v>
      </c>
      <c r="H372" s="29">
        <v>120000</v>
      </c>
      <c r="I372" s="29">
        <v>6000</v>
      </c>
      <c r="J372" s="29">
        <v>201600000</v>
      </c>
      <c r="K372" s="29">
        <v>450</v>
      </c>
      <c r="L372" s="29">
        <v>899</v>
      </c>
      <c r="M372" s="29">
        <v>15</v>
      </c>
      <c r="N372" s="33">
        <v>35</v>
      </c>
      <c r="O372" s="29">
        <f t="shared" si="166"/>
        <v>674.5</v>
      </c>
      <c r="P372" s="31" cm="1">
        <f t="array" ref="P372">WPNFACTOR(C372)</f>
        <v>2.5</v>
      </c>
      <c r="Q372" s="33" cm="1">
        <f t="array" ref="Q372">HPFACTOr(C372)</f>
        <v>4</v>
      </c>
      <c r="R372" s="32">
        <f t="shared" si="167"/>
        <v>269.8</v>
      </c>
      <c r="S372" s="33">
        <f t="shared" si="168"/>
        <v>50400000</v>
      </c>
      <c r="T372" s="32">
        <f t="shared" si="169"/>
        <v>293.40749999999997</v>
      </c>
      <c r="U372" s="39">
        <f t="shared" si="170"/>
        <v>53403973.509933777</v>
      </c>
      <c r="V372" s="41">
        <f>VLOOKUP(D372,LevelXp!$A$1:'LevelXp'!$B$1000,2,)/5</f>
        <v>45958126</v>
      </c>
      <c r="W372" s="29">
        <f t="shared" si="171"/>
        <v>15669126357.615892</v>
      </c>
      <c r="X372" s="32">
        <f t="shared" si="172"/>
        <v>109.39789274164212</v>
      </c>
      <c r="Y372" s="41">
        <v>328</v>
      </c>
      <c r="Z372" s="41">
        <v>45958126</v>
      </c>
      <c r="AA372" s="41">
        <v>1</v>
      </c>
      <c r="AC372" s="50">
        <v>371</v>
      </c>
      <c r="AD372" s="51">
        <f t="shared" si="141"/>
        <v>600000000</v>
      </c>
      <c r="AE372" s="51">
        <f>AVERAGE(AD367:$AD$370,$AD$372:AD376)</f>
        <v>598902483.66666663</v>
      </c>
      <c r="AF372" s="51">
        <f t="shared" si="142"/>
        <v>1</v>
      </c>
      <c r="AG372" s="55">
        <f t="shared" ref="AG372" si="178">AVERAGE(AF368:AF376)</f>
        <v>1</v>
      </c>
      <c r="AH372" s="29">
        <f>SUM($AF$2:AF372)</f>
        <v>258</v>
      </c>
      <c r="AI372" s="55">
        <f>SUM($AG$2:AG372)</f>
        <v>258.88888888888835</v>
      </c>
    </row>
    <row r="373" spans="1:35" x14ac:dyDescent="0.2">
      <c r="A373" s="48" t="s">
        <v>8852</v>
      </c>
      <c r="B373" s="29">
        <v>5</v>
      </c>
      <c r="C373" s="29">
        <v>1</v>
      </c>
      <c r="D373" s="29">
        <v>440</v>
      </c>
      <c r="E373" s="29">
        <v>10958</v>
      </c>
      <c r="F373" s="29">
        <v>3842</v>
      </c>
      <c r="G373" s="29">
        <v>3813</v>
      </c>
      <c r="H373" s="29">
        <v>58465</v>
      </c>
      <c r="I373" s="29">
        <v>2428</v>
      </c>
      <c r="J373" s="29">
        <v>128915328</v>
      </c>
      <c r="K373" s="29">
        <v>4709</v>
      </c>
      <c r="L373" s="29">
        <v>9401</v>
      </c>
      <c r="N373" s="33"/>
      <c r="O373" s="29">
        <f t="shared" si="166"/>
        <v>7055</v>
      </c>
      <c r="P373" s="31" cm="1">
        <f t="array" ref="P373">WPNFACTOR(C373)</f>
        <v>2</v>
      </c>
      <c r="Q373" s="33" cm="1">
        <f t="array" ref="Q373">HPFACTOr(C373)</f>
        <v>5</v>
      </c>
      <c r="R373" s="32">
        <f t="shared" si="167"/>
        <v>3527.5</v>
      </c>
      <c r="S373" s="33">
        <f t="shared" si="168"/>
        <v>25783065.600000001</v>
      </c>
      <c r="T373" s="32">
        <f t="shared" si="169"/>
        <v>3527.5</v>
      </c>
      <c r="U373" s="39">
        <f t="shared" si="170"/>
        <v>25783065.600000005</v>
      </c>
      <c r="V373" s="41">
        <f>VLOOKUP(D373,LevelXp!$A$1:'LevelXp'!$B$1000,2,)/5</f>
        <v>300000000</v>
      </c>
      <c r="W373" s="29">
        <f t="shared" si="171"/>
        <v>90949763904.000015</v>
      </c>
      <c r="X373" s="32">
        <f t="shared" si="172"/>
        <v>155.51071394347986</v>
      </c>
      <c r="Y373" s="41">
        <v>329</v>
      </c>
      <c r="Z373" s="41">
        <v>300000000</v>
      </c>
      <c r="AA373" s="41">
        <v>0</v>
      </c>
      <c r="AC373" s="50">
        <v>372</v>
      </c>
      <c r="AD373" s="51">
        <f t="shared" si="141"/>
        <v>600000000</v>
      </c>
      <c r="AE373" s="51">
        <f>AVERAGE(AD368:$AD$370,$AD$372:AD377)</f>
        <v>614754974.33333337</v>
      </c>
      <c r="AF373" s="51">
        <f t="shared" si="142"/>
        <v>1</v>
      </c>
      <c r="AG373" s="55">
        <f t="shared" ref="AG373" si="179">AVERAGE(AF369:AF377)</f>
        <v>1</v>
      </c>
      <c r="AH373" s="29">
        <f>SUM($AF$2:AF373)</f>
        <v>259</v>
      </c>
      <c r="AI373" s="55">
        <f>SUM($AG$2:AG373)</f>
        <v>259.88888888888835</v>
      </c>
    </row>
    <row r="374" spans="1:35" x14ac:dyDescent="0.2">
      <c r="A374" s="48" t="s">
        <v>8861</v>
      </c>
      <c r="B374" s="29">
        <v>5</v>
      </c>
      <c r="C374" s="29">
        <v>3</v>
      </c>
      <c r="D374" s="29">
        <v>292</v>
      </c>
      <c r="E374" s="29">
        <v>8020</v>
      </c>
      <c r="F374" s="29">
        <v>16040</v>
      </c>
      <c r="G374" s="29">
        <v>8020</v>
      </c>
      <c r="H374" s="29">
        <v>51500</v>
      </c>
      <c r="I374" s="29">
        <v>8020</v>
      </c>
      <c r="J374" s="29">
        <v>139000000</v>
      </c>
      <c r="K374" s="29">
        <v>868</v>
      </c>
      <c r="L374" s="29">
        <v>1118</v>
      </c>
      <c r="M374" s="29">
        <v>25</v>
      </c>
      <c r="N374" s="33">
        <v>25</v>
      </c>
      <c r="O374" s="29">
        <f t="shared" si="166"/>
        <v>993</v>
      </c>
      <c r="P374" s="31" cm="1">
        <f t="array" ref="P374">WPNFACTOR(C374)</f>
        <v>2.5</v>
      </c>
      <c r="Q374" s="33" cm="1">
        <f t="array" ref="Q374">HPFACTOr(C374)</f>
        <v>4</v>
      </c>
      <c r="R374" s="32">
        <f t="shared" si="167"/>
        <v>397.2</v>
      </c>
      <c r="S374" s="33">
        <f t="shared" si="168"/>
        <v>34750000</v>
      </c>
      <c r="T374" s="32">
        <f t="shared" si="169"/>
        <v>422.02499999999998</v>
      </c>
      <c r="U374" s="39">
        <f t="shared" si="170"/>
        <v>38344827.586206898</v>
      </c>
      <c r="V374" s="41">
        <f>VLOOKUP(D374,LevelXp!$A$1:'LevelXp'!$B$1000,2,)/5</f>
        <v>67159972</v>
      </c>
      <c r="W374" s="29">
        <f t="shared" si="171"/>
        <v>16182475862.068966</v>
      </c>
      <c r="X374" s="32">
        <f t="shared" si="172"/>
        <v>110.10549496679937</v>
      </c>
      <c r="Y374" s="41">
        <v>329</v>
      </c>
      <c r="Z374" s="41">
        <v>67159972</v>
      </c>
      <c r="AA374" s="41">
        <v>1</v>
      </c>
      <c r="AC374" s="50">
        <v>373</v>
      </c>
      <c r="AD374" s="51">
        <f t="shared" si="141"/>
        <v>632910865</v>
      </c>
      <c r="AE374" s="51">
        <f>AVERAGE(AD369:$AD$370,$AD$372:AD378)</f>
        <v>614754974.33333337</v>
      </c>
      <c r="AF374" s="51">
        <f t="shared" si="142"/>
        <v>3</v>
      </c>
      <c r="AG374" s="55">
        <f t="shared" ref="AG374" si="180">AVERAGE(AF370:AF378)</f>
        <v>1</v>
      </c>
      <c r="AH374" s="29">
        <f>SUM($AF$2:AF374)</f>
        <v>262</v>
      </c>
      <c r="AI374" s="55">
        <f>SUM($AG$2:AG374)</f>
        <v>260.88888888888835</v>
      </c>
    </row>
    <row r="375" spans="1:35" x14ac:dyDescent="0.2">
      <c r="A375" s="48" t="s">
        <v>8865</v>
      </c>
      <c r="B375" s="29">
        <v>4</v>
      </c>
      <c r="C375" s="29">
        <v>3</v>
      </c>
      <c r="D375" s="29">
        <v>347</v>
      </c>
      <c r="E375" s="29">
        <v>5875</v>
      </c>
      <c r="F375" s="29">
        <v>20170</v>
      </c>
      <c r="G375" s="29">
        <v>5870</v>
      </c>
      <c r="H375" s="29">
        <v>72300</v>
      </c>
      <c r="I375" s="29">
        <v>9320</v>
      </c>
      <c r="J375" s="29">
        <v>168640000</v>
      </c>
      <c r="K375" s="29">
        <v>540</v>
      </c>
      <c r="L375" s="29">
        <v>1439</v>
      </c>
      <c r="N375" s="33"/>
      <c r="O375" s="29">
        <f t="shared" si="166"/>
        <v>989.5</v>
      </c>
      <c r="P375" s="31" cm="1">
        <f t="array" ref="P375">WPNFACTOR(C375)</f>
        <v>2.5</v>
      </c>
      <c r="Q375" s="33" cm="1">
        <f t="array" ref="Q375">HPFACTOr(C375)</f>
        <v>4</v>
      </c>
      <c r="R375" s="32">
        <f t="shared" si="167"/>
        <v>395.8</v>
      </c>
      <c r="S375" s="33">
        <f t="shared" si="168"/>
        <v>42160000</v>
      </c>
      <c r="T375" s="32">
        <f t="shared" si="169"/>
        <v>395.8</v>
      </c>
      <c r="U375" s="39">
        <f t="shared" si="170"/>
        <v>42160000</v>
      </c>
      <c r="V375" s="41">
        <f>VLOOKUP(D375,LevelXp!$A$1:'LevelXp'!$B$1000,2,)/5</f>
        <v>158537364</v>
      </c>
      <c r="W375" s="29">
        <f t="shared" si="171"/>
        <v>16686928000</v>
      </c>
      <c r="X375" s="32">
        <f t="shared" si="172"/>
        <v>110.78355016463331</v>
      </c>
      <c r="Y375" s="41">
        <v>329</v>
      </c>
      <c r="Z375" s="41">
        <v>158537364</v>
      </c>
      <c r="AA375" s="41">
        <v>1</v>
      </c>
      <c r="AC375" s="50">
        <v>374</v>
      </c>
      <c r="AD375" s="51">
        <f t="shared" si="141"/>
        <v>428778486</v>
      </c>
      <c r="AE375" s="51">
        <f>AVERAGE(AD370:$AD$370,$AD$372:AD379)</f>
        <v>572169870.77777779</v>
      </c>
      <c r="AF375" s="51">
        <f t="shared" si="142"/>
        <v>1</v>
      </c>
      <c r="AG375" s="55">
        <f t="shared" ref="AG375" si="181">AVERAGE(AF371:AF379)</f>
        <v>0.88888888888888884</v>
      </c>
      <c r="AH375" s="29">
        <f>SUM($AF$2:AF375)</f>
        <v>263</v>
      </c>
      <c r="AI375" s="55">
        <f>SUM($AG$2:AG375)</f>
        <v>261.77777777777726</v>
      </c>
    </row>
    <row r="376" spans="1:35" x14ac:dyDescent="0.2">
      <c r="A376" s="48" t="s">
        <v>8865</v>
      </c>
      <c r="B376" s="29">
        <v>5</v>
      </c>
      <c r="C376" s="29">
        <v>2</v>
      </c>
      <c r="D376" s="29">
        <v>355</v>
      </c>
      <c r="E376" s="29">
        <v>5650</v>
      </c>
      <c r="F376" s="29">
        <v>5744</v>
      </c>
      <c r="G376" s="29">
        <v>19876</v>
      </c>
      <c r="H376" s="29">
        <v>86520</v>
      </c>
      <c r="I376" s="29">
        <v>12519</v>
      </c>
      <c r="J376" s="29">
        <v>104723808</v>
      </c>
      <c r="K376" s="29">
        <v>1557</v>
      </c>
      <c r="L376" s="29">
        <v>2132</v>
      </c>
      <c r="N376" s="33"/>
      <c r="O376" s="29">
        <f t="shared" si="166"/>
        <v>1844.5</v>
      </c>
      <c r="P376" s="31" cm="1">
        <f t="array" ref="P376">WPNFACTOR(C376)</f>
        <v>4.5</v>
      </c>
      <c r="Q376" s="33" cm="1">
        <f t="array" ref="Q376">HPFACTOr(C376)</f>
        <v>2</v>
      </c>
      <c r="R376" s="32">
        <f t="shared" si="167"/>
        <v>409.88888888888891</v>
      </c>
      <c r="S376" s="33">
        <f t="shared" si="168"/>
        <v>52361904</v>
      </c>
      <c r="T376" s="32">
        <f t="shared" si="169"/>
        <v>409.88888888888891</v>
      </c>
      <c r="U376" s="39">
        <f t="shared" si="170"/>
        <v>52361904</v>
      </c>
      <c r="V376" s="41">
        <f>VLOOKUP(D376,LevelXp!$A$1:'LevelXp'!$B$1000,2,)/5</f>
        <v>178017293</v>
      </c>
      <c r="W376" s="29">
        <f t="shared" si="171"/>
        <v>21462562650.666668</v>
      </c>
      <c r="X376" s="32">
        <f t="shared" si="172"/>
        <v>116.50278711439853</v>
      </c>
      <c r="Y376" s="41">
        <v>329</v>
      </c>
      <c r="Z376" s="41">
        <v>178017293</v>
      </c>
      <c r="AA376" s="41">
        <v>1</v>
      </c>
      <c r="AC376" s="50">
        <v>375</v>
      </c>
      <c r="AD376" s="51">
        <f t="shared" si="141"/>
        <v>600000000</v>
      </c>
      <c r="AE376" s="51">
        <f t="shared" si="143"/>
        <v>517591779.22222221</v>
      </c>
      <c r="AF376" s="51">
        <f t="shared" si="142"/>
        <v>1</v>
      </c>
      <c r="AG376" s="55">
        <f t="shared" si="143"/>
        <v>0.88888888888888884</v>
      </c>
      <c r="AH376" s="29">
        <f>SUM($AF$2:AF376)</f>
        <v>264</v>
      </c>
      <c r="AI376" s="55">
        <f>SUM($AG$2:AG376)</f>
        <v>262.66666666666617</v>
      </c>
    </row>
    <row r="377" spans="1:35" x14ac:dyDescent="0.2">
      <c r="A377" s="48" t="s">
        <v>8858</v>
      </c>
      <c r="B377" s="29">
        <v>7</v>
      </c>
      <c r="C377" s="29">
        <v>3</v>
      </c>
      <c r="D377" s="29">
        <v>470</v>
      </c>
      <c r="E377" s="29">
        <v>21000</v>
      </c>
      <c r="F377" s="29">
        <v>60000</v>
      </c>
      <c r="G377" s="29">
        <v>21000</v>
      </c>
      <c r="H377" s="29">
        <v>32000</v>
      </c>
      <c r="I377" s="29">
        <v>13000</v>
      </c>
      <c r="J377" s="29">
        <v>35000000</v>
      </c>
      <c r="K377" s="29">
        <v>902</v>
      </c>
      <c r="L377" s="29">
        <v>1449</v>
      </c>
      <c r="N377" s="33"/>
      <c r="O377" s="29">
        <f t="shared" si="166"/>
        <v>1175.5</v>
      </c>
      <c r="P377" s="31" cm="1">
        <f t="array" ref="P377">WPNFACTOR(C377)</f>
        <v>2.5</v>
      </c>
      <c r="Q377" s="33" cm="1">
        <f t="array" ref="Q377">HPFACTOr(C377)</f>
        <v>4</v>
      </c>
      <c r="R377" s="32">
        <f t="shared" si="167"/>
        <v>470.2</v>
      </c>
      <c r="S377" s="33">
        <f t="shared" si="168"/>
        <v>8750000</v>
      </c>
      <c r="T377" s="32">
        <f t="shared" si="169"/>
        <v>470.2</v>
      </c>
      <c r="U377" s="39">
        <f t="shared" si="170"/>
        <v>8750000</v>
      </c>
      <c r="V377" s="41">
        <f>VLOOKUP(D377,LevelXp!$A$1:'LevelXp'!$B$1000,2,)/5</f>
        <v>300000000</v>
      </c>
      <c r="W377" s="29">
        <f t="shared" si="171"/>
        <v>4114250000</v>
      </c>
      <c r="X377" s="32">
        <f t="shared" si="172"/>
        <v>83.725574372858603</v>
      </c>
      <c r="Y377" s="41">
        <v>330</v>
      </c>
      <c r="Z377" s="41">
        <v>300000000</v>
      </c>
      <c r="AA377" s="41">
        <v>1</v>
      </c>
      <c r="AC377" s="50">
        <v>376</v>
      </c>
      <c r="AD377" s="51">
        <f t="shared" si="141"/>
        <v>596636662</v>
      </c>
      <c r="AE377" s="51">
        <f t="shared" si="143"/>
        <v>507379410.44444442</v>
      </c>
      <c r="AF377" s="51">
        <f t="shared" si="142"/>
        <v>0</v>
      </c>
      <c r="AG377" s="55">
        <f t="shared" si="143"/>
        <v>0.88888888888888884</v>
      </c>
      <c r="AH377" s="29">
        <f>SUM($AF$2:AF377)</f>
        <v>264</v>
      </c>
      <c r="AI377" s="55">
        <f>SUM($AG$2:AG377)</f>
        <v>263.55555555555509</v>
      </c>
    </row>
    <row r="378" spans="1:35" x14ac:dyDescent="0.2">
      <c r="A378" s="48" t="s">
        <v>2937</v>
      </c>
      <c r="B378" s="29">
        <v>430</v>
      </c>
      <c r="N378" s="33"/>
      <c r="Q378" s="33"/>
      <c r="S378" s="33"/>
      <c r="U378" s="39"/>
      <c r="V378" s="41">
        <f>VLOOKUP(B378,LevelXp!$D$1:'LevelXp'!$F$1000,3,)</f>
        <v>219422306</v>
      </c>
      <c r="Y378" s="41">
        <v>330</v>
      </c>
      <c r="Z378" s="41">
        <v>219422306</v>
      </c>
      <c r="AA378" s="41">
        <v>0</v>
      </c>
      <c r="AC378" s="50">
        <v>377</v>
      </c>
      <c r="AD378" s="51">
        <f t="shared" si="141"/>
        <v>600000000</v>
      </c>
      <c r="AE378" s="51">
        <f t="shared" si="143"/>
        <v>474046077.1111111</v>
      </c>
      <c r="AF378" s="51">
        <f t="shared" si="142"/>
        <v>0</v>
      </c>
      <c r="AG378" s="55">
        <f t="shared" si="143"/>
        <v>0.77777777777777779</v>
      </c>
      <c r="AH378" s="29">
        <f>SUM($AF$2:AF378)</f>
        <v>264</v>
      </c>
      <c r="AI378" s="55">
        <f>SUM($AG$2:AG378)</f>
        <v>264.33333333333286</v>
      </c>
    </row>
    <row r="379" spans="1:35" x14ac:dyDescent="0.2">
      <c r="A379" s="48" t="s">
        <v>8852</v>
      </c>
      <c r="B379" s="29">
        <v>6</v>
      </c>
      <c r="C379" s="29">
        <v>3</v>
      </c>
      <c r="D379" s="29">
        <v>444</v>
      </c>
      <c r="E379" s="29">
        <v>3133</v>
      </c>
      <c r="F379" s="29">
        <v>12490</v>
      </c>
      <c r="G379" s="29">
        <v>3122</v>
      </c>
      <c r="H379" s="29">
        <v>66896</v>
      </c>
      <c r="I379" s="29">
        <v>4454</v>
      </c>
      <c r="J379" s="29">
        <v>119074880</v>
      </c>
      <c r="K379" s="29">
        <v>5942</v>
      </c>
      <c r="L379" s="29">
        <v>11862</v>
      </c>
      <c r="N379" s="33"/>
      <c r="O379" s="29">
        <f t="shared" ref="O379:O392" si="182">AVERAGE(K379, L379)</f>
        <v>8902</v>
      </c>
      <c r="P379" s="31" cm="1">
        <f t="array" ref="P379">WPNFACTOR(C379)</f>
        <v>2.5</v>
      </c>
      <c r="Q379" s="33" cm="1">
        <f t="array" ref="Q379">HPFACTOr(C379)</f>
        <v>4</v>
      </c>
      <c r="R379" s="32">
        <f t="shared" ref="R379:R392" si="183">O379/P379</f>
        <v>3560.8</v>
      </c>
      <c r="S379" s="33">
        <f t="shared" ref="S379:S392" si="184">J379/Q379</f>
        <v>29768720</v>
      </c>
      <c r="T379" s="32">
        <f t="shared" ref="T379:T392" si="185">R379*(1 + (N379/400))</f>
        <v>3560.8</v>
      </c>
      <c r="U379" s="39">
        <f t="shared" ref="U379:U392" si="186">S379*1.6/(1 + (0.6*(1 - (M379/100))))</f>
        <v>29768720</v>
      </c>
      <c r="V379" s="41">
        <f>VLOOKUP(D379,LevelXp!$A$1:'LevelXp'!$B$1000,2,)/5</f>
        <v>300000000</v>
      </c>
      <c r="W379" s="29">
        <f t="shared" ref="W379:W392" si="187">T379*U379</f>
        <v>106000458176</v>
      </c>
      <c r="X379" s="32">
        <f t="shared" ref="X379:X392" si="188">POWER(W379, 1/$X$1)</f>
        <v>160.34726197555955</v>
      </c>
      <c r="Y379" s="41">
        <v>331</v>
      </c>
      <c r="Z379" s="41">
        <v>300000000</v>
      </c>
      <c r="AA379" s="41">
        <v>0</v>
      </c>
      <c r="AC379" s="50">
        <v>378</v>
      </c>
      <c r="AD379" s="51">
        <f t="shared" si="141"/>
        <v>300000000</v>
      </c>
      <c r="AE379" s="51">
        <f t="shared" si="143"/>
        <v>437055981</v>
      </c>
      <c r="AF379" s="51">
        <f t="shared" si="142"/>
        <v>1</v>
      </c>
      <c r="AG379" s="55">
        <f t="shared" si="143"/>
        <v>0.44444444444444442</v>
      </c>
      <c r="AH379" s="29">
        <f>SUM($AF$2:AF379)</f>
        <v>265</v>
      </c>
      <c r="AI379" s="55">
        <f>SUM($AG$2:AG379)</f>
        <v>264.77777777777732</v>
      </c>
    </row>
    <row r="380" spans="1:35" x14ac:dyDescent="0.2">
      <c r="A380" s="48" t="s">
        <v>8852</v>
      </c>
      <c r="B380" s="29">
        <v>7</v>
      </c>
      <c r="C380" s="29">
        <v>2</v>
      </c>
      <c r="D380" s="29">
        <v>448</v>
      </c>
      <c r="E380" s="29">
        <v>3360</v>
      </c>
      <c r="F380" s="29">
        <v>3383</v>
      </c>
      <c r="G380" s="29">
        <v>13579</v>
      </c>
      <c r="H380" s="29">
        <v>71868</v>
      </c>
      <c r="I380" s="29">
        <v>4796</v>
      </c>
      <c r="J380" s="29">
        <v>64537464</v>
      </c>
      <c r="K380" s="29">
        <v>11207</v>
      </c>
      <c r="L380" s="29">
        <v>20640</v>
      </c>
      <c r="N380" s="33"/>
      <c r="O380" s="29">
        <f t="shared" si="182"/>
        <v>15923.5</v>
      </c>
      <c r="P380" s="31" cm="1">
        <f t="array" ref="P380">WPNFACTOR(C380)</f>
        <v>4.5</v>
      </c>
      <c r="Q380" s="33" cm="1">
        <f t="array" ref="Q380">HPFACTOr(C380)</f>
        <v>2</v>
      </c>
      <c r="R380" s="32">
        <f t="shared" si="183"/>
        <v>3538.5555555555557</v>
      </c>
      <c r="S380" s="33">
        <f t="shared" si="184"/>
        <v>32268732</v>
      </c>
      <c r="T380" s="32">
        <f t="shared" si="185"/>
        <v>3538.5555555555557</v>
      </c>
      <c r="U380" s="39">
        <f t="shared" si="186"/>
        <v>32268732</v>
      </c>
      <c r="V380" s="41">
        <f>VLOOKUP(D380,LevelXp!$A$1:'LevelXp'!$B$1000,2,)/5</f>
        <v>300000000</v>
      </c>
      <c r="W380" s="29">
        <f t="shared" si="187"/>
        <v>114184700889.33334</v>
      </c>
      <c r="X380" s="32">
        <f t="shared" si="188"/>
        <v>162.75021977958264</v>
      </c>
      <c r="Y380" s="41">
        <v>331</v>
      </c>
      <c r="Z380" s="41">
        <v>300000000</v>
      </c>
      <c r="AA380" s="41">
        <v>0</v>
      </c>
      <c r="AC380" s="50">
        <v>379</v>
      </c>
      <c r="AD380" s="51">
        <f t="shared" si="141"/>
        <v>300000000</v>
      </c>
      <c r="AE380" s="51">
        <f t="shared" si="143"/>
        <v>456080593.66666669</v>
      </c>
      <c r="AF380" s="51">
        <f t="shared" si="142"/>
        <v>0</v>
      </c>
      <c r="AG380" s="55">
        <f t="shared" si="143"/>
        <v>0.33333333333333331</v>
      </c>
      <c r="AH380" s="29">
        <f>SUM($AF$2:AF380)</f>
        <v>265</v>
      </c>
      <c r="AI380" s="55">
        <f>SUM($AG$2:AG380)</f>
        <v>265.11111111111063</v>
      </c>
    </row>
    <row r="381" spans="1:35" x14ac:dyDescent="0.2">
      <c r="A381" s="48" t="s">
        <v>8859</v>
      </c>
      <c r="B381" s="29">
        <v>2</v>
      </c>
      <c r="C381" s="29">
        <v>1</v>
      </c>
      <c r="D381" s="29">
        <v>323</v>
      </c>
      <c r="E381" s="29">
        <v>19760</v>
      </c>
      <c r="F381" s="29">
        <v>9880</v>
      </c>
      <c r="G381" s="29">
        <v>9880</v>
      </c>
      <c r="H381" s="29">
        <v>67000</v>
      </c>
      <c r="I381" s="29">
        <v>9880</v>
      </c>
      <c r="J381" s="29">
        <v>185500000</v>
      </c>
      <c r="K381" s="29">
        <v>994</v>
      </c>
      <c r="L381" s="29">
        <v>1242</v>
      </c>
      <c r="M381" s="29">
        <v>50</v>
      </c>
      <c r="N381" s="33">
        <v>50</v>
      </c>
      <c r="O381" s="29">
        <f t="shared" si="182"/>
        <v>1118</v>
      </c>
      <c r="P381" s="31" cm="1">
        <f t="array" ref="P381">WPNFACTOR(C381)</f>
        <v>2</v>
      </c>
      <c r="Q381" s="33" cm="1">
        <f t="array" ref="Q381">HPFACTOr(C381)</f>
        <v>5</v>
      </c>
      <c r="R381" s="32">
        <f t="shared" si="183"/>
        <v>559</v>
      </c>
      <c r="S381" s="33">
        <f t="shared" si="184"/>
        <v>37100000</v>
      </c>
      <c r="T381" s="32">
        <f t="shared" si="185"/>
        <v>628.875</v>
      </c>
      <c r="U381" s="39">
        <f t="shared" si="186"/>
        <v>45661538.461538456</v>
      </c>
      <c r="V381" s="41">
        <f>VLOOKUP(D381,LevelXp!$A$1:'LevelXp'!$B$1000,2,)/5</f>
        <v>110532270</v>
      </c>
      <c r="W381" s="29">
        <f t="shared" si="187"/>
        <v>28715399999.999996</v>
      </c>
      <c r="X381" s="32">
        <f t="shared" si="188"/>
        <v>123.48749306776837</v>
      </c>
      <c r="Y381" s="41">
        <v>332</v>
      </c>
      <c r="Z381" s="41">
        <v>110532270</v>
      </c>
      <c r="AA381" s="41">
        <v>0</v>
      </c>
      <c r="AC381" s="50">
        <v>380</v>
      </c>
      <c r="AD381" s="51">
        <f t="shared" si="141"/>
        <v>508088681</v>
      </c>
      <c r="AE381" s="51">
        <f t="shared" si="143"/>
        <v>456080593.66666669</v>
      </c>
      <c r="AF381" s="51">
        <f t="shared" si="142"/>
        <v>1</v>
      </c>
      <c r="AG381" s="55">
        <f t="shared" si="143"/>
        <v>0.33333333333333331</v>
      </c>
      <c r="AH381" s="29">
        <f>SUM($AF$2:AF381)</f>
        <v>266</v>
      </c>
      <c r="AI381" s="55">
        <f>SUM($AG$2:AG381)</f>
        <v>265.44444444444395</v>
      </c>
    </row>
    <row r="382" spans="1:35" x14ac:dyDescent="0.2">
      <c r="A382" s="48" t="s">
        <v>8861</v>
      </c>
      <c r="B382" s="29">
        <v>6</v>
      </c>
      <c r="C382" s="29">
        <v>1</v>
      </c>
      <c r="D382" s="29">
        <v>295</v>
      </c>
      <c r="E382" s="29">
        <v>16400</v>
      </c>
      <c r="F382" s="29">
        <v>8200</v>
      </c>
      <c r="G382" s="29">
        <v>8200</v>
      </c>
      <c r="H382" s="29">
        <v>53000</v>
      </c>
      <c r="I382" s="29">
        <v>8200</v>
      </c>
      <c r="J382" s="29">
        <v>143500000</v>
      </c>
      <c r="K382" s="29">
        <v>880</v>
      </c>
      <c r="L382" s="29">
        <v>1130</v>
      </c>
      <c r="M382" s="29">
        <v>25</v>
      </c>
      <c r="N382" s="33">
        <v>25</v>
      </c>
      <c r="O382" s="29">
        <f t="shared" si="182"/>
        <v>1005</v>
      </c>
      <c r="P382" s="31" cm="1">
        <f t="array" ref="P382">WPNFACTOR(C382)</f>
        <v>2</v>
      </c>
      <c r="Q382" s="33" cm="1">
        <f t="array" ref="Q382">HPFACTOr(C382)</f>
        <v>5</v>
      </c>
      <c r="R382" s="32">
        <f t="shared" si="183"/>
        <v>502.5</v>
      </c>
      <c r="S382" s="33">
        <f t="shared" si="184"/>
        <v>28700000</v>
      </c>
      <c r="T382" s="32">
        <f t="shared" si="185"/>
        <v>533.90625</v>
      </c>
      <c r="U382" s="39">
        <f t="shared" si="186"/>
        <v>31668965.517241381</v>
      </c>
      <c r="V382" s="41">
        <f>VLOOKUP(D382,LevelXp!$A$1:'LevelXp'!$B$1000,2,)/5</f>
        <v>70595045</v>
      </c>
      <c r="W382" s="29">
        <f t="shared" si="187"/>
        <v>16908258620.689655</v>
      </c>
      <c r="X382" s="32">
        <f t="shared" si="188"/>
        <v>111.07588352034216</v>
      </c>
      <c r="Y382" s="41">
        <v>332</v>
      </c>
      <c r="Z382" s="41">
        <v>70595045</v>
      </c>
      <c r="AA382" s="41">
        <v>1</v>
      </c>
      <c r="AC382" s="50">
        <v>381</v>
      </c>
      <c r="AD382" s="51">
        <f t="shared" si="141"/>
        <v>300000000</v>
      </c>
      <c r="AE382" s="51">
        <f t="shared" si="143"/>
        <v>456454297.8888889</v>
      </c>
      <c r="AF382" s="51">
        <f t="shared" si="142"/>
        <v>0</v>
      </c>
      <c r="AG382" s="55">
        <f t="shared" si="143"/>
        <v>0.33333333333333331</v>
      </c>
      <c r="AH382" s="29">
        <f>SUM($AF$2:AF382)</f>
        <v>266</v>
      </c>
      <c r="AI382" s="55">
        <f>SUM($AG$2:AG382)</f>
        <v>265.77777777777726</v>
      </c>
    </row>
    <row r="383" spans="1:35" x14ac:dyDescent="0.2">
      <c r="A383" s="48" t="s">
        <v>8861</v>
      </c>
      <c r="B383" s="29">
        <v>7</v>
      </c>
      <c r="C383" s="29">
        <v>3</v>
      </c>
      <c r="D383" s="29">
        <v>298</v>
      </c>
      <c r="E383" s="29">
        <v>8380</v>
      </c>
      <c r="F383" s="29">
        <v>16760</v>
      </c>
      <c r="G383" s="29">
        <v>8380</v>
      </c>
      <c r="H383" s="29">
        <v>54500</v>
      </c>
      <c r="I383" s="29">
        <v>8380</v>
      </c>
      <c r="J383" s="29">
        <v>148000000</v>
      </c>
      <c r="K383" s="29">
        <v>894</v>
      </c>
      <c r="L383" s="29">
        <v>1142</v>
      </c>
      <c r="M383" s="29">
        <v>25</v>
      </c>
      <c r="N383" s="33">
        <v>25</v>
      </c>
      <c r="O383" s="29">
        <f t="shared" si="182"/>
        <v>1018</v>
      </c>
      <c r="P383" s="31" cm="1">
        <f t="array" ref="P383">WPNFACTOR(C383)</f>
        <v>2.5</v>
      </c>
      <c r="Q383" s="33" cm="1">
        <f t="array" ref="Q383">HPFACTOr(C383)</f>
        <v>4</v>
      </c>
      <c r="R383" s="32">
        <f t="shared" si="183"/>
        <v>407.2</v>
      </c>
      <c r="S383" s="33">
        <f t="shared" si="184"/>
        <v>37000000</v>
      </c>
      <c r="T383" s="32">
        <f t="shared" si="185"/>
        <v>432.65</v>
      </c>
      <c r="U383" s="39">
        <f t="shared" si="186"/>
        <v>40827586.206896551</v>
      </c>
      <c r="V383" s="41">
        <f>VLOOKUP(D383,LevelXp!$A$1:'LevelXp'!$B$1000,2,)/5</f>
        <v>74191870</v>
      </c>
      <c r="W383" s="29">
        <f t="shared" si="187"/>
        <v>17664055172.413792</v>
      </c>
      <c r="X383" s="32">
        <f t="shared" si="188"/>
        <v>112.05160522276243</v>
      </c>
      <c r="Y383" s="41">
        <v>332</v>
      </c>
      <c r="Z383" s="41">
        <v>74191870</v>
      </c>
      <c r="AA383" s="41">
        <v>1</v>
      </c>
      <c r="AC383" s="50">
        <v>382</v>
      </c>
      <c r="AD383" s="51">
        <f t="shared" si="141"/>
        <v>300000000</v>
      </c>
      <c r="AE383" s="51">
        <f t="shared" si="143"/>
        <v>456454297.8888889</v>
      </c>
      <c r="AF383" s="51">
        <f t="shared" si="142"/>
        <v>0</v>
      </c>
      <c r="AG383" s="55">
        <f t="shared" si="143"/>
        <v>0.33333333333333331</v>
      </c>
      <c r="AH383" s="29">
        <f>SUM($AF$2:AF383)</f>
        <v>266</v>
      </c>
      <c r="AI383" s="55">
        <f>SUM($AG$2:AG383)</f>
        <v>266.11111111111057</v>
      </c>
    </row>
    <row r="384" spans="1:35" x14ac:dyDescent="0.2">
      <c r="A384" s="48" t="s">
        <v>8853</v>
      </c>
      <c r="B384" s="29">
        <v>3</v>
      </c>
      <c r="C384" s="29">
        <v>2</v>
      </c>
      <c r="D384" s="29">
        <v>472</v>
      </c>
      <c r="E384" s="29">
        <v>4576</v>
      </c>
      <c r="F384" s="29">
        <v>4634</v>
      </c>
      <c r="G384" s="29">
        <v>18651</v>
      </c>
      <c r="H384" s="29">
        <v>95656</v>
      </c>
      <c r="I384" s="29">
        <v>6636</v>
      </c>
      <c r="J384" s="29">
        <v>90490576</v>
      </c>
      <c r="K384" s="29">
        <v>11355</v>
      </c>
      <c r="L384" s="29">
        <v>22703</v>
      </c>
      <c r="N384" s="33"/>
      <c r="O384" s="29">
        <f t="shared" si="182"/>
        <v>17029</v>
      </c>
      <c r="P384" s="31" cm="1">
        <f t="array" ref="P384">WPNFACTOR(C384)</f>
        <v>4.5</v>
      </c>
      <c r="Q384" s="33" cm="1">
        <f t="array" ref="Q384">HPFACTOr(C384)</f>
        <v>2</v>
      </c>
      <c r="R384" s="32">
        <f t="shared" si="183"/>
        <v>3784.2222222222222</v>
      </c>
      <c r="S384" s="33">
        <f t="shared" si="184"/>
        <v>45245288</v>
      </c>
      <c r="T384" s="32">
        <f t="shared" si="185"/>
        <v>3784.2222222222222</v>
      </c>
      <c r="U384" s="39">
        <f t="shared" si="186"/>
        <v>45245287.999999993</v>
      </c>
      <c r="V384" s="41">
        <f>VLOOKUP(D384,LevelXp!$A$1:'LevelXp'!$B$1000,2,)/5</f>
        <v>300000000</v>
      </c>
      <c r="W384" s="29">
        <f t="shared" si="187"/>
        <v>171218224300.44443</v>
      </c>
      <c r="X384" s="32">
        <f t="shared" si="188"/>
        <v>176.48589339442387</v>
      </c>
      <c r="Y384" s="41">
        <v>332</v>
      </c>
      <c r="Z384" s="41">
        <v>300000000</v>
      </c>
      <c r="AA384" s="41">
        <v>0</v>
      </c>
      <c r="AC384" s="50">
        <v>383</v>
      </c>
      <c r="AD384" s="51">
        <f t="shared" si="141"/>
        <v>600000000</v>
      </c>
      <c r="AE384" s="51">
        <f t="shared" si="143"/>
        <v>521882458.1111111</v>
      </c>
      <c r="AF384" s="51">
        <f t="shared" si="142"/>
        <v>0</v>
      </c>
      <c r="AG384" s="55">
        <f t="shared" si="143"/>
        <v>0.33333333333333331</v>
      </c>
      <c r="AH384" s="29">
        <f>SUM($AF$2:AF384)</f>
        <v>266</v>
      </c>
      <c r="AI384" s="55">
        <f>SUM($AG$2:AG384)</f>
        <v>266.44444444444389</v>
      </c>
    </row>
    <row r="385" spans="1:35" x14ac:dyDescent="0.2">
      <c r="A385" s="48" t="s">
        <v>8859</v>
      </c>
      <c r="B385" s="29">
        <v>4</v>
      </c>
      <c r="C385" s="29">
        <v>3</v>
      </c>
      <c r="D385" s="29">
        <v>329</v>
      </c>
      <c r="E385" s="29">
        <v>10240</v>
      </c>
      <c r="F385" s="29">
        <v>20480</v>
      </c>
      <c r="G385" s="29">
        <v>10240</v>
      </c>
      <c r="H385" s="29">
        <v>70000</v>
      </c>
      <c r="I385" s="29">
        <v>10240</v>
      </c>
      <c r="J385" s="29">
        <v>194500000</v>
      </c>
      <c r="K385" s="29">
        <v>1019</v>
      </c>
      <c r="L385" s="29">
        <v>1265</v>
      </c>
      <c r="M385" s="29">
        <v>50</v>
      </c>
      <c r="N385" s="33">
        <v>50</v>
      </c>
      <c r="O385" s="29">
        <f t="shared" si="182"/>
        <v>1142</v>
      </c>
      <c r="P385" s="31" cm="1">
        <f t="array" ref="P385">WPNFACTOR(C385)</f>
        <v>2.5</v>
      </c>
      <c r="Q385" s="33" cm="1">
        <f t="array" ref="Q385">HPFACTOr(C385)</f>
        <v>4</v>
      </c>
      <c r="R385" s="32">
        <f t="shared" si="183"/>
        <v>456.8</v>
      </c>
      <c r="S385" s="33">
        <f t="shared" si="184"/>
        <v>48625000</v>
      </c>
      <c r="T385" s="32">
        <f t="shared" si="185"/>
        <v>513.9</v>
      </c>
      <c r="U385" s="39">
        <f t="shared" si="186"/>
        <v>59846153.84615384</v>
      </c>
      <c r="V385" s="41">
        <f>VLOOKUP(D385,LevelXp!$A$1:'LevelXp'!$B$1000,2,)/5</f>
        <v>121195386</v>
      </c>
      <c r="W385" s="29">
        <f t="shared" si="187"/>
        <v>30754938461.538456</v>
      </c>
      <c r="X385" s="32">
        <f t="shared" si="188"/>
        <v>125.19384345012226</v>
      </c>
      <c r="Y385" s="41">
        <v>333</v>
      </c>
      <c r="Z385" s="41">
        <v>121195386</v>
      </c>
      <c r="AA385" s="41">
        <v>0</v>
      </c>
      <c r="AC385" s="50">
        <v>384</v>
      </c>
      <c r="AD385" s="51">
        <f t="shared" si="141"/>
        <v>600000000</v>
      </c>
      <c r="AE385" s="51">
        <f t="shared" si="143"/>
        <v>555215791.44444442</v>
      </c>
      <c r="AF385" s="51">
        <f t="shared" si="142"/>
        <v>1</v>
      </c>
      <c r="AG385" s="55">
        <f t="shared" si="143"/>
        <v>0.33333333333333331</v>
      </c>
      <c r="AH385" s="29">
        <f>SUM($AF$2:AF385)</f>
        <v>267</v>
      </c>
      <c r="AI385" s="55">
        <f>SUM($AG$2:AG385)</f>
        <v>266.7777777777772</v>
      </c>
    </row>
    <row r="386" spans="1:35" x14ac:dyDescent="0.2">
      <c r="A386" s="48" t="s">
        <v>8859</v>
      </c>
      <c r="B386" s="29">
        <v>3</v>
      </c>
      <c r="C386" s="29">
        <v>2</v>
      </c>
      <c r="D386" s="29">
        <v>326</v>
      </c>
      <c r="E386" s="29">
        <v>10060</v>
      </c>
      <c r="F386" s="29">
        <v>10060</v>
      </c>
      <c r="G386" s="29">
        <v>20120</v>
      </c>
      <c r="H386" s="29">
        <v>68500</v>
      </c>
      <c r="I386" s="29">
        <v>10060</v>
      </c>
      <c r="J386" s="29">
        <v>190000000</v>
      </c>
      <c r="K386" s="29">
        <v>1005</v>
      </c>
      <c r="L386" s="29">
        <v>1252</v>
      </c>
      <c r="M386" s="29">
        <v>50</v>
      </c>
      <c r="N386" s="33">
        <v>50</v>
      </c>
      <c r="O386" s="29">
        <f t="shared" si="182"/>
        <v>1128.5</v>
      </c>
      <c r="P386" s="31" cm="1">
        <f t="array" ref="P386">WPNFACTOR(C386)</f>
        <v>4.5</v>
      </c>
      <c r="Q386" s="33" cm="1">
        <f t="array" ref="Q386">HPFACTOr(C386)</f>
        <v>2</v>
      </c>
      <c r="R386" s="32">
        <f t="shared" si="183"/>
        <v>250.77777777777777</v>
      </c>
      <c r="S386" s="33">
        <f t="shared" si="184"/>
        <v>95000000</v>
      </c>
      <c r="T386" s="32">
        <f t="shared" si="185"/>
        <v>282.125</v>
      </c>
      <c r="U386" s="39">
        <f t="shared" si="186"/>
        <v>116923076.92307691</v>
      </c>
      <c r="V386" s="41">
        <f>VLOOKUP(D386,LevelXp!$A$1:'LevelXp'!$B$1000,2,)/5</f>
        <v>115770753</v>
      </c>
      <c r="W386" s="29">
        <f t="shared" si="187"/>
        <v>32986923076.923073</v>
      </c>
      <c r="X386" s="32">
        <f t="shared" si="188"/>
        <v>126.9604232444642</v>
      </c>
      <c r="Y386" s="41">
        <v>333</v>
      </c>
      <c r="Z386" s="41">
        <v>115770753</v>
      </c>
      <c r="AA386" s="41">
        <v>0</v>
      </c>
      <c r="AC386" s="50">
        <v>385</v>
      </c>
      <c r="AD386" s="51">
        <f t="shared" si="141"/>
        <v>600000000</v>
      </c>
      <c r="AE386" s="51">
        <f t="shared" si="143"/>
        <v>565428160.22222221</v>
      </c>
      <c r="AF386" s="51">
        <f t="shared" si="142"/>
        <v>0</v>
      </c>
      <c r="AG386" s="55">
        <f t="shared" si="143"/>
        <v>0.33333333333333331</v>
      </c>
      <c r="AH386" s="29">
        <f>SUM($AF$2:AF386)</f>
        <v>267</v>
      </c>
      <c r="AI386" s="55">
        <f>SUM($AG$2:AG386)</f>
        <v>267.11111111111052</v>
      </c>
    </row>
    <row r="387" spans="1:35" x14ac:dyDescent="0.2">
      <c r="A387" s="48" t="s">
        <v>8859</v>
      </c>
      <c r="B387" s="29">
        <v>5</v>
      </c>
      <c r="C387" s="29">
        <v>3</v>
      </c>
      <c r="D387" s="29">
        <v>332</v>
      </c>
      <c r="E387" s="29">
        <v>10420</v>
      </c>
      <c r="F387" s="29">
        <v>20840</v>
      </c>
      <c r="G387" s="29">
        <v>10420</v>
      </c>
      <c r="H387" s="29">
        <v>71500</v>
      </c>
      <c r="I387" s="29">
        <v>10420</v>
      </c>
      <c r="J387" s="29">
        <v>199000000</v>
      </c>
      <c r="K387" s="29">
        <v>1031</v>
      </c>
      <c r="L387" s="29">
        <v>1277</v>
      </c>
      <c r="M387" s="29">
        <v>50</v>
      </c>
      <c r="N387" s="33">
        <v>50</v>
      </c>
      <c r="O387" s="29">
        <f t="shared" si="182"/>
        <v>1154</v>
      </c>
      <c r="P387" s="31" cm="1">
        <f t="array" ref="P387">WPNFACTOR(C387)</f>
        <v>2.5</v>
      </c>
      <c r="Q387" s="33" cm="1">
        <f t="array" ref="Q387">HPFACTOr(C387)</f>
        <v>4</v>
      </c>
      <c r="R387" s="32">
        <f t="shared" si="183"/>
        <v>461.6</v>
      </c>
      <c r="S387" s="33">
        <f t="shared" si="184"/>
        <v>49750000</v>
      </c>
      <c r="T387" s="32">
        <f t="shared" si="185"/>
        <v>519.30000000000007</v>
      </c>
      <c r="U387" s="39">
        <f t="shared" si="186"/>
        <v>61230769.230769232</v>
      </c>
      <c r="V387" s="41">
        <f>VLOOKUP(D387,LevelXp!$A$1:'LevelXp'!$B$1000,2,)/5</f>
        <v>126854805</v>
      </c>
      <c r="W387" s="29">
        <f t="shared" si="187"/>
        <v>31797138461.538467</v>
      </c>
      <c r="X387" s="32">
        <f t="shared" si="188"/>
        <v>126.03106541046085</v>
      </c>
      <c r="Y387" s="41">
        <v>334</v>
      </c>
      <c r="Z387" s="41">
        <v>126854805</v>
      </c>
      <c r="AA387" s="41">
        <v>0</v>
      </c>
      <c r="AC387" s="50">
        <v>386</v>
      </c>
      <c r="AD387" s="51">
        <f t="shared" ref="AD387:AD450" si="189">SUMIF($Y$2:$Y$682, AC387, $Z$2:$Z$682)</f>
        <v>600000000</v>
      </c>
      <c r="AE387" s="51">
        <f t="shared" si="143"/>
        <v>598761493.55555558</v>
      </c>
      <c r="AF387" s="51">
        <f t="shared" ref="AF387:AF450" si="190">SUMIF($Y$2:$Y$682, AC387, $AA$2:$AA$682)</f>
        <v>0</v>
      </c>
      <c r="AG387" s="55">
        <f t="shared" si="143"/>
        <v>0.44444444444444442</v>
      </c>
      <c r="AH387" s="29">
        <f>SUM($AF$2:AF387)</f>
        <v>267</v>
      </c>
      <c r="AI387" s="55">
        <f>SUM($AG$2:AG387)</f>
        <v>267.55555555555497</v>
      </c>
    </row>
    <row r="388" spans="1:35" x14ac:dyDescent="0.2">
      <c r="A388" s="48" t="s">
        <v>8853</v>
      </c>
      <c r="B388" s="29">
        <v>9</v>
      </c>
      <c r="C388" s="29">
        <v>1</v>
      </c>
      <c r="D388" s="29">
        <v>390</v>
      </c>
      <c r="E388" s="29">
        <v>35000</v>
      </c>
      <c r="F388" s="29">
        <v>11800</v>
      </c>
      <c r="G388" s="29">
        <v>12000</v>
      </c>
      <c r="H388" s="29">
        <v>40040</v>
      </c>
      <c r="I388" s="29">
        <v>8000</v>
      </c>
      <c r="J388" s="29">
        <v>95873200</v>
      </c>
      <c r="K388" s="29">
        <v>440</v>
      </c>
      <c r="L388" s="29">
        <v>819</v>
      </c>
      <c r="N388" s="33"/>
      <c r="O388" s="29">
        <f t="shared" si="182"/>
        <v>629.5</v>
      </c>
      <c r="P388" s="31" cm="1">
        <f t="array" ref="P388">WPNFACTOR(C388)</f>
        <v>2</v>
      </c>
      <c r="Q388" s="33" cm="1">
        <f t="array" ref="Q388">HPFACTOr(C388)</f>
        <v>5</v>
      </c>
      <c r="R388" s="32">
        <f t="shared" si="183"/>
        <v>314.75</v>
      </c>
      <c r="S388" s="33">
        <f t="shared" si="184"/>
        <v>19174640</v>
      </c>
      <c r="T388" s="32">
        <f t="shared" si="185"/>
        <v>314.75</v>
      </c>
      <c r="U388" s="39">
        <f t="shared" si="186"/>
        <v>19174640</v>
      </c>
      <c r="V388" s="41">
        <f>VLOOKUP(D388,LevelXp!$A$1:'LevelXp'!$B$1000,2,)/5</f>
        <v>288853442</v>
      </c>
      <c r="W388" s="29">
        <f t="shared" si="187"/>
        <v>6035217940</v>
      </c>
      <c r="X388" s="32">
        <f t="shared" si="188"/>
        <v>90.393789128215786</v>
      </c>
      <c r="Y388" s="41">
        <v>334</v>
      </c>
      <c r="Z388" s="41">
        <v>288853442</v>
      </c>
      <c r="AA388" s="41">
        <v>1</v>
      </c>
      <c r="AC388" s="50">
        <v>387</v>
      </c>
      <c r="AD388" s="51">
        <f t="shared" si="189"/>
        <v>888853442</v>
      </c>
      <c r="AE388" s="51">
        <f t="shared" si="143"/>
        <v>632094826.88888884</v>
      </c>
      <c r="AF388" s="51">
        <f t="shared" si="190"/>
        <v>1</v>
      </c>
      <c r="AG388" s="55">
        <f t="shared" si="143"/>
        <v>0.66666666666666663</v>
      </c>
      <c r="AH388" s="29">
        <f>SUM($AF$2:AF388)</f>
        <v>268</v>
      </c>
      <c r="AI388" s="55">
        <f>SUM($AG$2:AG388)</f>
        <v>268.22222222222166</v>
      </c>
    </row>
    <row r="389" spans="1:35" x14ac:dyDescent="0.2">
      <c r="A389" s="48" t="s">
        <v>8861</v>
      </c>
      <c r="B389" s="29">
        <v>8</v>
      </c>
      <c r="C389" s="29">
        <v>2</v>
      </c>
      <c r="D389" s="29">
        <v>301</v>
      </c>
      <c r="E389" s="29">
        <v>8560</v>
      </c>
      <c r="F389" s="29">
        <v>8560</v>
      </c>
      <c r="G389" s="29">
        <v>17120</v>
      </c>
      <c r="H389" s="29">
        <v>56000</v>
      </c>
      <c r="I389" s="29">
        <v>8560</v>
      </c>
      <c r="J389" s="29">
        <v>152500000</v>
      </c>
      <c r="K389" s="29">
        <v>908</v>
      </c>
      <c r="L389" s="29">
        <v>1152</v>
      </c>
      <c r="M389" s="29">
        <v>25</v>
      </c>
      <c r="N389" s="33">
        <v>25</v>
      </c>
      <c r="O389" s="29">
        <f t="shared" si="182"/>
        <v>1030</v>
      </c>
      <c r="P389" s="31" cm="1">
        <f t="array" ref="P389">WPNFACTOR(C389)</f>
        <v>4.5</v>
      </c>
      <c r="Q389" s="33" cm="1">
        <f t="array" ref="Q389">HPFACTOr(C389)</f>
        <v>2</v>
      </c>
      <c r="R389" s="32">
        <f t="shared" si="183"/>
        <v>228.88888888888889</v>
      </c>
      <c r="S389" s="33">
        <f t="shared" si="184"/>
        <v>76250000</v>
      </c>
      <c r="T389" s="32">
        <f t="shared" si="185"/>
        <v>243.19444444444443</v>
      </c>
      <c r="U389" s="39">
        <f t="shared" si="186"/>
        <v>84137931.034482762</v>
      </c>
      <c r="V389" s="41">
        <f>VLOOKUP(D389,LevelXp!$A$1:'LevelXp'!$B$1000,2,)/5</f>
        <v>77926126</v>
      </c>
      <c r="W389" s="29">
        <f t="shared" si="187"/>
        <v>20461877394.636013</v>
      </c>
      <c r="X389" s="32">
        <f t="shared" si="188"/>
        <v>115.39555908167905</v>
      </c>
      <c r="Y389" s="41">
        <v>335</v>
      </c>
      <c r="Z389" s="41">
        <v>77926126</v>
      </c>
      <c r="AA389" s="41">
        <v>1</v>
      </c>
      <c r="AC389" s="50">
        <v>388</v>
      </c>
      <c r="AD389" s="51">
        <f t="shared" si="189"/>
        <v>600000000</v>
      </c>
      <c r="AE389" s="51">
        <f t="shared" si="143"/>
        <v>632094826.88888884</v>
      </c>
      <c r="AF389" s="51">
        <f t="shared" si="190"/>
        <v>0</v>
      </c>
      <c r="AG389" s="55">
        <f t="shared" si="143"/>
        <v>0.77777777777777779</v>
      </c>
      <c r="AH389" s="29">
        <f>SUM($AF$2:AF389)</f>
        <v>268</v>
      </c>
      <c r="AI389" s="55">
        <f>SUM($AG$2:AG389)</f>
        <v>268.99999999999943</v>
      </c>
    </row>
    <row r="390" spans="1:35" x14ac:dyDescent="0.2">
      <c r="A390" s="48" t="s">
        <v>8853</v>
      </c>
      <c r="B390" s="29">
        <v>10</v>
      </c>
      <c r="C390" s="29">
        <v>2</v>
      </c>
      <c r="D390" s="29">
        <v>400</v>
      </c>
      <c r="E390" s="29">
        <v>8500</v>
      </c>
      <c r="F390" s="29">
        <v>8500</v>
      </c>
      <c r="G390" s="29">
        <v>32000</v>
      </c>
      <c r="H390" s="29">
        <v>30000</v>
      </c>
      <c r="I390" s="29">
        <v>12000</v>
      </c>
      <c r="J390" s="29">
        <v>52867840</v>
      </c>
      <c r="K390" s="29">
        <v>900</v>
      </c>
      <c r="L390" s="29">
        <v>2049</v>
      </c>
      <c r="N390" s="33"/>
      <c r="O390" s="29">
        <f t="shared" si="182"/>
        <v>1474.5</v>
      </c>
      <c r="P390" s="31" cm="1">
        <f t="array" ref="P390">WPNFACTOR(C390)</f>
        <v>4.5</v>
      </c>
      <c r="Q390" s="33" cm="1">
        <f t="array" ref="Q390">HPFACTOr(C390)</f>
        <v>2</v>
      </c>
      <c r="R390" s="32">
        <f t="shared" si="183"/>
        <v>327.66666666666669</v>
      </c>
      <c r="S390" s="33">
        <f t="shared" si="184"/>
        <v>26433920</v>
      </c>
      <c r="T390" s="32">
        <f t="shared" si="185"/>
        <v>327.66666666666669</v>
      </c>
      <c r="U390" s="39">
        <f t="shared" si="186"/>
        <v>26433920</v>
      </c>
      <c r="V390" s="41">
        <f>VLOOKUP(D390,LevelXp!$A$1:'LevelXp'!$B$1000,2,)/5</f>
        <v>300000000</v>
      </c>
      <c r="W390" s="29">
        <f t="shared" si="187"/>
        <v>8661514453.333334</v>
      </c>
      <c r="X390" s="32">
        <f t="shared" si="188"/>
        <v>97.166993880957918</v>
      </c>
      <c r="Y390" s="41">
        <v>335</v>
      </c>
      <c r="Z390" s="41">
        <v>300000000</v>
      </c>
      <c r="AA390" s="41">
        <v>1</v>
      </c>
      <c r="AC390" s="50">
        <v>389</v>
      </c>
      <c r="AD390" s="51">
        <f t="shared" si="189"/>
        <v>600000000</v>
      </c>
      <c r="AE390" s="51">
        <f t="shared" si="143"/>
        <v>598761493.55555558</v>
      </c>
      <c r="AF390" s="51">
        <f t="shared" si="190"/>
        <v>1</v>
      </c>
      <c r="AG390" s="55">
        <f t="shared" si="143"/>
        <v>0.66666666666666663</v>
      </c>
      <c r="AH390" s="29">
        <f>SUM($AF$2:AF390)</f>
        <v>269</v>
      </c>
      <c r="AI390" s="55">
        <f>SUM($AG$2:AG390)</f>
        <v>269.66666666666612</v>
      </c>
    </row>
    <row r="391" spans="1:35" x14ac:dyDescent="0.2">
      <c r="A391" s="48" t="s">
        <v>8861</v>
      </c>
      <c r="B391" s="29">
        <v>9</v>
      </c>
      <c r="C391" s="29">
        <v>2</v>
      </c>
      <c r="D391" s="29">
        <v>304</v>
      </c>
      <c r="E391" s="29">
        <v>8740</v>
      </c>
      <c r="F391" s="29">
        <v>8740</v>
      </c>
      <c r="G391" s="29">
        <v>17480</v>
      </c>
      <c r="H391" s="29">
        <v>57500</v>
      </c>
      <c r="I391" s="29">
        <v>8740</v>
      </c>
      <c r="J391" s="29">
        <v>157000000</v>
      </c>
      <c r="K391" s="29">
        <v>918</v>
      </c>
      <c r="L391" s="29">
        <v>1162</v>
      </c>
      <c r="M391" s="29">
        <v>25</v>
      </c>
      <c r="N391" s="33">
        <v>25</v>
      </c>
      <c r="O391" s="29">
        <f t="shared" si="182"/>
        <v>1040</v>
      </c>
      <c r="P391" s="31" cm="1">
        <f t="array" ref="P391">WPNFACTOR(C391)</f>
        <v>4.5</v>
      </c>
      <c r="Q391" s="33" cm="1">
        <f t="array" ref="Q391">HPFACTOr(C391)</f>
        <v>2</v>
      </c>
      <c r="R391" s="32">
        <f t="shared" si="183"/>
        <v>231.11111111111111</v>
      </c>
      <c r="S391" s="33">
        <f t="shared" si="184"/>
        <v>78500000</v>
      </c>
      <c r="T391" s="32">
        <f t="shared" si="185"/>
        <v>245.55555555555557</v>
      </c>
      <c r="U391" s="39">
        <f t="shared" si="186"/>
        <v>86620689.655172423</v>
      </c>
      <c r="V391" s="41">
        <f>VLOOKUP(D391,LevelXp!$A$1:'LevelXp'!$B$1000,2,)/5</f>
        <v>81832831</v>
      </c>
      <c r="W391" s="29">
        <f t="shared" si="187"/>
        <v>21270191570.881229</v>
      </c>
      <c r="X391" s="32">
        <f t="shared" si="188"/>
        <v>116.2931890926957</v>
      </c>
      <c r="Y391" s="41">
        <v>336</v>
      </c>
      <c r="Z391" s="41">
        <v>81832831</v>
      </c>
      <c r="AA391" s="41">
        <v>1</v>
      </c>
      <c r="AC391" s="50">
        <v>390</v>
      </c>
      <c r="AD391" s="51">
        <f t="shared" si="189"/>
        <v>600000000</v>
      </c>
      <c r="AE391" s="51">
        <f t="shared" ref="AE391:AG454" si="191">AVERAGE(AD387:AD395)</f>
        <v>564189653.77777779</v>
      </c>
      <c r="AF391" s="51">
        <f t="shared" si="190"/>
        <v>1</v>
      </c>
      <c r="AG391" s="55">
        <f t="shared" si="191"/>
        <v>0.66666666666666663</v>
      </c>
      <c r="AH391" s="29">
        <f>SUM($AF$2:AF391)</f>
        <v>270</v>
      </c>
      <c r="AI391" s="55">
        <f>SUM($AG$2:AG391)</f>
        <v>270.3333333333328</v>
      </c>
    </row>
    <row r="392" spans="1:35" x14ac:dyDescent="0.2">
      <c r="A392" s="48" t="s">
        <v>8864</v>
      </c>
      <c r="B392" s="29">
        <v>1</v>
      </c>
      <c r="C392" s="29">
        <v>3</v>
      </c>
      <c r="D392" s="29">
        <v>410</v>
      </c>
      <c r="E392" s="29">
        <v>8720</v>
      </c>
      <c r="F392" s="29">
        <v>34720</v>
      </c>
      <c r="G392" s="29">
        <v>8680</v>
      </c>
      <c r="H392" s="29">
        <v>33600</v>
      </c>
      <c r="I392" s="29">
        <v>12436</v>
      </c>
      <c r="J392" s="29">
        <v>55238400</v>
      </c>
      <c r="K392" s="29">
        <v>671</v>
      </c>
      <c r="L392" s="29">
        <v>1034</v>
      </c>
      <c r="N392" s="33"/>
      <c r="O392" s="29">
        <f t="shared" si="182"/>
        <v>852.5</v>
      </c>
      <c r="P392" s="31" cm="1">
        <f t="array" ref="P392">WPNFACTOR(C392)</f>
        <v>2.5</v>
      </c>
      <c r="Q392" s="33" cm="1">
        <f t="array" ref="Q392">HPFACTOr(C392)</f>
        <v>4</v>
      </c>
      <c r="R392" s="32">
        <f t="shared" si="183"/>
        <v>341</v>
      </c>
      <c r="S392" s="33">
        <f t="shared" si="184"/>
        <v>13809600</v>
      </c>
      <c r="T392" s="32">
        <f t="shared" si="185"/>
        <v>341</v>
      </c>
      <c r="U392" s="39">
        <f t="shared" si="186"/>
        <v>13809600</v>
      </c>
      <c r="V392" s="41">
        <f>VLOOKUP(D392,LevelXp!$A$1:'LevelXp'!$B$1000,2,)/5</f>
        <v>300000000</v>
      </c>
      <c r="W392" s="29">
        <f t="shared" si="187"/>
        <v>4709073600</v>
      </c>
      <c r="X392" s="32">
        <f t="shared" si="188"/>
        <v>86.017555362735308</v>
      </c>
      <c r="Y392" s="41">
        <v>336</v>
      </c>
      <c r="Z392" s="41">
        <v>300000000</v>
      </c>
      <c r="AA392" s="41">
        <v>1</v>
      </c>
      <c r="AC392" s="50">
        <v>391</v>
      </c>
      <c r="AD392" s="51">
        <f t="shared" si="189"/>
        <v>600000000</v>
      </c>
      <c r="AE392" s="51">
        <f t="shared" si="191"/>
        <v>530856320.44444442</v>
      </c>
      <c r="AF392" s="51">
        <f t="shared" si="190"/>
        <v>2</v>
      </c>
      <c r="AG392" s="55">
        <f t="shared" si="191"/>
        <v>0.66666666666666663</v>
      </c>
      <c r="AH392" s="29">
        <f>SUM($AF$2:AF392)</f>
        <v>272</v>
      </c>
      <c r="AI392" s="55">
        <f>SUM($AG$2:AG392)</f>
        <v>270.99999999999949</v>
      </c>
    </row>
    <row r="393" spans="1:35" x14ac:dyDescent="0.2">
      <c r="A393" s="48" t="s">
        <v>2937</v>
      </c>
      <c r="B393" s="29">
        <v>440</v>
      </c>
      <c r="N393" s="33"/>
      <c r="Q393" s="33"/>
      <c r="S393" s="33"/>
      <c r="U393" s="39"/>
      <c r="V393" s="41">
        <f>VLOOKUP(B393,LevelXp!$D$1:'LevelXp'!$F$1000,3,)</f>
        <v>226846322</v>
      </c>
      <c r="Y393" s="41">
        <v>336</v>
      </c>
      <c r="Z393" s="41">
        <v>226846322</v>
      </c>
      <c r="AA393" s="41">
        <v>0</v>
      </c>
      <c r="AC393" s="50">
        <v>392</v>
      </c>
      <c r="AD393" s="51">
        <f t="shared" si="189"/>
        <v>600000000</v>
      </c>
      <c r="AE393" s="51">
        <f t="shared" si="191"/>
        <v>465428160.22222221</v>
      </c>
      <c r="AF393" s="51">
        <f t="shared" si="190"/>
        <v>1</v>
      </c>
      <c r="AG393" s="55">
        <f t="shared" si="191"/>
        <v>0.55555555555555558</v>
      </c>
      <c r="AH393" s="29">
        <f>SUM($AF$2:AF393)</f>
        <v>273</v>
      </c>
      <c r="AI393" s="55">
        <f>SUM($AG$2:AG393)</f>
        <v>271.55555555555503</v>
      </c>
    </row>
    <row r="394" spans="1:35" x14ac:dyDescent="0.2">
      <c r="A394" s="48" t="s">
        <v>8864</v>
      </c>
      <c r="B394" s="29">
        <v>2</v>
      </c>
      <c r="C394" s="29">
        <v>2</v>
      </c>
      <c r="D394" s="29">
        <v>420</v>
      </c>
      <c r="E394" s="29">
        <v>11100</v>
      </c>
      <c r="F394" s="29">
        <v>11200</v>
      </c>
      <c r="G394" s="29">
        <v>45000</v>
      </c>
      <c r="H394" s="29">
        <v>42800</v>
      </c>
      <c r="I394" s="29">
        <v>15940</v>
      </c>
      <c r="J394" s="29">
        <v>36037600</v>
      </c>
      <c r="K394" s="29">
        <v>967</v>
      </c>
      <c r="L394" s="29">
        <v>2193</v>
      </c>
      <c r="N394" s="33"/>
      <c r="O394" s="29">
        <f t="shared" ref="O394:O401" si="192">AVERAGE(K394, L394)</f>
        <v>1580</v>
      </c>
      <c r="P394" s="31" cm="1">
        <f t="array" ref="P394">WPNFACTOR(C394)</f>
        <v>4.5</v>
      </c>
      <c r="Q394" s="33" cm="1">
        <f t="array" ref="Q394">HPFACTOr(C394)</f>
        <v>2</v>
      </c>
      <c r="R394" s="32">
        <f t="shared" ref="R394:R401" si="193">O394/P394</f>
        <v>351.11111111111109</v>
      </c>
      <c r="S394" s="33">
        <f t="shared" ref="S394:S401" si="194">J394/Q394</f>
        <v>18018800</v>
      </c>
      <c r="T394" s="32">
        <f t="shared" ref="T394:T401" si="195">R394*(1 + (N394/400))</f>
        <v>351.11111111111109</v>
      </c>
      <c r="U394" s="39">
        <f t="shared" ref="U394:U401" si="196">S394*1.6/(1 + (0.6*(1 - (M394/100))))</f>
        <v>18018800</v>
      </c>
      <c r="V394" s="41">
        <f>VLOOKUP(D394,LevelXp!$A$1:'LevelXp'!$B$1000,2,)/5</f>
        <v>300000000</v>
      </c>
      <c r="W394" s="29">
        <f t="shared" ref="W394:W401" si="197">T394*U394</f>
        <v>6326600888.8888884</v>
      </c>
      <c r="X394" s="32">
        <f t="shared" ref="X394:X401" si="198">POWER(W394, 1/$X$1)</f>
        <v>91.250255175214889</v>
      </c>
      <c r="Y394" s="41">
        <v>337</v>
      </c>
      <c r="Z394" s="41">
        <v>300000000</v>
      </c>
      <c r="AA394" s="41">
        <v>1</v>
      </c>
      <c r="AC394" s="50">
        <v>393</v>
      </c>
      <c r="AD394" s="51">
        <f t="shared" si="189"/>
        <v>300000000</v>
      </c>
      <c r="AE394" s="51">
        <f t="shared" si="191"/>
        <v>432094826.8888889</v>
      </c>
      <c r="AF394" s="51">
        <f t="shared" si="190"/>
        <v>0</v>
      </c>
      <c r="AG394" s="55">
        <f t="shared" si="191"/>
        <v>0.55555555555555558</v>
      </c>
      <c r="AH394" s="29">
        <f>SUM($AF$2:AF394)</f>
        <v>273</v>
      </c>
      <c r="AI394" s="55">
        <f>SUM($AG$2:AG394)</f>
        <v>272.11111111111057</v>
      </c>
    </row>
    <row r="395" spans="1:35" x14ac:dyDescent="0.2">
      <c r="A395" s="48" t="s">
        <v>8857</v>
      </c>
      <c r="B395" s="29">
        <v>4</v>
      </c>
      <c r="C395" s="29">
        <v>2</v>
      </c>
      <c r="D395" s="29">
        <v>305</v>
      </c>
      <c r="E395" s="29">
        <v>8000</v>
      </c>
      <c r="F395" s="29">
        <v>8000</v>
      </c>
      <c r="G395" s="29">
        <v>20000</v>
      </c>
      <c r="H395" s="29">
        <v>140000</v>
      </c>
      <c r="I395" s="29">
        <v>7000</v>
      </c>
      <c r="J395" s="29">
        <v>132300000</v>
      </c>
      <c r="K395" s="29">
        <v>920</v>
      </c>
      <c r="L395" s="29">
        <v>1829</v>
      </c>
      <c r="M395" s="29">
        <v>20</v>
      </c>
      <c r="N395" s="33">
        <v>40</v>
      </c>
      <c r="O395" s="29">
        <f t="shared" si="192"/>
        <v>1374.5</v>
      </c>
      <c r="P395" s="31" cm="1">
        <f t="array" ref="P395">WPNFACTOR(C395)</f>
        <v>4.5</v>
      </c>
      <c r="Q395" s="33" cm="1">
        <f t="array" ref="Q395">HPFACTOr(C395)</f>
        <v>2</v>
      </c>
      <c r="R395" s="32">
        <f t="shared" si="193"/>
        <v>305.44444444444446</v>
      </c>
      <c r="S395" s="33">
        <f t="shared" si="194"/>
        <v>66150000</v>
      </c>
      <c r="T395" s="32">
        <f t="shared" si="195"/>
        <v>335.98888888888894</v>
      </c>
      <c r="U395" s="39">
        <f t="shared" si="196"/>
        <v>71513513.51351352</v>
      </c>
      <c r="V395" s="41">
        <f>VLOOKUP(D395,LevelXp!$A$1:'LevelXp'!$B$1000,2,)/5</f>
        <v>83158305</v>
      </c>
      <c r="W395" s="29">
        <f t="shared" si="197"/>
        <v>24027745945.945953</v>
      </c>
      <c r="X395" s="32">
        <f t="shared" si="198"/>
        <v>119.16332321385299</v>
      </c>
      <c r="Y395" s="41">
        <v>337</v>
      </c>
      <c r="Z395" s="41">
        <v>83158305</v>
      </c>
      <c r="AA395" s="41">
        <v>1</v>
      </c>
      <c r="AC395" s="50">
        <v>394</v>
      </c>
      <c r="AD395" s="51">
        <f t="shared" si="189"/>
        <v>288853442</v>
      </c>
      <c r="AE395" s="51">
        <f t="shared" si="191"/>
        <v>398761493.55555558</v>
      </c>
      <c r="AF395" s="51">
        <f t="shared" si="190"/>
        <v>0</v>
      </c>
      <c r="AG395" s="55">
        <f t="shared" si="191"/>
        <v>0.44444444444444442</v>
      </c>
      <c r="AH395" s="29">
        <f>SUM($AF$2:AF395)</f>
        <v>273</v>
      </c>
      <c r="AI395" s="55">
        <f>SUM($AG$2:AG395)</f>
        <v>272.55555555555503</v>
      </c>
    </row>
    <row r="396" spans="1:35" x14ac:dyDescent="0.2">
      <c r="A396" s="48" t="s">
        <v>8859</v>
      </c>
      <c r="B396" s="29">
        <v>6</v>
      </c>
      <c r="C396" s="29">
        <v>3</v>
      </c>
      <c r="D396" s="29">
        <v>335</v>
      </c>
      <c r="E396" s="29">
        <v>10600</v>
      </c>
      <c r="F396" s="29">
        <v>21200</v>
      </c>
      <c r="G396" s="29">
        <v>10600</v>
      </c>
      <c r="H396" s="29">
        <v>73000</v>
      </c>
      <c r="I396" s="29">
        <v>10600</v>
      </c>
      <c r="J396" s="29">
        <v>203500000</v>
      </c>
      <c r="K396" s="29">
        <v>1045</v>
      </c>
      <c r="L396" s="29">
        <v>1284</v>
      </c>
      <c r="M396" s="29">
        <v>50</v>
      </c>
      <c r="N396" s="33">
        <v>50</v>
      </c>
      <c r="O396" s="29">
        <f t="shared" si="192"/>
        <v>1164.5</v>
      </c>
      <c r="P396" s="31" cm="1">
        <f t="array" ref="P396">WPNFACTOR(C396)</f>
        <v>2.5</v>
      </c>
      <c r="Q396" s="33" cm="1">
        <f t="array" ref="Q396">HPFACTOr(C396)</f>
        <v>4</v>
      </c>
      <c r="R396" s="32">
        <f t="shared" si="193"/>
        <v>465.8</v>
      </c>
      <c r="S396" s="33">
        <f t="shared" si="194"/>
        <v>50875000</v>
      </c>
      <c r="T396" s="32">
        <f t="shared" si="195"/>
        <v>524.02499999999998</v>
      </c>
      <c r="U396" s="39">
        <f t="shared" si="196"/>
        <v>62615384.615384616</v>
      </c>
      <c r="V396" s="41">
        <f>VLOOKUP(D396,LevelXp!$A$1:'LevelXp'!$B$1000,2,)/5</f>
        <v>132712488</v>
      </c>
      <c r="W396" s="29">
        <f t="shared" si="197"/>
        <v>32812026923.076923</v>
      </c>
      <c r="X396" s="32">
        <f t="shared" si="198"/>
        <v>126.82550837517933</v>
      </c>
      <c r="Y396" s="41">
        <v>338</v>
      </c>
      <c r="Z396" s="41">
        <v>132712488</v>
      </c>
      <c r="AA396" s="41">
        <v>0</v>
      </c>
      <c r="AC396" s="50">
        <v>395</v>
      </c>
      <c r="AD396" s="51">
        <f t="shared" si="189"/>
        <v>300000000</v>
      </c>
      <c r="AE396" s="51">
        <f t="shared" si="191"/>
        <v>365428160.22222221</v>
      </c>
      <c r="AF396" s="51">
        <f t="shared" si="190"/>
        <v>0</v>
      </c>
      <c r="AG396" s="55">
        <f t="shared" si="191"/>
        <v>0.33333333333333331</v>
      </c>
      <c r="AH396" s="29">
        <f>SUM($AF$2:AF396)</f>
        <v>273</v>
      </c>
      <c r="AI396" s="55">
        <f>SUM($AG$2:AG396)</f>
        <v>272.88888888888835</v>
      </c>
    </row>
    <row r="397" spans="1:35" x14ac:dyDescent="0.2">
      <c r="A397" s="48" t="s">
        <v>8866</v>
      </c>
      <c r="B397" s="29">
        <v>1</v>
      </c>
      <c r="C397" s="29">
        <v>5</v>
      </c>
      <c r="D397" s="29">
        <v>348</v>
      </c>
      <c r="E397" s="29">
        <v>17737</v>
      </c>
      <c r="F397" s="29">
        <v>3446</v>
      </c>
      <c r="G397" s="29">
        <v>3446</v>
      </c>
      <c r="H397" s="29">
        <v>66115</v>
      </c>
      <c r="I397" s="29">
        <v>9591</v>
      </c>
      <c r="J397" s="29">
        <v>115370672</v>
      </c>
      <c r="K397" s="29">
        <v>1187</v>
      </c>
      <c r="L397" s="29">
        <v>2007</v>
      </c>
      <c r="N397" s="33"/>
      <c r="O397" s="29">
        <f t="shared" si="192"/>
        <v>1597</v>
      </c>
      <c r="P397" s="31" cm="1">
        <f t="array" ref="P397">WPNFACTOR(C397)</f>
        <v>2</v>
      </c>
      <c r="Q397" s="33" cm="1">
        <f t="array" ref="Q397">HPFACTOr(C397)</f>
        <v>5</v>
      </c>
      <c r="R397" s="32">
        <f t="shared" si="193"/>
        <v>798.5</v>
      </c>
      <c r="S397" s="33">
        <f t="shared" si="194"/>
        <v>23074134.399999999</v>
      </c>
      <c r="T397" s="32">
        <f t="shared" si="195"/>
        <v>798.5</v>
      </c>
      <c r="U397" s="39">
        <f t="shared" si="196"/>
        <v>23074134.399999999</v>
      </c>
      <c r="V397" s="41">
        <f>VLOOKUP(D397,LevelXp!$A$1:'LevelXp'!$B$1000,2,)/5</f>
        <v>160885033</v>
      </c>
      <c r="W397" s="29">
        <f t="shared" si="197"/>
        <v>18424696318.399998</v>
      </c>
      <c r="X397" s="32">
        <f t="shared" si="198"/>
        <v>113.00042260459907</v>
      </c>
      <c r="Y397" s="41">
        <v>338</v>
      </c>
      <c r="Z397" s="41">
        <v>160885033</v>
      </c>
      <c r="AA397" s="41">
        <v>1</v>
      </c>
      <c r="AC397" s="50">
        <v>396</v>
      </c>
      <c r="AD397" s="51">
        <f t="shared" si="189"/>
        <v>300000000</v>
      </c>
      <c r="AE397" s="51">
        <f t="shared" si="191"/>
        <v>332094826.8888889</v>
      </c>
      <c r="AF397" s="51">
        <f t="shared" si="190"/>
        <v>0</v>
      </c>
      <c r="AG397" s="55">
        <f t="shared" si="191"/>
        <v>0.1111111111111111</v>
      </c>
      <c r="AH397" s="29">
        <f>SUM($AF$2:AF397)</f>
        <v>273</v>
      </c>
      <c r="AI397" s="55">
        <f>SUM($AG$2:AG397)</f>
        <v>272.99999999999943</v>
      </c>
    </row>
    <row r="398" spans="1:35" x14ac:dyDescent="0.2">
      <c r="A398" s="48" t="s">
        <v>8859</v>
      </c>
      <c r="B398" s="29">
        <v>7</v>
      </c>
      <c r="C398" s="29">
        <v>1</v>
      </c>
      <c r="D398" s="29">
        <v>338</v>
      </c>
      <c r="E398" s="29">
        <v>21560</v>
      </c>
      <c r="F398" s="29">
        <v>10780</v>
      </c>
      <c r="G398" s="29">
        <v>10780</v>
      </c>
      <c r="H398" s="29">
        <v>74500</v>
      </c>
      <c r="I398" s="29">
        <v>10780</v>
      </c>
      <c r="J398" s="29">
        <v>208000000</v>
      </c>
      <c r="K398" s="29">
        <v>1053</v>
      </c>
      <c r="L398" s="29">
        <v>1301</v>
      </c>
      <c r="M398" s="29">
        <v>50</v>
      </c>
      <c r="N398" s="33">
        <v>50</v>
      </c>
      <c r="O398" s="29">
        <f t="shared" si="192"/>
        <v>1177</v>
      </c>
      <c r="P398" s="31" cm="1">
        <f t="array" ref="P398">WPNFACTOR(C398)</f>
        <v>2</v>
      </c>
      <c r="Q398" s="33" cm="1">
        <f t="array" ref="Q398">HPFACTOr(C398)</f>
        <v>5</v>
      </c>
      <c r="R398" s="32">
        <f t="shared" si="193"/>
        <v>588.5</v>
      </c>
      <c r="S398" s="33">
        <f t="shared" si="194"/>
        <v>41600000</v>
      </c>
      <c r="T398" s="32">
        <f t="shared" si="195"/>
        <v>662.0625</v>
      </c>
      <c r="U398" s="39">
        <f t="shared" si="196"/>
        <v>51200000</v>
      </c>
      <c r="V398" s="41">
        <f>VLOOKUP(D398,LevelXp!$A$1:'LevelXp'!$B$1000,2,)/5</f>
        <v>138821184</v>
      </c>
      <c r="W398" s="29">
        <f t="shared" si="197"/>
        <v>33897600000</v>
      </c>
      <c r="X398" s="32">
        <f t="shared" si="198"/>
        <v>127.65381255214113</v>
      </c>
      <c r="Y398" s="41">
        <v>339</v>
      </c>
      <c r="Z398" s="41">
        <v>138821184</v>
      </c>
      <c r="AA398" s="41">
        <v>0</v>
      </c>
      <c r="AC398" s="50">
        <v>397</v>
      </c>
      <c r="AD398" s="51">
        <f t="shared" si="189"/>
        <v>300000000</v>
      </c>
      <c r="AE398" s="51">
        <f t="shared" si="191"/>
        <v>298761493.55555558</v>
      </c>
      <c r="AF398" s="51">
        <f t="shared" si="190"/>
        <v>0</v>
      </c>
      <c r="AG398" s="55">
        <f t="shared" si="191"/>
        <v>0</v>
      </c>
      <c r="AH398" s="29">
        <f>SUM($AF$2:AF398)</f>
        <v>273</v>
      </c>
      <c r="AI398" s="55">
        <f>SUM($AG$2:AG398)</f>
        <v>272.99999999999943</v>
      </c>
    </row>
    <row r="399" spans="1:35" x14ac:dyDescent="0.2">
      <c r="A399" s="48" t="s">
        <v>8861</v>
      </c>
      <c r="B399" s="29">
        <v>10</v>
      </c>
      <c r="C399" s="29">
        <v>3</v>
      </c>
      <c r="D399" s="29">
        <v>310</v>
      </c>
      <c r="E399" s="29">
        <v>9100</v>
      </c>
      <c r="F399" s="29">
        <v>18200</v>
      </c>
      <c r="G399" s="29">
        <v>9100</v>
      </c>
      <c r="H399" s="29">
        <v>60500</v>
      </c>
      <c r="I399" s="29">
        <v>9100</v>
      </c>
      <c r="J399" s="29">
        <v>166000000</v>
      </c>
      <c r="K399" s="29">
        <v>941</v>
      </c>
      <c r="L399" s="29">
        <v>1189</v>
      </c>
      <c r="M399" s="29">
        <v>25</v>
      </c>
      <c r="N399" s="33">
        <v>25</v>
      </c>
      <c r="O399" s="29">
        <f t="shared" si="192"/>
        <v>1065</v>
      </c>
      <c r="P399" s="31" cm="1">
        <f t="array" ref="P399">WPNFACTOR(C399)</f>
        <v>2.5</v>
      </c>
      <c r="Q399" s="33" cm="1">
        <f t="array" ref="Q399">HPFACTOr(C399)</f>
        <v>4</v>
      </c>
      <c r="R399" s="32">
        <f t="shared" si="193"/>
        <v>426</v>
      </c>
      <c r="S399" s="33">
        <f t="shared" si="194"/>
        <v>41500000</v>
      </c>
      <c r="T399" s="32">
        <f t="shared" si="195"/>
        <v>452.625</v>
      </c>
      <c r="U399" s="39">
        <f t="shared" si="196"/>
        <v>45793103.448275864</v>
      </c>
      <c r="V399" s="41">
        <f>VLOOKUP(D399,LevelXp!$A$1:'LevelXp'!$B$1000,2,)/5</f>
        <v>90125436</v>
      </c>
      <c r="W399" s="29">
        <f t="shared" si="197"/>
        <v>20727103448.275864</v>
      </c>
      <c r="X399" s="32">
        <f t="shared" si="198"/>
        <v>115.6931705486261</v>
      </c>
      <c r="Y399" s="41">
        <v>339</v>
      </c>
      <c r="Z399" s="41">
        <v>90125436</v>
      </c>
      <c r="AA399" s="41">
        <v>1</v>
      </c>
      <c r="AC399" s="50">
        <v>398</v>
      </c>
      <c r="AD399" s="51">
        <f t="shared" si="189"/>
        <v>300000000</v>
      </c>
      <c r="AE399" s="51">
        <f t="shared" si="191"/>
        <v>298761493.55555558</v>
      </c>
      <c r="AF399" s="51">
        <f t="shared" si="190"/>
        <v>0</v>
      </c>
      <c r="AG399" s="55">
        <f t="shared" si="191"/>
        <v>0.1111111111111111</v>
      </c>
      <c r="AH399" s="29">
        <f>SUM($AF$2:AF399)</f>
        <v>273</v>
      </c>
      <c r="AI399" s="55">
        <f>SUM($AG$2:AG399)</f>
        <v>273.11111111111052</v>
      </c>
    </row>
    <row r="400" spans="1:35" x14ac:dyDescent="0.2">
      <c r="A400" s="48" t="s">
        <v>8859</v>
      </c>
      <c r="B400" s="29">
        <v>8</v>
      </c>
      <c r="C400" s="29">
        <v>1</v>
      </c>
      <c r="D400" s="29">
        <v>341</v>
      </c>
      <c r="E400" s="29">
        <v>21920</v>
      </c>
      <c r="F400" s="29">
        <v>10960</v>
      </c>
      <c r="G400" s="29">
        <v>10960</v>
      </c>
      <c r="H400" s="29">
        <v>76000</v>
      </c>
      <c r="I400" s="29">
        <v>10960</v>
      </c>
      <c r="J400" s="29">
        <v>212500000</v>
      </c>
      <c r="K400" s="29">
        <v>1064</v>
      </c>
      <c r="L400" s="29">
        <v>1308</v>
      </c>
      <c r="M400" s="29">
        <v>50</v>
      </c>
      <c r="N400" s="33">
        <v>50</v>
      </c>
      <c r="O400" s="29">
        <f t="shared" si="192"/>
        <v>1186</v>
      </c>
      <c r="P400" s="31" cm="1">
        <f t="array" ref="P400">WPNFACTOR(C400)</f>
        <v>2</v>
      </c>
      <c r="Q400" s="33" cm="1">
        <f t="array" ref="Q400">HPFACTOr(C400)</f>
        <v>5</v>
      </c>
      <c r="R400" s="32">
        <f t="shared" si="193"/>
        <v>593</v>
      </c>
      <c r="S400" s="33">
        <f t="shared" si="194"/>
        <v>42500000</v>
      </c>
      <c r="T400" s="32">
        <f t="shared" si="195"/>
        <v>667.125</v>
      </c>
      <c r="U400" s="39">
        <f t="shared" si="196"/>
        <v>52307692.307692304</v>
      </c>
      <c r="V400" s="41">
        <f>VLOOKUP(D400,LevelXp!$A$1:'LevelXp'!$B$1000,2,)/5</f>
        <v>145140861</v>
      </c>
      <c r="W400" s="29">
        <f t="shared" si="197"/>
        <v>34895769230.769226</v>
      </c>
      <c r="X400" s="32">
        <f t="shared" si="198"/>
        <v>128.39690500788677</v>
      </c>
      <c r="Y400" s="41">
        <v>340</v>
      </c>
      <c r="Z400" s="41">
        <v>145140861</v>
      </c>
      <c r="AA400" s="41">
        <v>0</v>
      </c>
      <c r="AC400" s="50">
        <v>399</v>
      </c>
      <c r="AD400" s="51">
        <f t="shared" si="189"/>
        <v>300000000</v>
      </c>
      <c r="AE400" s="51">
        <f t="shared" si="191"/>
        <v>300000000</v>
      </c>
      <c r="AF400" s="51">
        <f t="shared" si="190"/>
        <v>0</v>
      </c>
      <c r="AG400" s="55">
        <f t="shared" si="191"/>
        <v>0.1111111111111111</v>
      </c>
      <c r="AH400" s="29">
        <f>SUM($AF$2:AF400)</f>
        <v>273</v>
      </c>
      <c r="AI400" s="55">
        <f>SUM($AG$2:AG400)</f>
        <v>273.2222222222216</v>
      </c>
    </row>
    <row r="401" spans="1:35" x14ac:dyDescent="0.2">
      <c r="A401" s="48" t="s">
        <v>2846</v>
      </c>
      <c r="B401" s="29">
        <v>1</v>
      </c>
      <c r="C401" s="29">
        <v>1</v>
      </c>
      <c r="D401" s="29">
        <v>222</v>
      </c>
      <c r="E401" s="29">
        <v>90000</v>
      </c>
      <c r="F401" s="29">
        <v>2000</v>
      </c>
      <c r="G401" s="29">
        <v>2000</v>
      </c>
      <c r="H401" s="29">
        <v>74000</v>
      </c>
      <c r="I401" s="29">
        <v>5000</v>
      </c>
      <c r="J401" s="29">
        <v>80000000</v>
      </c>
      <c r="K401" s="29">
        <v>2000</v>
      </c>
      <c r="L401" s="29">
        <v>2996</v>
      </c>
      <c r="N401" s="33"/>
      <c r="O401" s="29">
        <f t="shared" si="192"/>
        <v>2498</v>
      </c>
      <c r="P401" s="31" cm="1">
        <f t="array" ref="P401">WPNFACTOR(C401)</f>
        <v>2</v>
      </c>
      <c r="Q401" s="33" cm="1">
        <f t="array" ref="Q401">HPFACTOr(C401)</f>
        <v>5</v>
      </c>
      <c r="R401" s="32">
        <f t="shared" si="193"/>
        <v>1249</v>
      </c>
      <c r="S401" s="33">
        <f t="shared" si="194"/>
        <v>16000000</v>
      </c>
      <c r="T401" s="32">
        <f t="shared" si="195"/>
        <v>1249</v>
      </c>
      <c r="U401" s="39">
        <f t="shared" si="196"/>
        <v>16000000</v>
      </c>
      <c r="V401" s="41">
        <f>VLOOKUP(D401,LevelXp!$A$1:'LevelXp'!$B$1000,2,)/5</f>
        <v>18327374</v>
      </c>
      <c r="W401" s="29">
        <f t="shared" si="197"/>
        <v>19984000000</v>
      </c>
      <c r="X401" s="32">
        <f t="shared" si="198"/>
        <v>114.85145044186336</v>
      </c>
      <c r="Y401" s="41">
        <v>340</v>
      </c>
      <c r="Z401" s="41">
        <v>18327374</v>
      </c>
      <c r="AA401" s="41">
        <v>1</v>
      </c>
      <c r="AC401" s="50">
        <v>400</v>
      </c>
      <c r="AD401" s="51">
        <f t="shared" si="189"/>
        <v>300000000</v>
      </c>
      <c r="AE401" s="51">
        <f t="shared" si="191"/>
        <v>300000000</v>
      </c>
      <c r="AF401" s="51">
        <f t="shared" si="190"/>
        <v>0</v>
      </c>
      <c r="AG401" s="55">
        <f t="shared" si="191"/>
        <v>0.1111111111111111</v>
      </c>
      <c r="AH401" s="29">
        <f>SUM($AF$2:AF401)</f>
        <v>273</v>
      </c>
      <c r="AI401" s="55">
        <f>SUM($AG$2:AG401)</f>
        <v>273.33333333333269</v>
      </c>
    </row>
    <row r="402" spans="1:35" x14ac:dyDescent="0.2">
      <c r="A402" s="48" t="s">
        <v>2937</v>
      </c>
      <c r="B402" s="29">
        <v>450</v>
      </c>
      <c r="N402" s="33"/>
      <c r="Q402" s="33"/>
      <c r="S402" s="33"/>
      <c r="U402" s="39"/>
      <c r="V402" s="41">
        <f>VLOOKUP(B402,LevelXp!$D$1:'LevelXp'!$F$1000,3,)</f>
        <v>235130580</v>
      </c>
      <c r="Y402" s="41">
        <v>340</v>
      </c>
      <c r="Z402" s="41">
        <v>235130580</v>
      </c>
      <c r="AA402" s="41">
        <v>0</v>
      </c>
      <c r="AC402" s="50">
        <v>401</v>
      </c>
      <c r="AD402" s="51">
        <f t="shared" si="189"/>
        <v>300000000</v>
      </c>
      <c r="AE402" s="51">
        <f t="shared" si="191"/>
        <v>300000000</v>
      </c>
      <c r="AF402" s="51">
        <f t="shared" si="190"/>
        <v>0</v>
      </c>
      <c r="AG402" s="55">
        <f t="shared" si="191"/>
        <v>0.1111111111111111</v>
      </c>
      <c r="AH402" s="29">
        <f>SUM($AF$2:AF402)</f>
        <v>273</v>
      </c>
      <c r="AI402" s="55">
        <f>SUM($AG$2:AG402)</f>
        <v>273.44444444444377</v>
      </c>
    </row>
    <row r="403" spans="1:35" x14ac:dyDescent="0.2">
      <c r="A403" s="48" t="s">
        <v>8859</v>
      </c>
      <c r="B403" s="29">
        <v>9</v>
      </c>
      <c r="C403" s="29">
        <v>3</v>
      </c>
      <c r="D403" s="29">
        <v>344</v>
      </c>
      <c r="E403" s="29">
        <v>11140</v>
      </c>
      <c r="F403" s="29">
        <v>22280</v>
      </c>
      <c r="G403" s="29">
        <v>11140</v>
      </c>
      <c r="H403" s="29">
        <v>77500</v>
      </c>
      <c r="I403" s="29">
        <v>11140</v>
      </c>
      <c r="J403" s="29">
        <v>217000000</v>
      </c>
      <c r="K403" s="29">
        <v>1084</v>
      </c>
      <c r="L403" s="29">
        <v>1324</v>
      </c>
      <c r="M403" s="29">
        <v>50</v>
      </c>
      <c r="N403" s="33">
        <v>50</v>
      </c>
      <c r="O403" s="29">
        <f t="shared" ref="O403:O415" si="199">AVERAGE(K403, L403)</f>
        <v>1204</v>
      </c>
      <c r="P403" s="31" cm="1">
        <f t="array" ref="P403">WPNFACTOR(C403)</f>
        <v>2.5</v>
      </c>
      <c r="Q403" s="33" cm="1">
        <f t="array" ref="Q403">HPFACTOr(C403)</f>
        <v>4</v>
      </c>
      <c r="R403" s="32">
        <f t="shared" ref="R403:R415" si="200">O403/P403</f>
        <v>481.6</v>
      </c>
      <c r="S403" s="33">
        <f t="shared" ref="S403:S415" si="201">J403/Q403</f>
        <v>54250000</v>
      </c>
      <c r="T403" s="32">
        <f t="shared" ref="T403:T415" si="202">R403*(1 + (N403/400))</f>
        <v>541.80000000000007</v>
      </c>
      <c r="U403" s="39">
        <f t="shared" ref="U403:U415" si="203">S403*1.6/(1 + (0.6*(1 - (M403/100))))</f>
        <v>66769230.769230768</v>
      </c>
      <c r="V403" s="41">
        <f>VLOOKUP(D403,LevelXp!$A$1:'LevelXp'!$B$1000,2,)/5</f>
        <v>151726857</v>
      </c>
      <c r="W403" s="29">
        <f t="shared" ref="W403:W415" si="204">T403*U403</f>
        <v>36175569230.769234</v>
      </c>
      <c r="X403" s="32">
        <f t="shared" ref="X403:X415" si="205">POWER(W403, 1/$X$1)</f>
        <v>129.32517498631486</v>
      </c>
      <c r="Y403" s="41">
        <v>341</v>
      </c>
      <c r="Z403" s="41">
        <v>151726857</v>
      </c>
      <c r="AA403" s="41">
        <v>0</v>
      </c>
      <c r="AC403" s="50">
        <v>402</v>
      </c>
      <c r="AD403" s="51">
        <f t="shared" si="189"/>
        <v>300000000</v>
      </c>
      <c r="AE403" s="51">
        <f t="shared" si="191"/>
        <v>300000000</v>
      </c>
      <c r="AF403" s="51">
        <f t="shared" si="190"/>
        <v>1</v>
      </c>
      <c r="AG403" s="55">
        <f t="shared" si="191"/>
        <v>0.1111111111111111</v>
      </c>
      <c r="AH403" s="29">
        <f>SUM($AF$2:AF403)</f>
        <v>274</v>
      </c>
      <c r="AI403" s="55">
        <f>SUM($AG$2:AG403)</f>
        <v>273.55555555555486</v>
      </c>
    </row>
    <row r="404" spans="1:35" x14ac:dyDescent="0.2">
      <c r="A404" s="48" t="s">
        <v>8859</v>
      </c>
      <c r="B404" s="29">
        <v>10</v>
      </c>
      <c r="C404" s="29">
        <v>2</v>
      </c>
      <c r="D404" s="29">
        <v>350</v>
      </c>
      <c r="E404" s="29">
        <v>11500</v>
      </c>
      <c r="F404" s="29">
        <v>11500</v>
      </c>
      <c r="G404" s="29">
        <v>23000</v>
      </c>
      <c r="H404" s="29">
        <v>80500</v>
      </c>
      <c r="I404" s="29">
        <v>11500</v>
      </c>
      <c r="J404" s="29">
        <v>226000000</v>
      </c>
      <c r="K404" s="29">
        <v>1100</v>
      </c>
      <c r="L404" s="29">
        <v>1350</v>
      </c>
      <c r="M404" s="29">
        <v>50</v>
      </c>
      <c r="N404" s="33">
        <v>50</v>
      </c>
      <c r="O404" s="29">
        <f t="shared" si="199"/>
        <v>1225</v>
      </c>
      <c r="P404" s="31" cm="1">
        <f t="array" ref="P404">WPNFACTOR(C404)</f>
        <v>4.5</v>
      </c>
      <c r="Q404" s="33" cm="1">
        <f t="array" ref="Q404">HPFACTOr(C404)</f>
        <v>2</v>
      </c>
      <c r="R404" s="32">
        <f t="shared" si="200"/>
        <v>272.22222222222223</v>
      </c>
      <c r="S404" s="33">
        <f t="shared" si="201"/>
        <v>113000000</v>
      </c>
      <c r="T404" s="32">
        <f t="shared" si="202"/>
        <v>306.25</v>
      </c>
      <c r="U404" s="39">
        <f t="shared" si="203"/>
        <v>139076923.07692307</v>
      </c>
      <c r="V404" s="41">
        <f>VLOOKUP(D404,LevelXp!$A$1:'LevelXp'!$B$1000,2,)/5</f>
        <v>165631756</v>
      </c>
      <c r="W404" s="29">
        <f t="shared" si="204"/>
        <v>42592307692.307693</v>
      </c>
      <c r="X404" s="32">
        <f t="shared" si="205"/>
        <v>133.61838991080512</v>
      </c>
      <c r="Y404" s="41">
        <v>341</v>
      </c>
      <c r="Z404" s="41">
        <v>165631756</v>
      </c>
      <c r="AA404" s="41">
        <v>0</v>
      </c>
      <c r="AC404" s="50">
        <v>403</v>
      </c>
      <c r="AD404" s="51">
        <f t="shared" si="189"/>
        <v>300000000</v>
      </c>
      <c r="AE404" s="51">
        <f t="shared" si="191"/>
        <v>300000000</v>
      </c>
      <c r="AF404" s="51">
        <f t="shared" si="190"/>
        <v>0</v>
      </c>
      <c r="AG404" s="55">
        <f t="shared" si="191"/>
        <v>0.1111111111111111</v>
      </c>
      <c r="AH404" s="29">
        <f>SUM($AF$2:AF404)</f>
        <v>274</v>
      </c>
      <c r="AI404" s="55">
        <f>SUM($AG$2:AG404)</f>
        <v>273.66666666666595</v>
      </c>
    </row>
    <row r="405" spans="1:35" x14ac:dyDescent="0.2">
      <c r="A405" s="48" t="s">
        <v>8862</v>
      </c>
      <c r="B405" s="29">
        <v>1</v>
      </c>
      <c r="C405" s="29">
        <v>1</v>
      </c>
      <c r="D405" s="29">
        <v>313</v>
      </c>
      <c r="E405" s="29">
        <v>18560</v>
      </c>
      <c r="F405" s="29">
        <v>9280</v>
      </c>
      <c r="G405" s="29">
        <v>9280</v>
      </c>
      <c r="H405" s="29">
        <v>62000</v>
      </c>
      <c r="I405" s="29">
        <v>9280</v>
      </c>
      <c r="J405" s="29">
        <v>170500000</v>
      </c>
      <c r="K405" s="29">
        <v>953</v>
      </c>
      <c r="L405" s="29">
        <v>1199</v>
      </c>
      <c r="M405" s="29">
        <v>25</v>
      </c>
      <c r="N405" s="33">
        <v>25</v>
      </c>
      <c r="O405" s="29">
        <f t="shared" si="199"/>
        <v>1076</v>
      </c>
      <c r="P405" s="31" cm="1">
        <f t="array" ref="P405">WPNFACTOR(C405)</f>
        <v>2</v>
      </c>
      <c r="Q405" s="33" cm="1">
        <f t="array" ref="Q405">HPFACTOr(C405)</f>
        <v>5</v>
      </c>
      <c r="R405" s="32">
        <f t="shared" si="200"/>
        <v>538</v>
      </c>
      <c r="S405" s="33">
        <f t="shared" si="201"/>
        <v>34100000</v>
      </c>
      <c r="T405" s="32">
        <f t="shared" si="202"/>
        <v>571.625</v>
      </c>
      <c r="U405" s="39">
        <f t="shared" si="203"/>
        <v>37627586.206896551</v>
      </c>
      <c r="V405" s="41">
        <f>VLOOKUP(D405,LevelXp!$A$1:'LevelXp'!$B$1000,2,)/5</f>
        <v>94521325</v>
      </c>
      <c r="W405" s="29">
        <f t="shared" si="204"/>
        <v>21508868965.517242</v>
      </c>
      <c r="X405" s="32">
        <f t="shared" si="205"/>
        <v>116.55301564523727</v>
      </c>
      <c r="Y405" s="41">
        <v>342</v>
      </c>
      <c r="Z405" s="41">
        <v>94521325</v>
      </c>
      <c r="AA405" s="41">
        <v>1</v>
      </c>
      <c r="AC405" s="50">
        <v>404</v>
      </c>
      <c r="AD405" s="51">
        <f t="shared" si="189"/>
        <v>300000000</v>
      </c>
      <c r="AE405" s="51">
        <f t="shared" si="191"/>
        <v>300000000</v>
      </c>
      <c r="AF405" s="51">
        <f t="shared" si="190"/>
        <v>0</v>
      </c>
      <c r="AG405" s="55">
        <f t="shared" si="191"/>
        <v>0.1111111111111111</v>
      </c>
      <c r="AH405" s="29">
        <f>SUM($AF$2:AF405)</f>
        <v>274</v>
      </c>
      <c r="AI405" s="55">
        <f>SUM($AG$2:AG405)</f>
        <v>273.77777777777703</v>
      </c>
    </row>
    <row r="406" spans="1:35" x14ac:dyDescent="0.2">
      <c r="A406" s="48" t="s">
        <v>8862</v>
      </c>
      <c r="B406" s="29">
        <v>2</v>
      </c>
      <c r="C406" s="29">
        <v>1</v>
      </c>
      <c r="D406" s="29">
        <v>316</v>
      </c>
      <c r="E406" s="29">
        <v>18920</v>
      </c>
      <c r="F406" s="29">
        <v>9460</v>
      </c>
      <c r="G406" s="29">
        <v>9460</v>
      </c>
      <c r="H406" s="29">
        <v>63500</v>
      </c>
      <c r="I406" s="29">
        <v>9460</v>
      </c>
      <c r="J406" s="29">
        <v>175000000</v>
      </c>
      <c r="K406" s="29">
        <v>964</v>
      </c>
      <c r="L406" s="29">
        <v>1211</v>
      </c>
      <c r="M406" s="29">
        <v>25</v>
      </c>
      <c r="N406" s="33">
        <v>25</v>
      </c>
      <c r="O406" s="29">
        <f t="shared" si="199"/>
        <v>1087.5</v>
      </c>
      <c r="P406" s="31" cm="1">
        <f t="array" ref="P406">WPNFACTOR(C406)</f>
        <v>2</v>
      </c>
      <c r="Q406" s="33" cm="1">
        <f t="array" ref="Q406">HPFACTOr(C406)</f>
        <v>5</v>
      </c>
      <c r="R406" s="32">
        <f t="shared" si="200"/>
        <v>543.75</v>
      </c>
      <c r="S406" s="33">
        <f t="shared" si="201"/>
        <v>35000000</v>
      </c>
      <c r="T406" s="32">
        <f t="shared" si="202"/>
        <v>577.734375</v>
      </c>
      <c r="U406" s="39">
        <f t="shared" si="203"/>
        <v>38620689.655172415</v>
      </c>
      <c r="V406" s="41">
        <f>VLOOKUP(D406,LevelXp!$A$1:'LevelXp'!$B$1000,2,)/5</f>
        <v>99114456</v>
      </c>
      <c r="W406" s="29">
        <f t="shared" si="204"/>
        <v>22312500000</v>
      </c>
      <c r="X406" s="32">
        <f t="shared" si="205"/>
        <v>117.41123241874742</v>
      </c>
      <c r="Y406" s="41">
        <v>342</v>
      </c>
      <c r="Z406" s="41">
        <v>99114456</v>
      </c>
      <c r="AA406" s="41">
        <v>1</v>
      </c>
      <c r="AC406" s="50">
        <v>405</v>
      </c>
      <c r="AD406" s="51">
        <f t="shared" si="189"/>
        <v>300000000</v>
      </c>
      <c r="AE406" s="51">
        <f t="shared" si="191"/>
        <v>300000000</v>
      </c>
      <c r="AF406" s="51">
        <f t="shared" si="190"/>
        <v>0</v>
      </c>
      <c r="AG406" s="55">
        <f t="shared" si="191"/>
        <v>0.1111111111111111</v>
      </c>
      <c r="AH406" s="29">
        <f>SUM($AF$2:AF406)</f>
        <v>274</v>
      </c>
      <c r="AI406" s="55">
        <f>SUM($AG$2:AG406)</f>
        <v>273.88888888888812</v>
      </c>
    </row>
    <row r="407" spans="1:35" x14ac:dyDescent="0.2">
      <c r="A407" s="48" t="s">
        <v>8862</v>
      </c>
      <c r="B407" s="29">
        <v>3</v>
      </c>
      <c r="C407" s="29">
        <v>2</v>
      </c>
      <c r="D407" s="29">
        <v>319</v>
      </c>
      <c r="E407" s="29">
        <v>9640</v>
      </c>
      <c r="F407" s="29">
        <v>9640</v>
      </c>
      <c r="G407" s="29">
        <v>19280</v>
      </c>
      <c r="H407" s="29">
        <v>65000</v>
      </c>
      <c r="I407" s="29">
        <v>9640</v>
      </c>
      <c r="J407" s="29">
        <v>179500000</v>
      </c>
      <c r="K407" s="29">
        <v>977</v>
      </c>
      <c r="L407" s="29">
        <v>1225</v>
      </c>
      <c r="M407" s="29">
        <v>25</v>
      </c>
      <c r="N407" s="33">
        <v>25</v>
      </c>
      <c r="O407" s="29">
        <f t="shared" si="199"/>
        <v>1101</v>
      </c>
      <c r="P407" s="31" cm="1">
        <f t="array" ref="P407">WPNFACTOR(C407)</f>
        <v>4.5</v>
      </c>
      <c r="Q407" s="33" cm="1">
        <f t="array" ref="Q407">HPFACTOr(C407)</f>
        <v>2</v>
      </c>
      <c r="R407" s="32">
        <f t="shared" si="200"/>
        <v>244.66666666666666</v>
      </c>
      <c r="S407" s="33">
        <f t="shared" si="201"/>
        <v>89750000</v>
      </c>
      <c r="T407" s="32">
        <f t="shared" si="202"/>
        <v>259.95833333333331</v>
      </c>
      <c r="U407" s="39">
        <f t="shared" si="203"/>
        <v>99034482.758620694</v>
      </c>
      <c r="V407" s="41">
        <f>VLOOKUP(D407,LevelXp!$A$1:'LevelXp'!$B$1000,2,)/5</f>
        <v>103875282</v>
      </c>
      <c r="W407" s="29">
        <f t="shared" si="204"/>
        <v>25744839080.45977</v>
      </c>
      <c r="X407" s="32">
        <f t="shared" si="205"/>
        <v>120.81977881154359</v>
      </c>
      <c r="Y407" s="41">
        <v>342</v>
      </c>
      <c r="Z407" s="41">
        <v>103875282</v>
      </c>
      <c r="AA407" s="41">
        <v>1</v>
      </c>
      <c r="AC407" s="50">
        <v>406</v>
      </c>
      <c r="AD407" s="51">
        <f t="shared" si="189"/>
        <v>300000000</v>
      </c>
      <c r="AE407" s="51">
        <f t="shared" si="191"/>
        <v>300000000</v>
      </c>
      <c r="AF407" s="51">
        <f t="shared" si="190"/>
        <v>0</v>
      </c>
      <c r="AG407" s="55">
        <f t="shared" si="191"/>
        <v>0.1111111111111111</v>
      </c>
      <c r="AH407" s="29">
        <f>SUM($AF$2:AF407)</f>
        <v>274</v>
      </c>
      <c r="AI407" s="55">
        <f>SUM($AG$2:AG407)</f>
        <v>273.9999999999992</v>
      </c>
    </row>
    <row r="408" spans="1:35" x14ac:dyDescent="0.2">
      <c r="A408" s="48" t="s">
        <v>8864</v>
      </c>
      <c r="B408" s="29">
        <v>3</v>
      </c>
      <c r="C408" s="29">
        <v>1</v>
      </c>
      <c r="D408" s="29">
        <v>430</v>
      </c>
      <c r="E408" s="29">
        <v>45800</v>
      </c>
      <c r="F408" s="29">
        <v>16060</v>
      </c>
      <c r="G408" s="29">
        <v>15935</v>
      </c>
      <c r="H408" s="29">
        <v>44400</v>
      </c>
      <c r="I408" s="29">
        <v>10170</v>
      </c>
      <c r="J408" s="29">
        <v>95682000</v>
      </c>
      <c r="K408" s="29">
        <v>481</v>
      </c>
      <c r="L408" s="29">
        <v>971</v>
      </c>
      <c r="N408" s="33"/>
      <c r="O408" s="29">
        <f t="shared" si="199"/>
        <v>726</v>
      </c>
      <c r="P408" s="31" cm="1">
        <f t="array" ref="P408">WPNFACTOR(C408)</f>
        <v>2</v>
      </c>
      <c r="Q408" s="33" cm="1">
        <f t="array" ref="Q408">HPFACTOr(C408)</f>
        <v>5</v>
      </c>
      <c r="R408" s="32">
        <f t="shared" si="200"/>
        <v>363</v>
      </c>
      <c r="S408" s="33">
        <f t="shared" si="201"/>
        <v>19136400</v>
      </c>
      <c r="T408" s="32">
        <f t="shared" si="202"/>
        <v>363</v>
      </c>
      <c r="U408" s="39">
        <f t="shared" si="203"/>
        <v>19136400</v>
      </c>
      <c r="V408" s="41">
        <f>VLOOKUP(D408,LevelXp!$A$1:'LevelXp'!$B$1000,2,)/5</f>
        <v>300000000</v>
      </c>
      <c r="W408" s="29">
        <f t="shared" si="204"/>
        <v>6946513200</v>
      </c>
      <c r="X408" s="32">
        <f t="shared" si="205"/>
        <v>92.972256789539472</v>
      </c>
      <c r="Y408" s="41">
        <v>342</v>
      </c>
      <c r="Z408" s="41">
        <v>300000000</v>
      </c>
      <c r="AA408" s="41">
        <v>1</v>
      </c>
      <c r="AC408" s="50">
        <v>407</v>
      </c>
      <c r="AD408" s="51">
        <f t="shared" si="189"/>
        <v>300000000</v>
      </c>
      <c r="AE408" s="51">
        <f t="shared" si="191"/>
        <v>300000000</v>
      </c>
      <c r="AF408" s="51">
        <f t="shared" si="190"/>
        <v>0</v>
      </c>
      <c r="AG408" s="55">
        <f t="shared" si="191"/>
        <v>0</v>
      </c>
      <c r="AH408" s="29">
        <f>SUM($AF$2:AF408)</f>
        <v>274</v>
      </c>
      <c r="AI408" s="55">
        <f>SUM($AG$2:AG408)</f>
        <v>273.9999999999992</v>
      </c>
    </row>
    <row r="409" spans="1:35" x14ac:dyDescent="0.2">
      <c r="A409" s="48" t="s">
        <v>8862</v>
      </c>
      <c r="B409" s="29">
        <v>4</v>
      </c>
      <c r="C409" s="29">
        <v>1</v>
      </c>
      <c r="D409" s="29">
        <v>322</v>
      </c>
      <c r="E409" s="29">
        <v>19640</v>
      </c>
      <c r="F409" s="29">
        <v>9820</v>
      </c>
      <c r="G409" s="29">
        <v>9820</v>
      </c>
      <c r="H409" s="29">
        <v>66500</v>
      </c>
      <c r="I409" s="29">
        <v>9820</v>
      </c>
      <c r="J409" s="29">
        <v>184000000</v>
      </c>
      <c r="K409" s="29">
        <v>989</v>
      </c>
      <c r="L409" s="29">
        <v>1237</v>
      </c>
      <c r="M409" s="29">
        <v>25</v>
      </c>
      <c r="N409" s="33">
        <v>25</v>
      </c>
      <c r="O409" s="29">
        <f t="shared" si="199"/>
        <v>1113</v>
      </c>
      <c r="P409" s="31" cm="1">
        <f t="array" ref="P409">WPNFACTOR(C409)</f>
        <v>2</v>
      </c>
      <c r="Q409" s="33" cm="1">
        <f t="array" ref="Q409">HPFACTOr(C409)</f>
        <v>5</v>
      </c>
      <c r="R409" s="32">
        <f t="shared" si="200"/>
        <v>556.5</v>
      </c>
      <c r="S409" s="33">
        <f t="shared" si="201"/>
        <v>36800000</v>
      </c>
      <c r="T409" s="32">
        <f t="shared" si="202"/>
        <v>591.28125</v>
      </c>
      <c r="U409" s="39">
        <f t="shared" si="203"/>
        <v>40606896.551724136</v>
      </c>
      <c r="V409" s="41">
        <f>VLOOKUP(D409,LevelXp!$A$1:'LevelXp'!$B$1000,2,)/5</f>
        <v>108847145</v>
      </c>
      <c r="W409" s="29">
        <f t="shared" si="204"/>
        <v>24010096551.724136</v>
      </c>
      <c r="X409" s="32">
        <f t="shared" si="205"/>
        <v>119.14581196923206</v>
      </c>
      <c r="Y409" s="41">
        <v>343</v>
      </c>
      <c r="Z409" s="41">
        <v>108847145</v>
      </c>
      <c r="AA409" s="41">
        <v>1</v>
      </c>
      <c r="AC409" s="50">
        <v>408</v>
      </c>
      <c r="AD409" s="51">
        <f t="shared" si="189"/>
        <v>300000000</v>
      </c>
      <c r="AE409" s="51">
        <f t="shared" si="191"/>
        <v>300000000</v>
      </c>
      <c r="AF409" s="51">
        <f t="shared" si="190"/>
        <v>0</v>
      </c>
      <c r="AG409" s="55">
        <f t="shared" si="191"/>
        <v>0</v>
      </c>
      <c r="AH409" s="29">
        <f>SUM($AF$2:AF409)</f>
        <v>274</v>
      </c>
      <c r="AI409" s="55">
        <f>SUM($AG$2:AG409)</f>
        <v>273.9999999999992</v>
      </c>
    </row>
    <row r="410" spans="1:35" x14ac:dyDescent="0.2">
      <c r="A410" s="48" t="s">
        <v>8862</v>
      </c>
      <c r="B410" s="29">
        <v>5</v>
      </c>
      <c r="C410" s="29">
        <v>2</v>
      </c>
      <c r="D410" s="29">
        <v>325</v>
      </c>
      <c r="E410" s="29">
        <v>10000</v>
      </c>
      <c r="F410" s="29">
        <v>10000</v>
      </c>
      <c r="G410" s="29">
        <v>20000</v>
      </c>
      <c r="H410" s="29">
        <v>68000</v>
      </c>
      <c r="I410" s="29">
        <v>10000</v>
      </c>
      <c r="J410" s="29">
        <v>188500000</v>
      </c>
      <c r="K410" s="29">
        <v>1000</v>
      </c>
      <c r="L410" s="29">
        <v>1247</v>
      </c>
      <c r="M410" s="29">
        <v>25</v>
      </c>
      <c r="N410" s="33">
        <v>25</v>
      </c>
      <c r="O410" s="29">
        <f t="shared" si="199"/>
        <v>1123.5</v>
      </c>
      <c r="P410" s="31" cm="1">
        <f t="array" ref="P410">WPNFACTOR(C410)</f>
        <v>4.5</v>
      </c>
      <c r="Q410" s="33" cm="1">
        <f t="array" ref="Q410">HPFACTOr(C410)</f>
        <v>2</v>
      </c>
      <c r="R410" s="32">
        <f t="shared" si="200"/>
        <v>249.66666666666666</v>
      </c>
      <c r="S410" s="33">
        <f t="shared" si="201"/>
        <v>94250000</v>
      </c>
      <c r="T410" s="32">
        <f t="shared" si="202"/>
        <v>265.27083333333331</v>
      </c>
      <c r="U410" s="39">
        <f t="shared" si="203"/>
        <v>104000000</v>
      </c>
      <c r="V410" s="41">
        <f>VLOOKUP(D410,LevelXp!$A$1:'LevelXp'!$B$1000,2,)/5</f>
        <v>113997992</v>
      </c>
      <c r="W410" s="29">
        <f t="shared" si="204"/>
        <v>27588166666.666664</v>
      </c>
      <c r="X410" s="32">
        <f t="shared" si="205"/>
        <v>122.50239180760822</v>
      </c>
      <c r="Y410" s="41">
        <v>343</v>
      </c>
      <c r="Z410" s="41">
        <v>113997992</v>
      </c>
      <c r="AA410" s="41">
        <v>1</v>
      </c>
      <c r="AC410" s="50">
        <v>409</v>
      </c>
      <c r="AD410" s="51">
        <f t="shared" si="189"/>
        <v>300000000</v>
      </c>
      <c r="AE410" s="51">
        <f t="shared" si="191"/>
        <v>300000000</v>
      </c>
      <c r="AF410" s="51">
        <f t="shared" si="190"/>
        <v>0</v>
      </c>
      <c r="AG410" s="55">
        <f t="shared" si="191"/>
        <v>0</v>
      </c>
      <c r="AH410" s="29">
        <f>SUM($AF$2:AF410)</f>
        <v>274</v>
      </c>
      <c r="AI410" s="55">
        <f>SUM($AG$2:AG410)</f>
        <v>273.9999999999992</v>
      </c>
    </row>
    <row r="411" spans="1:35" x14ac:dyDescent="0.2">
      <c r="A411" s="48" t="s">
        <v>8864</v>
      </c>
      <c r="B411" s="29">
        <v>4</v>
      </c>
      <c r="C411" s="29">
        <v>3</v>
      </c>
      <c r="D411" s="29">
        <v>440</v>
      </c>
      <c r="E411" s="29">
        <v>11800</v>
      </c>
      <c r="F411" s="29">
        <v>47000</v>
      </c>
      <c r="G411" s="29">
        <v>11750</v>
      </c>
      <c r="H411" s="29">
        <v>45600</v>
      </c>
      <c r="I411" s="29">
        <v>16805</v>
      </c>
      <c r="J411" s="29">
        <v>80438400</v>
      </c>
      <c r="K411" s="29">
        <v>743</v>
      </c>
      <c r="L411" s="29">
        <v>1142</v>
      </c>
      <c r="N411" s="33"/>
      <c r="O411" s="29">
        <f t="shared" si="199"/>
        <v>942.5</v>
      </c>
      <c r="P411" s="31" cm="1">
        <f t="array" ref="P411">WPNFACTOR(C411)</f>
        <v>2.5</v>
      </c>
      <c r="Q411" s="33" cm="1">
        <f t="array" ref="Q411">HPFACTOr(C411)</f>
        <v>4</v>
      </c>
      <c r="R411" s="32">
        <f t="shared" si="200"/>
        <v>377</v>
      </c>
      <c r="S411" s="33">
        <f t="shared" si="201"/>
        <v>20109600</v>
      </c>
      <c r="T411" s="32">
        <f t="shared" si="202"/>
        <v>377</v>
      </c>
      <c r="U411" s="39">
        <f t="shared" si="203"/>
        <v>20109600</v>
      </c>
      <c r="V411" s="41">
        <f>VLOOKUP(D411,LevelXp!$A$1:'LevelXp'!$B$1000,2,)/5</f>
        <v>300000000</v>
      </c>
      <c r="W411" s="29">
        <f t="shared" si="204"/>
        <v>7581319200</v>
      </c>
      <c r="X411" s="32">
        <f t="shared" si="205"/>
        <v>94.612595468240741</v>
      </c>
      <c r="Y411" s="41">
        <v>343</v>
      </c>
      <c r="Z411" s="41">
        <v>300000000</v>
      </c>
      <c r="AA411" s="41">
        <v>1</v>
      </c>
      <c r="AC411" s="50">
        <v>410</v>
      </c>
      <c r="AD411" s="51">
        <f t="shared" si="189"/>
        <v>300000000</v>
      </c>
      <c r="AE411" s="51">
        <f t="shared" si="191"/>
        <v>266666666.66666666</v>
      </c>
      <c r="AF411" s="51">
        <f t="shared" si="190"/>
        <v>0</v>
      </c>
      <c r="AG411" s="55">
        <f t="shared" si="191"/>
        <v>0</v>
      </c>
      <c r="AH411" s="29">
        <f>SUM($AF$2:AF411)</f>
        <v>274</v>
      </c>
      <c r="AI411" s="55">
        <f>SUM($AG$2:AG411)</f>
        <v>273.9999999999992</v>
      </c>
    </row>
    <row r="412" spans="1:35" x14ac:dyDescent="0.2">
      <c r="A412" s="48" t="s">
        <v>8858</v>
      </c>
      <c r="B412" s="29">
        <v>9</v>
      </c>
      <c r="C412" s="29">
        <v>1</v>
      </c>
      <c r="D412" s="29">
        <v>490</v>
      </c>
      <c r="E412" s="29">
        <v>86000</v>
      </c>
      <c r="F412" s="29">
        <v>30000</v>
      </c>
      <c r="G412" s="29">
        <v>30000</v>
      </c>
      <c r="H412" s="29">
        <v>39000</v>
      </c>
      <c r="I412" s="29">
        <v>19000</v>
      </c>
      <c r="J412" s="29">
        <v>30000000</v>
      </c>
      <c r="K412" s="29">
        <v>750</v>
      </c>
      <c r="L412" s="29">
        <v>1244</v>
      </c>
      <c r="N412" s="33"/>
      <c r="O412" s="29">
        <f t="shared" si="199"/>
        <v>997</v>
      </c>
      <c r="P412" s="31" cm="1">
        <f t="array" ref="P412">WPNFACTOR(C412)</f>
        <v>2</v>
      </c>
      <c r="Q412" s="33" cm="1">
        <f t="array" ref="Q412">HPFACTOr(C412)</f>
        <v>5</v>
      </c>
      <c r="R412" s="32">
        <f t="shared" si="200"/>
        <v>498.5</v>
      </c>
      <c r="S412" s="33">
        <f t="shared" si="201"/>
        <v>6000000</v>
      </c>
      <c r="T412" s="32">
        <f t="shared" si="202"/>
        <v>498.5</v>
      </c>
      <c r="U412" s="39">
        <f t="shared" si="203"/>
        <v>6000000</v>
      </c>
      <c r="V412" s="41">
        <f>VLOOKUP(D412,LevelXp!$A$1:'LevelXp'!$B$1000,2,)/5</f>
        <v>300000000</v>
      </c>
      <c r="W412" s="29">
        <f t="shared" si="204"/>
        <v>2991000000</v>
      </c>
      <c r="X412" s="32">
        <f t="shared" si="205"/>
        <v>78.553091680223886</v>
      </c>
      <c r="Y412" s="41">
        <v>344</v>
      </c>
      <c r="Z412" s="41">
        <v>300000000</v>
      </c>
      <c r="AA412" s="41">
        <v>1</v>
      </c>
      <c r="AC412" s="50">
        <v>411</v>
      </c>
      <c r="AD412" s="51">
        <f t="shared" si="189"/>
        <v>300000000</v>
      </c>
      <c r="AE412" s="51">
        <f t="shared" si="191"/>
        <v>266666666.66666666</v>
      </c>
      <c r="AF412" s="51">
        <f t="shared" si="190"/>
        <v>0</v>
      </c>
      <c r="AG412" s="55">
        <f t="shared" si="191"/>
        <v>0.1111111111111111</v>
      </c>
      <c r="AH412" s="29">
        <f>SUM($AF$2:AF412)</f>
        <v>274</v>
      </c>
      <c r="AI412" s="55">
        <f>SUM($AG$2:AG412)</f>
        <v>274.11111111111029</v>
      </c>
    </row>
    <row r="413" spans="1:35" x14ac:dyDescent="0.2">
      <c r="A413" s="48" t="s">
        <v>8858</v>
      </c>
      <c r="B413" s="29">
        <v>8</v>
      </c>
      <c r="C413" s="29">
        <v>2</v>
      </c>
      <c r="D413" s="29">
        <v>480</v>
      </c>
      <c r="E413" s="29">
        <v>25000</v>
      </c>
      <c r="F413" s="29">
        <v>25000</v>
      </c>
      <c r="G413" s="29">
        <v>72000</v>
      </c>
      <c r="H413" s="29">
        <v>35000</v>
      </c>
      <c r="I413" s="29">
        <v>15000</v>
      </c>
      <c r="J413" s="29">
        <v>50000000</v>
      </c>
      <c r="K413" s="29">
        <v>1605</v>
      </c>
      <c r="L413" s="29">
        <v>2698</v>
      </c>
      <c r="N413" s="33"/>
      <c r="O413" s="29">
        <f t="shared" si="199"/>
        <v>2151.5</v>
      </c>
      <c r="P413" s="31" cm="1">
        <f t="array" ref="P413">WPNFACTOR(C413)</f>
        <v>4.5</v>
      </c>
      <c r="Q413" s="33" cm="1">
        <f t="array" ref="Q413">HPFACTOr(C413)</f>
        <v>2</v>
      </c>
      <c r="R413" s="32">
        <f t="shared" si="200"/>
        <v>478.11111111111109</v>
      </c>
      <c r="S413" s="33">
        <f t="shared" si="201"/>
        <v>25000000</v>
      </c>
      <c r="T413" s="32">
        <f t="shared" si="202"/>
        <v>478.11111111111109</v>
      </c>
      <c r="U413" s="39">
        <f t="shared" si="203"/>
        <v>25000000</v>
      </c>
      <c r="V413" s="41">
        <f>VLOOKUP(D413,LevelXp!$A$1:'LevelXp'!$B$1000,2,)/5</f>
        <v>300000000</v>
      </c>
      <c r="W413" s="29">
        <f t="shared" si="204"/>
        <v>11952777777.777777</v>
      </c>
      <c r="X413" s="32">
        <f t="shared" si="205"/>
        <v>103.63197359730661</v>
      </c>
      <c r="Y413" s="41">
        <v>344</v>
      </c>
      <c r="Z413" s="41">
        <v>300000000</v>
      </c>
      <c r="AA413" s="41">
        <v>1</v>
      </c>
      <c r="AC413" s="50">
        <v>412</v>
      </c>
      <c r="AD413" s="51">
        <f t="shared" si="189"/>
        <v>300000000</v>
      </c>
      <c r="AE413" s="51">
        <f t="shared" si="191"/>
        <v>233333333.33333334</v>
      </c>
      <c r="AF413" s="51">
        <f t="shared" si="190"/>
        <v>0</v>
      </c>
      <c r="AG413" s="55">
        <f t="shared" si="191"/>
        <v>0.1111111111111111</v>
      </c>
      <c r="AH413" s="29">
        <f>SUM($AF$2:AF413)</f>
        <v>274</v>
      </c>
      <c r="AI413" s="55">
        <f>SUM($AG$2:AG413)</f>
        <v>274.22222222222138</v>
      </c>
    </row>
    <row r="414" spans="1:35" x14ac:dyDescent="0.2">
      <c r="A414" s="48" t="s">
        <v>8866</v>
      </c>
      <c r="B414" s="29">
        <v>2</v>
      </c>
      <c r="C414" s="29">
        <v>1</v>
      </c>
      <c r="D414" s="29">
        <v>362</v>
      </c>
      <c r="E414" s="29">
        <v>18561</v>
      </c>
      <c r="F414" s="29">
        <v>6602</v>
      </c>
      <c r="G414" s="29">
        <v>6602</v>
      </c>
      <c r="H414" s="29">
        <v>83598</v>
      </c>
      <c r="I414" s="29">
        <v>11886</v>
      </c>
      <c r="J414" s="29">
        <v>151730368</v>
      </c>
      <c r="K414" s="29">
        <v>1234</v>
      </c>
      <c r="L414" s="29">
        <v>2087</v>
      </c>
      <c r="N414" s="33"/>
      <c r="O414" s="29">
        <f t="shared" si="199"/>
        <v>1660.5</v>
      </c>
      <c r="P414" s="31" cm="1">
        <f t="array" ref="P414">WPNFACTOR(C414)</f>
        <v>2</v>
      </c>
      <c r="Q414" s="33" cm="1">
        <f t="array" ref="Q414">HPFACTOr(C414)</f>
        <v>5</v>
      </c>
      <c r="R414" s="32">
        <f t="shared" si="200"/>
        <v>830.25</v>
      </c>
      <c r="S414" s="33">
        <f t="shared" si="201"/>
        <v>30346073.600000001</v>
      </c>
      <c r="T414" s="32">
        <f t="shared" si="202"/>
        <v>830.25</v>
      </c>
      <c r="U414" s="39">
        <f t="shared" si="203"/>
        <v>30346073.600000001</v>
      </c>
      <c r="V414" s="41">
        <f>VLOOKUP(D414,LevelXp!$A$1:'LevelXp'!$B$1000,2,)/5</f>
        <v>196694080</v>
      </c>
      <c r="W414" s="29">
        <f t="shared" si="204"/>
        <v>25194827606.400002</v>
      </c>
      <c r="X414" s="32">
        <f t="shared" si="205"/>
        <v>120.29907229277775</v>
      </c>
      <c r="Y414" s="41">
        <v>345</v>
      </c>
      <c r="Z414" s="41">
        <v>196694080</v>
      </c>
      <c r="AA414" s="41">
        <v>1</v>
      </c>
      <c r="AC414" s="50">
        <v>413</v>
      </c>
      <c r="AD414" s="51">
        <f t="shared" si="189"/>
        <v>300000000</v>
      </c>
      <c r="AE414" s="51">
        <f t="shared" si="191"/>
        <v>233333333.33333334</v>
      </c>
      <c r="AF414" s="51">
        <f t="shared" si="190"/>
        <v>0</v>
      </c>
      <c r="AG414" s="55">
        <f t="shared" si="191"/>
        <v>0.22222222222222221</v>
      </c>
      <c r="AH414" s="29">
        <f>SUM($AF$2:AF414)</f>
        <v>274</v>
      </c>
      <c r="AI414" s="55">
        <f>SUM($AG$2:AG414)</f>
        <v>274.4444444444436</v>
      </c>
    </row>
    <row r="415" spans="1:35" x14ac:dyDescent="0.2">
      <c r="A415" s="48" t="s">
        <v>8866</v>
      </c>
      <c r="B415" s="29">
        <v>3</v>
      </c>
      <c r="C415" s="29">
        <v>2</v>
      </c>
      <c r="D415" s="29">
        <v>377</v>
      </c>
      <c r="E415" s="29">
        <v>5718</v>
      </c>
      <c r="F415" s="29">
        <v>5813</v>
      </c>
      <c r="G415" s="29">
        <v>20594</v>
      </c>
      <c r="H415" s="29">
        <v>88667</v>
      </c>
      <c r="I415" s="29">
        <v>13464</v>
      </c>
      <c r="J415" s="29">
        <v>67032252</v>
      </c>
      <c r="K415" s="29">
        <v>2895</v>
      </c>
      <c r="L415" s="29">
        <v>4886</v>
      </c>
      <c r="N415" s="33"/>
      <c r="O415" s="29">
        <f t="shared" si="199"/>
        <v>3890.5</v>
      </c>
      <c r="P415" s="31" cm="1">
        <f t="array" ref="P415">WPNFACTOR(C415)</f>
        <v>4.5</v>
      </c>
      <c r="Q415" s="33" cm="1">
        <f t="array" ref="Q415">HPFACTOr(C415)</f>
        <v>2</v>
      </c>
      <c r="R415" s="32">
        <f t="shared" si="200"/>
        <v>864.55555555555554</v>
      </c>
      <c r="S415" s="33">
        <f t="shared" si="201"/>
        <v>33516126</v>
      </c>
      <c r="T415" s="32">
        <f t="shared" si="202"/>
        <v>864.55555555555554</v>
      </c>
      <c r="U415" s="39">
        <f t="shared" si="203"/>
        <v>33516126</v>
      </c>
      <c r="V415" s="41">
        <f>VLOOKUP(D415,LevelXp!$A$1:'LevelXp'!$B$1000,2,)/5</f>
        <v>242313317</v>
      </c>
      <c r="W415" s="29">
        <f t="shared" si="204"/>
        <v>28976552934</v>
      </c>
      <c r="X415" s="32">
        <f t="shared" si="205"/>
        <v>123.71129243020344</v>
      </c>
      <c r="Y415" s="41">
        <v>345</v>
      </c>
      <c r="Z415" s="41">
        <v>242313317</v>
      </c>
      <c r="AA415" s="41">
        <v>1</v>
      </c>
      <c r="AC415" s="50">
        <v>414</v>
      </c>
      <c r="AD415" s="51">
        <f t="shared" si="189"/>
        <v>0</v>
      </c>
      <c r="AE415" s="51">
        <f t="shared" si="191"/>
        <v>200000000</v>
      </c>
      <c r="AF415" s="51">
        <f t="shared" si="190"/>
        <v>0</v>
      </c>
      <c r="AG415" s="55">
        <f t="shared" si="191"/>
        <v>0.22222222222222221</v>
      </c>
      <c r="AH415" s="29">
        <f>SUM($AF$2:AF415)</f>
        <v>274</v>
      </c>
      <c r="AI415" s="55">
        <f>SUM($AG$2:AG415)</f>
        <v>274.66666666666583</v>
      </c>
    </row>
    <row r="416" spans="1:35" x14ac:dyDescent="0.2">
      <c r="A416" s="48" t="s">
        <v>2937</v>
      </c>
      <c r="B416" s="29">
        <v>460</v>
      </c>
      <c r="N416" s="33"/>
      <c r="Q416" s="33"/>
      <c r="S416" s="33"/>
      <c r="U416" s="39"/>
      <c r="V416" s="41">
        <f>VLOOKUP(B416,LevelXp!$D$1:'LevelXp'!$F$1000,3,)</f>
        <v>243001136</v>
      </c>
      <c r="Y416" s="41">
        <v>345</v>
      </c>
      <c r="Z416" s="41">
        <v>243001136</v>
      </c>
      <c r="AA416" s="41">
        <v>0</v>
      </c>
      <c r="AC416" s="50">
        <v>415</v>
      </c>
      <c r="AD416" s="51">
        <f t="shared" si="189"/>
        <v>300000000</v>
      </c>
      <c r="AE416" s="51">
        <f t="shared" si="191"/>
        <v>200000000</v>
      </c>
      <c r="AF416" s="51">
        <f t="shared" si="190"/>
        <v>1</v>
      </c>
      <c r="AG416" s="55">
        <f t="shared" si="191"/>
        <v>0.33333333333333331</v>
      </c>
      <c r="AH416" s="29">
        <f>SUM($AF$2:AF416)</f>
        <v>275</v>
      </c>
      <c r="AI416" s="55">
        <f>SUM($AG$2:AG416)</f>
        <v>274.99999999999915</v>
      </c>
    </row>
    <row r="417" spans="1:35" x14ac:dyDescent="0.2">
      <c r="A417" s="48" t="s">
        <v>8867</v>
      </c>
      <c r="B417" s="29">
        <v>4</v>
      </c>
      <c r="C417" s="29">
        <v>1</v>
      </c>
      <c r="D417" s="29">
        <v>440</v>
      </c>
      <c r="E417" s="29">
        <v>34890</v>
      </c>
      <c r="F417" s="29">
        <v>12210</v>
      </c>
      <c r="G417" s="29">
        <v>12180</v>
      </c>
      <c r="H417" s="29">
        <v>24230</v>
      </c>
      <c r="I417" s="29">
        <v>7380</v>
      </c>
      <c r="J417" s="29">
        <v>53427152</v>
      </c>
      <c r="K417" s="29">
        <v>1796</v>
      </c>
      <c r="L417" s="29">
        <v>4404</v>
      </c>
      <c r="N417" s="33"/>
      <c r="O417" s="29">
        <f t="shared" ref="O417:O434" si="206">AVERAGE(K417, L417)</f>
        <v>3100</v>
      </c>
      <c r="P417" s="31" cm="1">
        <f t="array" ref="P417">WPNFACTOR(C417)</f>
        <v>2</v>
      </c>
      <c r="Q417" s="33" cm="1">
        <f t="array" ref="Q417">HPFACTOr(C417)</f>
        <v>5</v>
      </c>
      <c r="R417" s="32">
        <f t="shared" ref="R417:R434" si="207">O417/P417</f>
        <v>1550</v>
      </c>
      <c r="S417" s="33">
        <f t="shared" ref="S417:S434" si="208">J417/Q417</f>
        <v>10685430.4</v>
      </c>
      <c r="T417" s="32">
        <f t="shared" ref="T417:T434" si="209">R417*(1 + (N417/400))</f>
        <v>1550</v>
      </c>
      <c r="U417" s="39">
        <f t="shared" ref="U417:U434" si="210">S417*1.6/(1 + (0.6*(1 - (M417/100))))</f>
        <v>10685430.4</v>
      </c>
      <c r="V417" s="41">
        <f>VLOOKUP(D417,LevelXp!$A$1:'LevelXp'!$B$1000,2,)/5</f>
        <v>300000000</v>
      </c>
      <c r="W417" s="29">
        <f t="shared" ref="W417:W434" si="211">T417*U417</f>
        <v>16562417120</v>
      </c>
      <c r="X417" s="32">
        <f t="shared" ref="X417:X434" si="212">POWER(W417, 1/$X$1)</f>
        <v>110.61773040557922</v>
      </c>
      <c r="Y417" s="41">
        <v>346</v>
      </c>
      <c r="Z417" s="41">
        <v>300000000</v>
      </c>
      <c r="AA417" s="41">
        <v>1</v>
      </c>
      <c r="AC417" s="50">
        <v>416</v>
      </c>
      <c r="AD417" s="51">
        <f t="shared" si="189"/>
        <v>0</v>
      </c>
      <c r="AE417" s="51">
        <f t="shared" si="191"/>
        <v>166666666.66666666</v>
      </c>
      <c r="AF417" s="51">
        <f t="shared" si="190"/>
        <v>0</v>
      </c>
      <c r="AG417" s="55">
        <f t="shared" si="191"/>
        <v>0.33333333333333331</v>
      </c>
      <c r="AH417" s="29">
        <f>SUM($AF$2:AF417)</f>
        <v>275</v>
      </c>
      <c r="AI417" s="55">
        <f>SUM($AG$2:AG417)</f>
        <v>275.33333333333246</v>
      </c>
    </row>
    <row r="418" spans="1:35" x14ac:dyDescent="0.2">
      <c r="A418" s="48" t="s">
        <v>8867</v>
      </c>
      <c r="B418" s="29">
        <v>5</v>
      </c>
      <c r="C418" s="29">
        <v>2</v>
      </c>
      <c r="D418" s="29">
        <v>450</v>
      </c>
      <c r="E418" s="29">
        <v>14610</v>
      </c>
      <c r="F418" s="29">
        <v>14650</v>
      </c>
      <c r="G418" s="29">
        <v>41860</v>
      </c>
      <c r="H418" s="29">
        <v>26650</v>
      </c>
      <c r="I418" s="29">
        <v>8850</v>
      </c>
      <c r="J418" s="29">
        <v>24038300</v>
      </c>
      <c r="K418" s="29">
        <v>4848</v>
      </c>
      <c r="L418" s="29">
        <v>11901</v>
      </c>
      <c r="N418" s="33"/>
      <c r="O418" s="29">
        <f t="shared" si="206"/>
        <v>8374.5</v>
      </c>
      <c r="P418" s="31" cm="1">
        <f t="array" ref="P418">WPNFACTOR(C418)</f>
        <v>4.5</v>
      </c>
      <c r="Q418" s="33" cm="1">
        <f t="array" ref="Q418">HPFACTOr(C418)</f>
        <v>2</v>
      </c>
      <c r="R418" s="32">
        <f t="shared" si="207"/>
        <v>1861</v>
      </c>
      <c r="S418" s="33">
        <f t="shared" si="208"/>
        <v>12019150</v>
      </c>
      <c r="T418" s="32">
        <f t="shared" si="209"/>
        <v>1861</v>
      </c>
      <c r="U418" s="39">
        <f t="shared" si="210"/>
        <v>12019150</v>
      </c>
      <c r="V418" s="41">
        <f>VLOOKUP(D418,LevelXp!$A$1:'LevelXp'!$B$1000,2,)/5</f>
        <v>300000000</v>
      </c>
      <c r="W418" s="29">
        <f t="shared" si="211"/>
        <v>22367638150</v>
      </c>
      <c r="X418" s="32">
        <f t="shared" si="212"/>
        <v>117.46920394515669</v>
      </c>
      <c r="Y418" s="41">
        <v>346</v>
      </c>
      <c r="Z418" s="41">
        <v>300000000</v>
      </c>
      <c r="AA418" s="41">
        <v>1</v>
      </c>
      <c r="AC418" s="50">
        <v>417</v>
      </c>
      <c r="AD418" s="51">
        <f t="shared" si="189"/>
        <v>300000000</v>
      </c>
      <c r="AE418" s="51">
        <f t="shared" si="191"/>
        <v>166666666.66666666</v>
      </c>
      <c r="AF418" s="51">
        <f t="shared" si="190"/>
        <v>1</v>
      </c>
      <c r="AG418" s="55">
        <f t="shared" si="191"/>
        <v>0.33333333333333331</v>
      </c>
      <c r="AH418" s="29">
        <f>SUM($AF$2:AF418)</f>
        <v>276</v>
      </c>
      <c r="AI418" s="55">
        <f>SUM($AG$2:AG418)</f>
        <v>275.66666666666578</v>
      </c>
    </row>
    <row r="419" spans="1:35" x14ac:dyDescent="0.2">
      <c r="A419" s="48" t="s">
        <v>8857</v>
      </c>
      <c r="B419" s="29">
        <v>5</v>
      </c>
      <c r="C419" s="29">
        <v>2</v>
      </c>
      <c r="D419" s="29">
        <v>330</v>
      </c>
      <c r="E419" s="29">
        <v>10000</v>
      </c>
      <c r="F419" s="29">
        <v>10000</v>
      </c>
      <c r="G419" s="29">
        <v>24000</v>
      </c>
      <c r="H419" s="29">
        <v>160000</v>
      </c>
      <c r="I419" s="29">
        <v>8000</v>
      </c>
      <c r="J419" s="29">
        <v>163200000</v>
      </c>
      <c r="K419" s="29">
        <v>1000</v>
      </c>
      <c r="L419" s="29">
        <v>1989</v>
      </c>
      <c r="M419" s="29">
        <v>25</v>
      </c>
      <c r="N419" s="33">
        <v>40</v>
      </c>
      <c r="O419" s="29">
        <f t="shared" si="206"/>
        <v>1494.5</v>
      </c>
      <c r="P419" s="31" cm="1">
        <f t="array" ref="P419">WPNFACTOR(C419)</f>
        <v>4.5</v>
      </c>
      <c r="Q419" s="33" cm="1">
        <f t="array" ref="Q419">HPFACTOr(C419)</f>
        <v>2</v>
      </c>
      <c r="R419" s="32">
        <f t="shared" si="207"/>
        <v>332.11111111111109</v>
      </c>
      <c r="S419" s="33">
        <f t="shared" si="208"/>
        <v>81600000</v>
      </c>
      <c r="T419" s="32">
        <f t="shared" si="209"/>
        <v>365.32222222222225</v>
      </c>
      <c r="U419" s="39">
        <f t="shared" si="210"/>
        <v>90041379.31034483</v>
      </c>
      <c r="V419" s="41">
        <f>VLOOKUP(D419,LevelXp!$A$1:'LevelXp'!$B$1000,2,)/5</f>
        <v>123067419</v>
      </c>
      <c r="W419" s="29">
        <f t="shared" si="211"/>
        <v>32894116781.6092</v>
      </c>
      <c r="X419" s="32">
        <f t="shared" si="212"/>
        <v>126.88890394047387</v>
      </c>
      <c r="Y419" s="41">
        <v>346</v>
      </c>
      <c r="Z419" s="41">
        <v>123067419</v>
      </c>
      <c r="AA419" s="41">
        <v>1</v>
      </c>
      <c r="AC419" s="50">
        <v>418</v>
      </c>
      <c r="AD419" s="51">
        <f t="shared" si="189"/>
        <v>0</v>
      </c>
      <c r="AE419" s="51">
        <f t="shared" si="191"/>
        <v>133333333.33333333</v>
      </c>
      <c r="AF419" s="51">
        <f t="shared" si="190"/>
        <v>0</v>
      </c>
      <c r="AG419" s="55">
        <f t="shared" si="191"/>
        <v>0.33333333333333331</v>
      </c>
      <c r="AH419" s="29">
        <f>SUM($AF$2:AF419)</f>
        <v>276</v>
      </c>
      <c r="AI419" s="55">
        <f>SUM($AG$2:AG419)</f>
        <v>275.99999999999909</v>
      </c>
    </row>
    <row r="420" spans="1:35" x14ac:dyDescent="0.2">
      <c r="A420" s="48" t="s">
        <v>8862</v>
      </c>
      <c r="B420" s="29">
        <v>6</v>
      </c>
      <c r="C420" s="29">
        <v>3</v>
      </c>
      <c r="D420" s="29">
        <v>328</v>
      </c>
      <c r="E420" s="29">
        <v>10180</v>
      </c>
      <c r="F420" s="29">
        <v>20360</v>
      </c>
      <c r="G420" s="29">
        <v>10180</v>
      </c>
      <c r="H420" s="29">
        <v>69500</v>
      </c>
      <c r="I420" s="29">
        <v>10180</v>
      </c>
      <c r="J420" s="29">
        <v>193000000</v>
      </c>
      <c r="K420" s="29">
        <v>1016</v>
      </c>
      <c r="L420" s="29">
        <v>1254</v>
      </c>
      <c r="M420" s="29">
        <v>25</v>
      </c>
      <c r="N420" s="33">
        <v>25</v>
      </c>
      <c r="O420" s="29">
        <f t="shared" si="206"/>
        <v>1135</v>
      </c>
      <c r="P420" s="31" cm="1">
        <f t="array" ref="P420">WPNFACTOR(C420)</f>
        <v>2.5</v>
      </c>
      <c r="Q420" s="33" cm="1">
        <f t="array" ref="Q420">HPFACTOr(C420)</f>
        <v>4</v>
      </c>
      <c r="R420" s="32">
        <f t="shared" si="207"/>
        <v>454</v>
      </c>
      <c r="S420" s="33">
        <f t="shared" si="208"/>
        <v>48250000</v>
      </c>
      <c r="T420" s="32">
        <f t="shared" si="209"/>
        <v>482.375</v>
      </c>
      <c r="U420" s="39">
        <f t="shared" si="210"/>
        <v>53241379.31034483</v>
      </c>
      <c r="V420" s="41">
        <f>VLOOKUP(D420,LevelXp!$A$1:'LevelXp'!$B$1000,2,)/5</f>
        <v>119373368</v>
      </c>
      <c r="W420" s="29">
        <f t="shared" si="211"/>
        <v>25682310344.827587</v>
      </c>
      <c r="X420" s="32">
        <f t="shared" si="212"/>
        <v>120.76103260450807</v>
      </c>
      <c r="Y420" s="41">
        <v>347</v>
      </c>
      <c r="Z420" s="41">
        <v>119373368</v>
      </c>
      <c r="AA420" s="41">
        <v>1</v>
      </c>
      <c r="AC420" s="50">
        <v>419</v>
      </c>
      <c r="AD420" s="51">
        <f t="shared" si="189"/>
        <v>300000000</v>
      </c>
      <c r="AE420" s="51">
        <f t="shared" si="191"/>
        <v>166666666.66666666</v>
      </c>
      <c r="AF420" s="51">
        <f t="shared" si="190"/>
        <v>1</v>
      </c>
      <c r="AG420" s="55">
        <f t="shared" si="191"/>
        <v>0.33333333333333331</v>
      </c>
      <c r="AH420" s="29">
        <f>SUM($AF$2:AF420)</f>
        <v>277</v>
      </c>
      <c r="AI420" s="55">
        <f>SUM($AG$2:AG420)</f>
        <v>276.3333333333324</v>
      </c>
    </row>
    <row r="421" spans="1:35" x14ac:dyDescent="0.2">
      <c r="A421" s="48" t="s">
        <v>8862</v>
      </c>
      <c r="B421" s="29">
        <v>7</v>
      </c>
      <c r="C421" s="29">
        <v>2</v>
      </c>
      <c r="D421" s="29">
        <v>331</v>
      </c>
      <c r="E421" s="29">
        <v>10360</v>
      </c>
      <c r="F421" s="29">
        <v>10360</v>
      </c>
      <c r="G421" s="29">
        <v>20720</v>
      </c>
      <c r="H421" s="29">
        <v>71000</v>
      </c>
      <c r="I421" s="29">
        <v>10360</v>
      </c>
      <c r="J421" s="29">
        <v>197500000</v>
      </c>
      <c r="K421" s="29">
        <v>1024</v>
      </c>
      <c r="L421" s="29">
        <v>1274</v>
      </c>
      <c r="M421" s="29">
        <v>25</v>
      </c>
      <c r="N421" s="33">
        <v>25</v>
      </c>
      <c r="O421" s="29">
        <f t="shared" si="206"/>
        <v>1149</v>
      </c>
      <c r="P421" s="31" cm="1">
        <f t="array" ref="P421">WPNFACTOR(C421)</f>
        <v>4.5</v>
      </c>
      <c r="Q421" s="33" cm="1">
        <f t="array" ref="Q421">HPFACTOr(C421)</f>
        <v>2</v>
      </c>
      <c r="R421" s="32">
        <f t="shared" si="207"/>
        <v>255.33333333333334</v>
      </c>
      <c r="S421" s="33">
        <f t="shared" si="208"/>
        <v>98750000</v>
      </c>
      <c r="T421" s="32">
        <f t="shared" si="209"/>
        <v>271.29166666666669</v>
      </c>
      <c r="U421" s="39">
        <f t="shared" si="210"/>
        <v>108965517.24137932</v>
      </c>
      <c r="V421" s="41">
        <f>VLOOKUP(D421,LevelXp!$A$1:'LevelXp'!$B$1000,2,)/5</f>
        <v>124939452</v>
      </c>
      <c r="W421" s="29">
        <f t="shared" si="211"/>
        <v>29561436781.6092</v>
      </c>
      <c r="X421" s="32">
        <f t="shared" si="212"/>
        <v>124.20672412039099</v>
      </c>
      <c r="Y421" s="41">
        <v>347</v>
      </c>
      <c r="Z421" s="41">
        <v>124939452</v>
      </c>
      <c r="AA421" s="41">
        <v>1</v>
      </c>
      <c r="AC421" s="50">
        <v>420</v>
      </c>
      <c r="AD421" s="51">
        <f t="shared" si="189"/>
        <v>0</v>
      </c>
      <c r="AE421" s="51">
        <f t="shared" si="191"/>
        <v>133333333.33333333</v>
      </c>
      <c r="AF421" s="51">
        <f t="shared" si="190"/>
        <v>0</v>
      </c>
      <c r="AG421" s="55">
        <f t="shared" si="191"/>
        <v>0.22222222222222221</v>
      </c>
      <c r="AH421" s="29">
        <f>SUM($AF$2:AF421)</f>
        <v>277</v>
      </c>
      <c r="AI421" s="55">
        <f>SUM($AG$2:AG421)</f>
        <v>276.55555555555463</v>
      </c>
    </row>
    <row r="422" spans="1:35" x14ac:dyDescent="0.2">
      <c r="A422" s="48" t="s">
        <v>8858</v>
      </c>
      <c r="B422" s="29">
        <v>10</v>
      </c>
      <c r="C422" s="29">
        <v>2</v>
      </c>
      <c r="D422" s="29">
        <v>500</v>
      </c>
      <c r="E422" s="29">
        <v>35000</v>
      </c>
      <c r="F422" s="29">
        <v>35000</v>
      </c>
      <c r="G422" s="29">
        <v>90000</v>
      </c>
      <c r="H422" s="29">
        <v>43000</v>
      </c>
      <c r="I422" s="29">
        <v>21000</v>
      </c>
      <c r="J422" s="29">
        <v>50000000</v>
      </c>
      <c r="K422" s="29">
        <v>1701</v>
      </c>
      <c r="L422" s="29">
        <v>2798</v>
      </c>
      <c r="N422" s="33"/>
      <c r="O422" s="29">
        <f t="shared" si="206"/>
        <v>2249.5</v>
      </c>
      <c r="P422" s="31" cm="1">
        <f t="array" ref="P422">WPNFACTOR(C422)</f>
        <v>4.5</v>
      </c>
      <c r="Q422" s="33" cm="1">
        <f t="array" ref="Q422">HPFACTOr(C422)</f>
        <v>2</v>
      </c>
      <c r="R422" s="32">
        <f t="shared" si="207"/>
        <v>499.88888888888891</v>
      </c>
      <c r="S422" s="33">
        <f t="shared" si="208"/>
        <v>25000000</v>
      </c>
      <c r="T422" s="32">
        <f t="shared" si="209"/>
        <v>499.88888888888891</v>
      </c>
      <c r="U422" s="39">
        <f t="shared" si="210"/>
        <v>25000000</v>
      </c>
      <c r="V422" s="41">
        <f>VLOOKUP(D422,LevelXp!$A$1:'LevelXp'!$B$1000,2,)/5</f>
        <v>300000000</v>
      </c>
      <c r="W422" s="29">
        <f t="shared" si="211"/>
        <v>12497222222.222223</v>
      </c>
      <c r="X422" s="32">
        <f t="shared" si="212"/>
        <v>104.5593075590797</v>
      </c>
      <c r="Y422" s="41">
        <v>347</v>
      </c>
      <c r="Z422" s="41">
        <v>300000000</v>
      </c>
      <c r="AA422" s="41">
        <v>1</v>
      </c>
      <c r="AC422" s="50">
        <v>421</v>
      </c>
      <c r="AD422" s="51">
        <f t="shared" si="189"/>
        <v>300000000</v>
      </c>
      <c r="AE422" s="51">
        <f t="shared" si="191"/>
        <v>166666666.66666666</v>
      </c>
      <c r="AF422" s="51">
        <f t="shared" si="190"/>
        <v>0</v>
      </c>
      <c r="AG422" s="55">
        <f t="shared" si="191"/>
        <v>0.22222222222222221</v>
      </c>
      <c r="AH422" s="29">
        <f>SUM($AF$2:AF422)</f>
        <v>277</v>
      </c>
      <c r="AI422" s="55">
        <f>SUM($AG$2:AG422)</f>
        <v>276.77777777777686</v>
      </c>
    </row>
    <row r="423" spans="1:35" x14ac:dyDescent="0.2">
      <c r="A423" s="48" t="s">
        <v>8852</v>
      </c>
      <c r="B423" s="29">
        <v>8</v>
      </c>
      <c r="C423" s="29">
        <v>1</v>
      </c>
      <c r="D423" s="29">
        <v>452</v>
      </c>
      <c r="E423" s="29">
        <v>14533</v>
      </c>
      <c r="F423" s="29">
        <v>5093</v>
      </c>
      <c r="G423" s="29">
        <v>5064</v>
      </c>
      <c r="H423" s="29">
        <v>78150</v>
      </c>
      <c r="I423" s="29">
        <v>3140</v>
      </c>
      <c r="J423" s="29">
        <v>177009744</v>
      </c>
      <c r="K423" s="29">
        <v>4879</v>
      </c>
      <c r="L423" s="29">
        <v>9249</v>
      </c>
      <c r="N423" s="33"/>
      <c r="O423" s="29">
        <f t="shared" si="206"/>
        <v>7064</v>
      </c>
      <c r="P423" s="31" cm="1">
        <f t="array" ref="P423">WPNFACTOR(C423)</f>
        <v>2</v>
      </c>
      <c r="Q423" s="33" cm="1">
        <f t="array" ref="Q423">HPFACTOr(C423)</f>
        <v>5</v>
      </c>
      <c r="R423" s="32">
        <f t="shared" si="207"/>
        <v>3532</v>
      </c>
      <c r="S423" s="33">
        <f t="shared" si="208"/>
        <v>35401948.799999997</v>
      </c>
      <c r="T423" s="32">
        <f t="shared" si="209"/>
        <v>3532</v>
      </c>
      <c r="U423" s="39">
        <f t="shared" si="210"/>
        <v>35401948.799999997</v>
      </c>
      <c r="V423" s="41">
        <f>VLOOKUP(D423,LevelXp!$A$1:'LevelXp'!$B$1000,2,)/5</f>
        <v>300000000</v>
      </c>
      <c r="W423" s="29">
        <f t="shared" si="211"/>
        <v>125039683161.59999</v>
      </c>
      <c r="X423" s="32">
        <f t="shared" si="212"/>
        <v>165.73322177222624</v>
      </c>
      <c r="Y423" s="41">
        <v>348</v>
      </c>
      <c r="Z423" s="41">
        <v>300000000</v>
      </c>
      <c r="AA423" s="41">
        <v>0</v>
      </c>
      <c r="AC423" s="50">
        <v>422</v>
      </c>
      <c r="AD423" s="51">
        <f t="shared" si="189"/>
        <v>0</v>
      </c>
      <c r="AE423" s="51">
        <f t="shared" si="191"/>
        <v>133333333.33333333</v>
      </c>
      <c r="AF423" s="51">
        <f t="shared" si="190"/>
        <v>0</v>
      </c>
      <c r="AG423" s="55">
        <f t="shared" si="191"/>
        <v>0.1111111111111111</v>
      </c>
      <c r="AH423" s="29">
        <f>SUM($AF$2:AF423)</f>
        <v>277</v>
      </c>
      <c r="AI423" s="55">
        <f>SUM($AG$2:AG423)</f>
        <v>276.88888888888795</v>
      </c>
    </row>
    <row r="424" spans="1:35" x14ac:dyDescent="0.2">
      <c r="A424" s="48" t="s">
        <v>8862</v>
      </c>
      <c r="B424" s="29">
        <v>8</v>
      </c>
      <c r="C424" s="29">
        <v>2</v>
      </c>
      <c r="D424" s="29">
        <v>334</v>
      </c>
      <c r="E424" s="29">
        <v>10540</v>
      </c>
      <c r="F424" s="29">
        <v>10540</v>
      </c>
      <c r="G424" s="29">
        <v>21080</v>
      </c>
      <c r="H424" s="29">
        <v>72500</v>
      </c>
      <c r="I424" s="29">
        <v>10540</v>
      </c>
      <c r="J424" s="29">
        <v>202000000</v>
      </c>
      <c r="K424" s="29">
        <v>1037</v>
      </c>
      <c r="L424" s="29">
        <v>1286</v>
      </c>
      <c r="M424" s="29">
        <v>25</v>
      </c>
      <c r="N424" s="33">
        <v>25</v>
      </c>
      <c r="O424" s="29">
        <f t="shared" si="206"/>
        <v>1161.5</v>
      </c>
      <c r="P424" s="31" cm="1">
        <f t="array" ref="P424">WPNFACTOR(C424)</f>
        <v>4.5</v>
      </c>
      <c r="Q424" s="33" cm="1">
        <f t="array" ref="Q424">HPFACTOr(C424)</f>
        <v>2</v>
      </c>
      <c r="R424" s="32">
        <f t="shared" si="207"/>
        <v>258.11111111111109</v>
      </c>
      <c r="S424" s="33">
        <f t="shared" si="208"/>
        <v>101000000</v>
      </c>
      <c r="T424" s="32">
        <f t="shared" si="209"/>
        <v>274.24305555555554</v>
      </c>
      <c r="U424" s="39">
        <f t="shared" si="210"/>
        <v>111448275.86206897</v>
      </c>
      <c r="V424" s="41">
        <f>VLOOKUP(D424,LevelXp!$A$1:'LevelXp'!$B$1000,2,)/5</f>
        <v>130745487</v>
      </c>
      <c r="W424" s="29">
        <f t="shared" si="211"/>
        <v>30563915708.81226</v>
      </c>
      <c r="X424" s="32">
        <f t="shared" si="212"/>
        <v>125.03793671456046</v>
      </c>
      <c r="Y424" s="41">
        <v>348</v>
      </c>
      <c r="Z424" s="41">
        <v>130745487</v>
      </c>
      <c r="AA424" s="41">
        <v>1</v>
      </c>
      <c r="AC424" s="50">
        <v>423</v>
      </c>
      <c r="AD424" s="51">
        <f t="shared" si="189"/>
        <v>300000000</v>
      </c>
      <c r="AE424" s="51">
        <f t="shared" si="191"/>
        <v>166666666.66666666</v>
      </c>
      <c r="AF424" s="51">
        <f t="shared" si="190"/>
        <v>0</v>
      </c>
      <c r="AG424" s="55">
        <f t="shared" si="191"/>
        <v>0.1111111111111111</v>
      </c>
      <c r="AH424" s="29">
        <f>SUM($AF$2:AF424)</f>
        <v>277</v>
      </c>
      <c r="AI424" s="55">
        <f>SUM($AG$2:AG424)</f>
        <v>276.99999999999903</v>
      </c>
    </row>
    <row r="425" spans="1:35" x14ac:dyDescent="0.2">
      <c r="A425" s="48" t="s">
        <v>2846</v>
      </c>
      <c r="B425" s="29">
        <v>2</v>
      </c>
      <c r="C425" s="29">
        <v>1</v>
      </c>
      <c r="D425" s="29">
        <v>244</v>
      </c>
      <c r="E425" s="29">
        <v>100000</v>
      </c>
      <c r="F425" s="29">
        <v>2500</v>
      </c>
      <c r="G425" s="29">
        <v>2500</v>
      </c>
      <c r="H425" s="29">
        <v>84000</v>
      </c>
      <c r="I425" s="29">
        <v>6000</v>
      </c>
      <c r="J425" s="29">
        <v>100000000</v>
      </c>
      <c r="K425" s="29">
        <v>2400</v>
      </c>
      <c r="L425" s="29">
        <v>3399</v>
      </c>
      <c r="N425" s="33"/>
      <c r="O425" s="29">
        <f t="shared" si="206"/>
        <v>2899.5</v>
      </c>
      <c r="P425" s="31" cm="1">
        <f t="array" ref="P425">WPNFACTOR(C425)</f>
        <v>2</v>
      </c>
      <c r="Q425" s="33" cm="1">
        <f t="array" ref="Q425">HPFACTOr(C425)</f>
        <v>5</v>
      </c>
      <c r="R425" s="32">
        <f t="shared" si="207"/>
        <v>1449.75</v>
      </c>
      <c r="S425" s="33">
        <f t="shared" si="208"/>
        <v>20000000</v>
      </c>
      <c r="T425" s="32">
        <f t="shared" si="209"/>
        <v>1449.75</v>
      </c>
      <c r="U425" s="39">
        <f t="shared" si="210"/>
        <v>20000000</v>
      </c>
      <c r="V425" s="41">
        <f>VLOOKUP(D425,LevelXp!$A$1:'LevelXp'!$B$1000,2,)/5</f>
        <v>28420280</v>
      </c>
      <c r="W425" s="29">
        <f t="shared" si="211"/>
        <v>28995000000</v>
      </c>
      <c r="X425" s="32">
        <f t="shared" si="212"/>
        <v>123.72703984825031</v>
      </c>
      <c r="Y425" s="41">
        <v>348</v>
      </c>
      <c r="Z425" s="41">
        <v>28420280</v>
      </c>
      <c r="AA425" s="41">
        <v>1</v>
      </c>
      <c r="AC425" s="50">
        <v>424</v>
      </c>
      <c r="AD425" s="51">
        <f t="shared" si="189"/>
        <v>0</v>
      </c>
      <c r="AE425" s="51">
        <f t="shared" si="191"/>
        <v>133333333.33333333</v>
      </c>
      <c r="AF425" s="51">
        <f t="shared" si="190"/>
        <v>0</v>
      </c>
      <c r="AG425" s="55">
        <f t="shared" si="191"/>
        <v>0</v>
      </c>
      <c r="AH425" s="29">
        <f>SUM($AF$2:AF425)</f>
        <v>277</v>
      </c>
      <c r="AI425" s="55">
        <f>SUM($AG$2:AG425)</f>
        <v>276.99999999999903</v>
      </c>
    </row>
    <row r="426" spans="1:35" x14ac:dyDescent="0.2">
      <c r="A426" s="48" t="s">
        <v>8865</v>
      </c>
      <c r="B426" s="29">
        <v>7</v>
      </c>
      <c r="C426" s="29">
        <v>2</v>
      </c>
      <c r="D426" s="29">
        <v>370</v>
      </c>
      <c r="E426" s="29">
        <v>7773</v>
      </c>
      <c r="F426" s="29">
        <v>7772</v>
      </c>
      <c r="G426" s="29">
        <v>19358</v>
      </c>
      <c r="H426" s="29">
        <v>91315</v>
      </c>
      <c r="I426" s="29">
        <v>13191</v>
      </c>
      <c r="J426" s="29">
        <v>116878632</v>
      </c>
      <c r="K426" s="29">
        <v>1451</v>
      </c>
      <c r="L426" s="29">
        <v>2356</v>
      </c>
      <c r="N426" s="33"/>
      <c r="O426" s="29">
        <f t="shared" si="206"/>
        <v>1903.5</v>
      </c>
      <c r="P426" s="31" cm="1">
        <f t="array" ref="P426">WPNFACTOR(C426)</f>
        <v>4.5</v>
      </c>
      <c r="Q426" s="33" cm="1">
        <f t="array" ref="Q426">HPFACTOr(C426)</f>
        <v>2</v>
      </c>
      <c r="R426" s="32">
        <f t="shared" si="207"/>
        <v>423</v>
      </c>
      <c r="S426" s="33">
        <f t="shared" si="208"/>
        <v>58439316</v>
      </c>
      <c r="T426" s="32">
        <f t="shared" si="209"/>
        <v>423</v>
      </c>
      <c r="U426" s="39">
        <f t="shared" si="210"/>
        <v>58439316</v>
      </c>
      <c r="V426" s="41">
        <f>VLOOKUP(D426,LevelXp!$A$1:'LevelXp'!$B$1000,2,)/5</f>
        <v>220033230</v>
      </c>
      <c r="W426" s="29">
        <f t="shared" si="211"/>
        <v>24719830668</v>
      </c>
      <c r="X426" s="32">
        <f t="shared" si="212"/>
        <v>119.8420138242884</v>
      </c>
      <c r="Y426" s="41">
        <v>349</v>
      </c>
      <c r="Z426" s="41">
        <v>220033230</v>
      </c>
      <c r="AA426" s="41">
        <v>1</v>
      </c>
      <c r="AC426" s="50">
        <v>425</v>
      </c>
      <c r="AD426" s="51">
        <f t="shared" si="189"/>
        <v>300000000</v>
      </c>
      <c r="AE426" s="51">
        <f t="shared" si="191"/>
        <v>166666666.66666666</v>
      </c>
      <c r="AF426" s="51">
        <f t="shared" si="190"/>
        <v>0</v>
      </c>
      <c r="AG426" s="55">
        <f t="shared" si="191"/>
        <v>0.1111111111111111</v>
      </c>
      <c r="AH426" s="29">
        <f>SUM($AF$2:AF426)</f>
        <v>277</v>
      </c>
      <c r="AI426" s="55">
        <f>SUM($AG$2:AG426)</f>
        <v>277.11111111111012</v>
      </c>
    </row>
    <row r="427" spans="1:35" x14ac:dyDescent="0.2">
      <c r="A427" s="48" t="s">
        <v>8865</v>
      </c>
      <c r="B427" s="29">
        <v>6</v>
      </c>
      <c r="C427" s="29">
        <v>1</v>
      </c>
      <c r="D427" s="29">
        <v>362</v>
      </c>
      <c r="E427" s="29">
        <v>19163</v>
      </c>
      <c r="F427" s="29">
        <v>9228</v>
      </c>
      <c r="G427" s="29">
        <v>9077</v>
      </c>
      <c r="H427" s="29">
        <v>96410</v>
      </c>
      <c r="I427" s="29">
        <v>13359</v>
      </c>
      <c r="J427" s="29">
        <v>306222272</v>
      </c>
      <c r="K427" s="29">
        <v>490</v>
      </c>
      <c r="L427" s="29">
        <v>1181</v>
      </c>
      <c r="N427" s="33"/>
      <c r="O427" s="29">
        <f t="shared" si="206"/>
        <v>835.5</v>
      </c>
      <c r="P427" s="31" cm="1">
        <f t="array" ref="P427">WPNFACTOR(C427)</f>
        <v>2</v>
      </c>
      <c r="Q427" s="33" cm="1">
        <f t="array" ref="Q427">HPFACTOr(C427)</f>
        <v>5</v>
      </c>
      <c r="R427" s="32">
        <f t="shared" si="207"/>
        <v>417.75</v>
      </c>
      <c r="S427" s="33">
        <f t="shared" si="208"/>
        <v>61244454.399999999</v>
      </c>
      <c r="T427" s="32">
        <f t="shared" si="209"/>
        <v>417.75</v>
      </c>
      <c r="U427" s="39">
        <f t="shared" si="210"/>
        <v>61244454.399999999</v>
      </c>
      <c r="V427" s="41">
        <f>VLOOKUP(D427,LevelXp!$A$1:'LevelXp'!$B$1000,2,)/5</f>
        <v>196694080</v>
      </c>
      <c r="W427" s="29">
        <f t="shared" si="211"/>
        <v>25584870825.599998</v>
      </c>
      <c r="X427" s="32">
        <f t="shared" si="212"/>
        <v>120.66925896611296</v>
      </c>
      <c r="Y427" s="41">
        <v>349</v>
      </c>
      <c r="Z427" s="41">
        <v>196694080</v>
      </c>
      <c r="AA427" s="41">
        <v>1</v>
      </c>
      <c r="AC427" s="50">
        <v>426</v>
      </c>
      <c r="AD427" s="51">
        <f t="shared" si="189"/>
        <v>0</v>
      </c>
      <c r="AE427" s="51">
        <f t="shared" si="191"/>
        <v>133333333.33333333</v>
      </c>
      <c r="AF427" s="51">
        <f t="shared" si="190"/>
        <v>0</v>
      </c>
      <c r="AG427" s="55">
        <f t="shared" si="191"/>
        <v>0.1111111111111111</v>
      </c>
      <c r="AH427" s="29">
        <f>SUM($AF$2:AF427)</f>
        <v>277</v>
      </c>
      <c r="AI427" s="55">
        <f>SUM($AG$2:AG427)</f>
        <v>277.22222222222121</v>
      </c>
    </row>
    <row r="428" spans="1:35" x14ac:dyDescent="0.2">
      <c r="A428" s="48" t="s">
        <v>8865</v>
      </c>
      <c r="B428" s="29">
        <v>8</v>
      </c>
      <c r="C428" s="29">
        <v>2</v>
      </c>
      <c r="D428" s="29">
        <v>377</v>
      </c>
      <c r="E428" s="29">
        <v>5774</v>
      </c>
      <c r="F428" s="29">
        <v>5775</v>
      </c>
      <c r="G428" s="29">
        <v>24520</v>
      </c>
      <c r="H428" s="29">
        <v>96430</v>
      </c>
      <c r="I428" s="29">
        <v>13751</v>
      </c>
      <c r="J428" s="29">
        <v>125754360</v>
      </c>
      <c r="K428" s="29">
        <v>1592</v>
      </c>
      <c r="L428" s="29">
        <v>2385</v>
      </c>
      <c r="N428" s="33"/>
      <c r="O428" s="29">
        <f t="shared" si="206"/>
        <v>1988.5</v>
      </c>
      <c r="P428" s="31" cm="1">
        <f t="array" ref="P428">WPNFACTOR(C428)</f>
        <v>4.5</v>
      </c>
      <c r="Q428" s="33" cm="1">
        <f t="array" ref="Q428">HPFACTOr(C428)</f>
        <v>2</v>
      </c>
      <c r="R428" s="32">
        <f t="shared" si="207"/>
        <v>441.88888888888891</v>
      </c>
      <c r="S428" s="33">
        <f t="shared" si="208"/>
        <v>62877180</v>
      </c>
      <c r="T428" s="32">
        <f t="shared" si="209"/>
        <v>441.88888888888891</v>
      </c>
      <c r="U428" s="39">
        <f t="shared" si="210"/>
        <v>62877180</v>
      </c>
      <c r="V428" s="41">
        <f>VLOOKUP(D428,LevelXp!$A$1:'LevelXp'!$B$1000,2,)/5</f>
        <v>242313317</v>
      </c>
      <c r="W428" s="29">
        <f t="shared" si="211"/>
        <v>27784727206.666668</v>
      </c>
      <c r="X428" s="32">
        <f t="shared" si="212"/>
        <v>122.67645777391465</v>
      </c>
      <c r="Y428" s="41">
        <v>349</v>
      </c>
      <c r="Z428" s="41">
        <v>242313317</v>
      </c>
      <c r="AA428" s="41">
        <v>1</v>
      </c>
      <c r="AC428" s="50">
        <v>427</v>
      </c>
      <c r="AD428" s="51">
        <f t="shared" si="189"/>
        <v>300000000</v>
      </c>
      <c r="AE428" s="51">
        <f t="shared" si="191"/>
        <v>166666666.66666666</v>
      </c>
      <c r="AF428" s="51">
        <f t="shared" si="190"/>
        <v>0</v>
      </c>
      <c r="AG428" s="55">
        <f t="shared" si="191"/>
        <v>0.1111111111111111</v>
      </c>
      <c r="AH428" s="29">
        <f>SUM($AF$2:AF428)</f>
        <v>277</v>
      </c>
      <c r="AI428" s="55">
        <f>SUM($AG$2:AG428)</f>
        <v>277.33333333333229</v>
      </c>
    </row>
    <row r="429" spans="1:35" x14ac:dyDescent="0.2">
      <c r="A429" s="48" t="s">
        <v>8860</v>
      </c>
      <c r="B429" s="29">
        <v>2</v>
      </c>
      <c r="C429" s="29">
        <v>1</v>
      </c>
      <c r="D429" s="29">
        <v>354</v>
      </c>
      <c r="E429" s="29">
        <v>23480</v>
      </c>
      <c r="F429" s="29">
        <v>11740</v>
      </c>
      <c r="G429" s="29">
        <v>11740</v>
      </c>
      <c r="H429" s="29">
        <v>82500</v>
      </c>
      <c r="I429" s="29">
        <v>11740</v>
      </c>
      <c r="J429" s="29">
        <v>232000000</v>
      </c>
      <c r="K429" s="29">
        <v>1116</v>
      </c>
      <c r="L429" s="29">
        <v>1363</v>
      </c>
      <c r="M429" s="29">
        <v>50</v>
      </c>
      <c r="N429" s="33">
        <v>50</v>
      </c>
      <c r="O429" s="29">
        <f t="shared" si="206"/>
        <v>1239.5</v>
      </c>
      <c r="P429" s="31" cm="1">
        <f t="array" ref="P429">WPNFACTOR(C429)</f>
        <v>2</v>
      </c>
      <c r="Q429" s="33" cm="1">
        <f t="array" ref="Q429">HPFACTOr(C429)</f>
        <v>5</v>
      </c>
      <c r="R429" s="32">
        <f t="shared" si="207"/>
        <v>619.75</v>
      </c>
      <c r="S429" s="33">
        <f t="shared" si="208"/>
        <v>46400000</v>
      </c>
      <c r="T429" s="32">
        <f t="shared" si="209"/>
        <v>697.21875</v>
      </c>
      <c r="U429" s="39">
        <f t="shared" si="210"/>
        <v>57107692.307692304</v>
      </c>
      <c r="V429" s="41">
        <f>VLOOKUP(D429,LevelXp!$A$1:'LevelXp'!$B$1000,2,)/5</f>
        <v>175491135</v>
      </c>
      <c r="W429" s="29">
        <f t="shared" si="211"/>
        <v>39816553846.153847</v>
      </c>
      <c r="X429" s="32">
        <f t="shared" si="212"/>
        <v>131.82953911513727</v>
      </c>
      <c r="Y429" s="41">
        <v>350</v>
      </c>
      <c r="Z429" s="41">
        <v>175491135</v>
      </c>
      <c r="AA429" s="41">
        <v>0</v>
      </c>
      <c r="AC429" s="50">
        <v>428</v>
      </c>
      <c r="AD429" s="51">
        <f t="shared" si="189"/>
        <v>0</v>
      </c>
      <c r="AE429" s="51">
        <f t="shared" si="191"/>
        <v>133333333.33333333</v>
      </c>
      <c r="AF429" s="51">
        <f t="shared" si="190"/>
        <v>0</v>
      </c>
      <c r="AG429" s="55">
        <f t="shared" si="191"/>
        <v>0.1111111111111111</v>
      </c>
      <c r="AH429" s="29">
        <f>SUM($AF$2:AF429)</f>
        <v>277</v>
      </c>
      <c r="AI429" s="55">
        <f>SUM($AG$2:AG429)</f>
        <v>277.44444444444338</v>
      </c>
    </row>
    <row r="430" spans="1:35" x14ac:dyDescent="0.2">
      <c r="A430" s="48" t="s">
        <v>8860</v>
      </c>
      <c r="B430" s="29">
        <v>3</v>
      </c>
      <c r="C430" s="29">
        <v>1</v>
      </c>
      <c r="D430" s="29">
        <v>358</v>
      </c>
      <c r="E430" s="29">
        <v>23960</v>
      </c>
      <c r="F430" s="29">
        <v>11980</v>
      </c>
      <c r="G430" s="29">
        <v>11980</v>
      </c>
      <c r="H430" s="29">
        <v>84500</v>
      </c>
      <c r="I430" s="29">
        <v>11980</v>
      </c>
      <c r="J430" s="29">
        <v>238000000</v>
      </c>
      <c r="K430" s="29">
        <v>1140</v>
      </c>
      <c r="L430" s="29">
        <v>1380</v>
      </c>
      <c r="M430" s="29">
        <v>50</v>
      </c>
      <c r="N430" s="33">
        <v>50</v>
      </c>
      <c r="O430" s="29">
        <f t="shared" si="206"/>
        <v>1260</v>
      </c>
      <c r="P430" s="31" cm="1">
        <f t="array" ref="P430">WPNFACTOR(C430)</f>
        <v>2</v>
      </c>
      <c r="Q430" s="33" cm="1">
        <f t="array" ref="Q430">HPFACTOr(C430)</f>
        <v>5</v>
      </c>
      <c r="R430" s="32">
        <f t="shared" si="207"/>
        <v>630</v>
      </c>
      <c r="S430" s="33">
        <f t="shared" si="208"/>
        <v>47600000</v>
      </c>
      <c r="T430" s="32">
        <f t="shared" si="209"/>
        <v>708.75</v>
      </c>
      <c r="U430" s="39">
        <f t="shared" si="210"/>
        <v>58584615.384615384</v>
      </c>
      <c r="V430" s="41">
        <f>VLOOKUP(D430,LevelXp!$A$1:'LevelXp'!$B$1000,2,)/5</f>
        <v>185838637</v>
      </c>
      <c r="W430" s="29">
        <f t="shared" si="211"/>
        <v>41521846153.846153</v>
      </c>
      <c r="X430" s="32">
        <f t="shared" si="212"/>
        <v>132.93989486988451</v>
      </c>
      <c r="Y430" s="41">
        <v>350</v>
      </c>
      <c r="Z430" s="41">
        <v>185838637</v>
      </c>
      <c r="AA430" s="41">
        <v>0</v>
      </c>
      <c r="AC430" s="50">
        <v>429</v>
      </c>
      <c r="AD430" s="51">
        <f t="shared" si="189"/>
        <v>300000000</v>
      </c>
      <c r="AE430" s="51">
        <f t="shared" si="191"/>
        <v>166666666.66666666</v>
      </c>
      <c r="AF430" s="51">
        <f t="shared" si="190"/>
        <v>1</v>
      </c>
      <c r="AG430" s="55">
        <f t="shared" si="191"/>
        <v>0.1111111111111111</v>
      </c>
      <c r="AH430" s="29">
        <f>SUM($AF$2:AF430)</f>
        <v>278</v>
      </c>
      <c r="AI430" s="55">
        <f>SUM($AG$2:AG430)</f>
        <v>277.55555555555446</v>
      </c>
    </row>
    <row r="431" spans="1:35" x14ac:dyDescent="0.2">
      <c r="A431" s="48" t="s">
        <v>8860</v>
      </c>
      <c r="B431" s="29">
        <v>1</v>
      </c>
      <c r="C431" s="29">
        <v>2</v>
      </c>
      <c r="D431" s="29">
        <v>350</v>
      </c>
      <c r="E431" s="29">
        <v>11500</v>
      </c>
      <c r="F431" s="29">
        <v>11500</v>
      </c>
      <c r="G431" s="29">
        <v>23000</v>
      </c>
      <c r="H431" s="29">
        <v>80500</v>
      </c>
      <c r="I431" s="29">
        <v>11500</v>
      </c>
      <c r="J431" s="29">
        <v>226000000</v>
      </c>
      <c r="K431" s="29">
        <v>1102</v>
      </c>
      <c r="L431" s="29">
        <v>1349</v>
      </c>
      <c r="M431" s="29">
        <v>50</v>
      </c>
      <c r="N431" s="33">
        <v>50</v>
      </c>
      <c r="O431" s="29">
        <f t="shared" si="206"/>
        <v>1225.5</v>
      </c>
      <c r="P431" s="31" cm="1">
        <f t="array" ref="P431">WPNFACTOR(C431)</f>
        <v>4.5</v>
      </c>
      <c r="Q431" s="33" cm="1">
        <f t="array" ref="Q431">HPFACTOr(C431)</f>
        <v>2</v>
      </c>
      <c r="R431" s="32">
        <f t="shared" si="207"/>
        <v>272.33333333333331</v>
      </c>
      <c r="S431" s="33">
        <f t="shared" si="208"/>
        <v>113000000</v>
      </c>
      <c r="T431" s="32">
        <f t="shared" si="209"/>
        <v>306.375</v>
      </c>
      <c r="U431" s="39">
        <f t="shared" si="210"/>
        <v>139076923.07692307</v>
      </c>
      <c r="V431" s="41">
        <f>VLOOKUP(D431,LevelXp!$A$1:'LevelXp'!$B$1000,2,)/5</f>
        <v>165631756</v>
      </c>
      <c r="W431" s="29">
        <f t="shared" si="211"/>
        <v>42609692307.692307</v>
      </c>
      <c r="X431" s="32">
        <f t="shared" si="212"/>
        <v>133.62929575407088</v>
      </c>
      <c r="Y431" s="41">
        <v>350</v>
      </c>
      <c r="Z431" s="41">
        <v>165631756</v>
      </c>
      <c r="AA431" s="41">
        <v>0</v>
      </c>
      <c r="AC431" s="50">
        <v>430</v>
      </c>
      <c r="AD431" s="51">
        <f t="shared" si="189"/>
        <v>0</v>
      </c>
      <c r="AE431" s="51">
        <f t="shared" si="191"/>
        <v>166666666.66666666</v>
      </c>
      <c r="AF431" s="51">
        <f t="shared" si="190"/>
        <v>0</v>
      </c>
      <c r="AG431" s="55">
        <f t="shared" si="191"/>
        <v>0.1111111111111111</v>
      </c>
      <c r="AH431" s="29">
        <f>SUM($AF$2:AF431)</f>
        <v>278</v>
      </c>
      <c r="AI431" s="55">
        <f>SUM($AG$2:AG431)</f>
        <v>277.66666666666555</v>
      </c>
    </row>
    <row r="432" spans="1:35" x14ac:dyDescent="0.2">
      <c r="A432" s="48" t="s">
        <v>8860</v>
      </c>
      <c r="B432" s="29">
        <v>4</v>
      </c>
      <c r="C432" s="29">
        <v>1</v>
      </c>
      <c r="D432" s="29">
        <v>362</v>
      </c>
      <c r="E432" s="29">
        <v>24440</v>
      </c>
      <c r="F432" s="29">
        <v>12220</v>
      </c>
      <c r="G432" s="29">
        <v>12220</v>
      </c>
      <c r="H432" s="29">
        <v>86500</v>
      </c>
      <c r="I432" s="29">
        <v>12220</v>
      </c>
      <c r="J432" s="29">
        <v>244000000</v>
      </c>
      <c r="K432" s="29">
        <v>1151</v>
      </c>
      <c r="L432" s="29">
        <v>1397</v>
      </c>
      <c r="M432" s="29">
        <v>50</v>
      </c>
      <c r="N432" s="33">
        <v>50</v>
      </c>
      <c r="O432" s="29">
        <f t="shared" si="206"/>
        <v>1274</v>
      </c>
      <c r="P432" s="31" cm="1">
        <f t="array" ref="P432">WPNFACTOR(C432)</f>
        <v>2</v>
      </c>
      <c r="Q432" s="33" cm="1">
        <f t="array" ref="Q432">HPFACTOr(C432)</f>
        <v>5</v>
      </c>
      <c r="R432" s="32">
        <f t="shared" si="207"/>
        <v>637</v>
      </c>
      <c r="S432" s="33">
        <f t="shared" si="208"/>
        <v>48800000</v>
      </c>
      <c r="T432" s="32">
        <f t="shared" si="209"/>
        <v>716.625</v>
      </c>
      <c r="U432" s="39">
        <f t="shared" si="210"/>
        <v>60061538.461538456</v>
      </c>
      <c r="V432" s="41">
        <f>VLOOKUP(D432,LevelXp!$A$1:'LevelXp'!$B$1000,2,)/5</f>
        <v>196694080</v>
      </c>
      <c r="W432" s="29">
        <f t="shared" si="211"/>
        <v>43041600000</v>
      </c>
      <c r="X432" s="32">
        <f t="shared" si="212"/>
        <v>133.89910724734278</v>
      </c>
      <c r="Y432" s="41">
        <v>350</v>
      </c>
      <c r="Z432" s="41">
        <v>196694080</v>
      </c>
      <c r="AA432" s="41">
        <v>0</v>
      </c>
      <c r="AC432" s="50">
        <v>431</v>
      </c>
      <c r="AD432" s="51">
        <f t="shared" si="189"/>
        <v>300000000</v>
      </c>
      <c r="AE432" s="51">
        <f t="shared" si="191"/>
        <v>166666666.66666666</v>
      </c>
      <c r="AF432" s="51">
        <f t="shared" si="190"/>
        <v>0</v>
      </c>
      <c r="AG432" s="55">
        <f t="shared" si="191"/>
        <v>0.1111111111111111</v>
      </c>
      <c r="AH432" s="29">
        <f>SUM($AF$2:AF432)</f>
        <v>278</v>
      </c>
      <c r="AI432" s="55">
        <f>SUM($AG$2:AG432)</f>
        <v>277.77777777777663</v>
      </c>
    </row>
    <row r="433" spans="1:35" x14ac:dyDescent="0.2">
      <c r="A433" s="48" t="s">
        <v>8860</v>
      </c>
      <c r="B433" s="29">
        <v>5</v>
      </c>
      <c r="C433" s="29">
        <v>3</v>
      </c>
      <c r="D433" s="29">
        <v>366</v>
      </c>
      <c r="E433" s="29">
        <v>12460</v>
      </c>
      <c r="F433" s="29">
        <v>24920</v>
      </c>
      <c r="G433" s="29">
        <v>12460</v>
      </c>
      <c r="H433" s="29">
        <v>88500</v>
      </c>
      <c r="I433" s="29">
        <v>12460</v>
      </c>
      <c r="J433" s="29">
        <v>250000000</v>
      </c>
      <c r="K433" s="29">
        <v>1167</v>
      </c>
      <c r="L433" s="29">
        <v>1404</v>
      </c>
      <c r="M433" s="29">
        <v>50</v>
      </c>
      <c r="N433" s="33">
        <v>50</v>
      </c>
      <c r="O433" s="29">
        <f t="shared" si="206"/>
        <v>1285.5</v>
      </c>
      <c r="P433" s="31" cm="1">
        <f t="array" ref="P433">WPNFACTOR(C433)</f>
        <v>2.5</v>
      </c>
      <c r="Q433" s="33" cm="1">
        <f t="array" ref="Q433">HPFACTOr(C433)</f>
        <v>4</v>
      </c>
      <c r="R433" s="32">
        <f t="shared" si="207"/>
        <v>514.20000000000005</v>
      </c>
      <c r="S433" s="33">
        <f t="shared" si="208"/>
        <v>62500000</v>
      </c>
      <c r="T433" s="32">
        <f t="shared" si="209"/>
        <v>578.47500000000002</v>
      </c>
      <c r="U433" s="39">
        <f t="shared" si="210"/>
        <v>76923076.923076928</v>
      </c>
      <c r="V433" s="41">
        <f>VLOOKUP(D433,LevelXp!$A$1:'LevelXp'!$B$1000,2,)/5</f>
        <v>208088681</v>
      </c>
      <c r="W433" s="29">
        <f t="shared" si="211"/>
        <v>44498076923.076927</v>
      </c>
      <c r="X433" s="32">
        <f t="shared" si="212"/>
        <v>134.79328220940803</v>
      </c>
      <c r="Y433" s="41">
        <v>350</v>
      </c>
      <c r="Z433" s="41">
        <v>208088681</v>
      </c>
      <c r="AA433" s="41">
        <v>0</v>
      </c>
      <c r="AC433" s="50">
        <v>432</v>
      </c>
      <c r="AD433" s="51">
        <f t="shared" si="189"/>
        <v>0</v>
      </c>
      <c r="AE433" s="51">
        <f t="shared" si="191"/>
        <v>166666666.66666666</v>
      </c>
      <c r="AF433" s="51">
        <f t="shared" si="190"/>
        <v>0</v>
      </c>
      <c r="AG433" s="55">
        <f t="shared" si="191"/>
        <v>0.1111111111111111</v>
      </c>
      <c r="AH433" s="29">
        <f>SUM($AF$2:AF433)</f>
        <v>278</v>
      </c>
      <c r="AI433" s="55">
        <f>SUM($AG$2:AG433)</f>
        <v>277.88888888888772</v>
      </c>
    </row>
    <row r="434" spans="1:35" x14ac:dyDescent="0.2">
      <c r="A434" s="48" t="s">
        <v>8860</v>
      </c>
      <c r="B434" s="29">
        <v>6</v>
      </c>
      <c r="C434" s="29">
        <v>2</v>
      </c>
      <c r="D434" s="29">
        <v>370</v>
      </c>
      <c r="E434" s="29">
        <v>12700</v>
      </c>
      <c r="F434" s="29">
        <v>12700</v>
      </c>
      <c r="G434" s="29">
        <v>25400</v>
      </c>
      <c r="H434" s="29">
        <v>90500</v>
      </c>
      <c r="I434" s="29">
        <v>12700</v>
      </c>
      <c r="J434" s="29">
        <v>256000000</v>
      </c>
      <c r="K434" s="29">
        <v>1181</v>
      </c>
      <c r="L434" s="29">
        <v>1429</v>
      </c>
      <c r="M434" s="29">
        <v>50</v>
      </c>
      <c r="N434" s="33">
        <v>50</v>
      </c>
      <c r="O434" s="29">
        <f t="shared" si="206"/>
        <v>1305</v>
      </c>
      <c r="P434" s="31" cm="1">
        <f t="array" ref="P434">WPNFACTOR(C434)</f>
        <v>4.5</v>
      </c>
      <c r="Q434" s="33" cm="1">
        <f t="array" ref="Q434">HPFACTOr(C434)</f>
        <v>2</v>
      </c>
      <c r="R434" s="32">
        <f t="shared" si="207"/>
        <v>290</v>
      </c>
      <c r="S434" s="33">
        <f t="shared" si="208"/>
        <v>128000000</v>
      </c>
      <c r="T434" s="32">
        <f t="shared" si="209"/>
        <v>326.25</v>
      </c>
      <c r="U434" s="39">
        <f t="shared" si="210"/>
        <v>157538461.53846154</v>
      </c>
      <c r="V434" s="41">
        <f>VLOOKUP(D434,LevelXp!$A$1:'LevelXp'!$B$1000,2,)/5</f>
        <v>220033230</v>
      </c>
      <c r="W434" s="29">
        <f t="shared" si="211"/>
        <v>51396923076.923073</v>
      </c>
      <c r="X434" s="32">
        <f t="shared" si="212"/>
        <v>138.73544261883495</v>
      </c>
      <c r="Y434" s="41">
        <v>350</v>
      </c>
      <c r="Z434" s="41">
        <v>220033230</v>
      </c>
      <c r="AA434" s="41">
        <v>0</v>
      </c>
      <c r="AC434" s="50">
        <v>433</v>
      </c>
      <c r="AD434" s="51">
        <f t="shared" si="189"/>
        <v>300000000</v>
      </c>
      <c r="AE434" s="51">
        <f t="shared" si="191"/>
        <v>200000000</v>
      </c>
      <c r="AF434" s="51">
        <f t="shared" si="190"/>
        <v>0</v>
      </c>
      <c r="AG434" s="55">
        <f t="shared" si="191"/>
        <v>0.1111111111111111</v>
      </c>
      <c r="AH434" s="29">
        <f>SUM($AF$2:AF434)</f>
        <v>278</v>
      </c>
      <c r="AI434" s="55">
        <f>SUM($AG$2:AG434)</f>
        <v>277.99999999999881</v>
      </c>
    </row>
    <row r="435" spans="1:35" x14ac:dyDescent="0.2">
      <c r="A435" s="48" t="s">
        <v>2937</v>
      </c>
      <c r="B435" s="29">
        <v>470</v>
      </c>
      <c r="N435" s="33"/>
      <c r="Q435" s="33"/>
      <c r="S435" s="33"/>
      <c r="U435" s="39"/>
      <c r="V435" s="41">
        <f>VLOOKUP(B435,LevelXp!$D$1:'LevelXp'!$F$1000,3,)</f>
        <v>251775032</v>
      </c>
      <c r="Y435" s="41">
        <v>350</v>
      </c>
      <c r="Z435" s="41">
        <v>251775032</v>
      </c>
      <c r="AA435" s="41">
        <v>0</v>
      </c>
      <c r="AC435" s="50">
        <v>434</v>
      </c>
      <c r="AD435" s="51">
        <f t="shared" si="189"/>
        <v>300000000</v>
      </c>
      <c r="AE435" s="51">
        <f t="shared" si="191"/>
        <v>166666666.66666666</v>
      </c>
      <c r="AF435" s="51">
        <f t="shared" si="190"/>
        <v>0</v>
      </c>
      <c r="AG435" s="55">
        <f t="shared" si="191"/>
        <v>0</v>
      </c>
      <c r="AH435" s="29">
        <f>SUM($AF$2:AF435)</f>
        <v>278</v>
      </c>
      <c r="AI435" s="55">
        <f>SUM($AG$2:AG435)</f>
        <v>277.99999999999881</v>
      </c>
    </row>
    <row r="436" spans="1:35" x14ac:dyDescent="0.2">
      <c r="A436" s="48" t="s">
        <v>8852</v>
      </c>
      <c r="B436" s="29">
        <v>9</v>
      </c>
      <c r="C436" s="29">
        <v>1</v>
      </c>
      <c r="D436" s="29">
        <v>456</v>
      </c>
      <c r="E436" s="29">
        <v>15630</v>
      </c>
      <c r="F436" s="29">
        <v>5477</v>
      </c>
      <c r="G436" s="29">
        <v>5448</v>
      </c>
      <c r="H436" s="29">
        <v>84188</v>
      </c>
      <c r="I436" s="29">
        <v>3359</v>
      </c>
      <c r="J436" s="29">
        <v>192369584</v>
      </c>
      <c r="K436" s="29">
        <v>4880</v>
      </c>
      <c r="L436" s="29">
        <v>9743</v>
      </c>
      <c r="N436" s="33"/>
      <c r="O436" s="29">
        <f t="shared" ref="O436:O447" si="213">AVERAGE(K436, L436)</f>
        <v>7311.5</v>
      </c>
      <c r="P436" s="31" cm="1">
        <f t="array" ref="P436">WPNFACTOR(C436)</f>
        <v>2</v>
      </c>
      <c r="Q436" s="33" cm="1">
        <f t="array" ref="Q436">HPFACTOr(C436)</f>
        <v>5</v>
      </c>
      <c r="R436" s="32">
        <f t="shared" ref="R436:R447" si="214">O436/P436</f>
        <v>3655.75</v>
      </c>
      <c r="S436" s="33">
        <f t="shared" ref="S436:S447" si="215">J436/Q436</f>
        <v>38473916.799999997</v>
      </c>
      <c r="T436" s="32">
        <f t="shared" ref="T436:T447" si="216">R436*(1 + (N436/400))</f>
        <v>3655.75</v>
      </c>
      <c r="U436" s="39">
        <f t="shared" ref="U436:U447" si="217">S436*1.6/(1 + (0.6*(1 - (M436/100))))</f>
        <v>38473916.799999997</v>
      </c>
      <c r="V436" s="41">
        <f>VLOOKUP(D436,LevelXp!$A$1:'LevelXp'!$B$1000,2,)/5</f>
        <v>300000000</v>
      </c>
      <c r="W436" s="29">
        <f t="shared" ref="W436:W447" si="218">T436*U436</f>
        <v>140651021341.59998</v>
      </c>
      <c r="X436" s="32">
        <f t="shared" ref="X436:X447" si="219">POWER(W436, 1/$X$1)</f>
        <v>169.67918832600196</v>
      </c>
      <c r="Y436" s="41">
        <v>351</v>
      </c>
      <c r="Z436" s="41">
        <v>300000000</v>
      </c>
      <c r="AA436" s="41">
        <v>0</v>
      </c>
      <c r="AC436" s="50">
        <v>435</v>
      </c>
      <c r="AD436" s="51">
        <f t="shared" si="189"/>
        <v>0</v>
      </c>
      <c r="AE436" s="51">
        <f t="shared" si="191"/>
        <v>200000000</v>
      </c>
      <c r="AF436" s="51">
        <f t="shared" si="190"/>
        <v>0</v>
      </c>
      <c r="AG436" s="55">
        <f t="shared" si="191"/>
        <v>0</v>
      </c>
      <c r="AH436" s="29">
        <f>SUM($AF$2:AF436)</f>
        <v>278</v>
      </c>
      <c r="AI436" s="55">
        <f>SUM($AG$2:AG436)</f>
        <v>277.99999999999881</v>
      </c>
    </row>
    <row r="437" spans="1:35" x14ac:dyDescent="0.2">
      <c r="A437" s="48" t="s">
        <v>8862</v>
      </c>
      <c r="B437" s="29">
        <v>9</v>
      </c>
      <c r="C437" s="29">
        <v>1</v>
      </c>
      <c r="D437" s="29">
        <v>337</v>
      </c>
      <c r="E437" s="29">
        <v>21440</v>
      </c>
      <c r="F437" s="29">
        <v>10720</v>
      </c>
      <c r="G437" s="29">
        <v>10720</v>
      </c>
      <c r="H437" s="29">
        <v>74000</v>
      </c>
      <c r="I437" s="29">
        <v>10720</v>
      </c>
      <c r="J437" s="29">
        <v>206500000</v>
      </c>
      <c r="K437" s="29">
        <v>1050</v>
      </c>
      <c r="L437" s="29">
        <v>1298</v>
      </c>
      <c r="M437" s="29">
        <v>25</v>
      </c>
      <c r="N437" s="33">
        <v>25</v>
      </c>
      <c r="O437" s="29">
        <f t="shared" si="213"/>
        <v>1174</v>
      </c>
      <c r="P437" s="31" cm="1">
        <f t="array" ref="P437">WPNFACTOR(C437)</f>
        <v>2</v>
      </c>
      <c r="Q437" s="33" cm="1">
        <f t="array" ref="Q437">HPFACTOr(C437)</f>
        <v>5</v>
      </c>
      <c r="R437" s="32">
        <f t="shared" si="214"/>
        <v>587</v>
      </c>
      <c r="S437" s="33">
        <f t="shared" si="215"/>
        <v>41300000</v>
      </c>
      <c r="T437" s="32">
        <f t="shared" si="216"/>
        <v>623.6875</v>
      </c>
      <c r="U437" s="39">
        <f t="shared" si="217"/>
        <v>45572413.793103449</v>
      </c>
      <c r="V437" s="41">
        <f>VLOOKUP(D437,LevelXp!$A$1:'LevelXp'!$B$1000,2,)/5</f>
        <v>136754704</v>
      </c>
      <c r="W437" s="29">
        <f t="shared" si="218"/>
        <v>28422944827.586208</v>
      </c>
      <c r="X437" s="32">
        <f t="shared" si="219"/>
        <v>123.23492763833694</v>
      </c>
      <c r="Y437" s="41">
        <v>351</v>
      </c>
      <c r="Z437" s="41">
        <v>136754704</v>
      </c>
      <c r="AA437" s="41">
        <v>1</v>
      </c>
      <c r="AC437" s="50">
        <v>436</v>
      </c>
      <c r="AD437" s="51">
        <f t="shared" si="189"/>
        <v>300000000</v>
      </c>
      <c r="AE437" s="51">
        <f t="shared" si="191"/>
        <v>166666666.66666666</v>
      </c>
      <c r="AF437" s="51">
        <f t="shared" si="190"/>
        <v>0</v>
      </c>
      <c r="AG437" s="55">
        <f t="shared" si="191"/>
        <v>0</v>
      </c>
      <c r="AH437" s="29">
        <f>SUM($AF$2:AF437)</f>
        <v>278</v>
      </c>
      <c r="AI437" s="55">
        <f>SUM($AG$2:AG437)</f>
        <v>277.99999999999881</v>
      </c>
    </row>
    <row r="438" spans="1:35" x14ac:dyDescent="0.2">
      <c r="A438" s="48" t="s">
        <v>8862</v>
      </c>
      <c r="B438" s="29">
        <v>10</v>
      </c>
      <c r="C438" s="29">
        <v>2</v>
      </c>
      <c r="D438" s="29">
        <v>340</v>
      </c>
      <c r="E438" s="29">
        <v>10900</v>
      </c>
      <c r="F438" s="29">
        <v>10900</v>
      </c>
      <c r="G438" s="29">
        <v>21800</v>
      </c>
      <c r="H438" s="29">
        <v>75500</v>
      </c>
      <c r="I438" s="29">
        <v>10900</v>
      </c>
      <c r="J438" s="29">
        <v>211000000</v>
      </c>
      <c r="K438" s="29">
        <v>1061</v>
      </c>
      <c r="L438" s="29">
        <v>1310</v>
      </c>
      <c r="M438" s="29">
        <v>25</v>
      </c>
      <c r="N438" s="33">
        <v>25</v>
      </c>
      <c r="O438" s="29">
        <f t="shared" si="213"/>
        <v>1185.5</v>
      </c>
      <c r="P438" s="31" cm="1">
        <f t="array" ref="P438">WPNFACTOR(C438)</f>
        <v>4.5</v>
      </c>
      <c r="Q438" s="33" cm="1">
        <f t="array" ref="Q438">HPFACTOr(C438)</f>
        <v>2</v>
      </c>
      <c r="R438" s="32">
        <f t="shared" si="214"/>
        <v>263.44444444444446</v>
      </c>
      <c r="S438" s="33">
        <f t="shared" si="215"/>
        <v>105500000</v>
      </c>
      <c r="T438" s="32">
        <f t="shared" si="216"/>
        <v>279.90972222222223</v>
      </c>
      <c r="U438" s="39">
        <f t="shared" si="217"/>
        <v>116413793.10344829</v>
      </c>
      <c r="V438" s="41">
        <f>VLOOKUP(D438,LevelXp!$A$1:'LevelXp'!$B$1000,2,)/5</f>
        <v>143018630</v>
      </c>
      <c r="W438" s="29">
        <f t="shared" si="218"/>
        <v>32585352490.421459</v>
      </c>
      <c r="X438" s="32">
        <f t="shared" si="219"/>
        <v>126.64979310475043</v>
      </c>
      <c r="Y438" s="41">
        <v>351</v>
      </c>
      <c r="Z438" s="41">
        <v>143018630</v>
      </c>
      <c r="AA438" s="41">
        <v>1</v>
      </c>
      <c r="AC438" s="50">
        <v>437</v>
      </c>
      <c r="AD438" s="51">
        <f t="shared" si="189"/>
        <v>300000000</v>
      </c>
      <c r="AE438" s="51">
        <f t="shared" si="191"/>
        <v>200000000</v>
      </c>
      <c r="AF438" s="51">
        <f t="shared" si="190"/>
        <v>0</v>
      </c>
      <c r="AG438" s="55">
        <f t="shared" si="191"/>
        <v>0</v>
      </c>
      <c r="AH438" s="29">
        <f>SUM($AF$2:AF438)</f>
        <v>278</v>
      </c>
      <c r="AI438" s="55">
        <f>SUM($AG$2:AG438)</f>
        <v>277.99999999999881</v>
      </c>
    </row>
    <row r="439" spans="1:35" x14ac:dyDescent="0.2">
      <c r="A439" s="48" t="s">
        <v>8860</v>
      </c>
      <c r="B439" s="29">
        <v>7</v>
      </c>
      <c r="C439" s="29">
        <v>3</v>
      </c>
      <c r="D439" s="29">
        <v>374</v>
      </c>
      <c r="E439" s="29">
        <v>12940</v>
      </c>
      <c r="F439" s="29">
        <v>25880</v>
      </c>
      <c r="G439" s="29">
        <v>12940</v>
      </c>
      <c r="H439" s="29">
        <v>92500</v>
      </c>
      <c r="I439" s="29">
        <v>12940</v>
      </c>
      <c r="J439" s="29">
        <v>262000000</v>
      </c>
      <c r="K439" s="29">
        <v>1199</v>
      </c>
      <c r="L439" s="29">
        <v>1441</v>
      </c>
      <c r="M439" s="29">
        <v>50</v>
      </c>
      <c r="N439" s="33">
        <v>50</v>
      </c>
      <c r="O439" s="29">
        <f t="shared" si="213"/>
        <v>1320</v>
      </c>
      <c r="P439" s="31" cm="1">
        <f t="array" ref="P439">WPNFACTOR(C439)</f>
        <v>2.5</v>
      </c>
      <c r="Q439" s="33" cm="1">
        <f t="array" ref="Q439">HPFACTOr(C439)</f>
        <v>4</v>
      </c>
      <c r="R439" s="32">
        <f t="shared" si="214"/>
        <v>528</v>
      </c>
      <c r="S439" s="33">
        <f t="shared" si="215"/>
        <v>65500000</v>
      </c>
      <c r="T439" s="32">
        <f t="shared" si="216"/>
        <v>594</v>
      </c>
      <c r="U439" s="39">
        <f t="shared" si="217"/>
        <v>80615384.615384609</v>
      </c>
      <c r="V439" s="41">
        <f>VLOOKUP(D439,LevelXp!$A$1:'LevelXp'!$B$1000,2,)/5</f>
        <v>232549429</v>
      </c>
      <c r="W439" s="29">
        <f t="shared" si="218"/>
        <v>47885538461.53846</v>
      </c>
      <c r="X439" s="32">
        <f t="shared" si="219"/>
        <v>136.78575599849506</v>
      </c>
      <c r="Y439" s="41">
        <v>352</v>
      </c>
      <c r="Z439" s="41">
        <v>232549429</v>
      </c>
      <c r="AA439" s="41">
        <v>0</v>
      </c>
      <c r="AC439" s="50">
        <v>438</v>
      </c>
      <c r="AD439" s="51">
        <f t="shared" si="189"/>
        <v>0</v>
      </c>
      <c r="AE439" s="51">
        <f t="shared" si="191"/>
        <v>166666666.66666666</v>
      </c>
      <c r="AF439" s="51">
        <f t="shared" si="190"/>
        <v>0</v>
      </c>
      <c r="AG439" s="55">
        <f t="shared" si="191"/>
        <v>0</v>
      </c>
      <c r="AH439" s="29">
        <f>SUM($AF$2:AF439)</f>
        <v>278</v>
      </c>
      <c r="AI439" s="55">
        <f>SUM($AG$2:AG439)</f>
        <v>277.99999999999881</v>
      </c>
    </row>
    <row r="440" spans="1:35" x14ac:dyDescent="0.2">
      <c r="A440" s="48" t="s">
        <v>8860</v>
      </c>
      <c r="B440" s="29">
        <v>8</v>
      </c>
      <c r="C440" s="29">
        <v>2</v>
      </c>
      <c r="D440" s="29">
        <v>378</v>
      </c>
      <c r="E440" s="29">
        <v>13180</v>
      </c>
      <c r="F440" s="29">
        <v>13180</v>
      </c>
      <c r="G440" s="29">
        <v>26360</v>
      </c>
      <c r="H440" s="29">
        <v>94500</v>
      </c>
      <c r="I440" s="29">
        <v>13180</v>
      </c>
      <c r="J440" s="29">
        <v>268000000</v>
      </c>
      <c r="K440" s="29">
        <v>1212</v>
      </c>
      <c r="L440" s="29">
        <v>1461</v>
      </c>
      <c r="M440" s="29">
        <v>50</v>
      </c>
      <c r="N440" s="33">
        <v>50</v>
      </c>
      <c r="O440" s="29">
        <f t="shared" si="213"/>
        <v>1336.5</v>
      </c>
      <c r="P440" s="31" cm="1">
        <f t="array" ref="P440">WPNFACTOR(C440)</f>
        <v>4.5</v>
      </c>
      <c r="Q440" s="33" cm="1">
        <f t="array" ref="Q440">HPFACTOr(C440)</f>
        <v>2</v>
      </c>
      <c r="R440" s="32">
        <f t="shared" si="214"/>
        <v>297</v>
      </c>
      <c r="S440" s="33">
        <f t="shared" si="215"/>
        <v>134000000</v>
      </c>
      <c r="T440" s="32">
        <f t="shared" si="216"/>
        <v>334.125</v>
      </c>
      <c r="U440" s="39">
        <f t="shared" si="217"/>
        <v>164923076.92307693</v>
      </c>
      <c r="V440" s="41">
        <f>VLOOKUP(D440,LevelXp!$A$1:'LevelXp'!$B$1000,2,)/5</f>
        <v>245671462</v>
      </c>
      <c r="W440" s="29">
        <f t="shared" si="218"/>
        <v>55104923076.92308</v>
      </c>
      <c r="X440" s="32">
        <f t="shared" si="219"/>
        <v>140.68185302450567</v>
      </c>
      <c r="Y440" s="41">
        <v>352</v>
      </c>
      <c r="Z440" s="41">
        <v>245671462</v>
      </c>
      <c r="AA440" s="41">
        <v>0</v>
      </c>
      <c r="AC440" s="50">
        <v>439</v>
      </c>
      <c r="AD440" s="51">
        <f t="shared" si="189"/>
        <v>300000000</v>
      </c>
      <c r="AE440" s="51">
        <f t="shared" si="191"/>
        <v>166666666.66666666</v>
      </c>
      <c r="AF440" s="51">
        <f t="shared" si="190"/>
        <v>0</v>
      </c>
      <c r="AG440" s="55">
        <f t="shared" si="191"/>
        <v>0</v>
      </c>
      <c r="AH440" s="29">
        <f>SUM($AF$2:AF440)</f>
        <v>278</v>
      </c>
      <c r="AI440" s="55">
        <f>SUM($AG$2:AG440)</f>
        <v>277.99999999999881</v>
      </c>
    </row>
    <row r="441" spans="1:35" x14ac:dyDescent="0.2">
      <c r="A441" s="48" t="s">
        <v>8860</v>
      </c>
      <c r="B441" s="29">
        <v>9</v>
      </c>
      <c r="C441" s="29">
        <v>2</v>
      </c>
      <c r="D441" s="29">
        <v>382</v>
      </c>
      <c r="E441" s="29">
        <v>13420</v>
      </c>
      <c r="F441" s="29">
        <v>13420</v>
      </c>
      <c r="G441" s="29">
        <v>26840</v>
      </c>
      <c r="H441" s="29">
        <v>96500</v>
      </c>
      <c r="I441" s="29">
        <v>13420</v>
      </c>
      <c r="J441" s="29">
        <v>274000000</v>
      </c>
      <c r="K441" s="29">
        <v>1230</v>
      </c>
      <c r="L441" s="29">
        <v>1474</v>
      </c>
      <c r="M441" s="29">
        <v>50</v>
      </c>
      <c r="N441" s="33">
        <v>50</v>
      </c>
      <c r="O441" s="29">
        <f t="shared" si="213"/>
        <v>1352</v>
      </c>
      <c r="P441" s="31" cm="1">
        <f t="array" ref="P441">WPNFACTOR(C441)</f>
        <v>4.5</v>
      </c>
      <c r="Q441" s="33" cm="1">
        <f t="array" ref="Q441">HPFACTOr(C441)</f>
        <v>2</v>
      </c>
      <c r="R441" s="32">
        <f t="shared" si="214"/>
        <v>300.44444444444446</v>
      </c>
      <c r="S441" s="33">
        <f t="shared" si="215"/>
        <v>137000000</v>
      </c>
      <c r="T441" s="32">
        <f t="shared" si="216"/>
        <v>338</v>
      </c>
      <c r="U441" s="39">
        <f t="shared" si="217"/>
        <v>168615384.61538461</v>
      </c>
      <c r="V441" s="41">
        <f>VLOOKUP(D441,LevelXp!$A$1:'LevelXp'!$B$1000,2,)/5</f>
        <v>259411408</v>
      </c>
      <c r="W441" s="29">
        <f t="shared" si="218"/>
        <v>56992000000</v>
      </c>
      <c r="X441" s="32">
        <f t="shared" si="219"/>
        <v>141.63245384377956</v>
      </c>
      <c r="Y441" s="41">
        <v>353</v>
      </c>
      <c r="Z441" s="41">
        <v>259411408</v>
      </c>
      <c r="AA441" s="41">
        <v>0</v>
      </c>
      <c r="AC441" s="50">
        <v>440</v>
      </c>
      <c r="AD441" s="51">
        <f t="shared" si="189"/>
        <v>0</v>
      </c>
      <c r="AE441" s="51">
        <f t="shared" si="191"/>
        <v>166666666.66666666</v>
      </c>
      <c r="AF441" s="51">
        <f t="shared" si="190"/>
        <v>0</v>
      </c>
      <c r="AG441" s="55">
        <f t="shared" si="191"/>
        <v>0</v>
      </c>
      <c r="AH441" s="29">
        <f>SUM($AF$2:AF441)</f>
        <v>278</v>
      </c>
      <c r="AI441" s="55">
        <f>SUM($AG$2:AG441)</f>
        <v>277.99999999999881</v>
      </c>
    </row>
    <row r="442" spans="1:35" x14ac:dyDescent="0.2">
      <c r="A442" s="48" t="s">
        <v>8855</v>
      </c>
      <c r="B442" s="29">
        <v>1</v>
      </c>
      <c r="C442" s="29">
        <v>1</v>
      </c>
      <c r="D442" s="29">
        <v>328</v>
      </c>
      <c r="E442" s="29">
        <v>52800</v>
      </c>
      <c r="F442" s="29">
        <v>6720</v>
      </c>
      <c r="G442" s="29">
        <v>6720</v>
      </c>
      <c r="H442" s="29">
        <v>126000</v>
      </c>
      <c r="I442" s="29">
        <v>21600</v>
      </c>
      <c r="J442" s="29">
        <v>207270000</v>
      </c>
      <c r="K442" s="29">
        <v>1118</v>
      </c>
      <c r="L442" s="29">
        <v>1891</v>
      </c>
      <c r="N442" s="33"/>
      <c r="O442" s="29">
        <f t="shared" si="213"/>
        <v>1504.5</v>
      </c>
      <c r="P442" s="31" cm="1">
        <f t="array" ref="P442">WPNFACTOR(C442)</f>
        <v>2</v>
      </c>
      <c r="Q442" s="33" cm="1">
        <f t="array" ref="Q442">HPFACTOr(C442)</f>
        <v>5</v>
      </c>
      <c r="R442" s="32">
        <f t="shared" si="214"/>
        <v>752.25</v>
      </c>
      <c r="S442" s="33">
        <f t="shared" si="215"/>
        <v>41454000</v>
      </c>
      <c r="T442" s="32">
        <f t="shared" si="216"/>
        <v>752.25</v>
      </c>
      <c r="U442" s="39">
        <f t="shared" si="217"/>
        <v>41454000</v>
      </c>
      <c r="V442" s="41">
        <f>VLOOKUP(D442,LevelXp!$A$1:'LevelXp'!$B$1000,2,)/5</f>
        <v>119373368</v>
      </c>
      <c r="W442" s="29">
        <f t="shared" si="218"/>
        <v>31183771500</v>
      </c>
      <c r="X442" s="32">
        <f t="shared" si="219"/>
        <v>125.54104167905543</v>
      </c>
      <c r="Y442" s="41">
        <v>353</v>
      </c>
      <c r="Z442" s="41">
        <v>119373368</v>
      </c>
      <c r="AA442" s="41">
        <v>0</v>
      </c>
      <c r="AC442" s="50">
        <v>441</v>
      </c>
      <c r="AD442" s="51">
        <f t="shared" si="189"/>
        <v>300000000</v>
      </c>
      <c r="AE442" s="51">
        <f t="shared" si="191"/>
        <v>150440471.77777779</v>
      </c>
      <c r="AF442" s="51">
        <f t="shared" si="190"/>
        <v>0</v>
      </c>
      <c r="AG442" s="55">
        <f t="shared" si="191"/>
        <v>0</v>
      </c>
      <c r="AH442" s="29">
        <f>SUM($AF$2:AF442)</f>
        <v>278</v>
      </c>
      <c r="AI442" s="55">
        <f>SUM($AG$2:AG442)</f>
        <v>277.99999999999881</v>
      </c>
    </row>
    <row r="443" spans="1:35" x14ac:dyDescent="0.2">
      <c r="A443" s="48" t="s">
        <v>8860</v>
      </c>
      <c r="B443" s="29">
        <v>10</v>
      </c>
      <c r="C443" s="29">
        <v>3</v>
      </c>
      <c r="D443" s="29">
        <v>390</v>
      </c>
      <c r="E443" s="29">
        <v>13900</v>
      </c>
      <c r="F443" s="29">
        <v>27800</v>
      </c>
      <c r="G443" s="29">
        <v>13900</v>
      </c>
      <c r="H443" s="29">
        <v>100500</v>
      </c>
      <c r="I443" s="29">
        <v>13900</v>
      </c>
      <c r="J443" s="29">
        <v>286000000</v>
      </c>
      <c r="K443" s="29">
        <v>1276</v>
      </c>
      <c r="L443" s="29">
        <v>1510</v>
      </c>
      <c r="M443" s="29">
        <v>50</v>
      </c>
      <c r="N443" s="33">
        <v>50</v>
      </c>
      <c r="O443" s="29">
        <f t="shared" si="213"/>
        <v>1393</v>
      </c>
      <c r="P443" s="31" cm="1">
        <f t="array" ref="P443">WPNFACTOR(C443)</f>
        <v>2.5</v>
      </c>
      <c r="Q443" s="33" cm="1">
        <f t="array" ref="Q443">HPFACTOr(C443)</f>
        <v>4</v>
      </c>
      <c r="R443" s="32">
        <f t="shared" si="214"/>
        <v>557.20000000000005</v>
      </c>
      <c r="S443" s="33">
        <f t="shared" si="215"/>
        <v>71500000</v>
      </c>
      <c r="T443" s="32">
        <f t="shared" si="216"/>
        <v>626.85</v>
      </c>
      <c r="U443" s="39">
        <f t="shared" si="217"/>
        <v>88000000</v>
      </c>
      <c r="V443" s="41">
        <f>VLOOKUP(D443,LevelXp!$A$1:'LevelXp'!$B$1000,2,)/5</f>
        <v>288853442</v>
      </c>
      <c r="W443" s="29">
        <f t="shared" si="218"/>
        <v>55162800000</v>
      </c>
      <c r="X443" s="32">
        <f t="shared" si="219"/>
        <v>140.71139236058482</v>
      </c>
      <c r="Y443" s="41">
        <v>354</v>
      </c>
      <c r="Z443" s="41">
        <v>288853442</v>
      </c>
      <c r="AA443" s="41">
        <v>0</v>
      </c>
      <c r="AC443" s="50">
        <v>442</v>
      </c>
      <c r="AD443" s="51">
        <f t="shared" si="189"/>
        <v>0</v>
      </c>
      <c r="AE443" s="51">
        <f t="shared" si="191"/>
        <v>117107138.44444445</v>
      </c>
      <c r="AF443" s="51">
        <f t="shared" si="190"/>
        <v>0</v>
      </c>
      <c r="AG443" s="55">
        <f t="shared" si="191"/>
        <v>0</v>
      </c>
      <c r="AH443" s="29">
        <f>SUM($AF$2:AF443)</f>
        <v>278</v>
      </c>
      <c r="AI443" s="55">
        <f>SUM($AG$2:AG443)</f>
        <v>277.99999999999881</v>
      </c>
    </row>
    <row r="444" spans="1:35" x14ac:dyDescent="0.2">
      <c r="A444" s="48" t="s">
        <v>2846</v>
      </c>
      <c r="B444" s="29">
        <v>3</v>
      </c>
      <c r="C444" s="29">
        <v>2</v>
      </c>
      <c r="D444" s="29">
        <v>266</v>
      </c>
      <c r="E444" s="29">
        <v>3000</v>
      </c>
      <c r="F444" s="29">
        <v>3000</v>
      </c>
      <c r="G444" s="29">
        <v>120000</v>
      </c>
      <c r="H444" s="29">
        <v>100000</v>
      </c>
      <c r="I444" s="29">
        <v>7200</v>
      </c>
      <c r="J444" s="29">
        <v>120000000</v>
      </c>
      <c r="K444" s="29">
        <v>6304</v>
      </c>
      <c r="L444" s="29">
        <v>8544</v>
      </c>
      <c r="N444" s="33"/>
      <c r="O444" s="29">
        <f t="shared" si="213"/>
        <v>7424</v>
      </c>
      <c r="P444" s="31" cm="1">
        <f t="array" ref="P444">WPNFACTOR(C444)</f>
        <v>4.5</v>
      </c>
      <c r="Q444" s="33" cm="1">
        <f t="array" ref="Q444">HPFACTOr(C444)</f>
        <v>2</v>
      </c>
      <c r="R444" s="32">
        <f t="shared" si="214"/>
        <v>1649.7777777777778</v>
      </c>
      <c r="S444" s="33">
        <f t="shared" si="215"/>
        <v>60000000</v>
      </c>
      <c r="T444" s="32">
        <f t="shared" si="216"/>
        <v>1649.7777777777778</v>
      </c>
      <c r="U444" s="39">
        <f t="shared" si="217"/>
        <v>60000000</v>
      </c>
      <c r="V444" s="41">
        <f>VLOOKUP(D444,LevelXp!$A$1:'LevelXp'!$B$1000,2,)/5</f>
        <v>42784003</v>
      </c>
      <c r="W444" s="29">
        <f t="shared" si="218"/>
        <v>98986666666.666672</v>
      </c>
      <c r="X444" s="32">
        <f t="shared" si="219"/>
        <v>158.16680430230895</v>
      </c>
      <c r="Y444" s="41">
        <v>354</v>
      </c>
      <c r="Z444" s="41">
        <v>42784003</v>
      </c>
      <c r="AA444" s="41">
        <v>1</v>
      </c>
      <c r="AC444" s="50">
        <v>443</v>
      </c>
      <c r="AD444" s="51">
        <f t="shared" si="189"/>
        <v>300000000</v>
      </c>
      <c r="AE444" s="51">
        <f t="shared" si="191"/>
        <v>150440471.77777779</v>
      </c>
      <c r="AF444" s="51">
        <f t="shared" si="190"/>
        <v>0</v>
      </c>
      <c r="AG444" s="55">
        <f t="shared" si="191"/>
        <v>0</v>
      </c>
      <c r="AH444" s="29">
        <f>SUM($AF$2:AF444)</f>
        <v>278</v>
      </c>
      <c r="AI444" s="55">
        <f>SUM($AG$2:AG444)</f>
        <v>277.99999999999881</v>
      </c>
    </row>
    <row r="445" spans="1:35" x14ac:dyDescent="0.2">
      <c r="A445" s="48" t="s">
        <v>8864</v>
      </c>
      <c r="B445" s="29">
        <v>5</v>
      </c>
      <c r="C445" s="29">
        <v>1</v>
      </c>
      <c r="D445" s="29">
        <v>450</v>
      </c>
      <c r="E445" s="29">
        <v>57840</v>
      </c>
      <c r="F445" s="29">
        <v>20280</v>
      </c>
      <c r="G445" s="29">
        <v>20130</v>
      </c>
      <c r="H445" s="29">
        <v>56160</v>
      </c>
      <c r="I445" s="29">
        <v>12780</v>
      </c>
      <c r="J445" s="29">
        <v>126640800</v>
      </c>
      <c r="K445" s="29">
        <v>505</v>
      </c>
      <c r="L445" s="29">
        <v>1044</v>
      </c>
      <c r="N445" s="33"/>
      <c r="O445" s="29">
        <f t="shared" si="213"/>
        <v>774.5</v>
      </c>
      <c r="P445" s="31" cm="1">
        <f t="array" ref="P445">WPNFACTOR(C445)</f>
        <v>2</v>
      </c>
      <c r="Q445" s="33" cm="1">
        <f t="array" ref="Q445">HPFACTOr(C445)</f>
        <v>5</v>
      </c>
      <c r="R445" s="32">
        <f t="shared" si="214"/>
        <v>387.25</v>
      </c>
      <c r="S445" s="33">
        <f t="shared" si="215"/>
        <v>25328160</v>
      </c>
      <c r="T445" s="32">
        <f t="shared" si="216"/>
        <v>387.25</v>
      </c>
      <c r="U445" s="39">
        <f t="shared" si="217"/>
        <v>25328160</v>
      </c>
      <c r="V445" s="41">
        <f>VLOOKUP(D445,LevelXp!$A$1:'LevelXp'!$B$1000,2,)/5</f>
        <v>300000000</v>
      </c>
      <c r="W445" s="29">
        <f t="shared" si="218"/>
        <v>9808329960</v>
      </c>
      <c r="X445" s="32">
        <f t="shared" si="219"/>
        <v>99.613686668467864</v>
      </c>
      <c r="Y445" s="41">
        <v>355</v>
      </c>
      <c r="Z445" s="41">
        <v>300000000</v>
      </c>
      <c r="AA445" s="41">
        <v>1</v>
      </c>
      <c r="AC445" s="50">
        <v>444</v>
      </c>
      <c r="AD445" s="51">
        <f t="shared" si="189"/>
        <v>0</v>
      </c>
      <c r="AE445" s="51">
        <f t="shared" si="191"/>
        <v>150440471.77777779</v>
      </c>
      <c r="AF445" s="51">
        <f t="shared" si="190"/>
        <v>0</v>
      </c>
      <c r="AG445" s="55">
        <f t="shared" si="191"/>
        <v>0</v>
      </c>
      <c r="AH445" s="29">
        <f>SUM($AF$2:AF445)</f>
        <v>278</v>
      </c>
      <c r="AI445" s="55">
        <f>SUM($AG$2:AG445)</f>
        <v>277.99999999999881</v>
      </c>
    </row>
    <row r="446" spans="1:35" x14ac:dyDescent="0.2">
      <c r="A446" s="48" t="s">
        <v>8866</v>
      </c>
      <c r="B446" s="29">
        <v>4</v>
      </c>
      <c r="C446" s="29">
        <v>4</v>
      </c>
      <c r="D446" s="29">
        <v>392</v>
      </c>
      <c r="E446" s="29">
        <v>6639</v>
      </c>
      <c r="F446" s="29">
        <v>22792</v>
      </c>
      <c r="G446" s="29">
        <v>6633</v>
      </c>
      <c r="H446" s="29">
        <v>81699</v>
      </c>
      <c r="I446" s="29">
        <v>10532</v>
      </c>
      <c r="J446" s="29">
        <v>128430832</v>
      </c>
      <c r="K446" s="29">
        <v>2673</v>
      </c>
      <c r="L446" s="29">
        <v>4514</v>
      </c>
      <c r="N446" s="33"/>
      <c r="O446" s="29">
        <f t="shared" si="213"/>
        <v>3593.5</v>
      </c>
      <c r="P446" s="31" cm="1">
        <f t="array" ref="P446">WPNFACTOR(C446)</f>
        <v>4</v>
      </c>
      <c r="Q446" s="33" cm="1">
        <f t="array" ref="Q446">HPFACTOr(C446)</f>
        <v>4</v>
      </c>
      <c r="R446" s="32">
        <f t="shared" si="214"/>
        <v>898.375</v>
      </c>
      <c r="S446" s="33">
        <f t="shared" si="215"/>
        <v>32107708</v>
      </c>
      <c r="T446" s="32">
        <f t="shared" si="216"/>
        <v>898.375</v>
      </c>
      <c r="U446" s="39">
        <f t="shared" si="217"/>
        <v>32107708</v>
      </c>
      <c r="V446" s="41">
        <f>VLOOKUP(D446,LevelXp!$A$1:'LevelXp'!$B$1000,2,)/5</f>
        <v>296636662</v>
      </c>
      <c r="W446" s="29">
        <f t="shared" si="218"/>
        <v>28844762174.5</v>
      </c>
      <c r="X446" s="32">
        <f t="shared" si="219"/>
        <v>123.59855474267881</v>
      </c>
      <c r="Y446" s="41">
        <v>355</v>
      </c>
      <c r="Z446" s="41">
        <v>296636662</v>
      </c>
      <c r="AA446" s="41">
        <v>1</v>
      </c>
      <c r="AC446" s="50">
        <v>445</v>
      </c>
      <c r="AD446" s="51">
        <f t="shared" si="189"/>
        <v>153964246</v>
      </c>
      <c r="AE446" s="51">
        <f t="shared" si="191"/>
        <v>183773805.1111111</v>
      </c>
      <c r="AF446" s="51">
        <f t="shared" si="190"/>
        <v>0</v>
      </c>
      <c r="AG446" s="55">
        <f t="shared" si="191"/>
        <v>0</v>
      </c>
      <c r="AH446" s="29">
        <f>SUM($AF$2:AF446)</f>
        <v>278</v>
      </c>
      <c r="AI446" s="55">
        <f>SUM($AG$2:AG446)</f>
        <v>277.99999999999881</v>
      </c>
    </row>
    <row r="447" spans="1:35" x14ac:dyDescent="0.2">
      <c r="A447" s="48" t="s">
        <v>8866</v>
      </c>
      <c r="B447" s="29">
        <v>5</v>
      </c>
      <c r="C447" s="29">
        <v>2</v>
      </c>
      <c r="D447" s="29">
        <v>408</v>
      </c>
      <c r="E447" s="29">
        <v>6497</v>
      </c>
      <c r="F447" s="29">
        <v>6606</v>
      </c>
      <c r="G447" s="29">
        <v>22857</v>
      </c>
      <c r="H447" s="29">
        <v>99498</v>
      </c>
      <c r="I447" s="29">
        <v>14397</v>
      </c>
      <c r="J447" s="29">
        <v>81389360</v>
      </c>
      <c r="K447" s="29">
        <v>3130</v>
      </c>
      <c r="L447" s="29">
        <v>5286</v>
      </c>
      <c r="N447" s="33"/>
      <c r="O447" s="29">
        <f t="shared" si="213"/>
        <v>4208</v>
      </c>
      <c r="P447" s="31" cm="1">
        <f t="array" ref="P447">WPNFACTOR(C447)</f>
        <v>4.5</v>
      </c>
      <c r="Q447" s="33" cm="1">
        <f t="array" ref="Q447">HPFACTOr(C447)</f>
        <v>2</v>
      </c>
      <c r="R447" s="32">
        <f t="shared" si="214"/>
        <v>935.11111111111109</v>
      </c>
      <c r="S447" s="33">
        <f t="shared" si="215"/>
        <v>40694680</v>
      </c>
      <c r="T447" s="32">
        <f t="shared" si="216"/>
        <v>935.11111111111109</v>
      </c>
      <c r="U447" s="39">
        <f t="shared" si="217"/>
        <v>40694680</v>
      </c>
      <c r="V447" s="41">
        <f>VLOOKUP(D447,LevelXp!$A$1:'LevelXp'!$B$1000,2,)/5</f>
        <v>300000000</v>
      </c>
      <c r="W447" s="29">
        <f t="shared" si="218"/>
        <v>38054047431.111107</v>
      </c>
      <c r="X447" s="32">
        <f t="shared" si="219"/>
        <v>130.6412030345152</v>
      </c>
      <c r="Y447" s="41">
        <v>355</v>
      </c>
      <c r="Z447" s="41">
        <v>300000000</v>
      </c>
      <c r="AA447" s="41">
        <v>1</v>
      </c>
      <c r="AC447" s="50">
        <v>446</v>
      </c>
      <c r="AD447" s="51">
        <f t="shared" si="189"/>
        <v>0</v>
      </c>
      <c r="AE447" s="51">
        <f t="shared" si="191"/>
        <v>183773805.1111111</v>
      </c>
      <c r="AF447" s="51">
        <f t="shared" si="190"/>
        <v>0</v>
      </c>
      <c r="AG447" s="55">
        <f t="shared" si="191"/>
        <v>0</v>
      </c>
      <c r="AH447" s="29">
        <f>SUM($AF$2:AF447)</f>
        <v>278</v>
      </c>
      <c r="AI447" s="55">
        <f>SUM($AG$2:AG447)</f>
        <v>277.99999999999881</v>
      </c>
    </row>
    <row r="448" spans="1:35" x14ac:dyDescent="0.2">
      <c r="A448" s="48" t="s">
        <v>2937</v>
      </c>
      <c r="B448" s="29">
        <v>480</v>
      </c>
      <c r="N448" s="33"/>
      <c r="Q448" s="33"/>
      <c r="S448" s="33"/>
      <c r="U448" s="39"/>
      <c r="V448" s="41">
        <f>VLOOKUP(B448,LevelXp!$D$1:'LevelXp'!$F$1000,3,)</f>
        <v>260113768</v>
      </c>
      <c r="Y448" s="41">
        <v>355</v>
      </c>
      <c r="Z448" s="41">
        <v>260113768</v>
      </c>
      <c r="AA448" s="41">
        <v>0</v>
      </c>
      <c r="AC448" s="50">
        <v>447</v>
      </c>
      <c r="AD448" s="51">
        <f t="shared" si="189"/>
        <v>300000000</v>
      </c>
      <c r="AE448" s="51">
        <f t="shared" si="191"/>
        <v>217107138.44444445</v>
      </c>
      <c r="AF448" s="51">
        <f t="shared" si="190"/>
        <v>0</v>
      </c>
      <c r="AG448" s="55">
        <f t="shared" si="191"/>
        <v>0</v>
      </c>
      <c r="AH448" s="29">
        <f>SUM($AF$2:AF448)</f>
        <v>278</v>
      </c>
      <c r="AI448" s="55">
        <f>SUM($AG$2:AG448)</f>
        <v>277.99999999999881</v>
      </c>
    </row>
    <row r="449" spans="1:35" x14ac:dyDescent="0.2">
      <c r="A449" s="48" t="s">
        <v>2937</v>
      </c>
      <c r="B449" s="29">
        <v>490</v>
      </c>
      <c r="N449" s="33"/>
      <c r="Q449" s="33"/>
      <c r="S449" s="33"/>
      <c r="U449" s="39"/>
      <c r="V449" s="41">
        <f>VLOOKUP(B449,LevelXp!$D$1:'LevelXp'!$F$1000,3,)</f>
        <v>269415502</v>
      </c>
      <c r="Y449" s="41">
        <v>356</v>
      </c>
      <c r="Z449" s="41">
        <v>269415502</v>
      </c>
      <c r="AA449" s="41">
        <v>0</v>
      </c>
      <c r="AC449" s="50">
        <v>448</v>
      </c>
      <c r="AD449" s="51">
        <f t="shared" si="189"/>
        <v>300000000</v>
      </c>
      <c r="AE449" s="51">
        <f t="shared" si="191"/>
        <v>183773805.1111111</v>
      </c>
      <c r="AF449" s="51">
        <f t="shared" si="190"/>
        <v>0</v>
      </c>
      <c r="AG449" s="55">
        <f t="shared" si="191"/>
        <v>0</v>
      </c>
      <c r="AH449" s="29">
        <f>SUM($AF$2:AF449)</f>
        <v>278</v>
      </c>
      <c r="AI449" s="55">
        <f>SUM($AG$2:AG449)</f>
        <v>277.99999999999881</v>
      </c>
    </row>
    <row r="450" spans="1:35" x14ac:dyDescent="0.2">
      <c r="A450" s="48" t="s">
        <v>2937</v>
      </c>
      <c r="B450" s="29">
        <v>500</v>
      </c>
      <c r="N450" s="33"/>
      <c r="Q450" s="33"/>
      <c r="S450" s="33"/>
      <c r="U450" s="39"/>
      <c r="V450" s="41">
        <f>VLOOKUP(B450,LevelXp!$D$1:'LevelXp'!$F$1000,3,)</f>
        <v>278245770</v>
      </c>
      <c r="Y450" s="41">
        <v>356</v>
      </c>
      <c r="Z450" s="41">
        <v>278245770</v>
      </c>
      <c r="AA450" s="41">
        <v>0</v>
      </c>
      <c r="AC450" s="50">
        <v>449</v>
      </c>
      <c r="AD450" s="51">
        <f t="shared" si="189"/>
        <v>300000000</v>
      </c>
      <c r="AE450" s="51">
        <f t="shared" si="191"/>
        <v>217107138.44444445</v>
      </c>
      <c r="AF450" s="51">
        <f t="shared" si="190"/>
        <v>0</v>
      </c>
      <c r="AG450" s="55">
        <f t="shared" si="191"/>
        <v>0</v>
      </c>
      <c r="AH450" s="29">
        <f>SUM($AF$2:AF450)</f>
        <v>278</v>
      </c>
      <c r="AI450" s="55">
        <f>SUM($AG$2:AG450)</f>
        <v>277.99999999999881</v>
      </c>
    </row>
    <row r="451" spans="1:35" x14ac:dyDescent="0.2">
      <c r="A451" s="48" t="s">
        <v>2937</v>
      </c>
      <c r="B451" s="29">
        <v>510</v>
      </c>
      <c r="N451" s="33"/>
      <c r="Q451" s="33"/>
      <c r="S451" s="33"/>
      <c r="U451" s="39"/>
      <c r="V451" s="41">
        <f>VLOOKUP(B451,LevelXp!$D$1:'LevelXp'!$F$1000,3,)</f>
        <v>288083020</v>
      </c>
      <c r="Y451" s="41">
        <v>356</v>
      </c>
      <c r="Z451" s="41">
        <v>288083020</v>
      </c>
      <c r="AA451" s="41">
        <v>0</v>
      </c>
      <c r="AC451" s="50">
        <v>450</v>
      </c>
      <c r="AD451" s="51">
        <f t="shared" ref="AD451:AD514" si="220">SUMIF($Y$2:$Y$682, AC451, $Z$2:$Z$682)</f>
        <v>300000000</v>
      </c>
      <c r="AE451" s="51">
        <f t="shared" si="191"/>
        <v>200000000</v>
      </c>
      <c r="AF451" s="51">
        <f t="shared" ref="AF451:AF514" si="221">SUMIF($Y$2:$Y$682, AC451, $AA$2:$AA$682)</f>
        <v>0</v>
      </c>
      <c r="AG451" s="55">
        <f t="shared" si="191"/>
        <v>0</v>
      </c>
      <c r="AH451" s="29">
        <f>SUM($AF$2:AF451)</f>
        <v>278</v>
      </c>
      <c r="AI451" s="55">
        <f>SUM($AG$2:AG451)</f>
        <v>277.99999999999881</v>
      </c>
    </row>
    <row r="452" spans="1:35" x14ac:dyDescent="0.2">
      <c r="A452" s="48" t="s">
        <v>8856</v>
      </c>
      <c r="B452" s="29">
        <v>7</v>
      </c>
      <c r="C452" s="29">
        <v>6</v>
      </c>
      <c r="D452" s="29">
        <v>390</v>
      </c>
      <c r="E452" s="29">
        <v>22500</v>
      </c>
      <c r="F452" s="29">
        <v>6500</v>
      </c>
      <c r="G452" s="29">
        <v>6500</v>
      </c>
      <c r="H452" s="29">
        <v>81500</v>
      </c>
      <c r="I452" s="29">
        <v>10500</v>
      </c>
      <c r="J452" s="29">
        <v>143440000</v>
      </c>
      <c r="K452" s="29">
        <v>1092</v>
      </c>
      <c r="L452" s="29">
        <v>2080</v>
      </c>
      <c r="M452" s="29">
        <v>10</v>
      </c>
      <c r="N452" s="33">
        <v>45</v>
      </c>
      <c r="O452" s="29">
        <f>AVERAGE(K452, L452)</f>
        <v>1586</v>
      </c>
      <c r="P452" s="31" cm="1">
        <f t="array" ref="P452">WPNFACTOR(C452)</f>
        <v>2</v>
      </c>
      <c r="Q452" s="33" cm="1">
        <f t="array" ref="Q452">HPFACTOr(C452)</f>
        <v>4</v>
      </c>
      <c r="R452" s="32">
        <f>O452/P452</f>
        <v>793</v>
      </c>
      <c r="S452" s="33">
        <f>J452/Q452</f>
        <v>35860000</v>
      </c>
      <c r="T452" s="32">
        <f>R452*(1 + (N452/400))</f>
        <v>882.21250000000009</v>
      </c>
      <c r="U452" s="39">
        <f>S452*1.6/(1 + (0.6*(1 - (M452/100))))</f>
        <v>37257142.857142858</v>
      </c>
      <c r="V452" s="41">
        <f>VLOOKUP(D452,LevelXp!$A$1:'LevelXp'!$B$1000,2,)/5</f>
        <v>288853442</v>
      </c>
      <c r="W452" s="29">
        <f>T452*U452</f>
        <v>32868717142.857147</v>
      </c>
      <c r="X452" s="32">
        <f>POWER(W452, 1/$X$1)</f>
        <v>126.86930208730996</v>
      </c>
      <c r="Y452" s="41">
        <v>357</v>
      </c>
      <c r="Z452" s="41">
        <v>288853442</v>
      </c>
      <c r="AA452" s="41">
        <v>1</v>
      </c>
      <c r="AC452" s="50">
        <v>451</v>
      </c>
      <c r="AD452" s="51">
        <f t="shared" si="220"/>
        <v>300000000</v>
      </c>
      <c r="AE452" s="51">
        <f t="shared" si="191"/>
        <v>233333333.33333334</v>
      </c>
      <c r="AF452" s="51">
        <f t="shared" si="221"/>
        <v>0</v>
      </c>
      <c r="AG452" s="55">
        <f t="shared" si="191"/>
        <v>0</v>
      </c>
      <c r="AH452" s="29">
        <f>SUM($AF$2:AF452)</f>
        <v>278</v>
      </c>
      <c r="AI452" s="55">
        <f>SUM($AG$2:AG452)</f>
        <v>277.99999999999881</v>
      </c>
    </row>
    <row r="453" spans="1:35" x14ac:dyDescent="0.2">
      <c r="A453" s="48" t="s">
        <v>8856</v>
      </c>
      <c r="B453" s="29">
        <v>6</v>
      </c>
      <c r="C453" s="29">
        <v>4</v>
      </c>
      <c r="D453" s="29">
        <v>360</v>
      </c>
      <c r="E453" s="29">
        <v>6500</v>
      </c>
      <c r="F453" s="29">
        <v>18500</v>
      </c>
      <c r="G453" s="29">
        <v>6500</v>
      </c>
      <c r="H453" s="29">
        <v>83500</v>
      </c>
      <c r="I453" s="29">
        <v>11500</v>
      </c>
      <c r="J453" s="29">
        <v>135938000</v>
      </c>
      <c r="K453" s="29">
        <v>2524</v>
      </c>
      <c r="L453" s="29">
        <v>4319</v>
      </c>
      <c r="M453" s="29">
        <v>40</v>
      </c>
      <c r="N453" s="33">
        <v>45</v>
      </c>
      <c r="O453" s="29">
        <f>AVERAGE(K453, L453)</f>
        <v>3421.5</v>
      </c>
      <c r="P453" s="31" cm="1">
        <f t="array" ref="P453">WPNFACTOR(C453)</f>
        <v>4</v>
      </c>
      <c r="Q453" s="33" cm="1">
        <f t="array" ref="Q453">HPFACTOr(C453)</f>
        <v>4</v>
      </c>
      <c r="R453" s="32">
        <f>O453/P453</f>
        <v>855.375</v>
      </c>
      <c r="S453" s="33">
        <f>J453/Q453</f>
        <v>33984500</v>
      </c>
      <c r="T453" s="32">
        <f>R453*(1 + (N453/400))</f>
        <v>951.60468750000007</v>
      </c>
      <c r="U453" s="39">
        <f>S453*1.6/(1 + (0.6*(1 - (M453/100))))</f>
        <v>39981764.705882356</v>
      </c>
      <c r="V453" s="41">
        <f>VLOOKUP(D453,LevelXp!$A$1:'LevelXp'!$B$1000,2,)/5</f>
        <v>191202824</v>
      </c>
      <c r="W453" s="29">
        <f>T453*U453</f>
        <v>38046834708.639709</v>
      </c>
      <c r="X453" s="32">
        <f>POWER(W453, 1/$X$1)</f>
        <v>130.63625034090197</v>
      </c>
      <c r="Y453" s="41">
        <v>357</v>
      </c>
      <c r="Z453" s="41">
        <v>191202824</v>
      </c>
      <c r="AA453" s="41">
        <v>1</v>
      </c>
      <c r="AC453" s="50">
        <v>452</v>
      </c>
      <c r="AD453" s="51">
        <f t="shared" si="220"/>
        <v>0</v>
      </c>
      <c r="AE453" s="51">
        <f t="shared" si="191"/>
        <v>200000000</v>
      </c>
      <c r="AF453" s="51">
        <f t="shared" si="221"/>
        <v>0</v>
      </c>
      <c r="AG453" s="55">
        <f t="shared" si="191"/>
        <v>0</v>
      </c>
      <c r="AH453" s="29">
        <f>SUM($AF$2:AF453)</f>
        <v>278</v>
      </c>
      <c r="AI453" s="55">
        <f>SUM($AG$2:AG453)</f>
        <v>277.99999999999881</v>
      </c>
    </row>
    <row r="454" spans="1:35" x14ac:dyDescent="0.2">
      <c r="A454" s="48" t="s">
        <v>2937</v>
      </c>
      <c r="B454" s="29">
        <v>520</v>
      </c>
      <c r="N454" s="33"/>
      <c r="Q454" s="33"/>
      <c r="S454" s="33"/>
      <c r="U454" s="39"/>
      <c r="V454" s="41">
        <f>VLOOKUP(B454,LevelXp!$D$1:'LevelXp'!$F$1000,3,)</f>
        <v>297195772</v>
      </c>
      <c r="Y454" s="41">
        <v>357</v>
      </c>
      <c r="Z454" s="41">
        <v>297195772</v>
      </c>
      <c r="AA454" s="41">
        <v>0</v>
      </c>
      <c r="AC454" s="50">
        <v>453</v>
      </c>
      <c r="AD454" s="51">
        <f t="shared" si="220"/>
        <v>300000000</v>
      </c>
      <c r="AE454" s="51">
        <f t="shared" si="191"/>
        <v>200000000</v>
      </c>
      <c r="AF454" s="51">
        <f t="shared" si="221"/>
        <v>0</v>
      </c>
      <c r="AG454" s="55">
        <f t="shared" si="191"/>
        <v>0</v>
      </c>
      <c r="AH454" s="29">
        <f>SUM($AF$2:AF454)</f>
        <v>278</v>
      </c>
      <c r="AI454" s="55">
        <f>SUM($AG$2:AG454)</f>
        <v>277.99999999999881</v>
      </c>
    </row>
    <row r="455" spans="1:35" x14ac:dyDescent="0.2">
      <c r="A455" s="48" t="s">
        <v>2937</v>
      </c>
      <c r="B455" s="29">
        <v>530</v>
      </c>
      <c r="N455" s="33"/>
      <c r="Q455" s="33"/>
      <c r="S455" s="33"/>
      <c r="U455" s="39"/>
      <c r="V455" s="41">
        <f>VLOOKUP(B455,LevelXp!$D$1:'LevelXp'!$F$1000,3,)</f>
        <v>300000000</v>
      </c>
      <c r="Y455" s="41">
        <v>357</v>
      </c>
      <c r="Z455" s="41">
        <v>300000000</v>
      </c>
      <c r="AA455" s="41">
        <v>0</v>
      </c>
      <c r="AC455" s="50">
        <v>454</v>
      </c>
      <c r="AD455" s="51">
        <f t="shared" si="220"/>
        <v>0</v>
      </c>
      <c r="AE455" s="51">
        <f t="shared" ref="AE455:AG518" si="222">AVERAGE(AD451:AD459)</f>
        <v>166666666.66666666</v>
      </c>
      <c r="AF455" s="51">
        <f t="shared" si="221"/>
        <v>0</v>
      </c>
      <c r="AG455" s="55">
        <f t="shared" si="222"/>
        <v>0</v>
      </c>
      <c r="AH455" s="29">
        <f>SUM($AF$2:AF455)</f>
        <v>278</v>
      </c>
      <c r="AI455" s="55">
        <f>SUM($AG$2:AG455)</f>
        <v>277.99999999999881</v>
      </c>
    </row>
    <row r="456" spans="1:35" x14ac:dyDescent="0.2">
      <c r="A456" s="48" t="s">
        <v>2937</v>
      </c>
      <c r="B456" s="29">
        <v>540</v>
      </c>
      <c r="N456" s="33"/>
      <c r="Q456" s="33"/>
      <c r="S456" s="33"/>
      <c r="U456" s="39"/>
      <c r="V456" s="41">
        <f>VLOOKUP(B456,LevelXp!$D$1:'LevelXp'!$F$1000,3,)</f>
        <v>300000000</v>
      </c>
      <c r="Y456" s="41">
        <v>357</v>
      </c>
      <c r="Z456" s="41">
        <v>300000000</v>
      </c>
      <c r="AA456" s="41">
        <v>0</v>
      </c>
      <c r="AC456" s="50">
        <v>455</v>
      </c>
      <c r="AD456" s="51">
        <f t="shared" si="220"/>
        <v>300000000</v>
      </c>
      <c r="AE456" s="51">
        <f t="shared" si="222"/>
        <v>166666666.66666666</v>
      </c>
      <c r="AF456" s="51">
        <f t="shared" si="221"/>
        <v>0</v>
      </c>
      <c r="AG456" s="55">
        <f t="shared" si="222"/>
        <v>0</v>
      </c>
      <c r="AH456" s="29">
        <f>SUM($AF$2:AF456)</f>
        <v>278</v>
      </c>
      <c r="AI456" s="55">
        <f>SUM($AG$2:AG456)</f>
        <v>277.99999999999881</v>
      </c>
    </row>
    <row r="457" spans="1:35" x14ac:dyDescent="0.2">
      <c r="A457" s="48" t="s">
        <v>8864</v>
      </c>
      <c r="B457" s="29">
        <v>6</v>
      </c>
      <c r="C457" s="29">
        <v>1</v>
      </c>
      <c r="D457" s="29">
        <v>460</v>
      </c>
      <c r="E457" s="29">
        <v>59280</v>
      </c>
      <c r="F457" s="29">
        <v>20784</v>
      </c>
      <c r="G457" s="29">
        <v>20634</v>
      </c>
      <c r="H457" s="29">
        <v>57600</v>
      </c>
      <c r="I457" s="29">
        <v>13068</v>
      </c>
      <c r="J457" s="29">
        <v>132768000</v>
      </c>
      <c r="K457" s="29">
        <v>517</v>
      </c>
      <c r="L457" s="29">
        <v>1080</v>
      </c>
      <c r="N457" s="33"/>
      <c r="O457" s="29">
        <f>AVERAGE(K457, L457)</f>
        <v>798.5</v>
      </c>
      <c r="P457" s="31" cm="1">
        <f t="array" ref="P457">WPNFACTOR(C457)</f>
        <v>2</v>
      </c>
      <c r="Q457" s="33" cm="1">
        <f t="array" ref="Q457">HPFACTOr(C457)</f>
        <v>5</v>
      </c>
      <c r="R457" s="32">
        <f>O457/P457</f>
        <v>399.25</v>
      </c>
      <c r="S457" s="33">
        <f>J457/Q457</f>
        <v>26553600</v>
      </c>
      <c r="T457" s="32">
        <f>R457*(1 + (N457/400))</f>
        <v>399.25</v>
      </c>
      <c r="U457" s="39">
        <f>S457*1.6/(1 + (0.6*(1 - (M457/100))))</f>
        <v>26553600</v>
      </c>
      <c r="V457" s="41">
        <f>VLOOKUP(D457,LevelXp!$A$1:'LevelXp'!$B$1000,2,)/5</f>
        <v>300000000</v>
      </c>
      <c r="W457" s="29">
        <f>T457*U457</f>
        <v>10601524800</v>
      </c>
      <c r="X457" s="32">
        <f>POWER(W457, 1/$X$1)</f>
        <v>101.17510568677439</v>
      </c>
      <c r="Y457" s="41">
        <v>358</v>
      </c>
      <c r="Z457" s="41">
        <v>300000000</v>
      </c>
      <c r="AA457" s="41">
        <v>1</v>
      </c>
      <c r="AC457" s="50">
        <v>456</v>
      </c>
      <c r="AD457" s="51">
        <f t="shared" si="220"/>
        <v>0</v>
      </c>
      <c r="AE457" s="51">
        <f t="shared" si="222"/>
        <v>133333333.33333333</v>
      </c>
      <c r="AF457" s="51">
        <f t="shared" si="221"/>
        <v>0</v>
      </c>
      <c r="AG457" s="55">
        <f t="shared" si="222"/>
        <v>0</v>
      </c>
      <c r="AH457" s="29">
        <f>SUM($AF$2:AF457)</f>
        <v>278</v>
      </c>
      <c r="AI457" s="55">
        <f>SUM($AG$2:AG457)</f>
        <v>277.99999999999881</v>
      </c>
    </row>
    <row r="458" spans="1:35" x14ac:dyDescent="0.2">
      <c r="A458" s="48" t="s">
        <v>8864</v>
      </c>
      <c r="B458" s="29">
        <v>7</v>
      </c>
      <c r="C458" s="29">
        <v>2</v>
      </c>
      <c r="D458" s="29">
        <v>470</v>
      </c>
      <c r="E458" s="29">
        <v>15120</v>
      </c>
      <c r="F458" s="29">
        <v>15240</v>
      </c>
      <c r="G458" s="29">
        <v>61200</v>
      </c>
      <c r="H458" s="29">
        <v>58560</v>
      </c>
      <c r="I458" s="29">
        <v>21648</v>
      </c>
      <c r="J458" s="29">
        <v>55163520</v>
      </c>
      <c r="K458" s="29">
        <v>1087</v>
      </c>
      <c r="L458" s="29">
        <v>2611</v>
      </c>
      <c r="N458" s="33"/>
      <c r="O458" s="29">
        <f>AVERAGE(K458, L458)</f>
        <v>1849</v>
      </c>
      <c r="P458" s="31" cm="1">
        <f t="array" ref="P458">WPNFACTOR(C458)</f>
        <v>4.5</v>
      </c>
      <c r="Q458" s="33" cm="1">
        <f t="array" ref="Q458">HPFACTOr(C458)</f>
        <v>2</v>
      </c>
      <c r="R458" s="32">
        <f>O458/P458</f>
        <v>410.88888888888891</v>
      </c>
      <c r="S458" s="33">
        <f>J458/Q458</f>
        <v>27581760</v>
      </c>
      <c r="T458" s="32">
        <f>R458*(1 + (N458/400))</f>
        <v>410.88888888888891</v>
      </c>
      <c r="U458" s="39">
        <f>S458*1.6/(1 + (0.6*(1 - (M458/100))))</f>
        <v>27581760</v>
      </c>
      <c r="V458" s="41">
        <f>VLOOKUP(D458,LevelXp!$A$1:'LevelXp'!$B$1000,2,)/5</f>
        <v>300000000</v>
      </c>
      <c r="W458" s="29">
        <f>T458*U458</f>
        <v>11333038720</v>
      </c>
      <c r="X458" s="32">
        <f>POWER(W458, 1/$X$1)</f>
        <v>102.53432447547416</v>
      </c>
      <c r="Y458" s="41">
        <v>358</v>
      </c>
      <c r="Z458" s="41">
        <v>300000000</v>
      </c>
      <c r="AA458" s="41">
        <v>1</v>
      </c>
      <c r="AC458" s="50">
        <v>457</v>
      </c>
      <c r="AD458" s="51">
        <f t="shared" si="220"/>
        <v>300000000</v>
      </c>
      <c r="AE458" s="51">
        <f t="shared" si="222"/>
        <v>166666666.66666666</v>
      </c>
      <c r="AF458" s="51">
        <f t="shared" si="221"/>
        <v>0</v>
      </c>
      <c r="AG458" s="55">
        <f t="shared" si="222"/>
        <v>0</v>
      </c>
      <c r="AH458" s="29">
        <f>SUM($AF$2:AF458)</f>
        <v>278</v>
      </c>
      <c r="AI458" s="55">
        <f>SUM($AG$2:AG458)</f>
        <v>277.99999999999881</v>
      </c>
    </row>
    <row r="459" spans="1:35" x14ac:dyDescent="0.2">
      <c r="A459" s="48" t="s">
        <v>8864</v>
      </c>
      <c r="B459" s="29">
        <v>8</v>
      </c>
      <c r="C459" s="29">
        <v>2</v>
      </c>
      <c r="D459" s="29">
        <v>480</v>
      </c>
      <c r="E459" s="29">
        <v>18060</v>
      </c>
      <c r="F459" s="29">
        <v>18200</v>
      </c>
      <c r="G459" s="29">
        <v>73080</v>
      </c>
      <c r="H459" s="29">
        <v>70000</v>
      </c>
      <c r="I459" s="29">
        <v>25844</v>
      </c>
      <c r="J459" s="29">
        <v>67340000</v>
      </c>
      <c r="K459" s="29">
        <v>1120</v>
      </c>
      <c r="L459" s="29">
        <v>2695</v>
      </c>
      <c r="N459" s="33"/>
      <c r="O459" s="29">
        <f>AVERAGE(K459, L459)</f>
        <v>1907.5</v>
      </c>
      <c r="P459" s="31" cm="1">
        <f t="array" ref="P459">WPNFACTOR(C459)</f>
        <v>4.5</v>
      </c>
      <c r="Q459" s="33" cm="1">
        <f t="array" ref="Q459">HPFACTOr(C459)</f>
        <v>2</v>
      </c>
      <c r="R459" s="32">
        <f>O459/P459</f>
        <v>423.88888888888891</v>
      </c>
      <c r="S459" s="33">
        <f>J459/Q459</f>
        <v>33670000</v>
      </c>
      <c r="T459" s="32">
        <f>R459*(1 + (N459/400))</f>
        <v>423.88888888888891</v>
      </c>
      <c r="U459" s="39">
        <f>S459*1.6/(1 + (0.6*(1 - (M459/100))))</f>
        <v>33670000</v>
      </c>
      <c r="V459" s="41">
        <f>VLOOKUP(D459,LevelXp!$A$1:'LevelXp'!$B$1000,2,)/5</f>
        <v>300000000</v>
      </c>
      <c r="W459" s="29">
        <f>T459*U459</f>
        <v>14272338888.888889</v>
      </c>
      <c r="X459" s="32">
        <f>POWER(W459, 1/$X$1)</f>
        <v>107.37397470244146</v>
      </c>
      <c r="Y459" s="41">
        <v>358</v>
      </c>
      <c r="Z459" s="41">
        <v>300000000</v>
      </c>
      <c r="AA459" s="41">
        <v>1</v>
      </c>
      <c r="AC459" s="50">
        <v>458</v>
      </c>
      <c r="AD459" s="51">
        <f t="shared" si="220"/>
        <v>0</v>
      </c>
      <c r="AE459" s="51">
        <f t="shared" si="222"/>
        <v>133333333.33333333</v>
      </c>
      <c r="AF459" s="51">
        <f t="shared" si="221"/>
        <v>0</v>
      </c>
      <c r="AG459" s="55">
        <f t="shared" si="222"/>
        <v>0</v>
      </c>
      <c r="AH459" s="29">
        <f>SUM($AF$2:AF459)</f>
        <v>278</v>
      </c>
      <c r="AI459" s="55">
        <f>SUM($AG$2:AG459)</f>
        <v>277.99999999999881</v>
      </c>
    </row>
    <row r="460" spans="1:35" x14ac:dyDescent="0.2">
      <c r="A460" s="48" t="s">
        <v>2937</v>
      </c>
      <c r="B460" s="29">
        <v>550</v>
      </c>
      <c r="N460" s="33"/>
      <c r="Q460" s="33"/>
      <c r="S460" s="33"/>
      <c r="U460" s="39"/>
      <c r="V460" s="41">
        <f>VLOOKUP(B460,LevelXp!$D$1:'LevelXp'!$F$1000,3,)</f>
        <v>300000000</v>
      </c>
      <c r="Y460" s="41">
        <v>358</v>
      </c>
      <c r="Z460" s="41">
        <v>300000000</v>
      </c>
      <c r="AA460" s="41">
        <v>0</v>
      </c>
      <c r="AC460" s="50">
        <v>459</v>
      </c>
      <c r="AD460" s="51">
        <f t="shared" si="220"/>
        <v>300000000</v>
      </c>
      <c r="AE460" s="51">
        <f t="shared" si="222"/>
        <v>166666666.66666666</v>
      </c>
      <c r="AF460" s="51">
        <f t="shared" si="221"/>
        <v>0</v>
      </c>
      <c r="AG460" s="55">
        <f t="shared" si="222"/>
        <v>0.1111111111111111</v>
      </c>
      <c r="AH460" s="29">
        <f>SUM($AF$2:AF460)</f>
        <v>278</v>
      </c>
      <c r="AI460" s="55">
        <f>SUM($AG$2:AG460)</f>
        <v>278.11111111110989</v>
      </c>
    </row>
    <row r="461" spans="1:35" x14ac:dyDescent="0.2">
      <c r="A461" s="48" t="s">
        <v>2937</v>
      </c>
      <c r="B461" s="29">
        <v>560</v>
      </c>
      <c r="N461" s="33"/>
      <c r="Q461" s="33"/>
      <c r="S461" s="33"/>
      <c r="U461" s="39"/>
      <c r="V461" s="41">
        <f>VLOOKUP(B461,LevelXp!$D$1:'LevelXp'!$F$1000,3,)</f>
        <v>300000000</v>
      </c>
      <c r="Y461" s="41">
        <v>358</v>
      </c>
      <c r="Z461" s="41">
        <v>300000000</v>
      </c>
      <c r="AA461" s="41">
        <v>0</v>
      </c>
      <c r="AC461" s="50">
        <v>460</v>
      </c>
      <c r="AD461" s="51">
        <f t="shared" si="220"/>
        <v>0</v>
      </c>
      <c r="AE461" s="51">
        <f t="shared" si="222"/>
        <v>133333333.33333333</v>
      </c>
      <c r="AF461" s="51">
        <f t="shared" si="221"/>
        <v>0</v>
      </c>
      <c r="AG461" s="55">
        <f t="shared" si="222"/>
        <v>0.1111111111111111</v>
      </c>
      <c r="AH461" s="29">
        <f>SUM($AF$2:AF461)</f>
        <v>278</v>
      </c>
      <c r="AI461" s="55">
        <f>SUM($AG$2:AG461)</f>
        <v>278.22222222222098</v>
      </c>
    </row>
    <row r="462" spans="1:35" x14ac:dyDescent="0.2">
      <c r="A462" s="48" t="s">
        <v>2937</v>
      </c>
      <c r="B462" s="29">
        <v>570</v>
      </c>
      <c r="N462" s="33"/>
      <c r="Q462" s="33"/>
      <c r="S462" s="33"/>
      <c r="U462" s="39"/>
      <c r="V462" s="41">
        <f>VLOOKUP(B462,LevelXp!$D$1:'LevelXp'!$F$1000,3,)</f>
        <v>300000000</v>
      </c>
      <c r="Y462" s="41">
        <v>358</v>
      </c>
      <c r="Z462" s="41">
        <v>300000000</v>
      </c>
      <c r="AA462" s="41">
        <v>0</v>
      </c>
      <c r="AC462" s="50">
        <v>461</v>
      </c>
      <c r="AD462" s="51">
        <f t="shared" si="220"/>
        <v>300000000</v>
      </c>
      <c r="AE462" s="51">
        <f t="shared" si="222"/>
        <v>166666666.66666666</v>
      </c>
      <c r="AF462" s="51">
        <f t="shared" si="221"/>
        <v>0</v>
      </c>
      <c r="AG462" s="55">
        <f t="shared" si="222"/>
        <v>0.1111111111111111</v>
      </c>
      <c r="AH462" s="29">
        <f>SUM($AF$2:AF462)</f>
        <v>278</v>
      </c>
      <c r="AI462" s="55">
        <f>SUM($AG$2:AG462)</f>
        <v>278.33333333333206</v>
      </c>
    </row>
    <row r="463" spans="1:35" x14ac:dyDescent="0.2">
      <c r="A463" s="48" t="s">
        <v>8853</v>
      </c>
      <c r="B463" s="29">
        <v>4</v>
      </c>
      <c r="C463" s="29">
        <v>1</v>
      </c>
      <c r="D463" s="29">
        <v>476</v>
      </c>
      <c r="E463" s="29">
        <v>18592</v>
      </c>
      <c r="F463" s="29">
        <v>6524</v>
      </c>
      <c r="G463" s="29">
        <v>6454</v>
      </c>
      <c r="H463" s="29">
        <v>97944</v>
      </c>
      <c r="I463" s="29">
        <v>4284</v>
      </c>
      <c r="J463" s="29">
        <v>233596448</v>
      </c>
      <c r="K463" s="29">
        <v>5090</v>
      </c>
      <c r="L463" s="29">
        <v>10175</v>
      </c>
      <c r="N463" s="33"/>
      <c r="O463" s="29">
        <f>AVERAGE(K463, L463)</f>
        <v>7632.5</v>
      </c>
      <c r="P463" s="31" cm="1">
        <f t="array" ref="P463">WPNFACTOR(C463)</f>
        <v>2</v>
      </c>
      <c r="Q463" s="33" cm="1">
        <f t="array" ref="Q463">HPFACTOr(C463)</f>
        <v>5</v>
      </c>
      <c r="R463" s="32">
        <f>O463/P463</f>
        <v>3816.25</v>
      </c>
      <c r="S463" s="33">
        <f>J463/Q463</f>
        <v>46719289.600000001</v>
      </c>
      <c r="T463" s="32">
        <f>R463*(1 + (N463/400))</f>
        <v>3816.25</v>
      </c>
      <c r="U463" s="39">
        <f>S463*1.6/(1 + (0.6*(1 - (M463/100))))</f>
        <v>46719289.599999994</v>
      </c>
      <c r="V463" s="41">
        <f>VLOOKUP(D463,LevelXp!$A$1:'LevelXp'!$B$1000,2,)/5</f>
        <v>300000000</v>
      </c>
      <c r="W463" s="29">
        <f>T463*U463</f>
        <v>178292488935.99997</v>
      </c>
      <c r="X463" s="32">
        <f>POWER(W463, 1/$X$1)</f>
        <v>177.92075365745012</v>
      </c>
      <c r="Y463" s="41">
        <v>359</v>
      </c>
      <c r="Z463" s="41">
        <v>300000000</v>
      </c>
      <c r="AA463" s="41">
        <v>0</v>
      </c>
      <c r="AC463" s="50">
        <v>462</v>
      </c>
      <c r="AD463" s="51">
        <f t="shared" si="220"/>
        <v>0</v>
      </c>
      <c r="AE463" s="51">
        <f t="shared" si="222"/>
        <v>133333333.33333333</v>
      </c>
      <c r="AF463" s="51">
        <f t="shared" si="221"/>
        <v>0</v>
      </c>
      <c r="AG463" s="55">
        <f t="shared" si="222"/>
        <v>0.1111111111111111</v>
      </c>
      <c r="AH463" s="29">
        <f>SUM($AF$2:AF463)</f>
        <v>278</v>
      </c>
      <c r="AI463" s="55">
        <f>SUM($AG$2:AG463)</f>
        <v>278.44444444444315</v>
      </c>
    </row>
    <row r="464" spans="1:35" x14ac:dyDescent="0.2">
      <c r="A464" s="48" t="s">
        <v>2937</v>
      </c>
      <c r="B464" s="29">
        <v>580</v>
      </c>
      <c r="N464" s="33"/>
      <c r="Q464" s="33"/>
      <c r="S464" s="33"/>
      <c r="U464" s="39"/>
      <c r="V464" s="41">
        <f>VLOOKUP(B464,LevelXp!$D$1:'LevelXp'!$F$1000,3,)</f>
        <v>300000000</v>
      </c>
      <c r="Y464" s="41">
        <v>359</v>
      </c>
      <c r="Z464" s="41">
        <v>300000000</v>
      </c>
      <c r="AA464" s="41">
        <v>0</v>
      </c>
      <c r="AC464" s="50">
        <v>463</v>
      </c>
      <c r="AD464" s="51">
        <f t="shared" si="220"/>
        <v>300000000</v>
      </c>
      <c r="AE464" s="51">
        <f t="shared" si="222"/>
        <v>166666666.66666666</v>
      </c>
      <c r="AF464" s="51">
        <f t="shared" si="221"/>
        <v>1</v>
      </c>
      <c r="AG464" s="55">
        <f t="shared" si="222"/>
        <v>0.1111111111111111</v>
      </c>
      <c r="AH464" s="29">
        <f>SUM($AF$2:AF464)</f>
        <v>279</v>
      </c>
      <c r="AI464" s="55">
        <f>SUM($AG$2:AG464)</f>
        <v>278.55555555555424</v>
      </c>
    </row>
    <row r="465" spans="1:35" x14ac:dyDescent="0.2">
      <c r="A465" s="48" t="s">
        <v>2937</v>
      </c>
      <c r="B465" s="29">
        <v>590</v>
      </c>
      <c r="N465" s="33"/>
      <c r="Q465" s="33"/>
      <c r="S465" s="33"/>
      <c r="U465" s="39"/>
      <c r="V465" s="41">
        <f>VLOOKUP(B465,LevelXp!$D$1:'LevelXp'!$F$1000,3,)</f>
        <v>300000000</v>
      </c>
      <c r="Y465" s="41">
        <v>359</v>
      </c>
      <c r="Z465" s="41">
        <v>300000000</v>
      </c>
      <c r="AA465" s="41">
        <v>0</v>
      </c>
      <c r="AC465" s="50">
        <v>464</v>
      </c>
      <c r="AD465" s="51">
        <f t="shared" si="220"/>
        <v>0</v>
      </c>
      <c r="AE465" s="51">
        <f t="shared" si="222"/>
        <v>166666666.66666666</v>
      </c>
      <c r="AF465" s="51">
        <f t="shared" si="221"/>
        <v>0</v>
      </c>
      <c r="AG465" s="55">
        <f t="shared" si="222"/>
        <v>0.1111111111111111</v>
      </c>
      <c r="AH465" s="29">
        <f>SUM($AF$2:AF465)</f>
        <v>279</v>
      </c>
      <c r="AI465" s="55">
        <f>SUM($AG$2:AG465)</f>
        <v>278.66666666666532</v>
      </c>
    </row>
    <row r="466" spans="1:35" x14ac:dyDescent="0.2">
      <c r="A466" s="48" t="s">
        <v>2937</v>
      </c>
      <c r="B466" s="29">
        <v>600</v>
      </c>
      <c r="N466" s="33"/>
      <c r="Q466" s="33"/>
      <c r="S466" s="33"/>
      <c r="U466" s="39"/>
      <c r="V466" s="41">
        <f>VLOOKUP(B466,LevelXp!$D$1:'LevelXp'!$F$1000,3,)</f>
        <v>300000000</v>
      </c>
      <c r="Y466" s="41">
        <v>359</v>
      </c>
      <c r="Z466" s="41">
        <v>300000000</v>
      </c>
      <c r="AA466" s="41">
        <v>0</v>
      </c>
      <c r="AC466" s="50">
        <v>465</v>
      </c>
      <c r="AD466" s="51">
        <f t="shared" si="220"/>
        <v>300000000</v>
      </c>
      <c r="AE466" s="51">
        <f t="shared" si="222"/>
        <v>166666666.66666666</v>
      </c>
      <c r="AF466" s="51">
        <f t="shared" si="221"/>
        <v>0</v>
      </c>
      <c r="AG466" s="55">
        <f t="shared" si="222"/>
        <v>0.1111111111111111</v>
      </c>
      <c r="AH466" s="29">
        <f>SUM($AF$2:AF466)</f>
        <v>279</v>
      </c>
      <c r="AI466" s="55">
        <f>SUM($AG$2:AG466)</f>
        <v>278.77777777777641</v>
      </c>
    </row>
    <row r="467" spans="1:35" x14ac:dyDescent="0.2">
      <c r="A467" s="48" t="s">
        <v>8853</v>
      </c>
      <c r="B467" s="29">
        <v>5</v>
      </c>
      <c r="C467" s="29">
        <v>1</v>
      </c>
      <c r="D467" s="29">
        <v>480</v>
      </c>
      <c r="E467" s="29">
        <v>18761</v>
      </c>
      <c r="F467" s="29">
        <v>6582</v>
      </c>
      <c r="G467" s="29">
        <v>6514</v>
      </c>
      <c r="H467" s="29">
        <v>98962</v>
      </c>
      <c r="I467" s="29">
        <v>4306</v>
      </c>
      <c r="J467" s="29">
        <v>238003616</v>
      </c>
      <c r="K467" s="29">
        <v>5133</v>
      </c>
      <c r="L467" s="29">
        <v>10259</v>
      </c>
      <c r="N467" s="33"/>
      <c r="O467" s="29">
        <f>AVERAGE(K467, L467)</f>
        <v>7696</v>
      </c>
      <c r="P467" s="31" cm="1">
        <f t="array" ref="P467">WPNFACTOR(C467)</f>
        <v>2</v>
      </c>
      <c r="Q467" s="33" cm="1">
        <f t="array" ref="Q467">HPFACTOr(C467)</f>
        <v>5</v>
      </c>
      <c r="R467" s="32">
        <f>O467/P467</f>
        <v>3848</v>
      </c>
      <c r="S467" s="33">
        <f>J467/Q467</f>
        <v>47600723.200000003</v>
      </c>
      <c r="T467" s="32">
        <f>R467*(1 + (N467/400))</f>
        <v>3848</v>
      </c>
      <c r="U467" s="39">
        <f>S467*1.6/(1 + (0.6*(1 - (M467/100))))</f>
        <v>47600723.200000003</v>
      </c>
      <c r="V467" s="41">
        <f>VLOOKUP(D467,LevelXp!$A$1:'LevelXp'!$B$1000,2,)/5</f>
        <v>300000000</v>
      </c>
      <c r="W467" s="29">
        <f>T467*U467</f>
        <v>183167582873.60001</v>
      </c>
      <c r="X467" s="32">
        <f>POWER(W467, 1/$X$1)</f>
        <v>178.88326903738076</v>
      </c>
      <c r="Y467" s="41">
        <v>360</v>
      </c>
      <c r="Z467" s="41">
        <v>300000000</v>
      </c>
      <c r="AA467" s="41">
        <v>0</v>
      </c>
      <c r="AC467" s="50">
        <v>466</v>
      </c>
      <c r="AD467" s="51">
        <f t="shared" si="220"/>
        <v>0</v>
      </c>
      <c r="AE467" s="51">
        <f t="shared" si="222"/>
        <v>166666666.66666666</v>
      </c>
      <c r="AF467" s="51">
        <f t="shared" si="221"/>
        <v>0</v>
      </c>
      <c r="AG467" s="55">
        <f t="shared" si="222"/>
        <v>0.1111111111111111</v>
      </c>
      <c r="AH467" s="29">
        <f>SUM($AF$2:AF467)</f>
        <v>279</v>
      </c>
      <c r="AI467" s="55">
        <f>SUM($AG$2:AG467)</f>
        <v>278.88888888888749</v>
      </c>
    </row>
    <row r="468" spans="1:35" x14ac:dyDescent="0.2">
      <c r="A468" s="48" t="s">
        <v>8866</v>
      </c>
      <c r="B468" s="29">
        <v>6</v>
      </c>
      <c r="C468" s="29">
        <v>1</v>
      </c>
      <c r="D468" s="29">
        <v>424</v>
      </c>
      <c r="E468" s="29">
        <v>22421</v>
      </c>
      <c r="F468" s="29">
        <v>10797</v>
      </c>
      <c r="G468" s="29">
        <v>10620</v>
      </c>
      <c r="H468" s="29">
        <v>112800</v>
      </c>
      <c r="I468" s="29">
        <v>15630</v>
      </c>
      <c r="J468" s="29">
        <v>239700000</v>
      </c>
      <c r="K468" s="29">
        <v>1446</v>
      </c>
      <c r="L468" s="29">
        <v>2441</v>
      </c>
      <c r="N468" s="33"/>
      <c r="O468" s="29">
        <f>AVERAGE(K468, L468)</f>
        <v>1943.5</v>
      </c>
      <c r="P468" s="31" cm="1">
        <f t="array" ref="P468">WPNFACTOR(C468)</f>
        <v>2</v>
      </c>
      <c r="Q468" s="33" cm="1">
        <f t="array" ref="Q468">HPFACTOr(C468)</f>
        <v>5</v>
      </c>
      <c r="R468" s="32">
        <f>O468/P468</f>
        <v>971.75</v>
      </c>
      <c r="S468" s="33">
        <f>J468/Q468</f>
        <v>47940000</v>
      </c>
      <c r="T468" s="32">
        <f>R468*(1 + (N468/400))</f>
        <v>971.75</v>
      </c>
      <c r="U468" s="39">
        <f>S468*1.6/(1 + (0.6*(1 - (M468/100))))</f>
        <v>47940000</v>
      </c>
      <c r="V468" s="41">
        <f>VLOOKUP(D468,LevelXp!$A$1:'LevelXp'!$B$1000,2,)/5</f>
        <v>300000000</v>
      </c>
      <c r="W468" s="29">
        <f>T468*U468</f>
        <v>46585695000</v>
      </c>
      <c r="X468" s="32">
        <f>POWER(W468, 1/$X$1)</f>
        <v>136.03495453342788</v>
      </c>
      <c r="Y468" s="41">
        <v>360</v>
      </c>
      <c r="Z468" s="41">
        <v>300000000</v>
      </c>
      <c r="AA468" s="41">
        <v>1</v>
      </c>
      <c r="AC468" s="50">
        <v>467</v>
      </c>
      <c r="AD468" s="51">
        <f t="shared" si="220"/>
        <v>300000000</v>
      </c>
      <c r="AE468" s="51">
        <f t="shared" si="222"/>
        <v>200000000</v>
      </c>
      <c r="AF468" s="51">
        <f t="shared" si="221"/>
        <v>0</v>
      </c>
      <c r="AG468" s="55">
        <f t="shared" si="222"/>
        <v>0.1111111111111111</v>
      </c>
      <c r="AH468" s="29">
        <f>SUM($AF$2:AF468)</f>
        <v>279</v>
      </c>
      <c r="AI468" s="55">
        <f>SUM($AG$2:AG468)</f>
        <v>278.99999999999858</v>
      </c>
    </row>
    <row r="469" spans="1:35" x14ac:dyDescent="0.2">
      <c r="A469" s="48" t="s">
        <v>8866</v>
      </c>
      <c r="B469" s="29">
        <v>7</v>
      </c>
      <c r="C469" s="29">
        <v>3</v>
      </c>
      <c r="D469" s="29">
        <v>440</v>
      </c>
      <c r="E469" s="29">
        <v>9250</v>
      </c>
      <c r="F469" s="29">
        <v>23036</v>
      </c>
      <c r="G469" s="29">
        <v>9250</v>
      </c>
      <c r="H469" s="29">
        <v>108665</v>
      </c>
      <c r="I469" s="29">
        <v>15697</v>
      </c>
      <c r="J469" s="29">
        <v>191685056</v>
      </c>
      <c r="K469" s="29">
        <v>1874</v>
      </c>
      <c r="L469" s="29">
        <v>3167</v>
      </c>
      <c r="N469" s="33"/>
      <c r="O469" s="29">
        <f>AVERAGE(K469, L469)</f>
        <v>2520.5</v>
      </c>
      <c r="P469" s="31" cm="1">
        <f t="array" ref="P469">WPNFACTOR(C469)</f>
        <v>2.5</v>
      </c>
      <c r="Q469" s="33" cm="1">
        <f t="array" ref="Q469">HPFACTOr(C469)</f>
        <v>4</v>
      </c>
      <c r="R469" s="32">
        <f>O469/P469</f>
        <v>1008.2</v>
      </c>
      <c r="S469" s="33">
        <f>J469/Q469</f>
        <v>47921264</v>
      </c>
      <c r="T469" s="32">
        <f>R469*(1 + (N469/400))</f>
        <v>1008.2</v>
      </c>
      <c r="U469" s="39">
        <f>S469*1.6/(1 + (0.6*(1 - (M469/100))))</f>
        <v>47921264</v>
      </c>
      <c r="V469" s="41">
        <f>VLOOKUP(D469,LevelXp!$A$1:'LevelXp'!$B$1000,2,)/5</f>
        <v>300000000</v>
      </c>
      <c r="W469" s="29">
        <f>T469*U469</f>
        <v>48314218364.800003</v>
      </c>
      <c r="X469" s="32">
        <f>POWER(W469, 1/$X$1)</f>
        <v>137.02978981195639</v>
      </c>
      <c r="Y469" s="41">
        <v>360</v>
      </c>
      <c r="Z469" s="41">
        <v>300000000</v>
      </c>
      <c r="AA469" s="41">
        <v>1</v>
      </c>
      <c r="AC469" s="50">
        <v>468</v>
      </c>
      <c r="AD469" s="51">
        <f t="shared" si="220"/>
        <v>300000000</v>
      </c>
      <c r="AE469" s="51">
        <f t="shared" si="222"/>
        <v>166666666.66666666</v>
      </c>
      <c r="AF469" s="51">
        <f t="shared" si="221"/>
        <v>0</v>
      </c>
      <c r="AG469" s="55">
        <f t="shared" si="222"/>
        <v>0</v>
      </c>
      <c r="AH469" s="29">
        <f>SUM($AF$2:AF469)</f>
        <v>279</v>
      </c>
      <c r="AI469" s="55">
        <f>SUM($AG$2:AG469)</f>
        <v>278.99999999999858</v>
      </c>
    </row>
    <row r="470" spans="1:35" x14ac:dyDescent="0.2">
      <c r="A470" s="48" t="s">
        <v>2937</v>
      </c>
      <c r="B470" s="29">
        <v>610</v>
      </c>
      <c r="N470" s="33"/>
      <c r="Q470" s="33"/>
      <c r="S470" s="33"/>
      <c r="U470" s="39"/>
      <c r="V470" s="41">
        <f>VLOOKUP(B470,LevelXp!$D$1:'LevelXp'!$F$1000,3,)</f>
        <v>300000000</v>
      </c>
      <c r="Y470" s="41">
        <v>360</v>
      </c>
      <c r="Z470" s="41">
        <v>300000000</v>
      </c>
      <c r="AA470" s="41">
        <v>0</v>
      </c>
      <c r="AC470" s="50">
        <v>469</v>
      </c>
      <c r="AD470" s="51">
        <f t="shared" si="220"/>
        <v>0</v>
      </c>
      <c r="AE470" s="51">
        <f t="shared" si="222"/>
        <v>200000000</v>
      </c>
      <c r="AF470" s="51">
        <f t="shared" si="221"/>
        <v>0</v>
      </c>
      <c r="AG470" s="55">
        <f t="shared" si="222"/>
        <v>0</v>
      </c>
      <c r="AH470" s="29">
        <f>SUM($AF$2:AF470)</f>
        <v>279</v>
      </c>
      <c r="AI470" s="55">
        <f>SUM($AG$2:AG470)</f>
        <v>278.99999999999858</v>
      </c>
    </row>
    <row r="471" spans="1:35" x14ac:dyDescent="0.2">
      <c r="A471" s="48" t="s">
        <v>2937</v>
      </c>
      <c r="B471" s="29">
        <v>620</v>
      </c>
      <c r="N471" s="33"/>
      <c r="Q471" s="33"/>
      <c r="S471" s="33"/>
      <c r="U471" s="39"/>
      <c r="V471" s="41">
        <f>VLOOKUP(B471,LevelXp!$D$1:'LevelXp'!$F$1000,3,)</f>
        <v>300000000</v>
      </c>
      <c r="Y471" s="41">
        <v>360</v>
      </c>
      <c r="Z471" s="41">
        <v>300000000</v>
      </c>
      <c r="AA471" s="41">
        <v>0</v>
      </c>
      <c r="AC471" s="50">
        <v>470</v>
      </c>
      <c r="AD471" s="51">
        <f t="shared" si="220"/>
        <v>300000000</v>
      </c>
      <c r="AE471" s="51">
        <f t="shared" si="222"/>
        <v>166666666.66666666</v>
      </c>
      <c r="AF471" s="51">
        <f t="shared" si="221"/>
        <v>0</v>
      </c>
      <c r="AG471" s="55">
        <f t="shared" si="222"/>
        <v>0</v>
      </c>
      <c r="AH471" s="29">
        <f>SUM($AF$2:AF471)</f>
        <v>279</v>
      </c>
      <c r="AI471" s="55">
        <f>SUM($AG$2:AG471)</f>
        <v>278.99999999999858</v>
      </c>
    </row>
    <row r="472" spans="1:35" x14ac:dyDescent="0.2">
      <c r="A472" s="48" t="s">
        <v>2937</v>
      </c>
      <c r="B472" s="29">
        <v>630</v>
      </c>
      <c r="N472" s="33"/>
      <c r="Q472" s="33"/>
      <c r="S472" s="33"/>
      <c r="U472" s="39"/>
      <c r="V472" s="41">
        <f>VLOOKUP(B472,LevelXp!$D$1:'LevelXp'!$F$1000,3,)</f>
        <v>300000000</v>
      </c>
      <c r="Y472" s="41">
        <v>361</v>
      </c>
      <c r="Z472" s="41">
        <v>300000000</v>
      </c>
      <c r="AA472" s="41">
        <v>0</v>
      </c>
      <c r="AC472" s="50">
        <v>471</v>
      </c>
      <c r="AD472" s="51">
        <f t="shared" si="220"/>
        <v>300000000</v>
      </c>
      <c r="AE472" s="51">
        <f t="shared" si="222"/>
        <v>200000000</v>
      </c>
      <c r="AF472" s="51">
        <f t="shared" si="221"/>
        <v>0</v>
      </c>
      <c r="AG472" s="55">
        <f t="shared" si="222"/>
        <v>0</v>
      </c>
      <c r="AH472" s="29">
        <f>SUM($AF$2:AF472)</f>
        <v>279</v>
      </c>
      <c r="AI472" s="55">
        <f>SUM($AG$2:AG472)</f>
        <v>278.99999999999858</v>
      </c>
    </row>
    <row r="473" spans="1:35" x14ac:dyDescent="0.2">
      <c r="A473" s="48" t="s">
        <v>2937</v>
      </c>
      <c r="B473" s="29">
        <v>640</v>
      </c>
      <c r="N473" s="33"/>
      <c r="Q473" s="33"/>
      <c r="S473" s="33"/>
      <c r="U473" s="39"/>
      <c r="V473" s="41">
        <f>VLOOKUP(B473,LevelXp!$D$1:'LevelXp'!$F$1000,3,)</f>
        <v>300000000</v>
      </c>
      <c r="Y473" s="41">
        <v>361</v>
      </c>
      <c r="Z473" s="41">
        <v>300000000</v>
      </c>
      <c r="AA473" s="41">
        <v>0</v>
      </c>
      <c r="AC473" s="50">
        <v>472</v>
      </c>
      <c r="AD473" s="51">
        <f t="shared" si="220"/>
        <v>0</v>
      </c>
      <c r="AE473" s="51">
        <f t="shared" si="222"/>
        <v>166666666.66666666</v>
      </c>
      <c r="AF473" s="51">
        <f t="shared" si="221"/>
        <v>0</v>
      </c>
      <c r="AG473" s="55">
        <f t="shared" si="222"/>
        <v>0</v>
      </c>
      <c r="AH473" s="29">
        <f>SUM($AF$2:AF473)</f>
        <v>279</v>
      </c>
      <c r="AI473" s="55">
        <f>SUM($AG$2:AG473)</f>
        <v>278.99999999999858</v>
      </c>
    </row>
    <row r="474" spans="1:35" x14ac:dyDescent="0.2">
      <c r="A474" s="48" t="s">
        <v>2937</v>
      </c>
      <c r="B474" s="29">
        <v>650</v>
      </c>
      <c r="N474" s="33"/>
      <c r="Q474" s="33"/>
      <c r="S474" s="33"/>
      <c r="U474" s="39"/>
      <c r="V474" s="41">
        <f>VLOOKUP(B474,LevelXp!$D$1:'LevelXp'!$F$1000,3,)</f>
        <v>300000000</v>
      </c>
      <c r="Y474" s="41">
        <v>362</v>
      </c>
      <c r="Z474" s="41">
        <v>300000000</v>
      </c>
      <c r="AA474" s="41">
        <v>0</v>
      </c>
      <c r="AC474" s="50">
        <v>473</v>
      </c>
      <c r="AD474" s="51">
        <f t="shared" si="220"/>
        <v>300000000</v>
      </c>
      <c r="AE474" s="51">
        <f t="shared" si="222"/>
        <v>166666666.66666666</v>
      </c>
      <c r="AF474" s="51">
        <f t="shared" si="221"/>
        <v>0</v>
      </c>
      <c r="AG474" s="55">
        <f t="shared" si="222"/>
        <v>0</v>
      </c>
      <c r="AH474" s="29">
        <f>SUM($AF$2:AF474)</f>
        <v>279</v>
      </c>
      <c r="AI474" s="55">
        <f>SUM($AG$2:AG474)</f>
        <v>278.99999999999858</v>
      </c>
    </row>
    <row r="475" spans="1:35" x14ac:dyDescent="0.2">
      <c r="A475" s="48" t="s">
        <v>2937</v>
      </c>
      <c r="B475" s="29">
        <v>660</v>
      </c>
      <c r="N475" s="33"/>
      <c r="Q475" s="33"/>
      <c r="S475" s="33"/>
      <c r="U475" s="39"/>
      <c r="V475" s="41">
        <f>VLOOKUP(B475,LevelXp!$D$1:'LevelXp'!$F$1000,3,)</f>
        <v>300000000</v>
      </c>
      <c r="Y475" s="41">
        <v>362</v>
      </c>
      <c r="Z475" s="41">
        <v>300000000</v>
      </c>
      <c r="AA475" s="41">
        <v>0</v>
      </c>
      <c r="AC475" s="50">
        <v>474</v>
      </c>
      <c r="AD475" s="51">
        <f t="shared" si="220"/>
        <v>0</v>
      </c>
      <c r="AE475" s="51">
        <f t="shared" si="222"/>
        <v>166666666.66666666</v>
      </c>
      <c r="AF475" s="51">
        <f t="shared" si="221"/>
        <v>0</v>
      </c>
      <c r="AG475" s="55">
        <f t="shared" si="222"/>
        <v>0</v>
      </c>
      <c r="AH475" s="29">
        <f>SUM($AF$2:AF475)</f>
        <v>279</v>
      </c>
      <c r="AI475" s="55">
        <f>SUM($AG$2:AG475)</f>
        <v>278.99999999999858</v>
      </c>
    </row>
    <row r="476" spans="1:35" x14ac:dyDescent="0.2">
      <c r="A476" s="48" t="s">
        <v>8852</v>
      </c>
      <c r="B476" s="29">
        <v>10</v>
      </c>
      <c r="C476" s="29">
        <v>1</v>
      </c>
      <c r="D476" s="29">
        <v>460</v>
      </c>
      <c r="E476" s="29">
        <v>19366</v>
      </c>
      <c r="F476" s="29">
        <v>6785</v>
      </c>
      <c r="G476" s="29">
        <v>6756</v>
      </c>
      <c r="H476" s="29">
        <v>104742</v>
      </c>
      <c r="I476" s="29">
        <v>4105</v>
      </c>
      <c r="J476" s="29">
        <v>241430304</v>
      </c>
      <c r="K476" s="29">
        <v>4919</v>
      </c>
      <c r="L476" s="29">
        <v>9823</v>
      </c>
      <c r="N476" s="33"/>
      <c r="O476" s="29">
        <f>AVERAGE(K476, L476)</f>
        <v>7371</v>
      </c>
      <c r="P476" s="31" cm="1">
        <f t="array" ref="P476">WPNFACTOR(C476)</f>
        <v>2</v>
      </c>
      <c r="Q476" s="33" cm="1">
        <f t="array" ref="Q476">HPFACTOr(C476)</f>
        <v>5</v>
      </c>
      <c r="R476" s="32">
        <f>O476/P476</f>
        <v>3685.5</v>
      </c>
      <c r="S476" s="33">
        <f>J476/Q476</f>
        <v>48286060.799999997</v>
      </c>
      <c r="T476" s="32">
        <f>R476*(1 + (N476/400))</f>
        <v>3685.5</v>
      </c>
      <c r="U476" s="39">
        <f>S476*1.6/(1 + (0.6*(1 - (M476/100))))</f>
        <v>48286060.799999997</v>
      </c>
      <c r="V476" s="41">
        <f>VLOOKUP(D476,LevelXp!$A$1:'LevelXp'!$B$1000,2,)/5</f>
        <v>300000000</v>
      </c>
      <c r="W476" s="29">
        <f>T476*U476</f>
        <v>177958277078.39999</v>
      </c>
      <c r="X476" s="32">
        <f>POWER(W476, 1/$X$1)</f>
        <v>177.85400057993775</v>
      </c>
      <c r="Y476" s="41">
        <v>363</v>
      </c>
      <c r="Z476" s="41">
        <v>300000000</v>
      </c>
      <c r="AA476" s="41">
        <v>0</v>
      </c>
      <c r="AC476" s="50">
        <v>475</v>
      </c>
      <c r="AD476" s="51">
        <f t="shared" si="220"/>
        <v>300000000</v>
      </c>
      <c r="AE476" s="51">
        <f>AVERAGE(AD472:AD480)</f>
        <v>166666666.66666666</v>
      </c>
      <c r="AF476" s="51">
        <f t="shared" si="221"/>
        <v>0</v>
      </c>
      <c r="AG476" s="55">
        <f>AVERAGE(AF472:AF480)</f>
        <v>0</v>
      </c>
      <c r="AH476" s="29">
        <f>SUM($AF$2:AF476)</f>
        <v>279</v>
      </c>
      <c r="AI476" s="55">
        <f>SUM($AG$2:AG476)</f>
        <v>278.99999999999858</v>
      </c>
    </row>
    <row r="477" spans="1:35" x14ac:dyDescent="0.2">
      <c r="A477" s="48" t="s">
        <v>2937</v>
      </c>
      <c r="B477" s="29">
        <v>670</v>
      </c>
      <c r="N477" s="33"/>
      <c r="Q477" s="33"/>
      <c r="S477" s="33"/>
      <c r="U477" s="39"/>
      <c r="V477" s="41">
        <f>VLOOKUP(B477,LevelXp!$D$1:'LevelXp'!$F$1000,3,)</f>
        <v>300000000</v>
      </c>
      <c r="Y477" s="41">
        <v>363</v>
      </c>
      <c r="Z477" s="41">
        <v>300000000</v>
      </c>
      <c r="AA477" s="41">
        <v>0</v>
      </c>
      <c r="AC477" s="50">
        <v>476</v>
      </c>
      <c r="AD477" s="51">
        <f t="shared" si="220"/>
        <v>0</v>
      </c>
      <c r="AE477" s="51">
        <f>AVERAGE(AD473:$AD$480,$AD$482:AD482)</f>
        <v>133333333.33333333</v>
      </c>
      <c r="AF477" s="51">
        <f t="shared" si="221"/>
        <v>0</v>
      </c>
      <c r="AG477" s="55">
        <v>0</v>
      </c>
      <c r="AH477" s="29">
        <f>SUM($AF$2:AF477)</f>
        <v>279</v>
      </c>
      <c r="AI477" s="55">
        <f>SUM($AG$2:AG477)</f>
        <v>278.99999999999858</v>
      </c>
    </row>
    <row r="478" spans="1:35" x14ac:dyDescent="0.2">
      <c r="A478" s="48" t="s">
        <v>8867</v>
      </c>
      <c r="B478" s="29">
        <v>6</v>
      </c>
      <c r="C478" s="29">
        <v>1</v>
      </c>
      <c r="D478" s="29">
        <v>460</v>
      </c>
      <c r="E478" s="29">
        <v>50230</v>
      </c>
      <c r="F478" s="29">
        <v>17580</v>
      </c>
      <c r="G478" s="29">
        <v>17530</v>
      </c>
      <c r="H478" s="29">
        <v>29310</v>
      </c>
      <c r="I478" s="29">
        <v>10620</v>
      </c>
      <c r="J478" s="29">
        <v>67559552</v>
      </c>
      <c r="K478" s="29">
        <v>2584</v>
      </c>
      <c r="L478" s="29">
        <v>6343</v>
      </c>
      <c r="N478" s="33"/>
      <c r="O478" s="29">
        <f>AVERAGE(K478, L478)</f>
        <v>4463.5</v>
      </c>
      <c r="P478" s="31" cm="1">
        <f t="array" ref="P478">WPNFACTOR(C478)</f>
        <v>2</v>
      </c>
      <c r="Q478" s="33" cm="1">
        <f t="array" ref="Q478">HPFACTOr(C478)</f>
        <v>5</v>
      </c>
      <c r="R478" s="32">
        <f>O478/P478</f>
        <v>2231.75</v>
      </c>
      <c r="S478" s="33">
        <f>J478/Q478</f>
        <v>13511910.4</v>
      </c>
      <c r="T478" s="32">
        <f>R478*(1 + (N478/400))</f>
        <v>2231.75</v>
      </c>
      <c r="U478" s="39">
        <f>S478*1.6/(1 + (0.6*(1 - (M478/100))))</f>
        <v>13511910.4</v>
      </c>
      <c r="V478" s="41">
        <f>VLOOKUP(D478,LevelXp!$A$1:'LevelXp'!$B$1000,2,)/5</f>
        <v>300000000</v>
      </c>
      <c r="W478" s="29">
        <f>T478*U478</f>
        <v>30155206035.200001</v>
      </c>
      <c r="X478" s="32">
        <f>POWER(W478, 1/$X$1)</f>
        <v>124.70172468611605</v>
      </c>
      <c r="Y478" s="41">
        <v>364</v>
      </c>
      <c r="Z478" s="41">
        <v>300000000</v>
      </c>
      <c r="AA478" s="41">
        <v>1</v>
      </c>
      <c r="AC478" s="50">
        <v>477</v>
      </c>
      <c r="AD478" s="51">
        <f t="shared" si="220"/>
        <v>300000000</v>
      </c>
      <c r="AE478" s="51">
        <f>AVERAGE(AD474:$AD$480,$AD$482:AD483)</f>
        <v>133333333.33333333</v>
      </c>
      <c r="AF478" s="51">
        <f t="shared" si="221"/>
        <v>0</v>
      </c>
      <c r="AG478" s="55">
        <v>0</v>
      </c>
      <c r="AH478" s="29">
        <f>SUM($AF$2:AF478)</f>
        <v>279</v>
      </c>
      <c r="AI478" s="55">
        <f>SUM($AG$2:AG478)</f>
        <v>278.99999999999858</v>
      </c>
    </row>
    <row r="479" spans="1:35" x14ac:dyDescent="0.2">
      <c r="A479" s="48" t="s">
        <v>2937</v>
      </c>
      <c r="B479" s="29">
        <v>680</v>
      </c>
      <c r="N479" s="33"/>
      <c r="Q479" s="33"/>
      <c r="S479" s="33"/>
      <c r="U479" s="39"/>
      <c r="V479" s="41">
        <f>VLOOKUP(B479,LevelXp!$D$1:'LevelXp'!$F$1000,3,)</f>
        <v>300000000</v>
      </c>
      <c r="Y479" s="41">
        <v>364</v>
      </c>
      <c r="Z479" s="41">
        <v>300000000</v>
      </c>
      <c r="AA479" s="41">
        <v>0</v>
      </c>
      <c r="AC479" s="50">
        <v>478</v>
      </c>
      <c r="AD479" s="51">
        <f t="shared" si="220"/>
        <v>0</v>
      </c>
      <c r="AE479" s="51">
        <f>AVERAGE(AD475:$AD$480,$AD$482:AD484)</f>
        <v>133333333.33333333</v>
      </c>
      <c r="AF479" s="51">
        <f t="shared" si="221"/>
        <v>0</v>
      </c>
      <c r="AG479" s="55">
        <v>0</v>
      </c>
      <c r="AH479" s="29">
        <f>SUM($AF$2:AF479)</f>
        <v>279</v>
      </c>
      <c r="AI479" s="55">
        <f>SUM($AG$2:AG479)</f>
        <v>278.99999999999858</v>
      </c>
    </row>
    <row r="480" spans="1:35" x14ac:dyDescent="0.2">
      <c r="A480" s="48" t="s">
        <v>8853</v>
      </c>
      <c r="B480" s="29">
        <v>6</v>
      </c>
      <c r="C480" s="29">
        <v>2</v>
      </c>
      <c r="D480" s="29">
        <v>484</v>
      </c>
      <c r="E480" s="29">
        <v>7945</v>
      </c>
      <c r="F480" s="29">
        <v>8026</v>
      </c>
      <c r="G480" s="29">
        <v>32266</v>
      </c>
      <c r="H480" s="29">
        <v>167706</v>
      </c>
      <c r="I480" s="29">
        <v>11446</v>
      </c>
      <c r="J480" s="29">
        <v>162674816</v>
      </c>
      <c r="K480" s="29">
        <v>11672</v>
      </c>
      <c r="L480" s="29">
        <v>23265</v>
      </c>
      <c r="N480" s="33"/>
      <c r="O480" s="29">
        <f>AVERAGE(K480, L480)</f>
        <v>17468.5</v>
      </c>
      <c r="P480" s="31" cm="1">
        <f t="array" ref="P480">WPNFACTOR(C480)</f>
        <v>4.5</v>
      </c>
      <c r="Q480" s="33" cm="1">
        <f t="array" ref="Q480">HPFACTOr(C480)</f>
        <v>2</v>
      </c>
      <c r="R480" s="32">
        <f>O480/P480</f>
        <v>3881.8888888888887</v>
      </c>
      <c r="S480" s="33">
        <f>J480/Q480</f>
        <v>81337408</v>
      </c>
      <c r="T480" s="32">
        <f>R480*(1 + (N480/400))</f>
        <v>3881.8888888888887</v>
      </c>
      <c r="U480" s="39">
        <f>S480*1.6/(1 + (0.6*(1 - (M480/100))))</f>
        <v>81337408</v>
      </c>
      <c r="V480" s="41">
        <f>VLOOKUP(D480,LevelXp!$A$1:'LevelXp'!$B$1000,2,)/5</f>
        <v>300000000</v>
      </c>
      <c r="W480" s="29">
        <f>T480*U480</f>
        <v>315742780366.22223</v>
      </c>
      <c r="X480" s="32">
        <f>POWER(W480, 1/$X$1)</f>
        <v>199.46499286603336</v>
      </c>
      <c r="Y480" s="41">
        <v>365</v>
      </c>
      <c r="Z480" s="41">
        <v>300000000</v>
      </c>
      <c r="AA480" s="41">
        <v>0</v>
      </c>
      <c r="AC480" s="50">
        <v>479</v>
      </c>
      <c r="AD480" s="51">
        <f t="shared" si="220"/>
        <v>300000000</v>
      </c>
      <c r="AE480" s="51">
        <f>AVERAGE(AD476:$AD$480,$AD$482:AD485)</f>
        <v>133333333.33333333</v>
      </c>
      <c r="AF480" s="51">
        <f t="shared" si="221"/>
        <v>0</v>
      </c>
      <c r="AG480" s="55">
        <v>0</v>
      </c>
      <c r="AH480" s="29">
        <f>SUM($AF$2:AF480)</f>
        <v>279</v>
      </c>
      <c r="AI480" s="55">
        <f>SUM($AG$2:AG480)</f>
        <v>278.99999999999858</v>
      </c>
    </row>
    <row r="481" spans="1:35" x14ac:dyDescent="0.2">
      <c r="A481" s="48" t="s">
        <v>2937</v>
      </c>
      <c r="B481" s="29">
        <v>690</v>
      </c>
      <c r="N481" s="33"/>
      <c r="Q481" s="33"/>
      <c r="S481" s="33"/>
      <c r="U481" s="39"/>
      <c r="V481" s="41">
        <f>VLOOKUP(B481,LevelXp!$D$1:'LevelXp'!$F$1000,3,)</f>
        <v>300000000</v>
      </c>
      <c r="Y481" s="41">
        <v>365</v>
      </c>
      <c r="Z481" s="41">
        <v>300000000</v>
      </c>
      <c r="AA481" s="41">
        <v>0</v>
      </c>
      <c r="AC481" s="50">
        <v>480</v>
      </c>
      <c r="AD481" s="51">
        <f t="shared" si="220"/>
        <v>3000000000</v>
      </c>
      <c r="AE481" s="51">
        <f>AD481</f>
        <v>3000000000</v>
      </c>
      <c r="AF481" s="51">
        <f t="shared" si="221"/>
        <v>10</v>
      </c>
      <c r="AG481" s="55">
        <f>AF481</f>
        <v>10</v>
      </c>
      <c r="AH481" s="29">
        <f>SUM($AF$2:AF481)</f>
        <v>289</v>
      </c>
      <c r="AI481" s="55">
        <f>SUM($AG$2:AG481)</f>
        <v>288.99999999999858</v>
      </c>
    </row>
    <row r="482" spans="1:35" x14ac:dyDescent="0.2">
      <c r="A482" s="48" t="s">
        <v>8856</v>
      </c>
      <c r="B482" s="29">
        <v>1</v>
      </c>
      <c r="C482" s="29">
        <v>1</v>
      </c>
      <c r="D482" s="29">
        <v>345</v>
      </c>
      <c r="E482" s="29">
        <v>48500</v>
      </c>
      <c r="F482" s="29">
        <v>12000</v>
      </c>
      <c r="G482" s="29">
        <v>12000</v>
      </c>
      <c r="H482" s="29">
        <v>163000</v>
      </c>
      <c r="I482" s="29">
        <v>23500</v>
      </c>
      <c r="J482" s="29">
        <v>318257504</v>
      </c>
      <c r="K482" s="29">
        <v>1190</v>
      </c>
      <c r="L482" s="29">
        <v>2011</v>
      </c>
      <c r="M482" s="29">
        <v>0</v>
      </c>
      <c r="N482" s="33">
        <v>60</v>
      </c>
      <c r="O482" s="29">
        <f>AVERAGE(K482, L482)</f>
        <v>1600.5</v>
      </c>
      <c r="P482" s="31" cm="1">
        <f t="array" ref="P482">WPNFACTOR(C482)</f>
        <v>2</v>
      </c>
      <c r="Q482" s="33" cm="1">
        <f t="array" ref="Q482">HPFACTOr(C482)</f>
        <v>5</v>
      </c>
      <c r="R482" s="32">
        <f>O482/P482</f>
        <v>800.25</v>
      </c>
      <c r="S482" s="33">
        <f>J482/Q482</f>
        <v>63651500.799999997</v>
      </c>
      <c r="T482" s="32">
        <f>R482*(1 + (N482/400))</f>
        <v>920.28749999999991</v>
      </c>
      <c r="U482" s="39">
        <f>S482*1.6/(1 + (0.6*(1 - (M482/100))))</f>
        <v>63651500.799999997</v>
      </c>
      <c r="V482" s="41">
        <f>VLOOKUP(D482,LevelXp!$A$1:'LevelXp'!$B$1000,2,)/5</f>
        <v>153964246</v>
      </c>
      <c r="W482" s="29">
        <f>T482*U482</f>
        <v>58577680542.479988</v>
      </c>
      <c r="X482" s="32">
        <f>POWER(W482, 1/$X$1)</f>
        <v>142.41195036688228</v>
      </c>
      <c r="Y482" s="41">
        <v>366</v>
      </c>
      <c r="Z482" s="41">
        <v>153964246</v>
      </c>
      <c r="AA482" s="41">
        <v>1</v>
      </c>
      <c r="AC482" s="50">
        <v>481</v>
      </c>
      <c r="AD482" s="51">
        <f t="shared" si="220"/>
        <v>0</v>
      </c>
      <c r="AE482" s="51">
        <f>AVERAGE(AD477:$AD$480,$AD$482:AD486)</f>
        <v>133333333.33333333</v>
      </c>
      <c r="AF482" s="51">
        <f t="shared" si="221"/>
        <v>0</v>
      </c>
      <c r="AG482" s="55">
        <v>0</v>
      </c>
      <c r="AH482" s="29">
        <f>SUM($AF$2:AF482)</f>
        <v>289</v>
      </c>
      <c r="AI482" s="55">
        <f>SUM($AG$2:AG482)</f>
        <v>288.99999999999858</v>
      </c>
    </row>
    <row r="483" spans="1:35" x14ac:dyDescent="0.2">
      <c r="A483" s="48" t="s">
        <v>8856</v>
      </c>
      <c r="B483" s="29">
        <v>8</v>
      </c>
      <c r="C483" s="29">
        <v>3</v>
      </c>
      <c r="D483" s="29">
        <v>420</v>
      </c>
      <c r="E483" s="29">
        <v>10500</v>
      </c>
      <c r="F483" s="29">
        <v>22500</v>
      </c>
      <c r="G483" s="29">
        <v>10500</v>
      </c>
      <c r="H483" s="29">
        <v>112500</v>
      </c>
      <c r="I483" s="29">
        <v>15500</v>
      </c>
      <c r="J483" s="29">
        <v>212850000</v>
      </c>
      <c r="K483" s="29">
        <v>1837</v>
      </c>
      <c r="L483" s="29">
        <v>3148</v>
      </c>
      <c r="M483" s="29">
        <v>50</v>
      </c>
      <c r="N483" s="33">
        <v>50</v>
      </c>
      <c r="O483" s="29">
        <f>AVERAGE(K483, L483)</f>
        <v>2492.5</v>
      </c>
      <c r="P483" s="31" cm="1">
        <f t="array" ref="P483">WPNFACTOR(C483)</f>
        <v>2.5</v>
      </c>
      <c r="Q483" s="33" cm="1">
        <f t="array" ref="Q483">HPFACTOr(C483)</f>
        <v>4</v>
      </c>
      <c r="R483" s="32">
        <f>O483/P483</f>
        <v>997</v>
      </c>
      <c r="S483" s="33">
        <f>J483/Q483</f>
        <v>53212500</v>
      </c>
      <c r="T483" s="32">
        <f>R483*(1 + (N483/400))</f>
        <v>1121.625</v>
      </c>
      <c r="U483" s="39">
        <f>S483*1.6/(1 + (0.6*(1 - (M483/100))))</f>
        <v>65492307.692307688</v>
      </c>
      <c r="V483" s="41">
        <f>VLOOKUP(D483,LevelXp!$A$1:'LevelXp'!$B$1000,2,)/5</f>
        <v>300000000</v>
      </c>
      <c r="W483" s="29">
        <f>T483*U483</f>
        <v>73457809615.384613</v>
      </c>
      <c r="X483" s="32">
        <f>POWER(W483, 1/$X$1)</f>
        <v>149.00731696732578</v>
      </c>
      <c r="Y483" s="41">
        <v>366</v>
      </c>
      <c r="Z483" s="41">
        <v>300000000</v>
      </c>
      <c r="AA483" s="41">
        <v>1</v>
      </c>
      <c r="AC483" s="50">
        <v>482</v>
      </c>
      <c r="AD483" s="51">
        <f t="shared" si="220"/>
        <v>0</v>
      </c>
      <c r="AE483" s="51">
        <f>AVERAGE(AD478:$AD$480,$AD$482:AD487)</f>
        <v>133333333.33333333</v>
      </c>
      <c r="AF483" s="51">
        <f t="shared" si="221"/>
        <v>0</v>
      </c>
      <c r="AG483" s="55">
        <v>0</v>
      </c>
      <c r="AH483" s="29">
        <f>SUM($AF$2:AF483)</f>
        <v>289</v>
      </c>
      <c r="AI483" s="55">
        <f>SUM($AG$2:AG483)</f>
        <v>288.99999999999858</v>
      </c>
    </row>
    <row r="484" spans="1:35" x14ac:dyDescent="0.2">
      <c r="A484" s="48" t="s">
        <v>8867</v>
      </c>
      <c r="B484" s="29">
        <v>1</v>
      </c>
      <c r="C484" s="29">
        <v>3</v>
      </c>
      <c r="D484" s="29">
        <v>468</v>
      </c>
      <c r="E484" s="29">
        <v>8140</v>
      </c>
      <c r="F484" s="29">
        <v>23230</v>
      </c>
      <c r="G484" s="29">
        <v>8100</v>
      </c>
      <c r="H484" s="29">
        <v>115210</v>
      </c>
      <c r="I484" s="29">
        <v>4920</v>
      </c>
      <c r="J484" s="29">
        <v>216133952</v>
      </c>
      <c r="K484" s="29">
        <v>7441</v>
      </c>
      <c r="L484" s="29">
        <v>14439</v>
      </c>
      <c r="N484" s="33"/>
      <c r="O484" s="29">
        <f>AVERAGE(K484, L484)</f>
        <v>10940</v>
      </c>
      <c r="P484" s="31" cm="1">
        <f t="array" ref="P484">WPNFACTOR(C484)</f>
        <v>2.5</v>
      </c>
      <c r="Q484" s="33" cm="1">
        <f t="array" ref="Q484">HPFACTOr(C484)</f>
        <v>4</v>
      </c>
      <c r="R484" s="32">
        <f>O484/P484</f>
        <v>4376</v>
      </c>
      <c r="S484" s="33">
        <f>J484/Q484</f>
        <v>54033488</v>
      </c>
      <c r="T484" s="32">
        <f>R484*(1 + (N484/400))</f>
        <v>4376</v>
      </c>
      <c r="U484" s="39">
        <f>S484*1.6/(1 + (0.6*(1 - (M484/100))))</f>
        <v>54033488.000000007</v>
      </c>
      <c r="V484" s="41">
        <f>VLOOKUP(D484,LevelXp!$A$1:'LevelXp'!$B$1000,2,)/5</f>
        <v>300000000</v>
      </c>
      <c r="W484" s="29">
        <f>T484*U484</f>
        <v>236450543488.00003</v>
      </c>
      <c r="X484" s="32">
        <f>POWER(W484, 1/$X$1)</f>
        <v>188.2556690897635</v>
      </c>
      <c r="Y484" s="41">
        <v>367</v>
      </c>
      <c r="Z484" s="41">
        <v>300000000</v>
      </c>
      <c r="AA484" s="41">
        <v>0</v>
      </c>
      <c r="AC484" s="50">
        <v>483</v>
      </c>
      <c r="AD484" s="51">
        <f t="shared" si="220"/>
        <v>300000000</v>
      </c>
      <c r="AE484" s="51">
        <f>AVERAGE(AD479:$AD$480,$AD$482:AD488)</f>
        <v>132094826.8888889</v>
      </c>
      <c r="AF484" s="51">
        <f t="shared" si="221"/>
        <v>0</v>
      </c>
      <c r="AG484" s="55">
        <v>0</v>
      </c>
      <c r="AH484" s="29">
        <f>SUM($AF$2:AF484)</f>
        <v>289</v>
      </c>
      <c r="AI484" s="55">
        <f>SUM($AG$2:AG484)</f>
        <v>288.99999999999858</v>
      </c>
    </row>
    <row r="485" spans="1:35" x14ac:dyDescent="0.2">
      <c r="A485" s="48" t="s">
        <v>2937</v>
      </c>
      <c r="B485" s="29">
        <v>700</v>
      </c>
      <c r="N485" s="33"/>
      <c r="Q485" s="33"/>
      <c r="S485" s="33"/>
      <c r="U485" s="39"/>
      <c r="V485" s="41">
        <f>VLOOKUP(B485,LevelXp!$D$1:'LevelXp'!$F$1000,3,)</f>
        <v>300000000</v>
      </c>
      <c r="Y485" s="41">
        <v>367</v>
      </c>
      <c r="Z485" s="41">
        <v>300000000</v>
      </c>
      <c r="AA485" s="41">
        <v>0</v>
      </c>
      <c r="AC485" s="50">
        <v>484</v>
      </c>
      <c r="AD485" s="51">
        <f t="shared" si="220"/>
        <v>0</v>
      </c>
      <c r="AE485" s="51">
        <f>AVERAGE(AD480:$AD$480,$AD$482:AD489)</f>
        <v>132094826.8888889</v>
      </c>
      <c r="AF485" s="51">
        <f t="shared" si="221"/>
        <v>0</v>
      </c>
      <c r="AG485" s="55">
        <v>0</v>
      </c>
      <c r="AH485" s="29">
        <f>SUM($AF$2:AF485)</f>
        <v>289</v>
      </c>
      <c r="AI485" s="55">
        <f>SUM($AG$2:AG485)</f>
        <v>288.99999999999858</v>
      </c>
    </row>
    <row r="486" spans="1:35" x14ac:dyDescent="0.2">
      <c r="A486" s="48" t="s">
        <v>8855</v>
      </c>
      <c r="B486" s="29">
        <v>3</v>
      </c>
      <c r="C486" s="29">
        <v>2</v>
      </c>
      <c r="D486" s="29">
        <v>370</v>
      </c>
      <c r="E486" s="29">
        <v>7998</v>
      </c>
      <c r="F486" s="29">
        <v>7998</v>
      </c>
      <c r="G486" s="29">
        <v>58256</v>
      </c>
      <c r="H486" s="29">
        <v>170280</v>
      </c>
      <c r="I486" s="29">
        <v>24768</v>
      </c>
      <c r="J486" s="29">
        <v>126347760</v>
      </c>
      <c r="K486" s="29">
        <v>2845</v>
      </c>
      <c r="L486" s="29">
        <v>4764</v>
      </c>
      <c r="N486" s="33"/>
      <c r="O486" s="29">
        <f>AVERAGE(K486, L486)</f>
        <v>3804.5</v>
      </c>
      <c r="P486" s="31" cm="1">
        <f t="array" ref="P486">WPNFACTOR(C486)</f>
        <v>4.5</v>
      </c>
      <c r="Q486" s="33" cm="1">
        <f t="array" ref="Q486">HPFACTOr(C486)</f>
        <v>2</v>
      </c>
      <c r="R486" s="32">
        <f>O486/P486</f>
        <v>845.44444444444446</v>
      </c>
      <c r="S486" s="33">
        <f>J486/Q486</f>
        <v>63173880</v>
      </c>
      <c r="T486" s="32">
        <f>R486*(1 + (N486/400))</f>
        <v>845.44444444444446</v>
      </c>
      <c r="U486" s="39">
        <f>S486*1.6/(1 + (0.6*(1 - (M486/100))))</f>
        <v>63173880</v>
      </c>
      <c r="V486" s="41">
        <f>VLOOKUP(D486,LevelXp!$A$1:'LevelXp'!$B$1000,2,)/5</f>
        <v>220033230</v>
      </c>
      <c r="W486" s="29">
        <f>T486*U486</f>
        <v>53410005880</v>
      </c>
      <c r="X486" s="32">
        <f>POWER(W486, 1/$X$1)</f>
        <v>139.80558630686957</v>
      </c>
      <c r="Y486" s="41">
        <v>368</v>
      </c>
      <c r="Z486" s="41">
        <v>220033230</v>
      </c>
      <c r="AA486" s="41">
        <v>0</v>
      </c>
      <c r="AC486" s="50">
        <v>485</v>
      </c>
      <c r="AD486" s="51">
        <f t="shared" si="220"/>
        <v>300000000</v>
      </c>
      <c r="AE486" s="51">
        <f>AVERAGE(AD482:AD490)</f>
        <v>98761493.555555552</v>
      </c>
      <c r="AF486" s="51">
        <f t="shared" si="221"/>
        <v>0</v>
      </c>
      <c r="AG486" s="55">
        <f>AVERAGE(AF482:AF490)</f>
        <v>0</v>
      </c>
      <c r="AH486" s="29">
        <f>SUM($AF$2:AF486)</f>
        <v>289</v>
      </c>
      <c r="AI486" s="55">
        <f>SUM($AG$2:AG486)</f>
        <v>288.99999999999858</v>
      </c>
    </row>
    <row r="487" spans="1:35" x14ac:dyDescent="0.2">
      <c r="A487" s="48" t="s">
        <v>8855</v>
      </c>
      <c r="B487" s="29">
        <v>2</v>
      </c>
      <c r="C487" s="29">
        <v>1</v>
      </c>
      <c r="D487" s="29">
        <v>349</v>
      </c>
      <c r="E487" s="29">
        <v>48416</v>
      </c>
      <c r="F487" s="29">
        <v>11972</v>
      </c>
      <c r="G487" s="29">
        <v>12081</v>
      </c>
      <c r="H487" s="29">
        <v>163332</v>
      </c>
      <c r="I487" s="29">
        <v>23725</v>
      </c>
      <c r="J487" s="29">
        <v>285831008</v>
      </c>
      <c r="K487" s="29">
        <v>1190</v>
      </c>
      <c r="L487" s="29">
        <v>3248</v>
      </c>
      <c r="N487" s="33"/>
      <c r="O487" s="29">
        <f>AVERAGE(K487, L487)</f>
        <v>2219</v>
      </c>
      <c r="P487" s="31" cm="1">
        <f t="array" ref="P487">WPNFACTOR(C487)</f>
        <v>2</v>
      </c>
      <c r="Q487" s="33" cm="1">
        <f t="array" ref="Q487">HPFACTOr(C487)</f>
        <v>5</v>
      </c>
      <c r="R487" s="32">
        <f>O487/P487</f>
        <v>1109.5</v>
      </c>
      <c r="S487" s="33">
        <f>J487/Q487</f>
        <v>57166201.600000001</v>
      </c>
      <c r="T487" s="32">
        <f>R487*(1 + (N487/400))</f>
        <v>1109.5</v>
      </c>
      <c r="U487" s="39">
        <f>S487*1.6/(1 + (0.6*(1 - (M487/100))))</f>
        <v>57166201.600000001</v>
      </c>
      <c r="V487" s="41">
        <f>VLOOKUP(D487,LevelXp!$A$1:'LevelXp'!$B$1000,2,)/5</f>
        <v>163232702</v>
      </c>
      <c r="W487" s="29">
        <f>T487*U487</f>
        <v>63425900675.200005</v>
      </c>
      <c r="X487" s="32">
        <f>POWER(W487, 1/$X$1)</f>
        <v>144.69493485871584</v>
      </c>
      <c r="Y487" s="41">
        <v>368</v>
      </c>
      <c r="Z487" s="41">
        <v>163232702</v>
      </c>
      <c r="AA487" s="41">
        <v>0</v>
      </c>
      <c r="AC487" s="50">
        <v>486</v>
      </c>
      <c r="AD487" s="51">
        <f t="shared" si="220"/>
        <v>0</v>
      </c>
      <c r="AE487" s="51">
        <f>AVERAGE(AD483:AD491)</f>
        <v>132094826.8888889</v>
      </c>
      <c r="AF487" s="51">
        <f t="shared" si="221"/>
        <v>0</v>
      </c>
      <c r="AG487" s="55">
        <f>AVERAGE(AF483:AF491)</f>
        <v>0</v>
      </c>
      <c r="AH487" s="29">
        <f>SUM($AF$2:AF487)</f>
        <v>289</v>
      </c>
      <c r="AI487" s="55">
        <f>SUM($AG$2:AG487)</f>
        <v>288.99999999999858</v>
      </c>
    </row>
    <row r="488" spans="1:35" x14ac:dyDescent="0.2">
      <c r="A488" s="48" t="s">
        <v>2937</v>
      </c>
      <c r="B488" s="29">
        <v>710</v>
      </c>
      <c r="N488" s="33"/>
      <c r="Q488" s="33"/>
      <c r="S488" s="33"/>
      <c r="U488" s="39"/>
      <c r="V488" s="41">
        <f>VLOOKUP(B488,LevelXp!$D$1:'LevelXp'!$F$1000,3,)</f>
        <v>300000000</v>
      </c>
      <c r="Y488" s="41">
        <v>368</v>
      </c>
      <c r="Z488" s="41">
        <v>300000000</v>
      </c>
      <c r="AA488" s="41">
        <v>0</v>
      </c>
      <c r="AC488" s="50">
        <v>487</v>
      </c>
      <c r="AD488" s="51">
        <f t="shared" si="220"/>
        <v>288853442</v>
      </c>
      <c r="AE488" s="51">
        <f t="shared" si="222"/>
        <v>132094826.8888889</v>
      </c>
      <c r="AF488" s="51">
        <f t="shared" si="221"/>
        <v>0</v>
      </c>
      <c r="AG488" s="55">
        <f t="shared" si="222"/>
        <v>0</v>
      </c>
      <c r="AH488" s="29">
        <f>SUM($AF$2:AF488)</f>
        <v>289</v>
      </c>
      <c r="AI488" s="55">
        <f>SUM($AG$2:AG488)</f>
        <v>288.99999999999858</v>
      </c>
    </row>
    <row r="489" spans="1:35" x14ac:dyDescent="0.2">
      <c r="A489" s="48" t="s">
        <v>8856</v>
      </c>
      <c r="B489" s="29">
        <v>9</v>
      </c>
      <c r="C489" s="29">
        <v>6</v>
      </c>
      <c r="D489" s="29">
        <v>455</v>
      </c>
      <c r="E489" s="29">
        <v>29500</v>
      </c>
      <c r="F489" s="29">
        <v>7000</v>
      </c>
      <c r="G489" s="29">
        <v>7000</v>
      </c>
      <c r="H489" s="29">
        <v>115000</v>
      </c>
      <c r="I489" s="29">
        <v>16000</v>
      </c>
      <c r="J489" s="29">
        <v>235290000</v>
      </c>
      <c r="K489" s="29">
        <v>1296</v>
      </c>
      <c r="L489" s="29">
        <v>2441</v>
      </c>
      <c r="M489" s="29">
        <v>50</v>
      </c>
      <c r="N489" s="33">
        <v>55</v>
      </c>
      <c r="O489" s="29">
        <f>AVERAGE(K489, L489)</f>
        <v>1868.5</v>
      </c>
      <c r="P489" s="31" cm="1">
        <f t="array" ref="P489">WPNFACTOR(C489)</f>
        <v>2</v>
      </c>
      <c r="Q489" s="33" cm="1">
        <f t="array" ref="Q489">HPFACTOr(C489)</f>
        <v>4</v>
      </c>
      <c r="R489" s="32">
        <f>O489/P489</f>
        <v>934.25</v>
      </c>
      <c r="S489" s="33">
        <f>J489/Q489</f>
        <v>58822500</v>
      </c>
      <c r="T489" s="32">
        <f>R489*(1 + (N489/400))</f>
        <v>1062.7093749999999</v>
      </c>
      <c r="U489" s="39">
        <f>S489*1.6/(1 + (0.6*(1 - (M489/100))))</f>
        <v>72396923.076923072</v>
      </c>
      <c r="V489" s="41">
        <f>VLOOKUP(D489,LevelXp!$A$1:'LevelXp'!$B$1000,2,)/5</f>
        <v>300000000</v>
      </c>
      <c r="W489" s="29">
        <f>T489*U489</f>
        <v>76936888874.999985</v>
      </c>
      <c r="X489" s="32">
        <f>POWER(W489, 1/$X$1)</f>
        <v>150.39275811792382</v>
      </c>
      <c r="Y489" s="41">
        <v>369</v>
      </c>
      <c r="Z489" s="41">
        <v>300000000</v>
      </c>
      <c r="AA489" s="41">
        <v>1</v>
      </c>
      <c r="AC489" s="50">
        <v>488</v>
      </c>
      <c r="AD489" s="51">
        <f t="shared" si="220"/>
        <v>0</v>
      </c>
      <c r="AE489" s="51">
        <f t="shared" si="222"/>
        <v>132094826.8888889</v>
      </c>
      <c r="AF489" s="51">
        <f t="shared" si="221"/>
        <v>0</v>
      </c>
      <c r="AG489" s="55">
        <f t="shared" si="222"/>
        <v>0</v>
      </c>
      <c r="AH489" s="29">
        <f>SUM($AF$2:AF489)</f>
        <v>289</v>
      </c>
      <c r="AI489" s="55">
        <f>SUM($AG$2:AG489)</f>
        <v>288.99999999999858</v>
      </c>
    </row>
    <row r="490" spans="1:35" x14ac:dyDescent="0.2">
      <c r="A490" s="48" t="s">
        <v>8857</v>
      </c>
      <c r="B490" s="29">
        <v>6</v>
      </c>
      <c r="C490" s="29">
        <v>1</v>
      </c>
      <c r="D490" s="29">
        <v>360</v>
      </c>
      <c r="E490" s="29">
        <v>28000</v>
      </c>
      <c r="F490" s="29">
        <v>12000</v>
      </c>
      <c r="G490" s="29">
        <v>12000</v>
      </c>
      <c r="H490" s="29">
        <v>180000</v>
      </c>
      <c r="I490" s="29">
        <v>10000</v>
      </c>
      <c r="J490" s="29">
        <v>499500000</v>
      </c>
      <c r="K490" s="29">
        <v>480</v>
      </c>
      <c r="L490" s="29">
        <v>959</v>
      </c>
      <c r="M490" s="29">
        <v>40</v>
      </c>
      <c r="N490" s="33">
        <v>45</v>
      </c>
      <c r="O490" s="29">
        <f>AVERAGE(K490, L490)</f>
        <v>719.5</v>
      </c>
      <c r="P490" s="31" cm="1">
        <f t="array" ref="P490">WPNFACTOR(C490)</f>
        <v>2</v>
      </c>
      <c r="Q490" s="33" cm="1">
        <f t="array" ref="Q490">HPFACTOr(C490)</f>
        <v>5</v>
      </c>
      <c r="R490" s="32">
        <f>O490/P490</f>
        <v>359.75</v>
      </c>
      <c r="S490" s="33">
        <f>J490/Q490</f>
        <v>99900000</v>
      </c>
      <c r="T490" s="32">
        <f>R490*(1 + (N490/400))</f>
        <v>400.22187500000001</v>
      </c>
      <c r="U490" s="39">
        <f>S490*1.6/(1 + (0.6*(1 - (M490/100))))</f>
        <v>117529411.7647059</v>
      </c>
      <c r="V490" s="41">
        <f>VLOOKUP(D490,LevelXp!$A$1:'LevelXp'!$B$1000,2,)/5</f>
        <v>191202824</v>
      </c>
      <c r="W490" s="29">
        <f>T490*U490</f>
        <v>47037841544.117653</v>
      </c>
      <c r="X490" s="32">
        <f>POWER(W490, 1/$X$1)</f>
        <v>136.29799805202023</v>
      </c>
      <c r="Y490" s="41">
        <v>369</v>
      </c>
      <c r="Z490" s="41">
        <v>191202824</v>
      </c>
      <c r="AA490" s="41">
        <v>1</v>
      </c>
      <c r="AC490" s="50">
        <v>489</v>
      </c>
      <c r="AD490" s="51">
        <f t="shared" si="220"/>
        <v>0</v>
      </c>
      <c r="AE490" s="51">
        <f t="shared" si="222"/>
        <v>165428160.22222221</v>
      </c>
      <c r="AF490" s="51">
        <f t="shared" si="221"/>
        <v>0</v>
      </c>
      <c r="AG490" s="55">
        <f t="shared" si="222"/>
        <v>0</v>
      </c>
      <c r="AH490" s="29">
        <f>SUM($AF$2:AF490)</f>
        <v>289</v>
      </c>
      <c r="AI490" s="55">
        <f>SUM($AG$2:AG490)</f>
        <v>288.99999999999858</v>
      </c>
    </row>
    <row r="491" spans="1:35" x14ac:dyDescent="0.2">
      <c r="A491" s="48" t="s">
        <v>2937</v>
      </c>
      <c r="B491" s="29">
        <v>720</v>
      </c>
      <c r="N491" s="33"/>
      <c r="Q491" s="33"/>
      <c r="S491" s="33"/>
      <c r="U491" s="39"/>
      <c r="V491" s="41">
        <f>VLOOKUP(B491,LevelXp!$D$1:'LevelXp'!$F$1000,3,)</f>
        <v>300000000</v>
      </c>
      <c r="Y491" s="41">
        <v>369</v>
      </c>
      <c r="Z491" s="41">
        <v>300000000</v>
      </c>
      <c r="AA491" s="41">
        <v>0</v>
      </c>
      <c r="AC491" s="50">
        <v>490</v>
      </c>
      <c r="AD491" s="51">
        <f t="shared" si="220"/>
        <v>300000000</v>
      </c>
      <c r="AE491" s="51">
        <f t="shared" si="222"/>
        <v>132094826.8888889</v>
      </c>
      <c r="AF491" s="51">
        <f t="shared" si="221"/>
        <v>0</v>
      </c>
      <c r="AG491" s="55">
        <f t="shared" si="222"/>
        <v>0</v>
      </c>
      <c r="AH491" s="29">
        <f>SUM($AF$2:AF491)</f>
        <v>289</v>
      </c>
      <c r="AI491" s="55">
        <f>SUM($AG$2:AG491)</f>
        <v>288.99999999999858</v>
      </c>
    </row>
    <row r="492" spans="1:35" x14ac:dyDescent="0.2">
      <c r="A492" s="48" t="s">
        <v>8861</v>
      </c>
      <c r="B492" s="29">
        <v>2</v>
      </c>
      <c r="C492" s="29">
        <v>1</v>
      </c>
      <c r="D492" s="29">
        <v>376</v>
      </c>
      <c r="E492" s="29">
        <v>26120</v>
      </c>
      <c r="F492" s="29">
        <v>13060</v>
      </c>
      <c r="G492" s="29">
        <v>13060</v>
      </c>
      <c r="H492" s="29">
        <v>93500</v>
      </c>
      <c r="I492" s="29">
        <v>13060</v>
      </c>
      <c r="J492" s="29">
        <v>265000000</v>
      </c>
      <c r="K492" s="29">
        <v>1212</v>
      </c>
      <c r="L492" s="29">
        <v>1451</v>
      </c>
      <c r="M492" s="29">
        <v>50</v>
      </c>
      <c r="N492" s="33">
        <v>50</v>
      </c>
      <c r="O492" s="29">
        <f t="shared" ref="O492:O501" si="223">AVERAGE(K492, L492)</f>
        <v>1331.5</v>
      </c>
      <c r="P492" s="31" cm="1">
        <f t="array" ref="P492">WPNFACTOR(C492)</f>
        <v>2</v>
      </c>
      <c r="Q492" s="33" cm="1">
        <f t="array" ref="Q492">HPFACTOr(C492)</f>
        <v>5</v>
      </c>
      <c r="R492" s="32">
        <f t="shared" ref="R492:R501" si="224">O492/P492</f>
        <v>665.75</v>
      </c>
      <c r="S492" s="33">
        <f t="shared" ref="S492:S501" si="225">J492/Q492</f>
        <v>53000000</v>
      </c>
      <c r="T492" s="32">
        <f t="shared" ref="T492:T501" si="226">R492*(1 + (N492/400))</f>
        <v>748.96875</v>
      </c>
      <c r="U492" s="39">
        <f t="shared" ref="U492:U501" si="227">S492*1.6/(1 + (0.6*(1 - (M492/100))))</f>
        <v>65230769.230769232</v>
      </c>
      <c r="V492" s="41">
        <f>VLOOKUP(D492,LevelXp!$A$1:'LevelXp'!$B$1000,2,)/5</f>
        <v>239036142</v>
      </c>
      <c r="W492" s="29">
        <f t="shared" ref="W492:W501" si="228">T492*U492</f>
        <v>48855807692.307693</v>
      </c>
      <c r="X492" s="32">
        <f t="shared" ref="X492:X501" si="229">POWER(W492, 1/$X$1)</f>
        <v>137.33563487355525</v>
      </c>
      <c r="Y492" s="41">
        <v>370</v>
      </c>
      <c r="Z492" s="41">
        <v>239036142</v>
      </c>
      <c r="AA492" s="41">
        <v>0</v>
      </c>
      <c r="AC492" s="50">
        <v>491</v>
      </c>
      <c r="AD492" s="51">
        <f t="shared" si="220"/>
        <v>0</v>
      </c>
      <c r="AE492" s="51">
        <f t="shared" si="222"/>
        <v>165428160.22222221</v>
      </c>
      <c r="AF492" s="51">
        <f t="shared" si="221"/>
        <v>0</v>
      </c>
      <c r="AG492" s="55">
        <f t="shared" si="222"/>
        <v>0</v>
      </c>
      <c r="AH492" s="29">
        <f>SUM($AF$2:AF492)</f>
        <v>289</v>
      </c>
      <c r="AI492" s="55">
        <f>SUM($AG$2:AG492)</f>
        <v>288.99999999999858</v>
      </c>
    </row>
    <row r="493" spans="1:35" x14ac:dyDescent="0.2">
      <c r="A493" s="48" t="s">
        <v>8861</v>
      </c>
      <c r="B493" s="29">
        <v>3</v>
      </c>
      <c r="C493" s="29">
        <v>3</v>
      </c>
      <c r="D493" s="29">
        <v>382</v>
      </c>
      <c r="E493" s="29">
        <v>13420</v>
      </c>
      <c r="F493" s="29">
        <v>26840</v>
      </c>
      <c r="G493" s="29">
        <v>13420</v>
      </c>
      <c r="H493" s="29">
        <v>96500</v>
      </c>
      <c r="I493" s="29">
        <v>13420</v>
      </c>
      <c r="J493" s="29">
        <v>274000000</v>
      </c>
      <c r="K493" s="29">
        <v>1230</v>
      </c>
      <c r="L493" s="29">
        <v>1471</v>
      </c>
      <c r="M493" s="29">
        <v>50</v>
      </c>
      <c r="N493" s="33">
        <v>50</v>
      </c>
      <c r="O493" s="29">
        <f t="shared" si="223"/>
        <v>1350.5</v>
      </c>
      <c r="P493" s="31" cm="1">
        <f t="array" ref="P493">WPNFACTOR(C493)</f>
        <v>2.5</v>
      </c>
      <c r="Q493" s="33" cm="1">
        <f t="array" ref="Q493">HPFACTOr(C493)</f>
        <v>4</v>
      </c>
      <c r="R493" s="32">
        <f t="shared" si="224"/>
        <v>540.20000000000005</v>
      </c>
      <c r="S493" s="33">
        <f t="shared" si="225"/>
        <v>68500000</v>
      </c>
      <c r="T493" s="32">
        <f t="shared" si="226"/>
        <v>607.72500000000002</v>
      </c>
      <c r="U493" s="39">
        <f t="shared" si="227"/>
        <v>84307692.307692304</v>
      </c>
      <c r="V493" s="41">
        <f>VLOOKUP(D493,LevelXp!$A$1:'LevelXp'!$B$1000,2,)/5</f>
        <v>259411408</v>
      </c>
      <c r="W493" s="29">
        <f t="shared" si="228"/>
        <v>51235892307.692307</v>
      </c>
      <c r="X493" s="32">
        <f t="shared" si="229"/>
        <v>138.64839956443006</v>
      </c>
      <c r="Y493" s="41">
        <v>370</v>
      </c>
      <c r="Z493" s="41">
        <v>259411408</v>
      </c>
      <c r="AA493" s="41">
        <v>0</v>
      </c>
      <c r="AC493" s="50">
        <v>492</v>
      </c>
      <c r="AD493" s="51">
        <f t="shared" si="220"/>
        <v>300000000</v>
      </c>
      <c r="AE493" s="51">
        <f t="shared" si="222"/>
        <v>166666666.66666666</v>
      </c>
      <c r="AF493" s="51">
        <f t="shared" si="221"/>
        <v>0</v>
      </c>
      <c r="AG493" s="55">
        <f t="shared" si="222"/>
        <v>0</v>
      </c>
      <c r="AH493" s="29">
        <f>SUM($AF$2:AF493)</f>
        <v>289</v>
      </c>
      <c r="AI493" s="55">
        <f>SUM($AG$2:AG493)</f>
        <v>288.99999999999858</v>
      </c>
    </row>
    <row r="494" spans="1:35" x14ac:dyDescent="0.2">
      <c r="A494" s="48" t="s">
        <v>8861</v>
      </c>
      <c r="B494" s="29">
        <v>1</v>
      </c>
      <c r="C494" s="29">
        <v>2</v>
      </c>
      <c r="D494" s="29">
        <v>370</v>
      </c>
      <c r="E494" s="29">
        <v>12700</v>
      </c>
      <c r="F494" s="29">
        <v>12700</v>
      </c>
      <c r="G494" s="29">
        <v>25400</v>
      </c>
      <c r="H494" s="29">
        <v>90500</v>
      </c>
      <c r="I494" s="29">
        <v>12700</v>
      </c>
      <c r="J494" s="29">
        <v>256000000</v>
      </c>
      <c r="K494" s="29">
        <v>1181</v>
      </c>
      <c r="L494" s="29">
        <v>1427</v>
      </c>
      <c r="M494" s="29">
        <v>50</v>
      </c>
      <c r="N494" s="33">
        <v>50</v>
      </c>
      <c r="O494" s="29">
        <f t="shared" si="223"/>
        <v>1304</v>
      </c>
      <c r="P494" s="31" cm="1">
        <f t="array" ref="P494">WPNFACTOR(C494)</f>
        <v>4.5</v>
      </c>
      <c r="Q494" s="33" cm="1">
        <f t="array" ref="Q494">HPFACTOr(C494)</f>
        <v>2</v>
      </c>
      <c r="R494" s="32">
        <f t="shared" si="224"/>
        <v>289.77777777777777</v>
      </c>
      <c r="S494" s="33">
        <f t="shared" si="225"/>
        <v>128000000</v>
      </c>
      <c r="T494" s="32">
        <f t="shared" si="226"/>
        <v>326</v>
      </c>
      <c r="U494" s="39">
        <f t="shared" si="227"/>
        <v>157538461.53846154</v>
      </c>
      <c r="V494" s="41">
        <f>VLOOKUP(D494,LevelXp!$A$1:'LevelXp'!$B$1000,2,)/5</f>
        <v>220033230</v>
      </c>
      <c r="W494" s="29">
        <f t="shared" si="228"/>
        <v>51357538461.53846</v>
      </c>
      <c r="X494" s="32">
        <f t="shared" si="229"/>
        <v>138.71417396190699</v>
      </c>
      <c r="Y494" s="41">
        <v>370</v>
      </c>
      <c r="Z494" s="41">
        <v>220033230</v>
      </c>
      <c r="AA494" s="41">
        <v>0</v>
      </c>
      <c r="AC494" s="50">
        <v>493</v>
      </c>
      <c r="AD494" s="51">
        <f t="shared" si="220"/>
        <v>300000000</v>
      </c>
      <c r="AE494" s="51">
        <f t="shared" si="222"/>
        <v>200000000</v>
      </c>
      <c r="AF494" s="51">
        <f t="shared" si="221"/>
        <v>0</v>
      </c>
      <c r="AG494" s="55">
        <f t="shared" si="222"/>
        <v>0</v>
      </c>
      <c r="AH494" s="29">
        <f>SUM($AF$2:AF494)</f>
        <v>289</v>
      </c>
      <c r="AI494" s="55">
        <f>SUM($AG$2:AG494)</f>
        <v>288.99999999999858</v>
      </c>
    </row>
    <row r="495" spans="1:35" x14ac:dyDescent="0.2">
      <c r="A495" s="48" t="s">
        <v>8861</v>
      </c>
      <c r="B495" s="29">
        <v>4</v>
      </c>
      <c r="C495" s="29">
        <v>1</v>
      </c>
      <c r="D495" s="29">
        <v>388</v>
      </c>
      <c r="E495" s="29">
        <v>27560</v>
      </c>
      <c r="F495" s="29">
        <v>13780</v>
      </c>
      <c r="G495" s="29">
        <v>13780</v>
      </c>
      <c r="H495" s="29">
        <v>99500</v>
      </c>
      <c r="I495" s="29">
        <v>13780</v>
      </c>
      <c r="J495" s="29">
        <v>283000000</v>
      </c>
      <c r="K495" s="29">
        <v>1254</v>
      </c>
      <c r="L495" s="29">
        <v>1500</v>
      </c>
      <c r="M495" s="29">
        <v>50</v>
      </c>
      <c r="N495" s="33">
        <v>50</v>
      </c>
      <c r="O495" s="29">
        <f t="shared" si="223"/>
        <v>1377</v>
      </c>
      <c r="P495" s="31" cm="1">
        <f t="array" ref="P495">WPNFACTOR(C495)</f>
        <v>2</v>
      </c>
      <c r="Q495" s="33" cm="1">
        <f t="array" ref="Q495">HPFACTOr(C495)</f>
        <v>5</v>
      </c>
      <c r="R495" s="32">
        <f t="shared" si="224"/>
        <v>688.5</v>
      </c>
      <c r="S495" s="33">
        <f t="shared" si="225"/>
        <v>56600000</v>
      </c>
      <c r="T495" s="32">
        <f t="shared" si="226"/>
        <v>774.5625</v>
      </c>
      <c r="U495" s="39">
        <f t="shared" si="227"/>
        <v>69661538.461538464</v>
      </c>
      <c r="V495" s="41">
        <f>VLOOKUP(D495,LevelXp!$A$1:'LevelXp'!$B$1000,2,)/5</f>
        <v>281239819</v>
      </c>
      <c r="W495" s="29">
        <f t="shared" si="228"/>
        <v>53957215384.615387</v>
      </c>
      <c r="X495" s="32">
        <f t="shared" si="229"/>
        <v>140.09089365759942</v>
      </c>
      <c r="Y495" s="41">
        <v>370</v>
      </c>
      <c r="Z495" s="41">
        <v>281239819</v>
      </c>
      <c r="AA495" s="41">
        <v>0</v>
      </c>
      <c r="AC495" s="50">
        <v>494</v>
      </c>
      <c r="AD495" s="51">
        <f t="shared" si="220"/>
        <v>0</v>
      </c>
      <c r="AE495" s="51">
        <f t="shared" si="222"/>
        <v>233333333.33333334</v>
      </c>
      <c r="AF495" s="51">
        <f t="shared" si="221"/>
        <v>0</v>
      </c>
      <c r="AG495" s="55">
        <f t="shared" si="222"/>
        <v>0</v>
      </c>
      <c r="AH495" s="29">
        <f>SUM($AF$2:AF495)</f>
        <v>289</v>
      </c>
      <c r="AI495" s="55">
        <f>SUM($AG$2:AG495)</f>
        <v>288.99999999999858</v>
      </c>
    </row>
    <row r="496" spans="1:35" x14ac:dyDescent="0.2">
      <c r="A496" s="48" t="s">
        <v>8861</v>
      </c>
      <c r="B496" s="29">
        <v>5</v>
      </c>
      <c r="C496" s="29">
        <v>3</v>
      </c>
      <c r="D496" s="29">
        <v>394</v>
      </c>
      <c r="E496" s="29">
        <v>14140</v>
      </c>
      <c r="F496" s="29">
        <v>28280</v>
      </c>
      <c r="G496" s="29">
        <v>14140</v>
      </c>
      <c r="H496" s="29">
        <v>102500</v>
      </c>
      <c r="I496" s="29">
        <v>14140</v>
      </c>
      <c r="J496" s="29">
        <v>292000000</v>
      </c>
      <c r="K496" s="29">
        <v>1282</v>
      </c>
      <c r="L496" s="29">
        <v>1526</v>
      </c>
      <c r="M496" s="29">
        <v>50</v>
      </c>
      <c r="N496" s="33">
        <v>50</v>
      </c>
      <c r="O496" s="29">
        <f t="shared" si="223"/>
        <v>1404</v>
      </c>
      <c r="P496" s="31" cm="1">
        <f t="array" ref="P496">WPNFACTOR(C496)</f>
        <v>2.5</v>
      </c>
      <c r="Q496" s="33" cm="1">
        <f t="array" ref="Q496">HPFACTOr(C496)</f>
        <v>4</v>
      </c>
      <c r="R496" s="32">
        <f t="shared" si="224"/>
        <v>561.6</v>
      </c>
      <c r="S496" s="33">
        <f t="shared" si="225"/>
        <v>73000000</v>
      </c>
      <c r="T496" s="32">
        <f t="shared" si="226"/>
        <v>631.80000000000007</v>
      </c>
      <c r="U496" s="39">
        <f t="shared" si="227"/>
        <v>89846153.84615384</v>
      </c>
      <c r="V496" s="41">
        <f>VLOOKUP(D496,LevelXp!$A$1:'LevelXp'!$B$1000,2,)/5</f>
        <v>300000000</v>
      </c>
      <c r="W496" s="29">
        <f t="shared" si="228"/>
        <v>56764800000</v>
      </c>
      <c r="X496" s="32">
        <f t="shared" si="229"/>
        <v>141.51934909444421</v>
      </c>
      <c r="Y496" s="41">
        <v>370</v>
      </c>
      <c r="Z496" s="41">
        <v>300000000</v>
      </c>
      <c r="AA496" s="41">
        <v>0</v>
      </c>
      <c r="AC496" s="50">
        <v>495</v>
      </c>
      <c r="AD496" s="51">
        <f t="shared" si="220"/>
        <v>300000000</v>
      </c>
      <c r="AE496" s="51">
        <f>AVERAGE(AD492:AD500)</f>
        <v>200000000</v>
      </c>
      <c r="AF496" s="51">
        <f t="shared" si="221"/>
        <v>0</v>
      </c>
      <c r="AG496" s="55">
        <f>AVERAGE(AF492:AF500)</f>
        <v>0</v>
      </c>
      <c r="AH496" s="29">
        <f>SUM($AF$2:AF496)</f>
        <v>289</v>
      </c>
      <c r="AI496" s="55">
        <f>SUM($AG$2:AG496)</f>
        <v>288.99999999999858</v>
      </c>
    </row>
    <row r="497" spans="1:35" x14ac:dyDescent="0.2">
      <c r="A497" s="48" t="s">
        <v>8861</v>
      </c>
      <c r="B497" s="29">
        <v>6</v>
      </c>
      <c r="C497" s="29">
        <v>1</v>
      </c>
      <c r="D497" s="29">
        <v>400</v>
      </c>
      <c r="E497" s="29">
        <v>30000</v>
      </c>
      <c r="F497" s="29">
        <v>15000</v>
      </c>
      <c r="G497" s="29">
        <v>15000</v>
      </c>
      <c r="H497" s="29">
        <v>110000</v>
      </c>
      <c r="I497" s="29">
        <v>15000</v>
      </c>
      <c r="J497" s="29">
        <v>300000000</v>
      </c>
      <c r="K497" s="29">
        <v>1505</v>
      </c>
      <c r="L497" s="29">
        <v>1747</v>
      </c>
      <c r="M497" s="29">
        <v>50</v>
      </c>
      <c r="N497" s="33">
        <v>50</v>
      </c>
      <c r="O497" s="29">
        <f t="shared" si="223"/>
        <v>1626</v>
      </c>
      <c r="P497" s="31" cm="1">
        <f t="array" ref="P497">WPNFACTOR(C497)</f>
        <v>2</v>
      </c>
      <c r="Q497" s="33" cm="1">
        <f t="array" ref="Q497">HPFACTOr(C497)</f>
        <v>5</v>
      </c>
      <c r="R497" s="32">
        <f t="shared" si="224"/>
        <v>813</v>
      </c>
      <c r="S497" s="33">
        <f t="shared" si="225"/>
        <v>60000000</v>
      </c>
      <c r="T497" s="32">
        <f t="shared" si="226"/>
        <v>914.625</v>
      </c>
      <c r="U497" s="39">
        <f t="shared" si="227"/>
        <v>73846153.84615384</v>
      </c>
      <c r="V497" s="41">
        <f>VLOOKUP(D497,LevelXp!$A$1:'LevelXp'!$B$1000,2,)/5</f>
        <v>300000000</v>
      </c>
      <c r="W497" s="29">
        <f t="shared" si="228"/>
        <v>67541538461.53846</v>
      </c>
      <c r="X497" s="32">
        <f t="shared" si="229"/>
        <v>146.52582987178297</v>
      </c>
      <c r="Y497" s="41">
        <v>370</v>
      </c>
      <c r="Z497" s="41">
        <v>300000000</v>
      </c>
      <c r="AA497" s="41">
        <v>0</v>
      </c>
      <c r="AC497" s="50">
        <v>496</v>
      </c>
      <c r="AD497" s="51">
        <f t="shared" si="220"/>
        <v>300000000</v>
      </c>
      <c r="AE497" s="51">
        <f>AVERAGE(AD493:$AD$500,$AD$502:AD502)</f>
        <v>200000000</v>
      </c>
      <c r="AF497" s="51">
        <f t="shared" si="221"/>
        <v>0</v>
      </c>
      <c r="AG497" s="55">
        <v>0</v>
      </c>
      <c r="AH497" s="29">
        <f>SUM($AF$2:AF497)</f>
        <v>289</v>
      </c>
      <c r="AI497" s="55">
        <f>SUM($AG$2:AG497)</f>
        <v>288.99999999999858</v>
      </c>
    </row>
    <row r="498" spans="1:35" x14ac:dyDescent="0.2">
      <c r="A498" s="48" t="s">
        <v>8861</v>
      </c>
      <c r="B498" s="29">
        <v>7</v>
      </c>
      <c r="C498" s="29">
        <v>3</v>
      </c>
      <c r="D498" s="29">
        <v>406</v>
      </c>
      <c r="E498" s="29">
        <v>16500</v>
      </c>
      <c r="F498" s="29">
        <v>32700</v>
      </c>
      <c r="G498" s="29">
        <v>16500</v>
      </c>
      <c r="H498" s="29">
        <v>114800</v>
      </c>
      <c r="I498" s="29">
        <v>16500</v>
      </c>
      <c r="J498" s="29">
        <v>318000000</v>
      </c>
      <c r="K498" s="29">
        <v>1532</v>
      </c>
      <c r="L498" s="29">
        <v>1779</v>
      </c>
      <c r="M498" s="29">
        <v>50</v>
      </c>
      <c r="N498" s="33">
        <v>50</v>
      </c>
      <c r="O498" s="29">
        <f t="shared" si="223"/>
        <v>1655.5</v>
      </c>
      <c r="P498" s="31" cm="1">
        <f t="array" ref="P498">WPNFACTOR(C498)</f>
        <v>2.5</v>
      </c>
      <c r="Q498" s="33" cm="1">
        <f t="array" ref="Q498">HPFACTOr(C498)</f>
        <v>4</v>
      </c>
      <c r="R498" s="32">
        <f t="shared" si="224"/>
        <v>662.2</v>
      </c>
      <c r="S498" s="33">
        <f t="shared" si="225"/>
        <v>79500000</v>
      </c>
      <c r="T498" s="32">
        <f t="shared" si="226"/>
        <v>744.97500000000002</v>
      </c>
      <c r="U498" s="39">
        <f t="shared" si="227"/>
        <v>97846153.84615384</v>
      </c>
      <c r="V498" s="41">
        <f>VLOOKUP(D498,LevelXp!$A$1:'LevelXp'!$B$1000,2,)/5</f>
        <v>300000000</v>
      </c>
      <c r="W498" s="29">
        <f t="shared" si="228"/>
        <v>72892938461.538452</v>
      </c>
      <c r="X498" s="32">
        <f t="shared" si="229"/>
        <v>148.77744342680558</v>
      </c>
      <c r="Y498" s="41">
        <v>370</v>
      </c>
      <c r="Z498" s="41">
        <v>300000000</v>
      </c>
      <c r="AA498" s="41">
        <v>0</v>
      </c>
      <c r="AC498" s="50">
        <v>497</v>
      </c>
      <c r="AD498" s="51">
        <f t="shared" si="220"/>
        <v>300000000</v>
      </c>
      <c r="AE498" s="51">
        <f>AVERAGE(AD494:$AD$500,$AD$502:AD503)</f>
        <v>166666666.66666666</v>
      </c>
      <c r="AF498" s="51">
        <f t="shared" si="221"/>
        <v>0</v>
      </c>
      <c r="AG498" s="55">
        <v>0</v>
      </c>
      <c r="AH498" s="29">
        <f>SUM($AF$2:AF498)</f>
        <v>289</v>
      </c>
      <c r="AI498" s="55">
        <f>SUM($AG$2:AG498)</f>
        <v>288.99999999999858</v>
      </c>
    </row>
    <row r="499" spans="1:35" x14ac:dyDescent="0.2">
      <c r="A499" s="48" t="s">
        <v>8861</v>
      </c>
      <c r="B499" s="29">
        <v>8</v>
      </c>
      <c r="C499" s="29">
        <v>2</v>
      </c>
      <c r="D499" s="29">
        <v>412</v>
      </c>
      <c r="E499" s="29">
        <v>18000</v>
      </c>
      <c r="F499" s="29">
        <v>18000</v>
      </c>
      <c r="G499" s="29">
        <v>35400</v>
      </c>
      <c r="H499" s="29">
        <v>119600</v>
      </c>
      <c r="I499" s="29">
        <v>18000</v>
      </c>
      <c r="J499" s="29">
        <v>336000000</v>
      </c>
      <c r="K499" s="29">
        <v>1563</v>
      </c>
      <c r="L499" s="29">
        <v>1809</v>
      </c>
      <c r="M499" s="29">
        <v>50</v>
      </c>
      <c r="N499" s="33">
        <v>50</v>
      </c>
      <c r="O499" s="29">
        <f t="shared" si="223"/>
        <v>1686</v>
      </c>
      <c r="P499" s="31" cm="1">
        <f t="array" ref="P499">WPNFACTOR(C499)</f>
        <v>4.5</v>
      </c>
      <c r="Q499" s="33" cm="1">
        <f t="array" ref="Q499">HPFACTOr(C499)</f>
        <v>2</v>
      </c>
      <c r="R499" s="32">
        <f t="shared" si="224"/>
        <v>374.66666666666669</v>
      </c>
      <c r="S499" s="33">
        <f t="shared" si="225"/>
        <v>168000000</v>
      </c>
      <c r="T499" s="32">
        <f t="shared" si="226"/>
        <v>421.5</v>
      </c>
      <c r="U499" s="39">
        <f t="shared" si="227"/>
        <v>206769230.76923075</v>
      </c>
      <c r="V499" s="41">
        <f>VLOOKUP(D499,LevelXp!$A$1:'LevelXp'!$B$1000,2,)/5</f>
        <v>300000000</v>
      </c>
      <c r="W499" s="29">
        <f t="shared" si="228"/>
        <v>87153230769.230759</v>
      </c>
      <c r="X499" s="32">
        <f t="shared" si="229"/>
        <v>154.19017388544617</v>
      </c>
      <c r="Y499" s="41">
        <v>370</v>
      </c>
      <c r="Z499" s="41">
        <v>300000000</v>
      </c>
      <c r="AA499" s="41">
        <v>0</v>
      </c>
      <c r="AC499" s="50">
        <v>498</v>
      </c>
      <c r="AD499" s="51">
        <f t="shared" si="220"/>
        <v>300000000</v>
      </c>
      <c r="AE499" s="51">
        <f>AVERAGE(AD495:$AD$500,$AD$502:AD504)</f>
        <v>166666666.66666666</v>
      </c>
      <c r="AF499" s="51">
        <f t="shared" si="221"/>
        <v>0</v>
      </c>
      <c r="AG499" s="55">
        <v>0</v>
      </c>
      <c r="AH499" s="29">
        <f>SUM($AF$2:AF499)</f>
        <v>289</v>
      </c>
      <c r="AI499" s="55">
        <f>SUM($AG$2:AG499)</f>
        <v>288.99999999999858</v>
      </c>
    </row>
    <row r="500" spans="1:35" x14ac:dyDescent="0.2">
      <c r="A500" s="48" t="s">
        <v>8861</v>
      </c>
      <c r="B500" s="29">
        <v>9</v>
      </c>
      <c r="C500" s="29">
        <v>2</v>
      </c>
      <c r="D500" s="29">
        <v>418</v>
      </c>
      <c r="E500" s="29">
        <v>19500</v>
      </c>
      <c r="F500" s="29">
        <v>19500</v>
      </c>
      <c r="G500" s="29">
        <v>38100</v>
      </c>
      <c r="H500" s="29">
        <v>124400</v>
      </c>
      <c r="I500" s="29">
        <v>19500</v>
      </c>
      <c r="J500" s="29">
        <v>354000000</v>
      </c>
      <c r="K500" s="29">
        <v>1590</v>
      </c>
      <c r="L500" s="29">
        <v>1834</v>
      </c>
      <c r="M500" s="29">
        <v>50</v>
      </c>
      <c r="N500" s="33">
        <v>50</v>
      </c>
      <c r="O500" s="29">
        <f t="shared" si="223"/>
        <v>1712</v>
      </c>
      <c r="P500" s="31" cm="1">
        <f t="array" ref="P500">WPNFACTOR(C500)</f>
        <v>4.5</v>
      </c>
      <c r="Q500" s="33" cm="1">
        <f t="array" ref="Q500">HPFACTOr(C500)</f>
        <v>2</v>
      </c>
      <c r="R500" s="32">
        <f t="shared" si="224"/>
        <v>380.44444444444446</v>
      </c>
      <c r="S500" s="33">
        <f t="shared" si="225"/>
        <v>177000000</v>
      </c>
      <c r="T500" s="32">
        <f t="shared" si="226"/>
        <v>428</v>
      </c>
      <c r="U500" s="39">
        <f t="shared" si="227"/>
        <v>217846153.84615383</v>
      </c>
      <c r="V500" s="41">
        <f>VLOOKUP(D500,LevelXp!$A$1:'LevelXp'!$B$1000,2,)/5</f>
        <v>300000000</v>
      </c>
      <c r="W500" s="29">
        <f t="shared" si="228"/>
        <v>93238153846.153839</v>
      </c>
      <c r="X500" s="32">
        <f t="shared" si="229"/>
        <v>156.28551678023908</v>
      </c>
      <c r="Y500" s="41">
        <v>370</v>
      </c>
      <c r="Z500" s="41">
        <v>300000000</v>
      </c>
      <c r="AA500" s="41">
        <v>0</v>
      </c>
      <c r="AC500" s="50">
        <v>499</v>
      </c>
      <c r="AD500" s="51">
        <f t="shared" si="220"/>
        <v>0</v>
      </c>
      <c r="AE500" s="51">
        <f>AVERAGE(AD496:$AD$500,$AD$502:AD505)</f>
        <v>200000000</v>
      </c>
      <c r="AF500" s="51">
        <f t="shared" si="221"/>
        <v>0</v>
      </c>
      <c r="AG500" s="55">
        <v>0</v>
      </c>
      <c r="AH500" s="29">
        <f>SUM($AF$2:AF500)</f>
        <v>289</v>
      </c>
      <c r="AI500" s="55">
        <f>SUM($AG$2:AG500)</f>
        <v>288.99999999999858</v>
      </c>
    </row>
    <row r="501" spans="1:35" x14ac:dyDescent="0.2">
      <c r="A501" s="48" t="s">
        <v>8864</v>
      </c>
      <c r="B501" s="29">
        <v>9</v>
      </c>
      <c r="C501" s="29">
        <v>1</v>
      </c>
      <c r="D501" s="29">
        <v>490</v>
      </c>
      <c r="E501" s="29">
        <v>74200</v>
      </c>
      <c r="F501" s="29">
        <v>26012</v>
      </c>
      <c r="G501" s="29">
        <v>25837</v>
      </c>
      <c r="H501" s="29">
        <v>72240</v>
      </c>
      <c r="I501" s="29">
        <v>16254</v>
      </c>
      <c r="J501" s="29">
        <v>177349200</v>
      </c>
      <c r="K501" s="29">
        <v>553</v>
      </c>
      <c r="L501" s="29">
        <v>1188</v>
      </c>
      <c r="N501" s="33"/>
      <c r="O501" s="29">
        <f t="shared" si="223"/>
        <v>870.5</v>
      </c>
      <c r="P501" s="31" cm="1">
        <f t="array" ref="P501">WPNFACTOR(C501)</f>
        <v>2</v>
      </c>
      <c r="Q501" s="33" cm="1">
        <f t="array" ref="Q501">HPFACTOr(C501)</f>
        <v>5</v>
      </c>
      <c r="R501" s="32">
        <f t="shared" si="224"/>
        <v>435.25</v>
      </c>
      <c r="S501" s="33">
        <f t="shared" si="225"/>
        <v>35469840</v>
      </c>
      <c r="T501" s="32">
        <f t="shared" si="226"/>
        <v>435.25</v>
      </c>
      <c r="U501" s="39">
        <f t="shared" si="227"/>
        <v>35469840</v>
      </c>
      <c r="V501" s="41">
        <f>VLOOKUP(D501,LevelXp!$A$1:'LevelXp'!$B$1000,2,)/5</f>
        <v>300000000</v>
      </c>
      <c r="W501" s="29">
        <f t="shared" si="228"/>
        <v>15438247860</v>
      </c>
      <c r="X501" s="32">
        <f t="shared" si="229"/>
        <v>109.07358856740439</v>
      </c>
      <c r="Y501" s="41">
        <v>371</v>
      </c>
      <c r="Z501" s="41">
        <v>300000000</v>
      </c>
      <c r="AA501" s="41">
        <v>1</v>
      </c>
      <c r="AC501" s="50">
        <v>500</v>
      </c>
      <c r="AD501" s="51">
        <f t="shared" si="220"/>
        <v>3000000000</v>
      </c>
      <c r="AE501" s="51">
        <f>AD501</f>
        <v>3000000000</v>
      </c>
      <c r="AF501" s="51">
        <f t="shared" si="221"/>
        <v>0</v>
      </c>
      <c r="AG501" s="55">
        <f>AF501</f>
        <v>0</v>
      </c>
      <c r="AH501" s="29">
        <f>SUM($AF$2:AF501)</f>
        <v>289</v>
      </c>
      <c r="AI501" s="55">
        <f>SUM($AG$2:AG501)</f>
        <v>288.99999999999858</v>
      </c>
    </row>
    <row r="502" spans="1:35" x14ac:dyDescent="0.2">
      <c r="A502" s="48" t="s">
        <v>2937</v>
      </c>
      <c r="B502" s="29">
        <v>730</v>
      </c>
      <c r="N502" s="33"/>
      <c r="Q502" s="33"/>
      <c r="S502" s="33"/>
      <c r="U502" s="39"/>
      <c r="V502" s="41">
        <f>VLOOKUP(B502,LevelXp!$D$1:'LevelXp'!$F$1000,3,)</f>
        <v>300000000</v>
      </c>
      <c r="Y502" s="41">
        <v>371</v>
      </c>
      <c r="Z502" s="41">
        <v>300000000</v>
      </c>
      <c r="AA502" s="41">
        <v>0</v>
      </c>
      <c r="AC502" s="50">
        <v>501</v>
      </c>
      <c r="AD502" s="51">
        <f t="shared" si="220"/>
        <v>0</v>
      </c>
      <c r="AE502" s="51">
        <f>AVERAGE(AD497:$AD$500,$AD$502:AD506)</f>
        <v>200000000</v>
      </c>
      <c r="AF502" s="51">
        <f t="shared" si="221"/>
        <v>0</v>
      </c>
      <c r="AG502" s="55">
        <v>0</v>
      </c>
      <c r="AH502" s="29">
        <f>SUM($AF$2:AF502)</f>
        <v>289</v>
      </c>
      <c r="AI502" s="55">
        <f>SUM($AG$2:AG502)</f>
        <v>288.99999999999858</v>
      </c>
    </row>
    <row r="503" spans="1:35" x14ac:dyDescent="0.2">
      <c r="A503" s="48" t="s">
        <v>8864</v>
      </c>
      <c r="B503" s="29">
        <v>10</v>
      </c>
      <c r="C503" s="29">
        <v>3</v>
      </c>
      <c r="D503" s="29">
        <v>500</v>
      </c>
      <c r="E503" s="29">
        <v>19040</v>
      </c>
      <c r="F503" s="29">
        <v>75880</v>
      </c>
      <c r="G503" s="29">
        <v>18970</v>
      </c>
      <c r="H503" s="29">
        <v>73920</v>
      </c>
      <c r="I503" s="29">
        <v>27055</v>
      </c>
      <c r="J503" s="29">
        <v>148135680</v>
      </c>
      <c r="K503" s="29">
        <v>886</v>
      </c>
      <c r="L503" s="29">
        <v>1358</v>
      </c>
      <c r="N503" s="33"/>
      <c r="O503" s="29">
        <f>AVERAGE(K503, L503)</f>
        <v>1122</v>
      </c>
      <c r="P503" s="31" cm="1">
        <f t="array" ref="P503">WPNFACTOR(C503)</f>
        <v>2.5</v>
      </c>
      <c r="Q503" s="33" cm="1">
        <f t="array" ref="Q503">HPFACTOr(C503)</f>
        <v>4</v>
      </c>
      <c r="R503" s="32">
        <f>O503/P503</f>
        <v>448.8</v>
      </c>
      <c r="S503" s="33">
        <f>J503/Q503</f>
        <v>37033920</v>
      </c>
      <c r="T503" s="32">
        <f>R503*(1 + (N503/400))</f>
        <v>448.8</v>
      </c>
      <c r="U503" s="39">
        <f>S503*1.6/(1 + (0.6*(1 - (M503/100))))</f>
        <v>37033920</v>
      </c>
      <c r="V503" s="41">
        <f>VLOOKUP(D503,LevelXp!$A$1:'LevelXp'!$B$1000,2,)/5</f>
        <v>300000000</v>
      </c>
      <c r="W503" s="29">
        <f>T503*U503</f>
        <v>16620823296</v>
      </c>
      <c r="X503" s="32">
        <f>POWER(W503, 1/$X$1)</f>
        <v>110.69563768757044</v>
      </c>
      <c r="Y503" s="41">
        <v>372</v>
      </c>
      <c r="Z503" s="41">
        <v>300000000</v>
      </c>
      <c r="AA503" s="41">
        <v>1</v>
      </c>
      <c r="AC503" s="50">
        <v>502</v>
      </c>
      <c r="AD503" s="51">
        <f t="shared" si="220"/>
        <v>0</v>
      </c>
      <c r="AE503" s="51">
        <f>AVERAGE(AD498:$AD$500,$AD$502:AD507)</f>
        <v>200000000</v>
      </c>
      <c r="AF503" s="51">
        <f t="shared" si="221"/>
        <v>0</v>
      </c>
      <c r="AG503" s="55">
        <v>0</v>
      </c>
      <c r="AH503" s="29">
        <f>SUM($AF$2:AF503)</f>
        <v>289</v>
      </c>
      <c r="AI503" s="55">
        <f>SUM($AG$2:AG503)</f>
        <v>288.99999999999858</v>
      </c>
    </row>
    <row r="504" spans="1:35" x14ac:dyDescent="0.2">
      <c r="A504" s="48" t="s">
        <v>2937</v>
      </c>
      <c r="B504" s="29">
        <v>740</v>
      </c>
      <c r="N504" s="33"/>
      <c r="Q504" s="33"/>
      <c r="S504" s="33"/>
      <c r="U504" s="39"/>
      <c r="V504" s="41">
        <f>VLOOKUP(B504,LevelXp!$D$1:'LevelXp'!$F$1000,3,)</f>
        <v>300000000</v>
      </c>
      <c r="Y504" s="41">
        <v>372</v>
      </c>
      <c r="Z504" s="41">
        <v>300000000</v>
      </c>
      <c r="AA504" s="41">
        <v>0</v>
      </c>
      <c r="AC504" s="50">
        <v>503</v>
      </c>
      <c r="AD504" s="51">
        <f t="shared" si="220"/>
        <v>300000000</v>
      </c>
      <c r="AE504" s="51">
        <f>AVERAGE(AD499:$AD$500,$AD$502:AD508)</f>
        <v>200000000</v>
      </c>
      <c r="AF504" s="51">
        <f t="shared" si="221"/>
        <v>0</v>
      </c>
      <c r="AG504" s="55">
        <v>0</v>
      </c>
      <c r="AH504" s="29">
        <f>SUM($AF$2:AF504)</f>
        <v>289</v>
      </c>
      <c r="AI504" s="55">
        <f>SUM($AG$2:AG504)</f>
        <v>288.99999999999858</v>
      </c>
    </row>
    <row r="505" spans="1:35" x14ac:dyDescent="0.2">
      <c r="A505" s="48" t="s">
        <v>8865</v>
      </c>
      <c r="B505" s="29">
        <v>10</v>
      </c>
      <c r="C505" s="29">
        <v>2</v>
      </c>
      <c r="D505" s="29">
        <v>400</v>
      </c>
      <c r="E505" s="29">
        <v>8447</v>
      </c>
      <c r="F505" s="29">
        <v>8378</v>
      </c>
      <c r="G505" s="29">
        <v>30585</v>
      </c>
      <c r="H505" s="29">
        <v>126470</v>
      </c>
      <c r="I505" s="29">
        <v>18375</v>
      </c>
      <c r="J505" s="29">
        <v>190324704</v>
      </c>
      <c r="K505" s="29">
        <v>1912</v>
      </c>
      <c r="L505" s="29">
        <v>2949</v>
      </c>
      <c r="N505" s="33"/>
      <c r="O505" s="29">
        <f>AVERAGE(K505, L505)</f>
        <v>2430.5</v>
      </c>
      <c r="P505" s="31" cm="1">
        <f t="array" ref="P505">WPNFACTOR(C505)</f>
        <v>4.5</v>
      </c>
      <c r="Q505" s="33" cm="1">
        <f t="array" ref="Q505">HPFACTOr(C505)</f>
        <v>2</v>
      </c>
      <c r="R505" s="32">
        <f>O505/P505</f>
        <v>540.11111111111109</v>
      </c>
      <c r="S505" s="33">
        <f>J505/Q505</f>
        <v>95162352</v>
      </c>
      <c r="T505" s="32">
        <f>R505*(1 + (N505/400))</f>
        <v>540.11111111111109</v>
      </c>
      <c r="U505" s="39">
        <f>S505*1.6/(1 + (0.6*(1 - (M505/100))))</f>
        <v>95162352</v>
      </c>
      <c r="V505" s="41">
        <f>VLOOKUP(D505,LevelXp!$A$1:'LevelXp'!$B$1000,2,)/5</f>
        <v>300000000</v>
      </c>
      <c r="W505" s="29">
        <f>T505*U505</f>
        <v>51398243674.666664</v>
      </c>
      <c r="X505" s="32">
        <f>POWER(W505, 1/$X$1)</f>
        <v>138.73615554800864</v>
      </c>
      <c r="Y505" s="41">
        <v>373</v>
      </c>
      <c r="Z505" s="41">
        <v>300000000</v>
      </c>
      <c r="AA505" s="41">
        <v>1</v>
      </c>
      <c r="AC505" s="50">
        <v>504</v>
      </c>
      <c r="AD505" s="51">
        <f t="shared" si="220"/>
        <v>300000000</v>
      </c>
      <c r="AE505" s="51">
        <f>AVERAGE(AD500:$AD$500,$AD$502:AD509)</f>
        <v>200000000</v>
      </c>
      <c r="AF505" s="51">
        <f t="shared" si="221"/>
        <v>0</v>
      </c>
      <c r="AG505" s="55">
        <v>0</v>
      </c>
      <c r="AH505" s="29">
        <f>SUM($AF$2:AF505)</f>
        <v>289</v>
      </c>
      <c r="AI505" s="55">
        <f>SUM($AG$2:AG505)</f>
        <v>288.99999999999858</v>
      </c>
    </row>
    <row r="506" spans="1:35" x14ac:dyDescent="0.2">
      <c r="A506" s="48" t="s">
        <v>8865</v>
      </c>
      <c r="B506" s="29">
        <v>9</v>
      </c>
      <c r="C506" s="29">
        <v>3</v>
      </c>
      <c r="D506" s="29">
        <v>385</v>
      </c>
      <c r="E506" s="29">
        <v>12400</v>
      </c>
      <c r="F506" s="29">
        <v>29300</v>
      </c>
      <c r="G506" s="29">
        <v>12600</v>
      </c>
      <c r="H506" s="29">
        <v>130350</v>
      </c>
      <c r="I506" s="29">
        <v>18640</v>
      </c>
      <c r="J506" s="29">
        <v>379430016</v>
      </c>
      <c r="K506" s="29">
        <v>848</v>
      </c>
      <c r="L506" s="29">
        <v>2091</v>
      </c>
      <c r="N506" s="33"/>
      <c r="O506" s="29">
        <f>AVERAGE(K506, L506)</f>
        <v>1469.5</v>
      </c>
      <c r="P506" s="31" cm="1">
        <f t="array" ref="P506">WPNFACTOR(C506)</f>
        <v>2.5</v>
      </c>
      <c r="Q506" s="33" cm="1">
        <f t="array" ref="Q506">HPFACTOr(C506)</f>
        <v>4</v>
      </c>
      <c r="R506" s="32">
        <f>O506/P506</f>
        <v>587.79999999999995</v>
      </c>
      <c r="S506" s="33">
        <f>J506/Q506</f>
        <v>94857504</v>
      </c>
      <c r="T506" s="32">
        <f>R506*(1 + (N506/400))</f>
        <v>587.79999999999995</v>
      </c>
      <c r="U506" s="39">
        <f>S506*1.6/(1 + (0.6*(1 - (M506/100))))</f>
        <v>94857504</v>
      </c>
      <c r="V506" s="41">
        <f>VLOOKUP(D506,LevelXp!$A$1:'LevelXp'!$B$1000,2,)/5</f>
        <v>270120546</v>
      </c>
      <c r="W506" s="29">
        <f>T506*U506</f>
        <v>55757240851.199997</v>
      </c>
      <c r="X506" s="32">
        <f>POWER(W506, 1/$X$1)</f>
        <v>141.0133580618876</v>
      </c>
      <c r="Y506" s="41">
        <v>373</v>
      </c>
      <c r="Z506" s="41">
        <v>270120546</v>
      </c>
      <c r="AA506" s="41">
        <v>1</v>
      </c>
      <c r="AC506" s="50">
        <v>505</v>
      </c>
      <c r="AD506" s="51">
        <f t="shared" si="220"/>
        <v>300000000</v>
      </c>
      <c r="AE506" s="51">
        <f t="shared" si="222"/>
        <v>233333333.33333334</v>
      </c>
      <c r="AF506" s="51">
        <f t="shared" si="221"/>
        <v>0</v>
      </c>
      <c r="AG506" s="55">
        <f t="shared" si="222"/>
        <v>0</v>
      </c>
      <c r="AH506" s="29">
        <f>SUM($AF$2:AF506)</f>
        <v>289</v>
      </c>
      <c r="AI506" s="55">
        <f>SUM($AG$2:AG506)</f>
        <v>288.99999999999858</v>
      </c>
    </row>
    <row r="507" spans="1:35" x14ac:dyDescent="0.2">
      <c r="A507" s="48" t="s">
        <v>2846</v>
      </c>
      <c r="B507" s="29">
        <v>4</v>
      </c>
      <c r="C507" s="29">
        <v>3</v>
      </c>
      <c r="D507" s="29">
        <v>288</v>
      </c>
      <c r="E507" s="29">
        <v>3500</v>
      </c>
      <c r="F507" s="29">
        <v>140000</v>
      </c>
      <c r="G507" s="29">
        <v>3500</v>
      </c>
      <c r="H507" s="29">
        <v>120000</v>
      </c>
      <c r="I507" s="29">
        <v>8600</v>
      </c>
      <c r="J507" s="29">
        <v>144000000</v>
      </c>
      <c r="K507" s="29">
        <v>4001</v>
      </c>
      <c r="L507" s="29">
        <v>5249</v>
      </c>
      <c r="N507" s="33"/>
      <c r="O507" s="29">
        <f>AVERAGE(K507, L507)</f>
        <v>4625</v>
      </c>
      <c r="P507" s="31" cm="1">
        <f t="array" ref="P507">WPNFACTOR(C507)</f>
        <v>2.5</v>
      </c>
      <c r="Q507" s="33" cm="1">
        <f t="array" ref="Q507">HPFACTOr(C507)</f>
        <v>4</v>
      </c>
      <c r="R507" s="32">
        <f>O507/P507</f>
        <v>1850</v>
      </c>
      <c r="S507" s="33">
        <f>J507/Q507</f>
        <v>36000000</v>
      </c>
      <c r="T507" s="32">
        <f>R507*(1 + (N507/400))</f>
        <v>1850</v>
      </c>
      <c r="U507" s="39">
        <f>S507*1.6/(1 + (0.6*(1 - (M507/100))))</f>
        <v>36000000</v>
      </c>
      <c r="V507" s="41">
        <f>VLOOKUP(D507,LevelXp!$A$1:'LevelXp'!$B$1000,2,)/5</f>
        <v>62790319</v>
      </c>
      <c r="W507" s="29">
        <f>T507*U507</f>
        <v>66600000000</v>
      </c>
      <c r="X507" s="32">
        <f>POWER(W507, 1/$X$1)</f>
        <v>146.11501461259988</v>
      </c>
      <c r="Y507" s="41">
        <v>373</v>
      </c>
      <c r="Z507" s="41">
        <v>62790319</v>
      </c>
      <c r="AA507" s="41">
        <v>1</v>
      </c>
      <c r="AC507" s="50">
        <v>506</v>
      </c>
      <c r="AD507" s="51">
        <f t="shared" si="220"/>
        <v>300000000</v>
      </c>
      <c r="AE507" s="51">
        <f t="shared" si="222"/>
        <v>266666666.66666666</v>
      </c>
      <c r="AF507" s="51">
        <f t="shared" si="221"/>
        <v>0</v>
      </c>
      <c r="AG507" s="55">
        <f t="shared" si="222"/>
        <v>0</v>
      </c>
      <c r="AH507" s="29">
        <f>SUM($AF$2:AF507)</f>
        <v>289</v>
      </c>
      <c r="AI507" s="55">
        <f>SUM($AG$2:AG507)</f>
        <v>288.99999999999858</v>
      </c>
    </row>
    <row r="508" spans="1:35" x14ac:dyDescent="0.2">
      <c r="A508" s="48" t="s">
        <v>2846</v>
      </c>
      <c r="B508" s="29">
        <v>5</v>
      </c>
      <c r="C508" s="29">
        <v>2</v>
      </c>
      <c r="D508" s="29">
        <v>333</v>
      </c>
      <c r="E508" s="29">
        <v>4000</v>
      </c>
      <c r="F508" s="29">
        <v>4000</v>
      </c>
      <c r="G508" s="29">
        <v>180000</v>
      </c>
      <c r="H508" s="29">
        <v>144000</v>
      </c>
      <c r="I508" s="29">
        <v>10300</v>
      </c>
      <c r="J508" s="29">
        <v>172000000</v>
      </c>
      <c r="K508" s="29">
        <v>7885</v>
      </c>
      <c r="L508" s="29">
        <v>10348</v>
      </c>
      <c r="N508" s="33"/>
      <c r="O508" s="29">
        <f>AVERAGE(K508, L508)</f>
        <v>9116.5</v>
      </c>
      <c r="P508" s="31" cm="1">
        <f t="array" ref="P508">WPNFACTOR(C508)</f>
        <v>4.5</v>
      </c>
      <c r="Q508" s="33" cm="1">
        <f t="array" ref="Q508">HPFACTOr(C508)</f>
        <v>2</v>
      </c>
      <c r="R508" s="32">
        <f>O508/P508</f>
        <v>2025.8888888888889</v>
      </c>
      <c r="S508" s="33">
        <f>J508/Q508</f>
        <v>86000000</v>
      </c>
      <c r="T508" s="32">
        <f>R508*(1 + (N508/400))</f>
        <v>2025.8888888888889</v>
      </c>
      <c r="U508" s="39">
        <f>S508*1.6/(1 + (0.6*(1 - (M508/100))))</f>
        <v>86000000</v>
      </c>
      <c r="V508" s="41">
        <f>VLOOKUP(D508,LevelXp!$A$1:'LevelXp'!$B$1000,2,)/5</f>
        <v>128778486</v>
      </c>
      <c r="W508" s="29">
        <f>T508*U508</f>
        <v>174226444444.44446</v>
      </c>
      <c r="X508" s="32">
        <f>POWER(W508, 1/$X$1)</f>
        <v>177.10173456049358</v>
      </c>
      <c r="Y508" s="41">
        <v>374</v>
      </c>
      <c r="Z508" s="41">
        <v>128778486</v>
      </c>
      <c r="AA508" s="41">
        <v>1</v>
      </c>
      <c r="AC508" s="50">
        <v>507</v>
      </c>
      <c r="AD508" s="51">
        <f t="shared" si="220"/>
        <v>300000000</v>
      </c>
      <c r="AE508" s="51">
        <f t="shared" si="222"/>
        <v>300000000</v>
      </c>
      <c r="AF508" s="51">
        <f t="shared" si="221"/>
        <v>0</v>
      </c>
      <c r="AG508" s="55">
        <f t="shared" si="222"/>
        <v>0.1111111111111111</v>
      </c>
      <c r="AH508" s="29">
        <f>SUM($AF$2:AF508)</f>
        <v>289</v>
      </c>
      <c r="AI508" s="55">
        <f>SUM($AG$2:AG508)</f>
        <v>289.11111111110966</v>
      </c>
    </row>
    <row r="509" spans="1:35" x14ac:dyDescent="0.2">
      <c r="A509" s="48" t="s">
        <v>2937</v>
      </c>
      <c r="B509" s="29">
        <v>750</v>
      </c>
      <c r="N509" s="33"/>
      <c r="Q509" s="33"/>
      <c r="S509" s="33"/>
      <c r="U509" s="39"/>
      <c r="V509" s="41">
        <f>VLOOKUP(B509,LevelXp!$D$1:'LevelXp'!$F$1000,3,)</f>
        <v>300000000</v>
      </c>
      <c r="Y509" s="41">
        <v>374</v>
      </c>
      <c r="Z509" s="41">
        <v>300000000</v>
      </c>
      <c r="AA509" s="41">
        <v>0</v>
      </c>
      <c r="AC509" s="50">
        <v>508</v>
      </c>
      <c r="AD509" s="51">
        <f t="shared" si="220"/>
        <v>300000000</v>
      </c>
      <c r="AE509" s="51">
        <f t="shared" si="222"/>
        <v>300000000</v>
      </c>
      <c r="AF509" s="51">
        <f t="shared" si="221"/>
        <v>0</v>
      </c>
      <c r="AG509" s="55">
        <f t="shared" si="222"/>
        <v>0.1111111111111111</v>
      </c>
      <c r="AH509" s="29">
        <f>SUM($AF$2:AF509)</f>
        <v>289</v>
      </c>
      <c r="AI509" s="55">
        <f>SUM($AG$2:AG509)</f>
        <v>289.22222222222075</v>
      </c>
    </row>
    <row r="510" spans="1:35" x14ac:dyDescent="0.2">
      <c r="A510" s="48" t="s">
        <v>8867</v>
      </c>
      <c r="B510" s="29">
        <v>7</v>
      </c>
      <c r="C510" s="29">
        <v>1</v>
      </c>
      <c r="D510" s="29">
        <v>470</v>
      </c>
      <c r="E510" s="29">
        <v>60270</v>
      </c>
      <c r="F510" s="29">
        <v>21090</v>
      </c>
      <c r="G510" s="29">
        <v>21030</v>
      </c>
      <c r="H510" s="29">
        <v>32240</v>
      </c>
      <c r="I510" s="29">
        <v>12740</v>
      </c>
      <c r="J510" s="29">
        <v>75925200</v>
      </c>
      <c r="K510" s="29">
        <v>3101</v>
      </c>
      <c r="L510" s="29">
        <v>7612</v>
      </c>
      <c r="N510" s="33"/>
      <c r="O510" s="29">
        <f>AVERAGE(K510, L510)</f>
        <v>5356.5</v>
      </c>
      <c r="P510" s="31" cm="1">
        <f t="array" ref="P510">WPNFACTOR(C510)</f>
        <v>2</v>
      </c>
      <c r="Q510" s="33" cm="1">
        <f t="array" ref="Q510">HPFACTOr(C510)</f>
        <v>5</v>
      </c>
      <c r="R510" s="32">
        <f>O510/P510</f>
        <v>2678.25</v>
      </c>
      <c r="S510" s="33">
        <f>J510/Q510</f>
        <v>15185040</v>
      </c>
      <c r="T510" s="32">
        <f>R510*(1 + (N510/400))</f>
        <v>2678.25</v>
      </c>
      <c r="U510" s="39">
        <f>S510*1.6/(1 + (0.6*(1 - (M510/100))))</f>
        <v>15185040</v>
      </c>
      <c r="V510" s="41">
        <f>VLOOKUP(D510,LevelXp!$A$1:'LevelXp'!$B$1000,2,)/5</f>
        <v>300000000</v>
      </c>
      <c r="W510" s="29">
        <f>T510*U510</f>
        <v>40669333380</v>
      </c>
      <c r="X510" s="32">
        <f>POWER(W510, 1/$X$1)</f>
        <v>132.38946000961195</v>
      </c>
      <c r="Y510" s="41">
        <v>375</v>
      </c>
      <c r="Z510" s="41">
        <v>300000000</v>
      </c>
      <c r="AA510" s="41">
        <v>1</v>
      </c>
      <c r="AC510" s="50">
        <v>509</v>
      </c>
      <c r="AD510" s="51">
        <f t="shared" si="220"/>
        <v>300000000</v>
      </c>
      <c r="AE510" s="51">
        <f t="shared" si="222"/>
        <v>300000000</v>
      </c>
      <c r="AF510" s="51">
        <f t="shared" si="221"/>
        <v>0</v>
      </c>
      <c r="AG510" s="55">
        <f t="shared" si="222"/>
        <v>0.1111111111111111</v>
      </c>
      <c r="AH510" s="29">
        <f>SUM($AF$2:AF510)</f>
        <v>289</v>
      </c>
      <c r="AI510" s="55">
        <f>SUM($AG$2:AG510)</f>
        <v>289.33333333333184</v>
      </c>
    </row>
    <row r="511" spans="1:35" x14ac:dyDescent="0.2">
      <c r="A511" s="48" t="s">
        <v>2937</v>
      </c>
      <c r="B511" s="29">
        <v>760</v>
      </c>
      <c r="N511" s="33"/>
      <c r="Q511" s="33"/>
      <c r="S511" s="33"/>
      <c r="U511" s="39"/>
      <c r="V511" s="41">
        <f>VLOOKUP(B511,LevelXp!$D$1:'LevelXp'!$F$1000,3,)</f>
        <v>300000000</v>
      </c>
      <c r="Y511" s="41">
        <v>375</v>
      </c>
      <c r="Z511" s="41">
        <v>300000000</v>
      </c>
      <c r="AA511" s="41">
        <v>0</v>
      </c>
      <c r="AC511" s="50">
        <v>510</v>
      </c>
      <c r="AD511" s="51">
        <f t="shared" si="220"/>
        <v>300000000</v>
      </c>
      <c r="AE511" s="51">
        <f t="shared" si="222"/>
        <v>300000000</v>
      </c>
      <c r="AF511" s="51">
        <f t="shared" si="221"/>
        <v>0</v>
      </c>
      <c r="AG511" s="55">
        <f t="shared" si="222"/>
        <v>0.1111111111111111</v>
      </c>
      <c r="AH511" s="29">
        <f>SUM($AF$2:AF511)</f>
        <v>289</v>
      </c>
      <c r="AI511" s="55">
        <f>SUM($AG$2:AG511)</f>
        <v>289.44444444444292</v>
      </c>
    </row>
    <row r="512" spans="1:35" x14ac:dyDescent="0.2">
      <c r="A512" s="48" t="s">
        <v>8855</v>
      </c>
      <c r="B512" s="29">
        <v>4</v>
      </c>
      <c r="C512" s="29">
        <v>3</v>
      </c>
      <c r="D512" s="29">
        <v>392</v>
      </c>
      <c r="E512" s="29">
        <v>10493</v>
      </c>
      <c r="F512" s="29">
        <v>65789</v>
      </c>
      <c r="G512" s="29">
        <v>10573</v>
      </c>
      <c r="H512" s="29">
        <v>184230</v>
      </c>
      <c r="I512" s="29">
        <v>31720</v>
      </c>
      <c r="J512" s="29">
        <v>289609568</v>
      </c>
      <c r="K512" s="29">
        <v>1670</v>
      </c>
      <c r="L512" s="29">
        <v>2816</v>
      </c>
      <c r="N512" s="33"/>
      <c r="O512" s="29">
        <f>AVERAGE(K512, L512)</f>
        <v>2243</v>
      </c>
      <c r="P512" s="31" cm="1">
        <f t="array" ref="P512">WPNFACTOR(C512)</f>
        <v>2.5</v>
      </c>
      <c r="Q512" s="33" cm="1">
        <f t="array" ref="Q512">HPFACTOr(C512)</f>
        <v>4</v>
      </c>
      <c r="R512" s="32">
        <f>O512/P512</f>
        <v>897.2</v>
      </c>
      <c r="S512" s="33">
        <f>J512/Q512</f>
        <v>72402392</v>
      </c>
      <c r="T512" s="32">
        <f>R512*(1 + (N512/400))</f>
        <v>897.2</v>
      </c>
      <c r="U512" s="39">
        <f>S512*1.6/(1 + (0.6*(1 - (M512/100))))</f>
        <v>72402392</v>
      </c>
      <c r="V512" s="41">
        <f>VLOOKUP(D512,LevelXp!$A$1:'LevelXp'!$B$1000,2,)/5</f>
        <v>296636662</v>
      </c>
      <c r="W512" s="29">
        <f>T512*U512</f>
        <v>64959426102.400002</v>
      </c>
      <c r="X512" s="32">
        <f>POWER(W512, 1/$X$1)</f>
        <v>145.3879576748852</v>
      </c>
      <c r="Y512" s="41">
        <v>376</v>
      </c>
      <c r="Z512" s="41">
        <v>296636662</v>
      </c>
      <c r="AA512" s="41">
        <v>0</v>
      </c>
      <c r="AC512" s="50">
        <v>511</v>
      </c>
      <c r="AD512" s="51">
        <f t="shared" si="220"/>
        <v>300000000</v>
      </c>
      <c r="AE512" s="51">
        <f t="shared" si="222"/>
        <v>300000000</v>
      </c>
      <c r="AF512" s="51">
        <f t="shared" si="221"/>
        <v>1</v>
      </c>
      <c r="AG512" s="55">
        <f t="shared" si="222"/>
        <v>0.22222222222222221</v>
      </c>
      <c r="AH512" s="29">
        <f>SUM($AF$2:AF512)</f>
        <v>290</v>
      </c>
      <c r="AI512" s="55">
        <f>SUM($AG$2:AG512)</f>
        <v>289.66666666666515</v>
      </c>
    </row>
    <row r="513" spans="1:35" x14ac:dyDescent="0.2">
      <c r="A513" s="48" t="s">
        <v>2937</v>
      </c>
      <c r="B513" s="29">
        <v>770</v>
      </c>
      <c r="N513" s="33"/>
      <c r="Q513" s="33"/>
      <c r="S513" s="33"/>
      <c r="U513" s="39"/>
      <c r="V513" s="41">
        <f>VLOOKUP(B513,LevelXp!$D$1:'LevelXp'!$F$1000,3,)</f>
        <v>300000000</v>
      </c>
      <c r="Y513" s="41">
        <v>376</v>
      </c>
      <c r="Z513" s="41">
        <v>300000000</v>
      </c>
      <c r="AA513" s="41">
        <v>0</v>
      </c>
      <c r="AC513" s="50">
        <v>512</v>
      </c>
      <c r="AD513" s="51">
        <f t="shared" si="220"/>
        <v>300000000</v>
      </c>
      <c r="AE513" s="51">
        <f t="shared" si="222"/>
        <v>300000000</v>
      </c>
      <c r="AF513" s="51">
        <f t="shared" si="221"/>
        <v>0</v>
      </c>
      <c r="AG513" s="55">
        <f t="shared" si="222"/>
        <v>0.33333333333333331</v>
      </c>
      <c r="AH513" s="29">
        <f>SUM($AF$2:AF513)</f>
        <v>290</v>
      </c>
      <c r="AI513" s="55">
        <f>SUM($AG$2:AG513)</f>
        <v>289.99999999999847</v>
      </c>
    </row>
    <row r="514" spans="1:35" x14ac:dyDescent="0.2">
      <c r="A514" s="48" t="s">
        <v>8861</v>
      </c>
      <c r="B514" s="29">
        <v>10</v>
      </c>
      <c r="C514" s="29">
        <v>3</v>
      </c>
      <c r="D514" s="29">
        <v>430</v>
      </c>
      <c r="E514" s="29">
        <v>22500</v>
      </c>
      <c r="F514" s="29">
        <v>43500</v>
      </c>
      <c r="G514" s="29">
        <v>22500</v>
      </c>
      <c r="H514" s="29">
        <v>134000</v>
      </c>
      <c r="I514" s="29">
        <v>22500</v>
      </c>
      <c r="J514" s="29">
        <v>390000000</v>
      </c>
      <c r="K514" s="29">
        <v>1660</v>
      </c>
      <c r="L514" s="29">
        <v>1899</v>
      </c>
      <c r="M514" s="29">
        <v>50</v>
      </c>
      <c r="N514" s="33">
        <v>50</v>
      </c>
      <c r="O514" s="29">
        <f>AVERAGE(K514, L514)</f>
        <v>1779.5</v>
      </c>
      <c r="P514" s="31" cm="1">
        <f t="array" ref="P514">WPNFACTOR(C514)</f>
        <v>2.5</v>
      </c>
      <c r="Q514" s="33" cm="1">
        <f t="array" ref="Q514">HPFACTOr(C514)</f>
        <v>4</v>
      </c>
      <c r="R514" s="32">
        <f>O514/P514</f>
        <v>711.8</v>
      </c>
      <c r="S514" s="33">
        <f>J514/Q514</f>
        <v>97500000</v>
      </c>
      <c r="T514" s="32">
        <f>R514*(1 + (N514/400))</f>
        <v>800.77499999999998</v>
      </c>
      <c r="U514" s="39">
        <f>S514*1.6/(1 + (0.6*(1 - (M514/100))))</f>
        <v>120000000</v>
      </c>
      <c r="V514" s="41">
        <f>VLOOKUP(D514,LevelXp!$A$1:'LevelXp'!$B$1000,2,)/5</f>
        <v>300000000</v>
      </c>
      <c r="W514" s="29">
        <f>T514*U514</f>
        <v>96093000000</v>
      </c>
      <c r="X514" s="32">
        <f>POWER(W514, 1/$X$1)</f>
        <v>157.23106294341929</v>
      </c>
      <c r="Y514" s="41">
        <v>377</v>
      </c>
      <c r="Z514" s="41">
        <v>300000000</v>
      </c>
      <c r="AA514" s="41">
        <v>0</v>
      </c>
      <c r="AC514" s="50">
        <v>513</v>
      </c>
      <c r="AD514" s="51">
        <f t="shared" si="220"/>
        <v>300000000</v>
      </c>
      <c r="AE514" s="51">
        <f t="shared" si="222"/>
        <v>300000000</v>
      </c>
      <c r="AF514" s="51">
        <f t="shared" si="221"/>
        <v>0</v>
      </c>
      <c r="AG514" s="55">
        <f t="shared" si="222"/>
        <v>0.33333333333333331</v>
      </c>
      <c r="AH514" s="29">
        <f>SUM($AF$2:AF514)</f>
        <v>290</v>
      </c>
      <c r="AI514" s="55">
        <f>SUM($AG$2:AG514)</f>
        <v>290.33333333333178</v>
      </c>
    </row>
    <row r="515" spans="1:35" x14ac:dyDescent="0.2">
      <c r="A515" s="48" t="s">
        <v>2937</v>
      </c>
      <c r="B515" s="29">
        <v>780</v>
      </c>
      <c r="N515" s="33"/>
      <c r="Q515" s="33"/>
      <c r="S515" s="33"/>
      <c r="U515" s="39"/>
      <c r="V515" s="41">
        <f>VLOOKUP(B515,LevelXp!$D$1:'LevelXp'!$F$1000,3,)</f>
        <v>300000000</v>
      </c>
      <c r="Y515" s="41">
        <v>377</v>
      </c>
      <c r="Z515" s="41">
        <v>300000000</v>
      </c>
      <c r="AA515" s="41">
        <v>0</v>
      </c>
      <c r="AC515" s="50">
        <v>514</v>
      </c>
      <c r="AD515" s="51">
        <f t="shared" ref="AD515:AD578" si="230">SUMIF($Y$2:$Y$682, AC515, $Z$2:$Z$682)</f>
        <v>300000000</v>
      </c>
      <c r="AE515" s="51">
        <f t="shared" si="222"/>
        <v>300000000</v>
      </c>
      <c r="AF515" s="51">
        <f t="shared" ref="AF515:AF578" si="231">SUMIF($Y$2:$Y$682, AC515, $AA$2:$AA$682)</f>
        <v>0</v>
      </c>
      <c r="AG515" s="55">
        <f t="shared" si="222"/>
        <v>0.33333333333333331</v>
      </c>
      <c r="AH515" s="29">
        <f>SUM($AF$2:AF515)</f>
        <v>290</v>
      </c>
      <c r="AI515" s="55">
        <f>SUM($AG$2:AG515)</f>
        <v>290.66666666666509</v>
      </c>
    </row>
    <row r="516" spans="1:35" x14ac:dyDescent="0.2">
      <c r="A516" s="48" t="s">
        <v>8866</v>
      </c>
      <c r="B516" s="29">
        <v>8</v>
      </c>
      <c r="C516" s="29">
        <v>5</v>
      </c>
      <c r="D516" s="29">
        <v>456</v>
      </c>
      <c r="E516" s="29">
        <v>29669</v>
      </c>
      <c r="F516" s="29">
        <v>6988</v>
      </c>
      <c r="G516" s="29">
        <v>6988</v>
      </c>
      <c r="H516" s="29">
        <v>116680</v>
      </c>
      <c r="I516" s="29">
        <v>16639</v>
      </c>
      <c r="J516" s="29">
        <v>266613792</v>
      </c>
      <c r="K516" s="29">
        <v>1554</v>
      </c>
      <c r="L516" s="29">
        <v>2627</v>
      </c>
      <c r="N516" s="33"/>
      <c r="O516" s="29">
        <f>AVERAGE(K516, L516)</f>
        <v>2090.5</v>
      </c>
      <c r="P516" s="31" cm="1">
        <f t="array" ref="P516">WPNFACTOR(C516)</f>
        <v>2</v>
      </c>
      <c r="Q516" s="33" cm="1">
        <f t="array" ref="Q516">HPFACTOr(C516)</f>
        <v>5</v>
      </c>
      <c r="R516" s="32">
        <f>O516/P516</f>
        <v>1045.25</v>
      </c>
      <c r="S516" s="33">
        <f>J516/Q516</f>
        <v>53322758.399999999</v>
      </c>
      <c r="T516" s="32">
        <f>R516*(1 + (N516/400))</f>
        <v>1045.25</v>
      </c>
      <c r="U516" s="39">
        <f>S516*1.6/(1 + (0.6*(1 - (M516/100))))</f>
        <v>53322758.399999999</v>
      </c>
      <c r="V516" s="41">
        <f>VLOOKUP(D516,LevelXp!$A$1:'LevelXp'!$B$1000,2,)/5</f>
        <v>300000000</v>
      </c>
      <c r="W516" s="29">
        <f>T516*U516</f>
        <v>55735613217.599998</v>
      </c>
      <c r="X516" s="32">
        <f>POWER(W516, 1/$X$1)</f>
        <v>141.00241685139721</v>
      </c>
      <c r="Y516" s="41">
        <v>378</v>
      </c>
      <c r="Z516" s="41">
        <v>300000000</v>
      </c>
      <c r="AA516" s="41">
        <v>1</v>
      </c>
      <c r="AC516" s="50">
        <v>515</v>
      </c>
      <c r="AD516" s="51">
        <f t="shared" si="230"/>
        <v>300000000</v>
      </c>
      <c r="AE516" s="51">
        <f t="shared" si="222"/>
        <v>300000000</v>
      </c>
      <c r="AF516" s="51">
        <f t="shared" si="231"/>
        <v>1</v>
      </c>
      <c r="AG516" s="55">
        <f t="shared" si="222"/>
        <v>0.33333333333333331</v>
      </c>
      <c r="AH516" s="29">
        <f>SUM($AF$2:AF516)</f>
        <v>291</v>
      </c>
      <c r="AI516" s="55">
        <f>SUM($AG$2:AG516)</f>
        <v>290.99999999999841</v>
      </c>
    </row>
    <row r="517" spans="1:35" x14ac:dyDescent="0.2">
      <c r="A517" s="48" t="s">
        <v>2937</v>
      </c>
      <c r="B517" s="29">
        <v>790</v>
      </c>
      <c r="N517" s="33"/>
      <c r="Q517" s="33"/>
      <c r="S517" s="33"/>
      <c r="U517" s="39"/>
      <c r="V517" s="41">
        <f>VLOOKUP(B517,LevelXp!$D$1:'LevelXp'!$F$1000,3,)</f>
        <v>300000000</v>
      </c>
      <c r="Y517" s="41">
        <v>379</v>
      </c>
      <c r="Z517" s="41">
        <v>300000000</v>
      </c>
      <c r="AA517" s="41">
        <v>0</v>
      </c>
      <c r="AC517" s="50">
        <v>516</v>
      </c>
      <c r="AD517" s="51">
        <f t="shared" si="230"/>
        <v>300000000</v>
      </c>
      <c r="AE517" s="51">
        <f t="shared" si="222"/>
        <v>300000000</v>
      </c>
      <c r="AF517" s="51">
        <f t="shared" si="231"/>
        <v>1</v>
      </c>
      <c r="AG517" s="55">
        <f t="shared" si="222"/>
        <v>0.22222222222222221</v>
      </c>
      <c r="AH517" s="29">
        <f>SUM($AF$2:AF517)</f>
        <v>292</v>
      </c>
      <c r="AI517" s="55">
        <f>SUM($AG$2:AG517)</f>
        <v>291.22222222222064</v>
      </c>
    </row>
    <row r="518" spans="1:35" x14ac:dyDescent="0.2">
      <c r="A518" s="48" t="s">
        <v>8854</v>
      </c>
      <c r="B518" s="29">
        <v>1</v>
      </c>
      <c r="C518" s="29">
        <v>3</v>
      </c>
      <c r="D518" s="29">
        <v>410</v>
      </c>
      <c r="E518" s="29">
        <v>8400</v>
      </c>
      <c r="F518" s="29">
        <v>66000</v>
      </c>
      <c r="G518" s="29">
        <v>8400</v>
      </c>
      <c r="H518" s="29">
        <v>157500</v>
      </c>
      <c r="I518" s="29">
        <v>27000</v>
      </c>
      <c r="J518" s="29">
        <v>468750016</v>
      </c>
      <c r="K518" s="29">
        <v>1500</v>
      </c>
      <c r="L518" s="29">
        <v>1624</v>
      </c>
      <c r="N518" s="33"/>
      <c r="O518" s="29">
        <f>AVERAGE(K518, L518)</f>
        <v>1562</v>
      </c>
      <c r="P518" s="31" cm="1">
        <f t="array" ref="P518">WPNFACTOR(C518)</f>
        <v>2.5</v>
      </c>
      <c r="Q518" s="33" cm="1">
        <f t="array" ref="Q518">HPFACTOr(C518)</f>
        <v>4</v>
      </c>
      <c r="R518" s="32">
        <f>O518/P518</f>
        <v>624.79999999999995</v>
      </c>
      <c r="S518" s="33">
        <f>J518/Q518</f>
        <v>117187504</v>
      </c>
      <c r="T518" s="32">
        <f>R518*(1 + (N518/400))</f>
        <v>624.79999999999995</v>
      </c>
      <c r="U518" s="39">
        <f>S518*1.6/(1 + (0.6*(1 - (M518/100))))</f>
        <v>117187504</v>
      </c>
      <c r="V518" s="41">
        <f>VLOOKUP(D518,LevelXp!$A$1:'LevelXp'!$B$1000,2,)/5</f>
        <v>300000000</v>
      </c>
      <c r="W518" s="29">
        <f>T518*U518</f>
        <v>73218752499.199997</v>
      </c>
      <c r="X518" s="32">
        <f>POWER(W518, 1/$X$1)</f>
        <v>148.9102062040767</v>
      </c>
      <c r="Y518" s="41">
        <v>380</v>
      </c>
      <c r="Z518" s="41">
        <v>300000000</v>
      </c>
      <c r="AA518" s="41">
        <v>0</v>
      </c>
      <c r="AC518" s="50">
        <v>517</v>
      </c>
      <c r="AD518" s="51">
        <f t="shared" si="230"/>
        <v>300000000</v>
      </c>
      <c r="AE518" s="51">
        <f t="shared" si="222"/>
        <v>266666666.66666666</v>
      </c>
      <c r="AF518" s="51">
        <f t="shared" si="231"/>
        <v>0</v>
      </c>
      <c r="AG518" s="55">
        <f t="shared" si="222"/>
        <v>0.22222222222222221</v>
      </c>
      <c r="AH518" s="29">
        <f>SUM($AF$2:AF518)</f>
        <v>292</v>
      </c>
      <c r="AI518" s="55">
        <f>SUM($AG$2:AG518)</f>
        <v>291.44444444444287</v>
      </c>
    </row>
    <row r="519" spans="1:35" x14ac:dyDescent="0.2">
      <c r="A519" s="48" t="s">
        <v>2846</v>
      </c>
      <c r="B519" s="29">
        <v>6</v>
      </c>
      <c r="C519" s="29">
        <v>2</v>
      </c>
      <c r="D519" s="29">
        <v>366</v>
      </c>
      <c r="E519" s="29">
        <v>4500</v>
      </c>
      <c r="F519" s="29">
        <v>4500</v>
      </c>
      <c r="G519" s="29">
        <v>215000</v>
      </c>
      <c r="H519" s="29">
        <v>172000</v>
      </c>
      <c r="I519" s="29">
        <v>12400</v>
      </c>
      <c r="J519" s="29">
        <v>206000000</v>
      </c>
      <c r="K519" s="29">
        <v>9015</v>
      </c>
      <c r="L519" s="29">
        <v>11236</v>
      </c>
      <c r="N519" s="33"/>
      <c r="O519" s="29">
        <f>AVERAGE(K519, L519)</f>
        <v>10125.5</v>
      </c>
      <c r="P519" s="31" cm="1">
        <f t="array" ref="P519">WPNFACTOR(C519)</f>
        <v>4.5</v>
      </c>
      <c r="Q519" s="33" cm="1">
        <f t="array" ref="Q519">HPFACTOr(C519)</f>
        <v>2</v>
      </c>
      <c r="R519" s="32">
        <f>O519/P519</f>
        <v>2250.1111111111113</v>
      </c>
      <c r="S519" s="33">
        <f>J519/Q519</f>
        <v>103000000</v>
      </c>
      <c r="T519" s="32">
        <f>R519*(1 + (N519/400))</f>
        <v>2250.1111111111113</v>
      </c>
      <c r="U519" s="39">
        <f>S519*1.6/(1 + (0.6*(1 - (M519/100))))</f>
        <v>103000000</v>
      </c>
      <c r="V519" s="41">
        <f>VLOOKUP(D519,LevelXp!$A$1:'LevelXp'!$B$1000,2,)/5</f>
        <v>208088681</v>
      </c>
      <c r="W519" s="29">
        <f>T519*U519</f>
        <v>231761444444.44446</v>
      </c>
      <c r="X519" s="32">
        <f>POWER(W519, 1/$X$1)</f>
        <v>187.50300736799832</v>
      </c>
      <c r="Y519" s="41">
        <v>380</v>
      </c>
      <c r="Z519" s="41">
        <v>208088681</v>
      </c>
      <c r="AA519" s="41">
        <v>1</v>
      </c>
      <c r="AC519" s="50">
        <v>518</v>
      </c>
      <c r="AD519" s="51">
        <f t="shared" si="230"/>
        <v>300000000</v>
      </c>
      <c r="AE519" s="51">
        <f t="shared" ref="AE519:AG582" si="232">AVERAGE(AD515:AD523)</f>
        <v>266666666.66666666</v>
      </c>
      <c r="AF519" s="51">
        <f t="shared" si="231"/>
        <v>0</v>
      </c>
      <c r="AG519" s="55">
        <f t="shared" si="232"/>
        <v>0.22222222222222221</v>
      </c>
      <c r="AH519" s="29">
        <f>SUM($AF$2:AF519)</f>
        <v>292</v>
      </c>
      <c r="AI519" s="55">
        <f>SUM($AG$2:AG519)</f>
        <v>291.66666666666509</v>
      </c>
    </row>
    <row r="520" spans="1:35" x14ac:dyDescent="0.2">
      <c r="A520" s="48" t="s">
        <v>2937</v>
      </c>
      <c r="B520" s="29">
        <v>800</v>
      </c>
      <c r="N520" s="33"/>
      <c r="Q520" s="33"/>
      <c r="S520" s="33"/>
      <c r="U520" s="39"/>
      <c r="V520" s="41">
        <f>VLOOKUP(B520,LevelXp!$D$1:'LevelXp'!$F$1000,3,)</f>
        <v>300000000</v>
      </c>
      <c r="Y520" s="41">
        <v>381</v>
      </c>
      <c r="Z520" s="41">
        <v>300000000</v>
      </c>
      <c r="AA520" s="41">
        <v>0</v>
      </c>
      <c r="AC520" s="50">
        <v>519</v>
      </c>
      <c r="AD520" s="51">
        <f t="shared" si="230"/>
        <v>300000000</v>
      </c>
      <c r="AE520" s="51">
        <f t="shared" si="232"/>
        <v>233333333.33333334</v>
      </c>
      <c r="AF520" s="51">
        <f t="shared" si="231"/>
        <v>0</v>
      </c>
      <c r="AG520" s="55">
        <f t="shared" si="232"/>
        <v>0.22222222222222221</v>
      </c>
      <c r="AH520" s="29">
        <f>SUM($AF$2:AF520)</f>
        <v>292</v>
      </c>
      <c r="AI520" s="55">
        <f>SUM($AG$2:AG520)</f>
        <v>291.88888888888732</v>
      </c>
    </row>
    <row r="521" spans="1:35" x14ac:dyDescent="0.2">
      <c r="A521" s="48" t="s">
        <v>2937</v>
      </c>
      <c r="B521" s="29">
        <v>810</v>
      </c>
      <c r="N521" s="33"/>
      <c r="Q521" s="33"/>
      <c r="S521" s="33"/>
      <c r="U521" s="39"/>
      <c r="V521" s="41">
        <f>VLOOKUP(B521,LevelXp!$D$1:'LevelXp'!$F$1000,3,)</f>
        <v>300000000</v>
      </c>
      <c r="Y521" s="41">
        <v>382</v>
      </c>
      <c r="Z521" s="41">
        <v>300000000</v>
      </c>
      <c r="AA521" s="41">
        <v>0</v>
      </c>
      <c r="AC521" s="50">
        <v>520</v>
      </c>
      <c r="AD521" s="51">
        <f t="shared" si="230"/>
        <v>300000000</v>
      </c>
      <c r="AE521" s="51">
        <f t="shared" si="232"/>
        <v>233333333.33333334</v>
      </c>
      <c r="AF521" s="51">
        <f t="shared" si="231"/>
        <v>0</v>
      </c>
      <c r="AG521" s="55">
        <f t="shared" si="232"/>
        <v>0.1111111111111111</v>
      </c>
      <c r="AH521" s="29">
        <f>SUM($AF$2:AF521)</f>
        <v>292</v>
      </c>
      <c r="AI521" s="55">
        <f>SUM($AG$2:AG521)</f>
        <v>291.99999999999841</v>
      </c>
    </row>
    <row r="522" spans="1:35" x14ac:dyDescent="0.2">
      <c r="A522" s="48" t="s">
        <v>8856</v>
      </c>
      <c r="B522" s="29">
        <v>3</v>
      </c>
      <c r="C522" s="29">
        <v>2</v>
      </c>
      <c r="D522" s="29">
        <v>435</v>
      </c>
      <c r="E522" s="29">
        <v>25000</v>
      </c>
      <c r="F522" s="29">
        <v>25000</v>
      </c>
      <c r="G522" s="29">
        <v>70500</v>
      </c>
      <c r="H522" s="29">
        <v>231000</v>
      </c>
      <c r="I522" s="29">
        <v>45000</v>
      </c>
      <c r="J522" s="29">
        <v>226149008</v>
      </c>
      <c r="K522" s="29">
        <v>3425</v>
      </c>
      <c r="L522" s="29">
        <v>5871</v>
      </c>
      <c r="M522" s="29">
        <v>35</v>
      </c>
      <c r="N522" s="33">
        <v>60</v>
      </c>
      <c r="O522" s="29">
        <f>AVERAGE(K522, L522)</f>
        <v>4648</v>
      </c>
      <c r="P522" s="31" cm="1">
        <f t="array" ref="P522">WPNFACTOR(C522)</f>
        <v>4.5</v>
      </c>
      <c r="Q522" s="33" cm="1">
        <f t="array" ref="Q522">HPFACTOr(C522)</f>
        <v>2</v>
      </c>
      <c r="R522" s="32">
        <f>O522/P522</f>
        <v>1032.8888888888889</v>
      </c>
      <c r="S522" s="33">
        <f>J522/Q522</f>
        <v>113074504</v>
      </c>
      <c r="T522" s="32">
        <f>R522*(1 + (N522/400))</f>
        <v>1187.8222222222221</v>
      </c>
      <c r="U522" s="39">
        <f>S522*1.6/(1 + (0.6*(1 - (M522/100))))</f>
        <v>130157702.44604316</v>
      </c>
      <c r="V522" s="41">
        <f>VLOOKUP(D522,LevelXp!$A$1:'LevelXp'!$B$1000,2,)/5</f>
        <v>300000000</v>
      </c>
      <c r="W522" s="29">
        <f>T522*U522</f>
        <v>154604211358.79773</v>
      </c>
      <c r="X522" s="32">
        <f>POWER(W522, 1/$X$1)</f>
        <v>172.91961660517583</v>
      </c>
      <c r="Y522" s="41">
        <v>383</v>
      </c>
      <c r="Z522" s="41">
        <v>300000000</v>
      </c>
      <c r="AA522" s="41">
        <v>0</v>
      </c>
      <c r="AC522" s="50">
        <v>521</v>
      </c>
      <c r="AD522" s="51">
        <f t="shared" si="230"/>
        <v>0</v>
      </c>
      <c r="AE522" s="51">
        <f t="shared" si="232"/>
        <v>200000000</v>
      </c>
      <c r="AF522" s="51">
        <f t="shared" si="231"/>
        <v>0</v>
      </c>
      <c r="AG522" s="55">
        <f t="shared" si="232"/>
        <v>0</v>
      </c>
      <c r="AH522" s="29">
        <f>SUM($AF$2:AF522)</f>
        <v>292</v>
      </c>
      <c r="AI522" s="55">
        <f>SUM($AG$2:AG522)</f>
        <v>291.99999999999841</v>
      </c>
    </row>
    <row r="523" spans="1:35" x14ac:dyDescent="0.2">
      <c r="A523" s="48" t="s">
        <v>2937</v>
      </c>
      <c r="B523" s="29">
        <v>820</v>
      </c>
      <c r="N523" s="33"/>
      <c r="Q523" s="33"/>
      <c r="S523" s="33"/>
      <c r="U523" s="39"/>
      <c r="V523" s="41">
        <f>VLOOKUP(B523,LevelXp!$D$1:'LevelXp'!$F$1000,3,)</f>
        <v>300000000</v>
      </c>
      <c r="Y523" s="41">
        <v>383</v>
      </c>
      <c r="Z523" s="41">
        <v>300000000</v>
      </c>
      <c r="AA523" s="41">
        <v>0</v>
      </c>
      <c r="AC523" s="50">
        <v>522</v>
      </c>
      <c r="AD523" s="51">
        <f t="shared" si="230"/>
        <v>300000000</v>
      </c>
      <c r="AE523" s="51">
        <f t="shared" si="232"/>
        <v>200000000</v>
      </c>
      <c r="AF523" s="51">
        <f t="shared" si="231"/>
        <v>0</v>
      </c>
      <c r="AG523" s="55">
        <f t="shared" si="232"/>
        <v>0</v>
      </c>
      <c r="AH523" s="29">
        <f>SUM($AF$2:AF523)</f>
        <v>292</v>
      </c>
      <c r="AI523" s="55">
        <f>SUM($AG$2:AG523)</f>
        <v>291.99999999999841</v>
      </c>
    </row>
    <row r="524" spans="1:35" x14ac:dyDescent="0.2">
      <c r="A524" s="48" t="s">
        <v>8867</v>
      </c>
      <c r="B524" s="29">
        <v>8</v>
      </c>
      <c r="C524" s="29">
        <v>1</v>
      </c>
      <c r="D524" s="29">
        <v>480</v>
      </c>
      <c r="E524" s="29">
        <v>72320</v>
      </c>
      <c r="F524" s="29">
        <v>25300</v>
      </c>
      <c r="G524" s="29">
        <v>25230</v>
      </c>
      <c r="H524" s="29">
        <v>35460</v>
      </c>
      <c r="I524" s="29">
        <v>15280</v>
      </c>
      <c r="J524" s="29">
        <v>85281296</v>
      </c>
      <c r="K524" s="29">
        <v>3722</v>
      </c>
      <c r="L524" s="29">
        <v>9140</v>
      </c>
      <c r="N524" s="33"/>
      <c r="O524" s="29">
        <f>AVERAGE(K524, L524)</f>
        <v>6431</v>
      </c>
      <c r="P524" s="31" cm="1">
        <f t="array" ref="P524">WPNFACTOR(C524)</f>
        <v>2</v>
      </c>
      <c r="Q524" s="33" cm="1">
        <f t="array" ref="Q524">HPFACTOr(C524)</f>
        <v>5</v>
      </c>
      <c r="R524" s="32">
        <f>O524/P524</f>
        <v>3215.5</v>
      </c>
      <c r="S524" s="33">
        <f>J524/Q524</f>
        <v>17056259.199999999</v>
      </c>
      <c r="T524" s="32">
        <f>R524*(1 + (N524/400))</f>
        <v>3215.5</v>
      </c>
      <c r="U524" s="39">
        <f>S524*1.6/(1 + (0.6*(1 - (M524/100))))</f>
        <v>17056259.199999999</v>
      </c>
      <c r="V524" s="41">
        <f>VLOOKUP(D524,LevelXp!$A$1:'LevelXp'!$B$1000,2,)/5</f>
        <v>300000000</v>
      </c>
      <c r="W524" s="29">
        <f>T524*U524</f>
        <v>54844401457.599998</v>
      </c>
      <c r="X524" s="32">
        <f>POWER(W524, 1/$X$1)</f>
        <v>140.54857937395244</v>
      </c>
      <c r="Y524" s="41">
        <v>384</v>
      </c>
      <c r="Z524" s="41">
        <v>300000000</v>
      </c>
      <c r="AA524" s="41">
        <v>1</v>
      </c>
      <c r="AC524" s="50">
        <v>523</v>
      </c>
      <c r="AD524" s="51">
        <f t="shared" si="230"/>
        <v>0</v>
      </c>
      <c r="AE524" s="51">
        <f t="shared" si="232"/>
        <v>166666666.66666666</v>
      </c>
      <c r="AF524" s="51">
        <f t="shared" si="231"/>
        <v>0</v>
      </c>
      <c r="AG524" s="55">
        <f t="shared" si="232"/>
        <v>0</v>
      </c>
      <c r="AH524" s="29">
        <f>SUM($AF$2:AF524)</f>
        <v>292</v>
      </c>
      <c r="AI524" s="55">
        <f>SUM($AG$2:AG524)</f>
        <v>291.99999999999841</v>
      </c>
    </row>
    <row r="525" spans="1:35" x14ac:dyDescent="0.2">
      <c r="A525" s="48" t="s">
        <v>2937</v>
      </c>
      <c r="B525" s="29">
        <v>830</v>
      </c>
      <c r="N525" s="33"/>
      <c r="Q525" s="33"/>
      <c r="S525" s="33"/>
      <c r="U525" s="39"/>
      <c r="V525" s="41">
        <f>VLOOKUP(B525,LevelXp!$D$1:'LevelXp'!$F$1000,3,)</f>
        <v>300000000</v>
      </c>
      <c r="Y525" s="41">
        <v>384</v>
      </c>
      <c r="Z525" s="41">
        <v>300000000</v>
      </c>
      <c r="AA525" s="41">
        <v>0</v>
      </c>
      <c r="AC525" s="50">
        <v>524</v>
      </c>
      <c r="AD525" s="51">
        <f t="shared" si="230"/>
        <v>300000000</v>
      </c>
      <c r="AE525" s="51">
        <f t="shared" si="232"/>
        <v>166666666.66666666</v>
      </c>
      <c r="AF525" s="51">
        <f t="shared" si="231"/>
        <v>0</v>
      </c>
      <c r="AG525" s="55">
        <f t="shared" si="232"/>
        <v>0.1111111111111111</v>
      </c>
      <c r="AH525" s="29">
        <f>SUM($AF$2:AF525)</f>
        <v>292</v>
      </c>
      <c r="AI525" s="55">
        <f>SUM($AG$2:AG525)</f>
        <v>292.11111111110949</v>
      </c>
    </row>
    <row r="526" spans="1:35" x14ac:dyDescent="0.2">
      <c r="A526" s="48" t="s">
        <v>8854</v>
      </c>
      <c r="B526" s="29">
        <v>2</v>
      </c>
      <c r="C526" s="29">
        <v>1</v>
      </c>
      <c r="D526" s="29">
        <v>420</v>
      </c>
      <c r="E526" s="29">
        <v>58332</v>
      </c>
      <c r="F526" s="29">
        <v>14424</v>
      </c>
      <c r="G526" s="29">
        <v>14556</v>
      </c>
      <c r="H526" s="29">
        <v>196785</v>
      </c>
      <c r="I526" s="29">
        <v>28584</v>
      </c>
      <c r="J526" s="29">
        <v>597611456</v>
      </c>
      <c r="K526" s="29">
        <v>700</v>
      </c>
      <c r="L526" s="29">
        <v>1969</v>
      </c>
      <c r="N526" s="33"/>
      <c r="O526" s="29">
        <f>AVERAGE(K526, L526)</f>
        <v>1334.5</v>
      </c>
      <c r="P526" s="31" cm="1">
        <f t="array" ref="P526">WPNFACTOR(C526)</f>
        <v>2</v>
      </c>
      <c r="Q526" s="33" cm="1">
        <f t="array" ref="Q526">HPFACTOr(C526)</f>
        <v>5</v>
      </c>
      <c r="R526" s="32">
        <f>O526/P526</f>
        <v>667.25</v>
      </c>
      <c r="S526" s="33">
        <f>J526/Q526</f>
        <v>119522291.2</v>
      </c>
      <c r="T526" s="32">
        <f>R526*(1 + (N526/400))</f>
        <v>667.25</v>
      </c>
      <c r="U526" s="39">
        <f>S526*1.6/(1 + (0.6*(1 - (M526/100))))</f>
        <v>119522291.2</v>
      </c>
      <c r="V526" s="41">
        <f>VLOOKUP(D526,LevelXp!$A$1:'LevelXp'!$B$1000,2,)/5</f>
        <v>300000000</v>
      </c>
      <c r="W526" s="29">
        <f>T526*U526</f>
        <v>79751248803.199997</v>
      </c>
      <c r="X526" s="32">
        <f>POWER(W526, 1/$X$1)</f>
        <v>151.47728011907051</v>
      </c>
      <c r="Y526" s="41">
        <v>385</v>
      </c>
      <c r="Z526" s="41">
        <v>300000000</v>
      </c>
      <c r="AA526" s="41">
        <v>0</v>
      </c>
      <c r="AC526" s="50">
        <v>525</v>
      </c>
      <c r="AD526" s="51">
        <f t="shared" si="230"/>
        <v>0</v>
      </c>
      <c r="AE526" s="51">
        <f t="shared" si="232"/>
        <v>133333333.33333333</v>
      </c>
      <c r="AF526" s="51">
        <f t="shared" si="231"/>
        <v>0</v>
      </c>
      <c r="AG526" s="55">
        <f t="shared" si="232"/>
        <v>0.1111111111111111</v>
      </c>
      <c r="AH526" s="29">
        <f>SUM($AF$2:AF526)</f>
        <v>292</v>
      </c>
      <c r="AI526" s="55">
        <f>SUM($AG$2:AG526)</f>
        <v>292.22222222222058</v>
      </c>
    </row>
    <row r="527" spans="1:35" x14ac:dyDescent="0.2">
      <c r="A527" s="48" t="s">
        <v>8867</v>
      </c>
      <c r="B527" s="29">
        <v>2</v>
      </c>
      <c r="C527" s="29">
        <v>1</v>
      </c>
      <c r="D527" s="29">
        <v>476</v>
      </c>
      <c r="E527" s="29">
        <v>27870</v>
      </c>
      <c r="F527" s="29">
        <v>9760</v>
      </c>
      <c r="G527" s="29">
        <v>9720</v>
      </c>
      <c r="H527" s="29">
        <v>126730</v>
      </c>
      <c r="I527" s="29">
        <v>5900</v>
      </c>
      <c r="J527" s="29">
        <v>302251040</v>
      </c>
      <c r="K527" s="29">
        <v>7086</v>
      </c>
      <c r="L527" s="29">
        <v>14148</v>
      </c>
      <c r="N527" s="33"/>
      <c r="O527" s="29">
        <f>AVERAGE(K527, L527)</f>
        <v>10617</v>
      </c>
      <c r="P527" s="31" cm="1">
        <f t="array" ref="P527">WPNFACTOR(C527)</f>
        <v>2</v>
      </c>
      <c r="Q527" s="33" cm="1">
        <f t="array" ref="Q527">HPFACTOr(C527)</f>
        <v>5</v>
      </c>
      <c r="R527" s="32">
        <f>O527/P527</f>
        <v>5308.5</v>
      </c>
      <c r="S527" s="33">
        <f>J527/Q527</f>
        <v>60450208</v>
      </c>
      <c r="T527" s="32">
        <f>R527*(1 + (N527/400))</f>
        <v>5308.5</v>
      </c>
      <c r="U527" s="39">
        <f>S527*1.6/(1 + (0.6*(1 - (M527/100))))</f>
        <v>60450208.000000007</v>
      </c>
      <c r="V527" s="41">
        <f>VLOOKUP(D527,LevelXp!$A$1:'LevelXp'!$B$1000,2,)/5</f>
        <v>300000000</v>
      </c>
      <c r="W527" s="29">
        <f>T527*U527</f>
        <v>320899929168.00006</v>
      </c>
      <c r="X527" s="32">
        <f>POWER(W527, 1/$X$1)</f>
        <v>200.1123648165252</v>
      </c>
      <c r="Y527" s="41">
        <v>385</v>
      </c>
      <c r="Z527" s="41">
        <v>300000000</v>
      </c>
      <c r="AA527" s="41">
        <v>0</v>
      </c>
      <c r="AC527" s="50">
        <v>526</v>
      </c>
      <c r="AD527" s="51">
        <f t="shared" si="230"/>
        <v>300000000</v>
      </c>
      <c r="AE527" s="51">
        <f t="shared" si="232"/>
        <v>166666666.66666666</v>
      </c>
      <c r="AF527" s="51">
        <f t="shared" si="231"/>
        <v>0</v>
      </c>
      <c r="AG527" s="55">
        <f t="shared" si="232"/>
        <v>0.22222222222222221</v>
      </c>
      <c r="AH527" s="29">
        <f>SUM($AF$2:AF527)</f>
        <v>292</v>
      </c>
      <c r="AI527" s="55">
        <f>SUM($AG$2:AG527)</f>
        <v>292.44444444444281</v>
      </c>
    </row>
    <row r="528" spans="1:35" x14ac:dyDescent="0.2">
      <c r="A528" s="48" t="s">
        <v>8867</v>
      </c>
      <c r="B528" s="29">
        <v>3</v>
      </c>
      <c r="C528" s="29">
        <v>2</v>
      </c>
      <c r="D528" s="29">
        <v>484</v>
      </c>
      <c r="E528" s="29">
        <v>11660</v>
      </c>
      <c r="F528" s="29">
        <v>11710</v>
      </c>
      <c r="G528" s="29">
        <v>33440</v>
      </c>
      <c r="H528" s="29">
        <v>139400</v>
      </c>
      <c r="I528" s="29">
        <v>7080</v>
      </c>
      <c r="J528" s="29">
        <v>135218000</v>
      </c>
      <c r="K528" s="29">
        <v>19460</v>
      </c>
      <c r="L528" s="29">
        <v>34885</v>
      </c>
      <c r="N528" s="33"/>
      <c r="O528" s="29">
        <f>AVERAGE(K528, L528)</f>
        <v>27172.5</v>
      </c>
      <c r="P528" s="31" cm="1">
        <f t="array" ref="P528">WPNFACTOR(C528)</f>
        <v>4.5</v>
      </c>
      <c r="Q528" s="33" cm="1">
        <f t="array" ref="Q528">HPFACTOr(C528)</f>
        <v>2</v>
      </c>
      <c r="R528" s="32">
        <f>O528/P528</f>
        <v>6038.333333333333</v>
      </c>
      <c r="S528" s="33">
        <f>J528/Q528</f>
        <v>67609000</v>
      </c>
      <c r="T528" s="32">
        <f>R528*(1 + (N528/400))</f>
        <v>6038.333333333333</v>
      </c>
      <c r="U528" s="39">
        <f>S528*1.6/(1 + (0.6*(1 - (M528/100))))</f>
        <v>67609000</v>
      </c>
      <c r="V528" s="41">
        <f>VLOOKUP(D528,LevelXp!$A$1:'LevelXp'!$B$1000,2,)/5</f>
        <v>300000000</v>
      </c>
      <c r="W528" s="29">
        <f>T528*U528</f>
        <v>408245678333.33331</v>
      </c>
      <c r="X528" s="32">
        <f>POWER(W528, 1/$X$1)</f>
        <v>209.98308851241561</v>
      </c>
      <c r="Y528" s="41">
        <v>386</v>
      </c>
      <c r="Z528" s="41">
        <v>300000000</v>
      </c>
      <c r="AA528" s="41">
        <v>0</v>
      </c>
      <c r="AC528" s="50">
        <v>527</v>
      </c>
      <c r="AD528" s="51">
        <f t="shared" si="230"/>
        <v>0</v>
      </c>
      <c r="AE528" s="51">
        <f t="shared" si="232"/>
        <v>133333333.33333333</v>
      </c>
      <c r="AF528" s="51">
        <f t="shared" si="231"/>
        <v>0</v>
      </c>
      <c r="AG528" s="55">
        <f t="shared" si="232"/>
        <v>0.22222222222222221</v>
      </c>
      <c r="AH528" s="29">
        <f>SUM($AF$2:AF528)</f>
        <v>292</v>
      </c>
      <c r="AI528" s="55">
        <f>SUM($AG$2:AG528)</f>
        <v>292.66666666666504</v>
      </c>
    </row>
    <row r="529" spans="1:35" x14ac:dyDescent="0.2">
      <c r="A529" s="48" t="s">
        <v>2937</v>
      </c>
      <c r="B529" s="29">
        <v>840</v>
      </c>
      <c r="N529" s="33"/>
      <c r="Q529" s="33"/>
      <c r="S529" s="33"/>
      <c r="U529" s="39"/>
      <c r="V529" s="41">
        <f>VLOOKUP(B529,LevelXp!$D$1:'LevelXp'!$F$1000,3,)</f>
        <v>300000000</v>
      </c>
      <c r="Y529" s="41">
        <v>386</v>
      </c>
      <c r="Z529" s="41">
        <v>300000000</v>
      </c>
      <c r="AA529" s="41">
        <v>0</v>
      </c>
      <c r="AC529" s="50">
        <v>528</v>
      </c>
      <c r="AD529" s="51">
        <f t="shared" si="230"/>
        <v>300000000</v>
      </c>
      <c r="AE529" s="51">
        <f t="shared" si="232"/>
        <v>166666666.66666666</v>
      </c>
      <c r="AF529" s="51">
        <f t="shared" si="231"/>
        <v>1</v>
      </c>
      <c r="AG529" s="55">
        <f t="shared" si="232"/>
        <v>0.33333333333333331</v>
      </c>
      <c r="AH529" s="29">
        <f>SUM($AF$2:AF529)</f>
        <v>293</v>
      </c>
      <c r="AI529" s="55">
        <f>SUM($AG$2:AG529)</f>
        <v>292.99999999999835</v>
      </c>
    </row>
    <row r="530" spans="1:35" x14ac:dyDescent="0.2">
      <c r="A530" s="48" t="s">
        <v>8854</v>
      </c>
      <c r="B530" s="29">
        <v>3</v>
      </c>
      <c r="C530" s="29">
        <v>3</v>
      </c>
      <c r="D530" s="29">
        <v>430</v>
      </c>
      <c r="E530" s="29">
        <v>9300</v>
      </c>
      <c r="F530" s="29">
        <v>67740</v>
      </c>
      <c r="G530" s="29">
        <v>9360</v>
      </c>
      <c r="H530" s="29">
        <v>198000</v>
      </c>
      <c r="I530" s="29">
        <v>28800</v>
      </c>
      <c r="J530" s="29">
        <v>513187488</v>
      </c>
      <c r="K530" s="29">
        <v>1705</v>
      </c>
      <c r="L530" s="29">
        <v>1819</v>
      </c>
      <c r="N530" s="33"/>
      <c r="O530" s="29">
        <f>AVERAGE(K530, L530)</f>
        <v>1762</v>
      </c>
      <c r="P530" s="31" cm="1">
        <f t="array" ref="P530">WPNFACTOR(C530)</f>
        <v>2.5</v>
      </c>
      <c r="Q530" s="33" cm="1">
        <f t="array" ref="Q530">HPFACTOr(C530)</f>
        <v>4</v>
      </c>
      <c r="R530" s="32">
        <f>O530/P530</f>
        <v>704.8</v>
      </c>
      <c r="S530" s="33">
        <f>J530/Q530</f>
        <v>128296872</v>
      </c>
      <c r="T530" s="32">
        <f>R530*(1 + (N530/400))</f>
        <v>704.8</v>
      </c>
      <c r="U530" s="39">
        <f>S530*1.6/(1 + (0.6*(1 - (M530/100))))</f>
        <v>128296872</v>
      </c>
      <c r="V530" s="41">
        <f>VLOOKUP(D530,LevelXp!$A$1:'LevelXp'!$B$1000,2,)/5</f>
        <v>300000000</v>
      </c>
      <c r="W530" s="29">
        <f>T530*U530</f>
        <v>90423635385.599991</v>
      </c>
      <c r="X530" s="32">
        <f>POWER(W530, 1/$X$1)</f>
        <v>155.33037569877231</v>
      </c>
      <c r="Y530" s="41">
        <v>387</v>
      </c>
      <c r="Z530" s="41">
        <v>300000000</v>
      </c>
      <c r="AA530" s="41">
        <v>0</v>
      </c>
      <c r="AC530" s="50">
        <v>529</v>
      </c>
      <c r="AD530" s="51">
        <f t="shared" si="230"/>
        <v>0</v>
      </c>
      <c r="AE530" s="51">
        <f t="shared" si="232"/>
        <v>133333333.33333333</v>
      </c>
      <c r="AF530" s="51">
        <f t="shared" si="231"/>
        <v>0</v>
      </c>
      <c r="AG530" s="55">
        <f t="shared" si="232"/>
        <v>0.33333333333333331</v>
      </c>
      <c r="AH530" s="29">
        <f>SUM($AF$2:AF530)</f>
        <v>293</v>
      </c>
      <c r="AI530" s="55">
        <f>SUM($AG$2:AG530)</f>
        <v>293.33333333333167</v>
      </c>
    </row>
    <row r="531" spans="1:35" x14ac:dyDescent="0.2">
      <c r="A531" s="48" t="s">
        <v>8857</v>
      </c>
      <c r="B531" s="29">
        <v>7</v>
      </c>
      <c r="C531" s="29">
        <v>1</v>
      </c>
      <c r="D531" s="29">
        <v>390</v>
      </c>
      <c r="E531" s="29">
        <v>32000</v>
      </c>
      <c r="F531" s="29">
        <v>14000</v>
      </c>
      <c r="G531" s="29">
        <v>14000</v>
      </c>
      <c r="H531" s="29">
        <v>200000</v>
      </c>
      <c r="I531" s="29">
        <v>11000</v>
      </c>
      <c r="J531" s="29">
        <v>600000000</v>
      </c>
      <c r="K531" s="29">
        <v>520</v>
      </c>
      <c r="L531" s="29">
        <v>1049</v>
      </c>
      <c r="M531" s="29">
        <v>20</v>
      </c>
      <c r="N531" s="33">
        <v>45</v>
      </c>
      <c r="O531" s="29">
        <f>AVERAGE(K531, L531)</f>
        <v>784.5</v>
      </c>
      <c r="P531" s="31" cm="1">
        <f t="array" ref="P531">WPNFACTOR(C531)</f>
        <v>2</v>
      </c>
      <c r="Q531" s="33" cm="1">
        <f t="array" ref="Q531">HPFACTOr(C531)</f>
        <v>5</v>
      </c>
      <c r="R531" s="32">
        <f>O531/P531</f>
        <v>392.25</v>
      </c>
      <c r="S531" s="33">
        <f>J531/Q531</f>
        <v>120000000</v>
      </c>
      <c r="T531" s="32">
        <f>R531*(1 + (N531/400))</f>
        <v>436.37812500000001</v>
      </c>
      <c r="U531" s="39">
        <f>S531*1.6/(1 + (0.6*(1 - (M531/100))))</f>
        <v>129729729.72972973</v>
      </c>
      <c r="V531" s="41">
        <f>VLOOKUP(D531,LevelXp!$A$1:'LevelXp'!$B$1000,2,)/5</f>
        <v>288853442</v>
      </c>
      <c r="W531" s="29">
        <f>T531*U531</f>
        <v>56611216216.216217</v>
      </c>
      <c r="X531" s="32">
        <f>POWER(W531, 1/$X$1)</f>
        <v>141.44268666249681</v>
      </c>
      <c r="Y531" s="41">
        <v>387</v>
      </c>
      <c r="Z531" s="41">
        <v>288853442</v>
      </c>
      <c r="AA531" s="41">
        <v>1</v>
      </c>
      <c r="AC531" s="50">
        <v>530</v>
      </c>
      <c r="AD531" s="51">
        <f t="shared" si="230"/>
        <v>300000000</v>
      </c>
      <c r="AE531" s="51">
        <f t="shared" si="232"/>
        <v>166666666.66666666</v>
      </c>
      <c r="AF531" s="51">
        <f t="shared" si="231"/>
        <v>1</v>
      </c>
      <c r="AG531" s="55">
        <f t="shared" si="232"/>
        <v>0.33333333333333331</v>
      </c>
      <c r="AH531" s="29">
        <f>SUM($AF$2:AF531)</f>
        <v>294</v>
      </c>
      <c r="AI531" s="55">
        <f>SUM($AG$2:AG531)</f>
        <v>293.66666666666498</v>
      </c>
    </row>
    <row r="532" spans="1:35" x14ac:dyDescent="0.2">
      <c r="A532" s="48" t="s">
        <v>2937</v>
      </c>
      <c r="B532" s="29">
        <v>850</v>
      </c>
      <c r="N532" s="33"/>
      <c r="Q532" s="33"/>
      <c r="S532" s="33"/>
      <c r="U532" s="39"/>
      <c r="V532" s="41">
        <f>VLOOKUP(B532,LevelXp!$D$1:'LevelXp'!$F$1000,3,)</f>
        <v>300000000</v>
      </c>
      <c r="Y532" s="41">
        <v>387</v>
      </c>
      <c r="Z532" s="41">
        <v>300000000</v>
      </c>
      <c r="AA532" s="41">
        <v>0</v>
      </c>
      <c r="AC532" s="50">
        <v>531</v>
      </c>
      <c r="AD532" s="51">
        <f t="shared" si="230"/>
        <v>0</v>
      </c>
      <c r="AE532" s="51">
        <f t="shared" si="232"/>
        <v>133333333.33333333</v>
      </c>
      <c r="AF532" s="51">
        <f t="shared" si="231"/>
        <v>0</v>
      </c>
      <c r="AG532" s="55">
        <f t="shared" si="232"/>
        <v>0.33333333333333331</v>
      </c>
      <c r="AH532" s="29">
        <f>SUM($AF$2:AF532)</f>
        <v>294</v>
      </c>
      <c r="AI532" s="55">
        <f>SUM($AG$2:AG532)</f>
        <v>293.99999999999829</v>
      </c>
    </row>
    <row r="533" spans="1:35" x14ac:dyDescent="0.2">
      <c r="A533" s="48" t="s">
        <v>8855</v>
      </c>
      <c r="B533" s="29">
        <v>5</v>
      </c>
      <c r="C533" s="29">
        <v>3</v>
      </c>
      <c r="D533" s="29">
        <v>414</v>
      </c>
      <c r="E533" s="29">
        <v>21357</v>
      </c>
      <c r="F533" s="29">
        <v>67614</v>
      </c>
      <c r="G533" s="29">
        <v>21357</v>
      </c>
      <c r="H533" s="29">
        <v>203916</v>
      </c>
      <c r="I533" s="29">
        <v>42294</v>
      </c>
      <c r="J533" s="29">
        <v>338500544</v>
      </c>
      <c r="K533" s="29">
        <v>1794</v>
      </c>
      <c r="L533" s="29">
        <v>2970</v>
      </c>
      <c r="N533" s="33"/>
      <c r="O533" s="29">
        <f>AVERAGE(K533, L533)</f>
        <v>2382</v>
      </c>
      <c r="P533" s="31" cm="1">
        <f t="array" ref="P533">WPNFACTOR(C533)</f>
        <v>2.5</v>
      </c>
      <c r="Q533" s="33" cm="1">
        <f t="array" ref="Q533">HPFACTOr(C533)</f>
        <v>4</v>
      </c>
      <c r="R533" s="32">
        <f>O533/P533</f>
        <v>952.8</v>
      </c>
      <c r="S533" s="33">
        <f>J533/Q533</f>
        <v>84625136</v>
      </c>
      <c r="T533" s="32">
        <f>R533*(1 + (N533/400))</f>
        <v>952.8</v>
      </c>
      <c r="U533" s="39">
        <f>S533*1.6/(1 + (0.6*(1 - (M533/100))))</f>
        <v>84625135.999999985</v>
      </c>
      <c r="V533" s="41">
        <f>VLOOKUP(D533,LevelXp!$A$1:'LevelXp'!$B$1000,2,)/5</f>
        <v>300000000</v>
      </c>
      <c r="W533" s="29">
        <f>T533*U533</f>
        <v>80630829580.799988</v>
      </c>
      <c r="X533" s="32">
        <f>POWER(W533, 1/$X$1)</f>
        <v>151.80994594361107</v>
      </c>
      <c r="Y533" s="41">
        <v>388</v>
      </c>
      <c r="Z533" s="41">
        <v>300000000</v>
      </c>
      <c r="AA533" s="41">
        <v>0</v>
      </c>
      <c r="AC533" s="50">
        <v>532</v>
      </c>
      <c r="AD533" s="51">
        <f t="shared" si="230"/>
        <v>300000000</v>
      </c>
      <c r="AE533" s="51">
        <f t="shared" si="232"/>
        <v>166666666.66666666</v>
      </c>
      <c r="AF533" s="51">
        <f t="shared" si="231"/>
        <v>1</v>
      </c>
      <c r="AG533" s="55">
        <f t="shared" si="232"/>
        <v>0.44444444444444442</v>
      </c>
      <c r="AH533" s="29">
        <f>SUM($AF$2:AF533)</f>
        <v>295</v>
      </c>
      <c r="AI533" s="55">
        <f>SUM($AG$2:AG533)</f>
        <v>294.44444444444275</v>
      </c>
    </row>
    <row r="534" spans="1:35" x14ac:dyDescent="0.2">
      <c r="A534" s="48" t="s">
        <v>2937</v>
      </c>
      <c r="B534" s="29">
        <v>860</v>
      </c>
      <c r="N534" s="33"/>
      <c r="Q534" s="33"/>
      <c r="S534" s="33"/>
      <c r="U534" s="39"/>
      <c r="V534" s="41">
        <f>VLOOKUP(B534,LevelXp!$D$1:'LevelXp'!$F$1000,3,)</f>
        <v>300000000</v>
      </c>
      <c r="Y534" s="41">
        <v>388</v>
      </c>
      <c r="Z534" s="41">
        <v>300000000</v>
      </c>
      <c r="AA534" s="41">
        <v>0</v>
      </c>
      <c r="AC534" s="50">
        <v>533</v>
      </c>
      <c r="AD534" s="51">
        <f t="shared" si="230"/>
        <v>0</v>
      </c>
      <c r="AE534" s="51">
        <f t="shared" si="232"/>
        <v>133333333.33333333</v>
      </c>
      <c r="AF534" s="51">
        <f t="shared" si="231"/>
        <v>0</v>
      </c>
      <c r="AG534" s="55">
        <f t="shared" si="232"/>
        <v>0.33333333333333331</v>
      </c>
      <c r="AH534" s="29">
        <f>SUM($AF$2:AF534)</f>
        <v>295</v>
      </c>
      <c r="AI534" s="55">
        <f>SUM($AG$2:AG534)</f>
        <v>294.77777777777607</v>
      </c>
    </row>
    <row r="535" spans="1:35" x14ac:dyDescent="0.2">
      <c r="A535" s="48" t="s">
        <v>8866</v>
      </c>
      <c r="B535" s="29">
        <v>9</v>
      </c>
      <c r="C535" s="29">
        <v>1</v>
      </c>
      <c r="D535" s="29">
        <v>474</v>
      </c>
      <c r="E535" s="29">
        <v>36039</v>
      </c>
      <c r="F535" s="29">
        <v>15498</v>
      </c>
      <c r="G535" s="29">
        <v>15498</v>
      </c>
      <c r="H535" s="29">
        <v>160331</v>
      </c>
      <c r="I535" s="29">
        <v>22927</v>
      </c>
      <c r="J535" s="29">
        <v>380786112</v>
      </c>
      <c r="K535" s="29">
        <v>1616</v>
      </c>
      <c r="L535" s="29">
        <v>2725</v>
      </c>
      <c r="N535" s="33"/>
      <c r="O535" s="29">
        <f>AVERAGE(K535, L535)</f>
        <v>2170.5</v>
      </c>
      <c r="P535" s="31" cm="1">
        <f t="array" ref="P535">WPNFACTOR(C535)</f>
        <v>2</v>
      </c>
      <c r="Q535" s="33" cm="1">
        <f t="array" ref="Q535">HPFACTOr(C535)</f>
        <v>5</v>
      </c>
      <c r="R535" s="32">
        <f>O535/P535</f>
        <v>1085.25</v>
      </c>
      <c r="S535" s="33">
        <f>J535/Q535</f>
        <v>76157222.400000006</v>
      </c>
      <c r="T535" s="32">
        <f>R535*(1 + (N535/400))</f>
        <v>1085.25</v>
      </c>
      <c r="U535" s="39">
        <f>S535*1.6/(1 + (0.6*(1 - (M535/100))))</f>
        <v>76157222.400000006</v>
      </c>
      <c r="V535" s="41">
        <f>VLOOKUP(D535,LevelXp!$A$1:'LevelXp'!$B$1000,2,)/5</f>
        <v>300000000</v>
      </c>
      <c r="W535" s="29">
        <f>T535*U535</f>
        <v>82649625609.600006</v>
      </c>
      <c r="X535" s="32">
        <f>POWER(W535, 1/$X$1)</f>
        <v>152.56263396848206</v>
      </c>
      <c r="Y535" s="41">
        <v>389</v>
      </c>
      <c r="Z535" s="41">
        <v>300000000</v>
      </c>
      <c r="AA535" s="41">
        <v>1</v>
      </c>
      <c r="AC535" s="50">
        <v>534</v>
      </c>
      <c r="AD535" s="51">
        <f t="shared" si="230"/>
        <v>300000000</v>
      </c>
      <c r="AE535" s="51">
        <f t="shared" si="232"/>
        <v>166666666.66666666</v>
      </c>
      <c r="AF535" s="51">
        <f t="shared" si="231"/>
        <v>0</v>
      </c>
      <c r="AG535" s="55">
        <f t="shared" si="232"/>
        <v>0.44444444444444442</v>
      </c>
      <c r="AH535" s="29">
        <f>SUM($AF$2:AF535)</f>
        <v>295</v>
      </c>
      <c r="AI535" s="55">
        <f>SUM($AG$2:AG535)</f>
        <v>295.22222222222052</v>
      </c>
    </row>
    <row r="536" spans="1:35" x14ac:dyDescent="0.2">
      <c r="A536" s="48" t="s">
        <v>2937</v>
      </c>
      <c r="B536" s="29">
        <v>870</v>
      </c>
      <c r="N536" s="33"/>
      <c r="Q536" s="33"/>
      <c r="S536" s="33"/>
      <c r="U536" s="39"/>
      <c r="V536" s="41">
        <f>VLOOKUP(B536,LevelXp!$D$1:'LevelXp'!$F$1000,3,)</f>
        <v>300000000</v>
      </c>
      <c r="Y536" s="41">
        <v>389</v>
      </c>
      <c r="Z536" s="41">
        <v>300000000</v>
      </c>
      <c r="AA536" s="41">
        <v>0</v>
      </c>
      <c r="AC536" s="50">
        <v>535</v>
      </c>
      <c r="AD536" s="51">
        <f t="shared" si="230"/>
        <v>0</v>
      </c>
      <c r="AE536" s="51">
        <f t="shared" si="232"/>
        <v>133333333.33333333</v>
      </c>
      <c r="AF536" s="51">
        <f t="shared" si="231"/>
        <v>0</v>
      </c>
      <c r="AG536" s="55">
        <f t="shared" si="232"/>
        <v>0.33333333333333331</v>
      </c>
      <c r="AH536" s="29">
        <f>SUM($AF$2:AF536)</f>
        <v>295</v>
      </c>
      <c r="AI536" s="55">
        <f>SUM($AG$2:AG536)</f>
        <v>295.55555555555384</v>
      </c>
    </row>
    <row r="537" spans="1:35" x14ac:dyDescent="0.2">
      <c r="A537" s="48" t="s">
        <v>8867</v>
      </c>
      <c r="B537" s="29">
        <v>9</v>
      </c>
      <c r="C537" s="29">
        <v>3</v>
      </c>
      <c r="D537" s="29">
        <v>490</v>
      </c>
      <c r="E537" s="29">
        <v>30360</v>
      </c>
      <c r="F537" s="29">
        <v>86780</v>
      </c>
      <c r="G537" s="29">
        <v>30270</v>
      </c>
      <c r="H537" s="29">
        <v>39000</v>
      </c>
      <c r="I537" s="29">
        <v>18330</v>
      </c>
      <c r="J537" s="29">
        <v>76596000</v>
      </c>
      <c r="K537" s="29">
        <v>5596</v>
      </c>
      <c r="L537" s="29">
        <v>13705</v>
      </c>
      <c r="N537" s="33"/>
      <c r="O537" s="29">
        <f>AVERAGE(K537, L537)</f>
        <v>9650.5</v>
      </c>
      <c r="P537" s="31" cm="1">
        <f t="array" ref="P537">WPNFACTOR(C537)</f>
        <v>2.5</v>
      </c>
      <c r="Q537" s="33" cm="1">
        <f t="array" ref="Q537">HPFACTOr(C537)</f>
        <v>4</v>
      </c>
      <c r="R537" s="32">
        <f>O537/P537</f>
        <v>3860.2</v>
      </c>
      <c r="S537" s="33">
        <f>J537/Q537</f>
        <v>19149000</v>
      </c>
      <c r="T537" s="32">
        <f>R537*(1 + (N537/400))</f>
        <v>3860.2</v>
      </c>
      <c r="U537" s="39">
        <f>S537*1.6/(1 + (0.6*(1 - (M537/100))))</f>
        <v>19149000</v>
      </c>
      <c r="V537" s="41">
        <f>VLOOKUP(D537,LevelXp!$A$1:'LevelXp'!$B$1000,2,)/5</f>
        <v>300000000</v>
      </c>
      <c r="W537" s="29">
        <f>T537*U537</f>
        <v>73918969800</v>
      </c>
      <c r="X537" s="32">
        <f>POWER(W537, 1/$X$1)</f>
        <v>149.19393928030087</v>
      </c>
      <c r="Y537" s="41">
        <v>390</v>
      </c>
      <c r="Z537" s="41">
        <v>300000000</v>
      </c>
      <c r="AA537" s="41">
        <v>1</v>
      </c>
      <c r="AC537" s="50">
        <v>536</v>
      </c>
      <c r="AD537" s="51">
        <f t="shared" si="230"/>
        <v>300000000</v>
      </c>
      <c r="AE537" s="51">
        <f t="shared" si="232"/>
        <v>166666666.66666666</v>
      </c>
      <c r="AF537" s="51">
        <f t="shared" si="231"/>
        <v>1</v>
      </c>
      <c r="AG537" s="55">
        <f t="shared" si="232"/>
        <v>0.44444444444444442</v>
      </c>
      <c r="AH537" s="29">
        <f>SUM($AF$2:AF537)</f>
        <v>296</v>
      </c>
      <c r="AI537" s="55">
        <f>SUM($AG$2:AG537)</f>
        <v>295.99999999999829</v>
      </c>
    </row>
    <row r="538" spans="1:35" x14ac:dyDescent="0.2">
      <c r="A538" s="48" t="s">
        <v>2937</v>
      </c>
      <c r="B538" s="29">
        <v>880</v>
      </c>
      <c r="N538" s="33"/>
      <c r="Q538" s="33"/>
      <c r="S538" s="33"/>
      <c r="U538" s="39"/>
      <c r="V538" s="41">
        <f>VLOOKUP(B538,LevelXp!$D$1:'LevelXp'!$F$1000,3,)</f>
        <v>300000000</v>
      </c>
      <c r="Y538" s="41">
        <v>390</v>
      </c>
      <c r="Z538" s="41">
        <v>300000000</v>
      </c>
      <c r="AA538" s="41">
        <v>0</v>
      </c>
      <c r="AC538" s="50">
        <v>537</v>
      </c>
      <c r="AD538" s="51">
        <f t="shared" si="230"/>
        <v>0</v>
      </c>
      <c r="AE538" s="51">
        <f t="shared" si="232"/>
        <v>133333333.33333333</v>
      </c>
      <c r="AF538" s="51">
        <f t="shared" si="231"/>
        <v>0</v>
      </c>
      <c r="AG538" s="55">
        <f t="shared" si="232"/>
        <v>0.33333333333333331</v>
      </c>
      <c r="AH538" s="29">
        <f>SUM($AF$2:AF538)</f>
        <v>296</v>
      </c>
      <c r="AI538" s="55">
        <f>SUM($AG$2:AG538)</f>
        <v>296.33333333333161</v>
      </c>
    </row>
    <row r="539" spans="1:35" x14ac:dyDescent="0.2">
      <c r="A539" s="48" t="s">
        <v>8867</v>
      </c>
      <c r="B539" s="29">
        <v>10</v>
      </c>
      <c r="C539" s="29">
        <v>2</v>
      </c>
      <c r="D539" s="29">
        <v>500</v>
      </c>
      <c r="E539" s="29">
        <v>36430</v>
      </c>
      <c r="F539" s="29">
        <v>36320</v>
      </c>
      <c r="G539" s="29">
        <v>104130</v>
      </c>
      <c r="H539" s="29">
        <v>42900</v>
      </c>
      <c r="I539" s="29">
        <v>21990</v>
      </c>
      <c r="J539" s="29">
        <v>42985800</v>
      </c>
      <c r="K539" s="29">
        <v>12063</v>
      </c>
      <c r="L539" s="29">
        <v>29600</v>
      </c>
      <c r="N539" s="33"/>
      <c r="O539" s="29">
        <f>AVERAGE(K539, L539)</f>
        <v>20831.5</v>
      </c>
      <c r="P539" s="31" cm="1">
        <f t="array" ref="P539">WPNFACTOR(C539)</f>
        <v>4.5</v>
      </c>
      <c r="Q539" s="33" cm="1">
        <f t="array" ref="Q539">HPFACTOr(C539)</f>
        <v>2</v>
      </c>
      <c r="R539" s="32">
        <f>O539/P539</f>
        <v>4629.2222222222226</v>
      </c>
      <c r="S539" s="33">
        <f>J539/Q539</f>
        <v>21492900</v>
      </c>
      <c r="T539" s="32">
        <f>R539*(1 + (N539/400))</f>
        <v>4629.2222222222226</v>
      </c>
      <c r="U539" s="39">
        <f>S539*1.6/(1 + (0.6*(1 - (M539/100))))</f>
        <v>21492900</v>
      </c>
      <c r="V539" s="41">
        <f>VLOOKUP(D539,LevelXp!$A$1:'LevelXp'!$B$1000,2,)/5</f>
        <v>300000000</v>
      </c>
      <c r="W539" s="29">
        <f>T539*U539</f>
        <v>99495410300.000015</v>
      </c>
      <c r="X539" s="32">
        <f>POWER(W539, 1/$X$1)</f>
        <v>158.32905128448363</v>
      </c>
      <c r="Y539" s="41">
        <v>391</v>
      </c>
      <c r="Z539" s="41">
        <v>300000000</v>
      </c>
      <c r="AA539" s="41">
        <v>1</v>
      </c>
      <c r="AC539" s="50">
        <v>538</v>
      </c>
      <c r="AD539" s="51">
        <f t="shared" si="230"/>
        <v>300000000</v>
      </c>
      <c r="AE539" s="51">
        <f t="shared" si="232"/>
        <v>166666666.66666666</v>
      </c>
      <c r="AF539" s="51">
        <f t="shared" si="231"/>
        <v>1</v>
      </c>
      <c r="AG539" s="55">
        <f t="shared" si="232"/>
        <v>0.44444444444444442</v>
      </c>
      <c r="AH539" s="29">
        <f>SUM($AF$2:AF539)</f>
        <v>297</v>
      </c>
      <c r="AI539" s="55">
        <f>SUM($AG$2:AG539)</f>
        <v>296.77777777777607</v>
      </c>
    </row>
    <row r="540" spans="1:35" x14ac:dyDescent="0.2">
      <c r="A540" s="48" t="s">
        <v>2846</v>
      </c>
      <c r="B540" s="29">
        <v>7</v>
      </c>
      <c r="C540" s="29">
        <v>2</v>
      </c>
      <c r="D540" s="29">
        <v>399</v>
      </c>
      <c r="E540" s="29">
        <v>5000</v>
      </c>
      <c r="F540" s="29">
        <v>5000</v>
      </c>
      <c r="G540" s="29">
        <v>240000</v>
      </c>
      <c r="H540" s="29">
        <v>206000</v>
      </c>
      <c r="I540" s="29">
        <v>15000</v>
      </c>
      <c r="J540" s="29">
        <v>248000000</v>
      </c>
      <c r="K540" s="29">
        <v>10125</v>
      </c>
      <c r="L540" s="29">
        <v>13498</v>
      </c>
      <c r="N540" s="33"/>
      <c r="O540" s="29">
        <f>AVERAGE(K540, L540)</f>
        <v>11811.5</v>
      </c>
      <c r="P540" s="31" cm="1">
        <f t="array" ref="P540">WPNFACTOR(C540)</f>
        <v>4.5</v>
      </c>
      <c r="Q540" s="33" cm="1">
        <f t="array" ref="Q540">HPFACTOr(C540)</f>
        <v>2</v>
      </c>
      <c r="R540" s="32">
        <f>O540/P540</f>
        <v>2624.7777777777778</v>
      </c>
      <c r="S540" s="33">
        <f>J540/Q540</f>
        <v>124000000</v>
      </c>
      <c r="T540" s="32">
        <f>R540*(1 + (N540/400))</f>
        <v>2624.7777777777778</v>
      </c>
      <c r="U540" s="39">
        <f>S540*1.6/(1 + (0.6*(1 - (M540/100))))</f>
        <v>124000000</v>
      </c>
      <c r="V540" s="41">
        <f>VLOOKUP(D540,LevelXp!$A$1:'LevelXp'!$B$1000,2,)/5</f>
        <v>300000000</v>
      </c>
      <c r="W540" s="29">
        <f>T540*U540</f>
        <v>325472444444.44446</v>
      </c>
      <c r="X540" s="32">
        <f>POWER(W540, 1/$X$1)</f>
        <v>200.67942368184629</v>
      </c>
      <c r="Y540" s="41">
        <v>391</v>
      </c>
      <c r="Z540" s="41">
        <v>300000000</v>
      </c>
      <c r="AA540" s="41">
        <v>1</v>
      </c>
      <c r="AC540" s="50">
        <v>539</v>
      </c>
      <c r="AD540" s="51">
        <f t="shared" si="230"/>
        <v>0</v>
      </c>
      <c r="AE540" s="51">
        <f t="shared" si="232"/>
        <v>133333333.33333333</v>
      </c>
      <c r="AF540" s="51">
        <f t="shared" si="231"/>
        <v>0</v>
      </c>
      <c r="AG540" s="55">
        <f t="shared" si="232"/>
        <v>0.44444444444444442</v>
      </c>
      <c r="AH540" s="29">
        <f>SUM($AF$2:AF540)</f>
        <v>297</v>
      </c>
      <c r="AI540" s="55">
        <f>SUM($AG$2:AG540)</f>
        <v>297.22222222222052</v>
      </c>
    </row>
    <row r="541" spans="1:35" x14ac:dyDescent="0.2">
      <c r="A541" s="48" t="s">
        <v>8853</v>
      </c>
      <c r="B541" s="29">
        <v>7</v>
      </c>
      <c r="C541" s="29">
        <v>3</v>
      </c>
      <c r="D541" s="29">
        <v>488</v>
      </c>
      <c r="E541" s="29">
        <v>8625</v>
      </c>
      <c r="F541" s="29">
        <v>34344</v>
      </c>
      <c r="G541" s="29">
        <v>8586</v>
      </c>
      <c r="H541" s="29">
        <v>182798</v>
      </c>
      <c r="I541" s="29">
        <v>12301</v>
      </c>
      <c r="J541" s="29">
        <v>357552896</v>
      </c>
      <c r="K541" s="29">
        <v>6520</v>
      </c>
      <c r="L541" s="29">
        <v>13024</v>
      </c>
      <c r="N541" s="33"/>
      <c r="O541" s="29">
        <f>AVERAGE(K541, L541)</f>
        <v>9772</v>
      </c>
      <c r="P541" s="31" cm="1">
        <f t="array" ref="P541">WPNFACTOR(C541)</f>
        <v>2.5</v>
      </c>
      <c r="Q541" s="33" cm="1">
        <f t="array" ref="Q541">HPFACTOr(C541)</f>
        <v>4</v>
      </c>
      <c r="R541" s="32">
        <f>O541/P541</f>
        <v>3908.8</v>
      </c>
      <c r="S541" s="33">
        <f>J541/Q541</f>
        <v>89388224</v>
      </c>
      <c r="T541" s="32">
        <f>R541*(1 + (N541/400))</f>
        <v>3908.8</v>
      </c>
      <c r="U541" s="39">
        <f>S541*1.6/(1 + (0.6*(1 - (M541/100))))</f>
        <v>89388224</v>
      </c>
      <c r="V541" s="41">
        <f>VLOOKUP(D541,LevelXp!$A$1:'LevelXp'!$B$1000,2,)/5</f>
        <v>300000000</v>
      </c>
      <c r="W541" s="29">
        <f>T541*U541</f>
        <v>349400689971.20001</v>
      </c>
      <c r="X541" s="32">
        <f>POWER(W541, 1/$X$1)</f>
        <v>203.54702145962148</v>
      </c>
      <c r="Y541" s="41">
        <v>392</v>
      </c>
      <c r="Z541" s="41">
        <v>300000000</v>
      </c>
      <c r="AA541" s="41">
        <v>0</v>
      </c>
      <c r="AC541" s="50">
        <v>540</v>
      </c>
      <c r="AD541" s="51">
        <f t="shared" si="230"/>
        <v>300000000</v>
      </c>
      <c r="AE541" s="51">
        <f t="shared" si="232"/>
        <v>166666666.66666666</v>
      </c>
      <c r="AF541" s="51">
        <f t="shared" si="231"/>
        <v>1</v>
      </c>
      <c r="AG541" s="55">
        <f t="shared" si="232"/>
        <v>0.55555555555555558</v>
      </c>
      <c r="AH541" s="29">
        <f>SUM($AF$2:AF541)</f>
        <v>298</v>
      </c>
      <c r="AI541" s="55">
        <f>SUM($AG$2:AG541)</f>
        <v>297.77777777777607</v>
      </c>
    </row>
    <row r="542" spans="1:35" x14ac:dyDescent="0.2">
      <c r="A542" s="48" t="s">
        <v>8857</v>
      </c>
      <c r="B542" s="29">
        <v>8</v>
      </c>
      <c r="C542" s="29">
        <v>3</v>
      </c>
      <c r="D542" s="29">
        <v>420</v>
      </c>
      <c r="E542" s="29">
        <v>16000</v>
      </c>
      <c r="F542" s="29">
        <v>36000</v>
      </c>
      <c r="G542" s="29">
        <v>16000</v>
      </c>
      <c r="H542" s="29">
        <v>220000</v>
      </c>
      <c r="I542" s="29">
        <v>12000</v>
      </c>
      <c r="J542" s="29">
        <v>567600000</v>
      </c>
      <c r="K542" s="29">
        <v>700</v>
      </c>
      <c r="L542" s="29">
        <v>1399</v>
      </c>
      <c r="M542" s="29">
        <v>60</v>
      </c>
      <c r="N542" s="33">
        <v>50</v>
      </c>
      <c r="O542" s="29">
        <f>AVERAGE(K542, L542)</f>
        <v>1049.5</v>
      </c>
      <c r="P542" s="31" cm="1">
        <f t="array" ref="P542">WPNFACTOR(C542)</f>
        <v>2.5</v>
      </c>
      <c r="Q542" s="33" cm="1">
        <f t="array" ref="Q542">HPFACTOr(C542)</f>
        <v>4</v>
      </c>
      <c r="R542" s="32">
        <f>O542/P542</f>
        <v>419.8</v>
      </c>
      <c r="S542" s="33">
        <f>J542/Q542</f>
        <v>141900000</v>
      </c>
      <c r="T542" s="32">
        <f>R542*(1 + (N542/400))</f>
        <v>472.27500000000003</v>
      </c>
      <c r="U542" s="39">
        <f>S542*1.6/(1 + (0.6*(1 - (M542/100))))</f>
        <v>183096774.19354838</v>
      </c>
      <c r="V542" s="41">
        <f>VLOOKUP(D542,LevelXp!$A$1:'LevelXp'!$B$1000,2,)/5</f>
        <v>300000000</v>
      </c>
      <c r="W542" s="29">
        <f>T542*U542</f>
        <v>86472029032.258072</v>
      </c>
      <c r="X542" s="32">
        <f>POWER(W542, 1/$X$1)</f>
        <v>153.94838239271149</v>
      </c>
      <c r="Y542" s="41">
        <v>392</v>
      </c>
      <c r="Z542" s="41">
        <v>300000000</v>
      </c>
      <c r="AA542" s="41">
        <v>1</v>
      </c>
      <c r="AC542" s="50">
        <v>541</v>
      </c>
      <c r="AD542" s="51">
        <f t="shared" si="230"/>
        <v>0</v>
      </c>
      <c r="AE542" s="51">
        <f t="shared" si="232"/>
        <v>133333333.33333333</v>
      </c>
      <c r="AF542" s="51">
        <f t="shared" si="231"/>
        <v>0</v>
      </c>
      <c r="AG542" s="55">
        <f t="shared" si="232"/>
        <v>0.44444444444444442</v>
      </c>
      <c r="AH542" s="29">
        <f>SUM($AF$2:AF542)</f>
        <v>298</v>
      </c>
      <c r="AI542" s="55">
        <f>SUM($AG$2:AG542)</f>
        <v>298.22222222222052</v>
      </c>
    </row>
    <row r="543" spans="1:35" x14ac:dyDescent="0.2">
      <c r="A543" s="48" t="s">
        <v>2937</v>
      </c>
      <c r="B543" s="29">
        <v>890</v>
      </c>
      <c r="N543" s="33"/>
      <c r="Q543" s="33"/>
      <c r="S543" s="33"/>
      <c r="U543" s="39"/>
      <c r="V543" s="41">
        <f>VLOOKUP(B543,LevelXp!$D$1:'LevelXp'!$F$1000,3,)</f>
        <v>300000000</v>
      </c>
      <c r="Y543" s="41">
        <v>393</v>
      </c>
      <c r="Z543" s="41">
        <v>300000000</v>
      </c>
      <c r="AA543" s="41">
        <v>0</v>
      </c>
      <c r="AC543" s="50">
        <v>542</v>
      </c>
      <c r="AD543" s="51">
        <f t="shared" si="230"/>
        <v>300000000</v>
      </c>
      <c r="AE543" s="51">
        <f t="shared" si="232"/>
        <v>166666666.66666666</v>
      </c>
      <c r="AF543" s="51">
        <f t="shared" si="231"/>
        <v>1</v>
      </c>
      <c r="AG543" s="55">
        <f t="shared" si="232"/>
        <v>0.44444444444444442</v>
      </c>
      <c r="AH543" s="29">
        <f>SUM($AF$2:AF543)</f>
        <v>299</v>
      </c>
      <c r="AI543" s="55">
        <f>SUM($AG$2:AG543)</f>
        <v>298.66666666666498</v>
      </c>
    </row>
    <row r="544" spans="1:35" x14ac:dyDescent="0.2">
      <c r="A544" s="48" t="s">
        <v>8856</v>
      </c>
      <c r="B544" s="29">
        <v>2</v>
      </c>
      <c r="C544" s="29">
        <v>1</v>
      </c>
      <c r="D544" s="29">
        <v>390</v>
      </c>
      <c r="E544" s="29">
        <v>65500</v>
      </c>
      <c r="F544" s="29">
        <v>10500</v>
      </c>
      <c r="G544" s="29">
        <v>10500</v>
      </c>
      <c r="H544" s="29">
        <v>184000</v>
      </c>
      <c r="I544" s="29">
        <v>31500</v>
      </c>
      <c r="J544" s="29">
        <v>404800000</v>
      </c>
      <c r="K544" s="29">
        <v>1365</v>
      </c>
      <c r="L544" s="29">
        <v>2339</v>
      </c>
      <c r="M544" s="29">
        <v>10</v>
      </c>
      <c r="N544" s="33">
        <v>60</v>
      </c>
      <c r="O544" s="29">
        <f>AVERAGE(K544, L544)</f>
        <v>1852</v>
      </c>
      <c r="P544" s="31" cm="1">
        <f t="array" ref="P544">WPNFACTOR(C544)</f>
        <v>2</v>
      </c>
      <c r="Q544" s="33" cm="1">
        <f t="array" ref="Q544">HPFACTOr(C544)</f>
        <v>5</v>
      </c>
      <c r="R544" s="32">
        <f>O544/P544</f>
        <v>926</v>
      </c>
      <c r="S544" s="33">
        <f>J544/Q544</f>
        <v>80960000</v>
      </c>
      <c r="T544" s="32">
        <f>R544*(1 + (N544/400))</f>
        <v>1064.8999999999999</v>
      </c>
      <c r="U544" s="39">
        <f>S544*1.6/(1 + (0.6*(1 - (M544/100))))</f>
        <v>84114285.714285716</v>
      </c>
      <c r="V544" s="41">
        <f>VLOOKUP(D544,LevelXp!$A$1:'LevelXp'!$B$1000,2,)/5</f>
        <v>288853442</v>
      </c>
      <c r="W544" s="29">
        <f>T544*U544</f>
        <v>89573302857.142853</v>
      </c>
      <c r="X544" s="32">
        <f>POWER(W544, 1/$X$1)</f>
        <v>155.03712907749551</v>
      </c>
      <c r="Y544" s="41">
        <v>394</v>
      </c>
      <c r="Z544" s="41">
        <v>288853442</v>
      </c>
      <c r="AA544" s="41">
        <v>0</v>
      </c>
      <c r="AC544" s="50">
        <v>543</v>
      </c>
      <c r="AD544" s="51">
        <f t="shared" si="230"/>
        <v>0</v>
      </c>
      <c r="AE544" s="51">
        <f t="shared" si="232"/>
        <v>133333333.33333333</v>
      </c>
      <c r="AF544" s="51">
        <f t="shared" si="231"/>
        <v>0</v>
      </c>
      <c r="AG544" s="55">
        <f t="shared" si="232"/>
        <v>0.33333333333333331</v>
      </c>
      <c r="AH544" s="29">
        <f>SUM($AF$2:AF544)</f>
        <v>299</v>
      </c>
      <c r="AI544" s="55">
        <f>SUM($AG$2:AG544)</f>
        <v>298.99999999999829</v>
      </c>
    </row>
    <row r="545" spans="1:35" x14ac:dyDescent="0.2">
      <c r="A545" s="48" t="s">
        <v>2937</v>
      </c>
      <c r="B545" s="29">
        <v>900</v>
      </c>
      <c r="N545" s="33"/>
      <c r="Q545" s="33"/>
      <c r="S545" s="33"/>
      <c r="U545" s="39"/>
      <c r="V545" s="41">
        <f>VLOOKUP(B545,LevelXp!$D$1:'LevelXp'!$F$1000,3,)</f>
        <v>300000000</v>
      </c>
      <c r="Y545" s="41">
        <v>395</v>
      </c>
      <c r="Z545" s="41">
        <v>300000000</v>
      </c>
      <c r="AA545" s="41">
        <v>0</v>
      </c>
      <c r="AC545" s="50">
        <v>544</v>
      </c>
      <c r="AD545" s="51">
        <f t="shared" si="230"/>
        <v>300000000</v>
      </c>
      <c r="AE545" s="51">
        <f t="shared" si="232"/>
        <v>166666666.66666666</v>
      </c>
      <c r="AF545" s="51">
        <f t="shared" si="231"/>
        <v>1</v>
      </c>
      <c r="AG545" s="55">
        <f t="shared" si="232"/>
        <v>0.33333333333333331</v>
      </c>
      <c r="AH545" s="29">
        <f>SUM($AF$2:AF545)</f>
        <v>300</v>
      </c>
      <c r="AI545" s="55">
        <f>SUM($AG$2:AG545)</f>
        <v>299.33333333333161</v>
      </c>
    </row>
    <row r="546" spans="1:35" x14ac:dyDescent="0.2">
      <c r="A546" s="48" t="s">
        <v>2937</v>
      </c>
      <c r="B546" s="29">
        <v>910</v>
      </c>
      <c r="N546" s="33"/>
      <c r="Q546" s="33"/>
      <c r="S546" s="33"/>
      <c r="U546" s="39"/>
      <c r="V546" s="41">
        <f>VLOOKUP(B546,LevelXp!$D$1:'LevelXp'!$F$1000,3,)</f>
        <v>300000000</v>
      </c>
      <c r="Y546" s="41">
        <v>396</v>
      </c>
      <c r="Z546" s="41">
        <v>300000000</v>
      </c>
      <c r="AA546" s="41">
        <v>0</v>
      </c>
      <c r="AC546" s="50">
        <v>545</v>
      </c>
      <c r="AD546" s="51">
        <f t="shared" si="230"/>
        <v>0</v>
      </c>
      <c r="AE546" s="51">
        <f t="shared" si="232"/>
        <v>133333333.33333333</v>
      </c>
      <c r="AF546" s="51">
        <f t="shared" si="231"/>
        <v>0</v>
      </c>
      <c r="AG546" s="55">
        <f t="shared" si="232"/>
        <v>0.22222222222222221</v>
      </c>
      <c r="AH546" s="29">
        <f>SUM($AF$2:AF546)</f>
        <v>300</v>
      </c>
      <c r="AI546" s="55">
        <f>SUM($AG$2:AG546)</f>
        <v>299.55555555555384</v>
      </c>
    </row>
    <row r="547" spans="1:35" x14ac:dyDescent="0.2">
      <c r="A547" s="48" t="s">
        <v>8854</v>
      </c>
      <c r="B547" s="29">
        <v>4</v>
      </c>
      <c r="C547" s="29">
        <v>3</v>
      </c>
      <c r="D547" s="29">
        <v>440</v>
      </c>
      <c r="E547" s="29">
        <v>11790</v>
      </c>
      <c r="F547" s="29">
        <v>73920</v>
      </c>
      <c r="G547" s="29">
        <v>11880</v>
      </c>
      <c r="H547" s="29">
        <v>207000</v>
      </c>
      <c r="I547" s="29">
        <v>35640</v>
      </c>
      <c r="J547" s="29">
        <v>554774976</v>
      </c>
      <c r="K547" s="29">
        <v>1165</v>
      </c>
      <c r="L547" s="29">
        <v>2474</v>
      </c>
      <c r="N547" s="33"/>
      <c r="O547" s="29">
        <f>AVERAGE(K547, L547)</f>
        <v>1819.5</v>
      </c>
      <c r="P547" s="31" cm="1">
        <f t="array" ref="P547">WPNFACTOR(C547)</f>
        <v>2.5</v>
      </c>
      <c r="Q547" s="33" cm="1">
        <f t="array" ref="Q547">HPFACTOr(C547)</f>
        <v>4</v>
      </c>
      <c r="R547" s="32">
        <f>O547/P547</f>
        <v>727.8</v>
      </c>
      <c r="S547" s="33">
        <f>J547/Q547</f>
        <v>138693744</v>
      </c>
      <c r="T547" s="32">
        <f>R547*(1 + (N547/400))</f>
        <v>727.8</v>
      </c>
      <c r="U547" s="39">
        <f>S547*1.6/(1 + (0.6*(1 - (M547/100))))</f>
        <v>138693744</v>
      </c>
      <c r="V547" s="41">
        <f>VLOOKUP(D547,LevelXp!$A$1:'LevelXp'!$B$1000,2,)/5</f>
        <v>300000000</v>
      </c>
      <c r="W547" s="29">
        <f>T547*U547</f>
        <v>100941306883.2</v>
      </c>
      <c r="X547" s="32">
        <f>POWER(W547, 1/$X$1)</f>
        <v>158.78657627723234</v>
      </c>
      <c r="Y547" s="41">
        <v>397</v>
      </c>
      <c r="Z547" s="41">
        <v>300000000</v>
      </c>
      <c r="AA547" s="41">
        <v>0</v>
      </c>
      <c r="AC547" s="50">
        <v>546</v>
      </c>
      <c r="AD547" s="51">
        <f t="shared" si="230"/>
        <v>300000000</v>
      </c>
      <c r="AE547" s="51">
        <f t="shared" si="232"/>
        <v>166666666.66666666</v>
      </c>
      <c r="AF547" s="51">
        <f t="shared" si="231"/>
        <v>0</v>
      </c>
      <c r="AG547" s="55">
        <f t="shared" si="232"/>
        <v>0.22222222222222221</v>
      </c>
      <c r="AH547" s="29">
        <f>SUM($AF$2:AF547)</f>
        <v>300</v>
      </c>
      <c r="AI547" s="55">
        <f>SUM($AG$2:AG547)</f>
        <v>299.77777777777607</v>
      </c>
    </row>
    <row r="548" spans="1:35" x14ac:dyDescent="0.2">
      <c r="A548" s="48" t="s">
        <v>8854</v>
      </c>
      <c r="B548" s="29">
        <v>5</v>
      </c>
      <c r="C548" s="29">
        <v>2</v>
      </c>
      <c r="D548" s="29">
        <v>450</v>
      </c>
      <c r="E548" s="29">
        <v>23214</v>
      </c>
      <c r="F548" s="29">
        <v>23190</v>
      </c>
      <c r="G548" s="29">
        <v>73494</v>
      </c>
      <c r="H548" s="29">
        <v>221647</v>
      </c>
      <c r="I548" s="29">
        <v>45972</v>
      </c>
      <c r="J548" s="29">
        <v>299962912</v>
      </c>
      <c r="K548" s="29">
        <v>1911</v>
      </c>
      <c r="L548" s="29">
        <v>4818</v>
      </c>
      <c r="N548" s="33"/>
      <c r="O548" s="29">
        <f>AVERAGE(K548, L548)</f>
        <v>3364.5</v>
      </c>
      <c r="P548" s="31" cm="1">
        <f t="array" ref="P548">WPNFACTOR(C548)</f>
        <v>4.5</v>
      </c>
      <c r="Q548" s="33" cm="1">
        <f t="array" ref="Q548">HPFACTOr(C548)</f>
        <v>2</v>
      </c>
      <c r="R548" s="32">
        <f>O548/P548</f>
        <v>747.66666666666663</v>
      </c>
      <c r="S548" s="33">
        <f>J548/Q548</f>
        <v>149981456</v>
      </c>
      <c r="T548" s="32">
        <f>R548*(1 + (N548/400))</f>
        <v>747.66666666666663</v>
      </c>
      <c r="U548" s="39">
        <f>S548*1.6/(1 + (0.6*(1 - (M548/100))))</f>
        <v>149981456</v>
      </c>
      <c r="V548" s="41">
        <f>VLOOKUP(D548,LevelXp!$A$1:'LevelXp'!$B$1000,2,)/5</f>
        <v>300000000</v>
      </c>
      <c r="W548" s="29">
        <f>T548*U548</f>
        <v>112136135269.33333</v>
      </c>
      <c r="X548" s="32">
        <f>POWER(W548, 1/$X$1)</f>
        <v>162.16200926840889</v>
      </c>
      <c r="Y548" s="41">
        <v>398</v>
      </c>
      <c r="Z548" s="41">
        <v>300000000</v>
      </c>
      <c r="AA548" s="41">
        <v>0</v>
      </c>
      <c r="AC548" s="50">
        <v>547</v>
      </c>
      <c r="AD548" s="51">
        <f t="shared" si="230"/>
        <v>0</v>
      </c>
      <c r="AE548" s="51">
        <f t="shared" si="232"/>
        <v>133333333.33333333</v>
      </c>
      <c r="AF548" s="51">
        <f t="shared" si="231"/>
        <v>0</v>
      </c>
      <c r="AG548" s="55">
        <f t="shared" si="232"/>
        <v>0.1111111111111111</v>
      </c>
      <c r="AH548" s="29">
        <f>SUM($AF$2:AF548)</f>
        <v>300</v>
      </c>
      <c r="AI548" s="55">
        <f>SUM($AG$2:AG548)</f>
        <v>299.88888888888715</v>
      </c>
    </row>
    <row r="549" spans="1:35" x14ac:dyDescent="0.2">
      <c r="A549" s="48" t="s">
        <v>2937</v>
      </c>
      <c r="B549" s="29">
        <v>920</v>
      </c>
      <c r="N549" s="33"/>
      <c r="Q549" s="33"/>
      <c r="S549" s="33"/>
      <c r="U549" s="39"/>
      <c r="V549" s="41">
        <f>VLOOKUP(B549,LevelXp!$D$1:'LevelXp'!$F$1000,3,)</f>
        <v>300000000</v>
      </c>
      <c r="Y549" s="41">
        <v>399</v>
      </c>
      <c r="Z549" s="41">
        <v>300000000</v>
      </c>
      <c r="AA549" s="41">
        <v>0</v>
      </c>
      <c r="AC549" s="50">
        <v>548</v>
      </c>
      <c r="AD549" s="51">
        <f t="shared" si="230"/>
        <v>300000000</v>
      </c>
      <c r="AE549" s="51">
        <f t="shared" si="232"/>
        <v>133333333.33333333</v>
      </c>
      <c r="AF549" s="51">
        <f t="shared" si="231"/>
        <v>0</v>
      </c>
      <c r="AG549" s="55">
        <f t="shared" si="232"/>
        <v>0.1111111111111111</v>
      </c>
      <c r="AH549" s="29">
        <f>SUM($AF$2:AF549)</f>
        <v>300</v>
      </c>
      <c r="AI549" s="55">
        <f>SUM($AG$2:AG549)</f>
        <v>299.99999999999824</v>
      </c>
    </row>
    <row r="550" spans="1:35" x14ac:dyDescent="0.2">
      <c r="A550" s="48" t="s">
        <v>8856</v>
      </c>
      <c r="B550" s="29">
        <v>10</v>
      </c>
      <c r="C550" s="29">
        <v>6</v>
      </c>
      <c r="D550" s="29">
        <v>500</v>
      </c>
      <c r="E550" s="29">
        <v>38500</v>
      </c>
      <c r="F550" s="29">
        <v>10500</v>
      </c>
      <c r="G550" s="29">
        <v>10500</v>
      </c>
      <c r="H550" s="29">
        <v>158000</v>
      </c>
      <c r="I550" s="29">
        <v>23000</v>
      </c>
      <c r="J550" s="29">
        <v>354552000</v>
      </c>
      <c r="K550" s="29">
        <v>1413</v>
      </c>
      <c r="L550" s="29">
        <v>2699</v>
      </c>
      <c r="M550" s="29">
        <v>60</v>
      </c>
      <c r="N550" s="33">
        <v>60</v>
      </c>
      <c r="O550" s="29">
        <f>AVERAGE(K550, L550)</f>
        <v>2056</v>
      </c>
      <c r="P550" s="31" cm="1">
        <f t="array" ref="P550">WPNFACTOR(C550)</f>
        <v>2</v>
      </c>
      <c r="Q550" s="33" cm="1">
        <f t="array" ref="Q550">HPFACTOr(C550)</f>
        <v>4</v>
      </c>
      <c r="R550" s="32">
        <f>O550/P550</f>
        <v>1028</v>
      </c>
      <c r="S550" s="33">
        <f>J550/Q550</f>
        <v>88638000</v>
      </c>
      <c r="T550" s="32">
        <f>R550*(1 + (N550/400))</f>
        <v>1182.1999999999998</v>
      </c>
      <c r="U550" s="39">
        <f>S550*1.6/(1 + (0.6*(1 - (M550/100))))</f>
        <v>114371612.90322581</v>
      </c>
      <c r="V550" s="41">
        <f>VLOOKUP(D550,LevelXp!$A$1:'LevelXp'!$B$1000,2,)/5</f>
        <v>300000000</v>
      </c>
      <c r="W550" s="29">
        <f>T550*U550</f>
        <v>135210120774.19353</v>
      </c>
      <c r="X550" s="32">
        <f>POWER(W550, 1/$X$1)</f>
        <v>168.34562725023528</v>
      </c>
      <c r="Y550" s="41">
        <v>400</v>
      </c>
      <c r="Z550" s="41">
        <v>300000000</v>
      </c>
      <c r="AA550" s="41">
        <v>0</v>
      </c>
      <c r="AC550" s="50">
        <v>549</v>
      </c>
      <c r="AD550" s="51">
        <f t="shared" si="230"/>
        <v>0</v>
      </c>
      <c r="AE550" s="51">
        <f t="shared" si="232"/>
        <v>100000000</v>
      </c>
      <c r="AF550" s="51">
        <f t="shared" si="231"/>
        <v>0</v>
      </c>
      <c r="AG550" s="55">
        <f t="shared" si="232"/>
        <v>0</v>
      </c>
      <c r="AH550" s="29">
        <f>SUM($AF$2:AF550)</f>
        <v>300</v>
      </c>
      <c r="AI550" s="55">
        <f>SUM($AG$2:AG550)</f>
        <v>299.99999999999824</v>
      </c>
    </row>
    <row r="551" spans="1:35" x14ac:dyDescent="0.2">
      <c r="A551" s="48" t="s">
        <v>2937</v>
      </c>
      <c r="B551" s="29">
        <v>930</v>
      </c>
      <c r="N551" s="33"/>
      <c r="Q551" s="33"/>
      <c r="S551" s="33"/>
      <c r="U551" s="39"/>
      <c r="V551" s="41">
        <f>VLOOKUP(B551,LevelXp!$D$1:'LevelXp'!$F$1000,3,)</f>
        <v>300000000</v>
      </c>
      <c r="Y551" s="41">
        <v>401</v>
      </c>
      <c r="Z551" s="41">
        <v>300000000</v>
      </c>
      <c r="AA551" s="41">
        <v>0</v>
      </c>
      <c r="AC551" s="50">
        <v>550</v>
      </c>
      <c r="AD551" s="51">
        <f t="shared" si="230"/>
        <v>300000000</v>
      </c>
      <c r="AE551" s="51">
        <f t="shared" si="232"/>
        <v>100000000</v>
      </c>
      <c r="AF551" s="51">
        <f t="shared" si="231"/>
        <v>0</v>
      </c>
      <c r="AG551" s="55">
        <f t="shared" si="232"/>
        <v>0</v>
      </c>
      <c r="AH551" s="29">
        <f>SUM($AF$2:AF551)</f>
        <v>300</v>
      </c>
      <c r="AI551" s="55">
        <f>SUM($AG$2:AG551)</f>
        <v>299.99999999999824</v>
      </c>
    </row>
    <row r="552" spans="1:35" x14ac:dyDescent="0.2">
      <c r="A552" s="48" t="s">
        <v>8866</v>
      </c>
      <c r="B552" s="29">
        <v>10</v>
      </c>
      <c r="C552" s="29">
        <v>1</v>
      </c>
      <c r="D552" s="29">
        <v>500</v>
      </c>
      <c r="E552" s="29">
        <v>38231</v>
      </c>
      <c r="F552" s="29">
        <v>10473</v>
      </c>
      <c r="G552" s="29">
        <v>10474</v>
      </c>
      <c r="H552" s="29">
        <v>158088</v>
      </c>
      <c r="I552" s="29">
        <v>22969</v>
      </c>
      <c r="J552" s="29">
        <v>396010432</v>
      </c>
      <c r="K552" s="29">
        <v>1704</v>
      </c>
      <c r="L552" s="29">
        <v>2879</v>
      </c>
      <c r="N552" s="33"/>
      <c r="O552" s="29">
        <f>AVERAGE(K552, L552)</f>
        <v>2291.5</v>
      </c>
      <c r="P552" s="31" cm="1">
        <f t="array" ref="P552">WPNFACTOR(C552)</f>
        <v>2</v>
      </c>
      <c r="Q552" s="33" cm="1">
        <f t="array" ref="Q552">HPFACTOr(C552)</f>
        <v>5</v>
      </c>
      <c r="R552" s="32">
        <f>O552/P552</f>
        <v>1145.75</v>
      </c>
      <c r="S552" s="33">
        <f>J552/Q552</f>
        <v>79202086.400000006</v>
      </c>
      <c r="T552" s="32">
        <f>R552*(1 + (N552/400))</f>
        <v>1145.75</v>
      </c>
      <c r="U552" s="39">
        <f>S552*1.6/(1 + (0.6*(1 - (M552/100))))</f>
        <v>79202086.400000006</v>
      </c>
      <c r="V552" s="41">
        <f>VLOOKUP(D552,LevelXp!$A$1:'LevelXp'!$B$1000,2,)/5</f>
        <v>300000000</v>
      </c>
      <c r="W552" s="29">
        <f>T552*U552</f>
        <v>90745790492.800003</v>
      </c>
      <c r="X552" s="32">
        <f>POWER(W552, 1/$X$1)</f>
        <v>155.44089838098785</v>
      </c>
      <c r="Y552" s="41">
        <v>402</v>
      </c>
      <c r="Z552" s="41">
        <v>300000000</v>
      </c>
      <c r="AA552" s="41">
        <v>1</v>
      </c>
      <c r="AC552" s="50">
        <v>551</v>
      </c>
      <c r="AD552" s="51">
        <f t="shared" si="230"/>
        <v>0</v>
      </c>
      <c r="AE552" s="51">
        <f t="shared" si="232"/>
        <v>66666666.666666664</v>
      </c>
      <c r="AF552" s="51">
        <f t="shared" si="231"/>
        <v>0</v>
      </c>
      <c r="AG552" s="55">
        <f t="shared" si="232"/>
        <v>0</v>
      </c>
      <c r="AH552" s="29">
        <f>SUM($AF$2:AF552)</f>
        <v>300</v>
      </c>
      <c r="AI552" s="55">
        <f>SUM($AG$2:AG552)</f>
        <v>299.99999999999824</v>
      </c>
    </row>
    <row r="553" spans="1:35" x14ac:dyDescent="0.2">
      <c r="A553" s="48" t="s">
        <v>2937</v>
      </c>
      <c r="B553" s="29">
        <v>940</v>
      </c>
      <c r="N553" s="33"/>
      <c r="Q553" s="33"/>
      <c r="S553" s="33"/>
      <c r="U553" s="39"/>
      <c r="V553" s="41">
        <f>VLOOKUP(B553,LevelXp!$D$1:'LevelXp'!$F$1000,3,)</f>
        <v>300000000</v>
      </c>
      <c r="Y553" s="41">
        <v>403</v>
      </c>
      <c r="Z553" s="41">
        <v>300000000</v>
      </c>
      <c r="AA553" s="41">
        <v>0</v>
      </c>
      <c r="AC553" s="50">
        <v>552</v>
      </c>
      <c r="AD553" s="51">
        <f t="shared" si="230"/>
        <v>0</v>
      </c>
      <c r="AE553" s="51">
        <f t="shared" si="232"/>
        <v>100000000</v>
      </c>
      <c r="AF553" s="51">
        <f t="shared" si="231"/>
        <v>0</v>
      </c>
      <c r="AG553" s="55">
        <f t="shared" si="232"/>
        <v>0</v>
      </c>
      <c r="AH553" s="29">
        <f>SUM($AF$2:AF553)</f>
        <v>300</v>
      </c>
      <c r="AI553" s="55">
        <f>SUM($AG$2:AG553)</f>
        <v>299.99999999999824</v>
      </c>
    </row>
    <row r="554" spans="1:35" x14ac:dyDescent="0.2">
      <c r="A554" s="48" t="s">
        <v>2937</v>
      </c>
      <c r="B554" s="29">
        <v>950</v>
      </c>
      <c r="N554" s="33"/>
      <c r="Q554" s="33"/>
      <c r="S554" s="33"/>
      <c r="U554" s="39"/>
      <c r="V554" s="41">
        <f>VLOOKUP(B554,LevelXp!$D$1:'LevelXp'!$F$1000,3,)</f>
        <v>300000000</v>
      </c>
      <c r="Y554" s="41">
        <v>404</v>
      </c>
      <c r="Z554" s="41">
        <v>300000000</v>
      </c>
      <c r="AA554" s="41">
        <v>0</v>
      </c>
      <c r="AC554" s="50">
        <v>553</v>
      </c>
      <c r="AD554" s="51">
        <f t="shared" si="230"/>
        <v>0</v>
      </c>
      <c r="AE554" s="51">
        <f t="shared" si="232"/>
        <v>66666666.666666664</v>
      </c>
      <c r="AF554" s="51">
        <f t="shared" si="231"/>
        <v>0</v>
      </c>
      <c r="AG554" s="55">
        <f t="shared" si="232"/>
        <v>0</v>
      </c>
      <c r="AH554" s="29">
        <f>SUM($AF$2:AF554)</f>
        <v>300</v>
      </c>
      <c r="AI554" s="55">
        <f>SUM($AG$2:AG554)</f>
        <v>299.99999999999824</v>
      </c>
    </row>
    <row r="555" spans="1:35" x14ac:dyDescent="0.2">
      <c r="A555" s="48" t="s">
        <v>8855</v>
      </c>
      <c r="B555" s="29">
        <v>6</v>
      </c>
      <c r="C555" s="29">
        <v>1</v>
      </c>
      <c r="D555" s="29">
        <v>437</v>
      </c>
      <c r="E555" s="29">
        <v>70908</v>
      </c>
      <c r="F555" s="29">
        <v>25251</v>
      </c>
      <c r="G555" s="29">
        <v>25251</v>
      </c>
      <c r="H555" s="29">
        <v>231278</v>
      </c>
      <c r="I555" s="29">
        <v>45372</v>
      </c>
      <c r="J555" s="29">
        <v>506498816</v>
      </c>
      <c r="K555" s="29">
        <v>1498</v>
      </c>
      <c r="L555" s="29">
        <v>2511</v>
      </c>
      <c r="N555" s="33"/>
      <c r="O555" s="29">
        <f>AVERAGE(K555, L555)</f>
        <v>2004.5</v>
      </c>
      <c r="P555" s="31" cm="1">
        <f t="array" ref="P555">WPNFACTOR(C555)</f>
        <v>2</v>
      </c>
      <c r="Q555" s="33" cm="1">
        <f t="array" ref="Q555">HPFACTOr(C555)</f>
        <v>5</v>
      </c>
      <c r="R555" s="32">
        <f>O555/P555</f>
        <v>1002.25</v>
      </c>
      <c r="S555" s="33">
        <f>J555/Q555</f>
        <v>101299763.2</v>
      </c>
      <c r="T555" s="32">
        <f>R555*(1 + (N555/400))</f>
        <v>1002.25</v>
      </c>
      <c r="U555" s="39">
        <f>S555*1.6/(1 + (0.6*(1 - (M555/100))))</f>
        <v>101299763.2</v>
      </c>
      <c r="V555" s="41">
        <f>VLOOKUP(D555,LevelXp!$A$1:'LevelXp'!$B$1000,2,)/5</f>
        <v>300000000</v>
      </c>
      <c r="W555" s="29">
        <f>T555*U555</f>
        <v>101527687667.2</v>
      </c>
      <c r="X555" s="32">
        <f>POWER(W555, 1/$X$1)</f>
        <v>158.97063134310022</v>
      </c>
      <c r="Y555" s="41">
        <v>405</v>
      </c>
      <c r="Z555" s="41">
        <v>300000000</v>
      </c>
      <c r="AA555" s="41">
        <v>0</v>
      </c>
      <c r="AC555" s="50">
        <v>554</v>
      </c>
      <c r="AD555" s="51">
        <f t="shared" si="230"/>
        <v>0</v>
      </c>
      <c r="AE555" s="51">
        <f t="shared" si="232"/>
        <v>66666666.666666664</v>
      </c>
      <c r="AF555" s="51">
        <f t="shared" si="231"/>
        <v>0</v>
      </c>
      <c r="AG555" s="55">
        <f t="shared" si="232"/>
        <v>0</v>
      </c>
      <c r="AH555" s="29">
        <f>SUM($AF$2:AF555)</f>
        <v>300</v>
      </c>
      <c r="AI555" s="55">
        <f>SUM($AG$2:AG555)</f>
        <v>299.99999999999824</v>
      </c>
    </row>
    <row r="556" spans="1:35" x14ac:dyDescent="0.2">
      <c r="A556" s="48" t="s">
        <v>8855</v>
      </c>
      <c r="B556" s="29">
        <v>7</v>
      </c>
      <c r="C556" s="29">
        <v>3</v>
      </c>
      <c r="D556" s="29">
        <v>461</v>
      </c>
      <c r="E556" s="29">
        <v>22991</v>
      </c>
      <c r="F556" s="29">
        <v>76322</v>
      </c>
      <c r="G556" s="29">
        <v>22638</v>
      </c>
      <c r="H556" s="29">
        <v>240345</v>
      </c>
      <c r="I556" s="29">
        <v>46864</v>
      </c>
      <c r="J556" s="29">
        <v>444157568</v>
      </c>
      <c r="K556" s="29">
        <v>2064</v>
      </c>
      <c r="L556" s="29">
        <v>3262</v>
      </c>
      <c r="N556" s="33"/>
      <c r="O556" s="29">
        <f>AVERAGE(K556, L556)</f>
        <v>2663</v>
      </c>
      <c r="P556" s="31" cm="1">
        <f t="array" ref="P556">WPNFACTOR(C556)</f>
        <v>2.5</v>
      </c>
      <c r="Q556" s="33" cm="1">
        <f t="array" ref="Q556">HPFACTOr(C556)</f>
        <v>4</v>
      </c>
      <c r="R556" s="32">
        <f>O556/P556</f>
        <v>1065.2</v>
      </c>
      <c r="S556" s="33">
        <f>J556/Q556</f>
        <v>111039392</v>
      </c>
      <c r="T556" s="32">
        <f>R556*(1 + (N556/400))</f>
        <v>1065.2</v>
      </c>
      <c r="U556" s="39">
        <f>S556*1.6/(1 + (0.6*(1 - (M556/100))))</f>
        <v>111039392</v>
      </c>
      <c r="V556" s="41">
        <f>VLOOKUP(D556,LevelXp!$A$1:'LevelXp'!$B$1000,2,)/5</f>
        <v>300000000</v>
      </c>
      <c r="W556" s="29">
        <f>T556*U556</f>
        <v>118279160358.40001</v>
      </c>
      <c r="X556" s="32">
        <f>POWER(W556, 1/$X$1)</f>
        <v>163.90101632719666</v>
      </c>
      <c r="Y556" s="41">
        <v>406</v>
      </c>
      <c r="Z556" s="41">
        <v>300000000</v>
      </c>
      <c r="AA556" s="41">
        <v>0</v>
      </c>
      <c r="AC556" s="50">
        <v>555</v>
      </c>
      <c r="AD556" s="51">
        <f t="shared" si="230"/>
        <v>0</v>
      </c>
      <c r="AE556" s="51">
        <f t="shared" si="232"/>
        <v>33333333.333333332</v>
      </c>
      <c r="AF556" s="51">
        <f t="shared" si="231"/>
        <v>0</v>
      </c>
      <c r="AG556" s="55">
        <f t="shared" si="232"/>
        <v>0</v>
      </c>
      <c r="AH556" s="29">
        <f>SUM($AF$2:AF556)</f>
        <v>300</v>
      </c>
      <c r="AI556" s="55">
        <f>SUM($AG$2:AG556)</f>
        <v>299.99999999999824</v>
      </c>
    </row>
    <row r="557" spans="1:35" x14ac:dyDescent="0.2">
      <c r="A557" s="48" t="s">
        <v>8855</v>
      </c>
      <c r="B557" s="29">
        <v>8</v>
      </c>
      <c r="C557" s="29">
        <v>2</v>
      </c>
      <c r="D557" s="29">
        <v>485</v>
      </c>
      <c r="E557" s="29">
        <v>18980</v>
      </c>
      <c r="F557" s="29">
        <v>18980</v>
      </c>
      <c r="G557" s="29">
        <v>90136</v>
      </c>
      <c r="H557" s="29">
        <v>264951</v>
      </c>
      <c r="I557" s="29">
        <v>48613</v>
      </c>
      <c r="J557" s="29">
        <v>257532368</v>
      </c>
      <c r="K557" s="29">
        <v>3755</v>
      </c>
      <c r="L557" s="29">
        <v>6243</v>
      </c>
      <c r="N557" s="33"/>
      <c r="O557" s="29">
        <f>AVERAGE(K557, L557)</f>
        <v>4999</v>
      </c>
      <c r="P557" s="31" cm="1">
        <f t="array" ref="P557">WPNFACTOR(C557)</f>
        <v>4.5</v>
      </c>
      <c r="Q557" s="33" cm="1">
        <f t="array" ref="Q557">HPFACTOr(C557)</f>
        <v>2</v>
      </c>
      <c r="R557" s="32">
        <f>O557/P557</f>
        <v>1110.8888888888889</v>
      </c>
      <c r="S557" s="33">
        <f>J557/Q557</f>
        <v>128766184</v>
      </c>
      <c r="T557" s="32">
        <f>R557*(1 + (N557/400))</f>
        <v>1110.8888888888889</v>
      </c>
      <c r="U557" s="39">
        <f>S557*1.6/(1 + (0.6*(1 - (M557/100))))</f>
        <v>128766184</v>
      </c>
      <c r="V557" s="41">
        <f>VLOOKUP(D557,LevelXp!$A$1:'LevelXp'!$B$1000,2,)/5</f>
        <v>300000000</v>
      </c>
      <c r="W557" s="29">
        <f>T557*U557</f>
        <v>143044923070.22223</v>
      </c>
      <c r="X557" s="32">
        <f>POWER(W557, 1/$X$1)</f>
        <v>170.25288882884033</v>
      </c>
      <c r="Y557" s="41">
        <v>407</v>
      </c>
      <c r="Z557" s="41">
        <v>300000000</v>
      </c>
      <c r="AA557" s="41">
        <v>0</v>
      </c>
      <c r="AC557" s="50">
        <v>556</v>
      </c>
      <c r="AD557" s="51">
        <f t="shared" si="230"/>
        <v>300000000</v>
      </c>
      <c r="AE557" s="51">
        <f t="shared" si="232"/>
        <v>33333333.333333332</v>
      </c>
      <c r="AF557" s="51">
        <f t="shared" si="231"/>
        <v>0</v>
      </c>
      <c r="AG557" s="55">
        <f t="shared" si="232"/>
        <v>0</v>
      </c>
      <c r="AH557" s="29">
        <f>SUM($AF$2:AF557)</f>
        <v>300</v>
      </c>
      <c r="AI557" s="55">
        <f>SUM($AG$2:AG557)</f>
        <v>299.99999999999824</v>
      </c>
    </row>
    <row r="558" spans="1:35" x14ac:dyDescent="0.2">
      <c r="A558" s="48" t="s">
        <v>2937</v>
      </c>
      <c r="B558" s="29">
        <v>960</v>
      </c>
      <c r="N558" s="33"/>
      <c r="Q558" s="33"/>
      <c r="S558" s="33"/>
      <c r="U558" s="39"/>
      <c r="V558" s="41">
        <f>VLOOKUP(B558,LevelXp!$D$1:'LevelXp'!$F$1000,3,)</f>
        <v>300000000</v>
      </c>
      <c r="Y558" s="41">
        <v>408</v>
      </c>
      <c r="Z558" s="41">
        <v>300000000</v>
      </c>
      <c r="AA558" s="41">
        <v>0</v>
      </c>
      <c r="AC558" s="50">
        <v>557</v>
      </c>
      <c r="AD558" s="51">
        <f t="shared" si="230"/>
        <v>0</v>
      </c>
      <c r="AE558" s="51">
        <f t="shared" si="232"/>
        <v>33333333.333333332</v>
      </c>
      <c r="AF558" s="51">
        <f t="shared" si="231"/>
        <v>0</v>
      </c>
      <c r="AG558" s="55">
        <f t="shared" si="232"/>
        <v>0</v>
      </c>
      <c r="AH558" s="29">
        <f>SUM($AF$2:AF558)</f>
        <v>300</v>
      </c>
      <c r="AI558" s="55">
        <f>SUM($AG$2:AG558)</f>
        <v>299.99999999999824</v>
      </c>
    </row>
    <row r="559" spans="1:35" x14ac:dyDescent="0.2">
      <c r="A559" s="48" t="s">
        <v>2937</v>
      </c>
      <c r="B559" s="29">
        <v>970</v>
      </c>
      <c r="N559" s="33"/>
      <c r="Q559" s="33"/>
      <c r="S559" s="33"/>
      <c r="U559" s="39"/>
      <c r="V559" s="41">
        <f>VLOOKUP(B559,LevelXp!$D$1:'LevelXp'!$F$1000,3,)</f>
        <v>300000000</v>
      </c>
      <c r="Y559" s="41">
        <v>409</v>
      </c>
      <c r="Z559" s="41">
        <v>300000000</v>
      </c>
      <c r="AA559" s="41">
        <v>0</v>
      </c>
      <c r="AC559" s="50">
        <v>558</v>
      </c>
      <c r="AD559" s="51">
        <f t="shared" si="230"/>
        <v>0</v>
      </c>
      <c r="AE559" s="51">
        <f t="shared" si="232"/>
        <v>66666666.666666664</v>
      </c>
      <c r="AF559" s="51">
        <f t="shared" si="231"/>
        <v>0</v>
      </c>
      <c r="AG559" s="55">
        <f t="shared" si="232"/>
        <v>0</v>
      </c>
      <c r="AH559" s="29">
        <f>SUM($AF$2:AF559)</f>
        <v>300</v>
      </c>
      <c r="AI559" s="55">
        <f>SUM($AG$2:AG559)</f>
        <v>299.99999999999824</v>
      </c>
    </row>
    <row r="560" spans="1:35" x14ac:dyDescent="0.2">
      <c r="A560" s="48" t="s">
        <v>2937</v>
      </c>
      <c r="B560" s="29">
        <v>980</v>
      </c>
      <c r="N560" s="33"/>
      <c r="Q560" s="33"/>
      <c r="S560" s="33"/>
      <c r="U560" s="39"/>
      <c r="V560" s="41">
        <f>VLOOKUP(B560,LevelXp!$D$1:'LevelXp'!$F$1000,3,)</f>
        <v>300000000</v>
      </c>
      <c r="Y560" s="41">
        <v>410</v>
      </c>
      <c r="Z560" s="41">
        <v>300000000</v>
      </c>
      <c r="AA560" s="41">
        <v>0</v>
      </c>
      <c r="AC560" s="50">
        <v>559</v>
      </c>
      <c r="AD560" s="51">
        <f t="shared" si="230"/>
        <v>0</v>
      </c>
      <c r="AE560" s="51">
        <f t="shared" si="232"/>
        <v>66666666.666666664</v>
      </c>
      <c r="AF560" s="51">
        <f t="shared" si="231"/>
        <v>0</v>
      </c>
      <c r="AG560" s="55">
        <f t="shared" si="232"/>
        <v>0</v>
      </c>
      <c r="AH560" s="29">
        <f>SUM($AF$2:AF560)</f>
        <v>300</v>
      </c>
      <c r="AI560" s="55">
        <f>SUM($AG$2:AG560)</f>
        <v>299.99999999999824</v>
      </c>
    </row>
    <row r="561" spans="1:35" x14ac:dyDescent="0.2">
      <c r="A561" s="48" t="s">
        <v>2937</v>
      </c>
      <c r="B561" s="29">
        <v>990</v>
      </c>
      <c r="N561" s="33"/>
      <c r="Q561" s="33"/>
      <c r="S561" s="33"/>
      <c r="U561" s="39"/>
      <c r="V561" s="41">
        <f>VLOOKUP(B561,LevelXp!$D$1:'LevelXp'!$F$1000,3,)</f>
        <v>300000000</v>
      </c>
      <c r="Y561" s="41">
        <v>411</v>
      </c>
      <c r="Z561" s="41">
        <v>300000000</v>
      </c>
      <c r="AA561" s="41">
        <v>0</v>
      </c>
      <c r="AC561" s="50">
        <v>560</v>
      </c>
      <c r="AD561" s="51">
        <f t="shared" si="230"/>
        <v>0</v>
      </c>
      <c r="AE561" s="51">
        <f t="shared" si="232"/>
        <v>66666666.666666664</v>
      </c>
      <c r="AF561" s="51">
        <f t="shared" si="231"/>
        <v>0</v>
      </c>
      <c r="AG561" s="55">
        <f t="shared" si="232"/>
        <v>0</v>
      </c>
      <c r="AH561" s="29">
        <f>SUM($AF$2:AF561)</f>
        <v>300</v>
      </c>
      <c r="AI561" s="55">
        <f>SUM($AG$2:AG561)</f>
        <v>299.99999999999824</v>
      </c>
    </row>
    <row r="562" spans="1:35" x14ac:dyDescent="0.2">
      <c r="A562" s="48" t="s">
        <v>2937</v>
      </c>
      <c r="B562" s="29">
        <v>1000</v>
      </c>
      <c r="N562" s="33"/>
      <c r="Q562" s="33"/>
      <c r="S562" s="33"/>
      <c r="U562" s="39"/>
      <c r="V562" s="41">
        <f>VLOOKUP(B562,LevelXp!$D$1:'LevelXp'!$F$1000,3,)</f>
        <v>300000000</v>
      </c>
      <c r="Y562" s="41">
        <v>412</v>
      </c>
      <c r="Z562" s="41">
        <v>300000000</v>
      </c>
      <c r="AA562" s="41">
        <v>0</v>
      </c>
      <c r="AC562" s="50">
        <v>561</v>
      </c>
      <c r="AD562" s="51">
        <f t="shared" si="230"/>
        <v>0</v>
      </c>
      <c r="AE562" s="51">
        <f t="shared" si="232"/>
        <v>33333333.333333332</v>
      </c>
      <c r="AF562" s="51">
        <f t="shared" si="231"/>
        <v>0</v>
      </c>
      <c r="AG562" s="55">
        <f t="shared" si="232"/>
        <v>0</v>
      </c>
      <c r="AH562" s="29">
        <f>SUM($AF$2:AF562)</f>
        <v>300</v>
      </c>
      <c r="AI562" s="55">
        <f>SUM($AG$2:AG562)</f>
        <v>299.99999999999824</v>
      </c>
    </row>
    <row r="563" spans="1:35" x14ac:dyDescent="0.2">
      <c r="A563" s="48" t="s">
        <v>8854</v>
      </c>
      <c r="B563" s="29">
        <v>6</v>
      </c>
      <c r="C563" s="29">
        <v>3</v>
      </c>
      <c r="D563" s="29">
        <v>460</v>
      </c>
      <c r="E563" s="29">
        <v>26790</v>
      </c>
      <c r="F563" s="29">
        <v>74640</v>
      </c>
      <c r="G563" s="29">
        <v>26580</v>
      </c>
      <c r="H563" s="29">
        <v>243450</v>
      </c>
      <c r="I563" s="29">
        <v>47760</v>
      </c>
      <c r="J563" s="29">
        <v>706649984</v>
      </c>
      <c r="K563" s="29">
        <v>1757</v>
      </c>
      <c r="L563" s="29">
        <v>2041</v>
      </c>
      <c r="N563" s="33"/>
      <c r="O563" s="29">
        <f t="shared" ref="O563:O594" si="233">AVERAGE(K563, L563)</f>
        <v>1899</v>
      </c>
      <c r="P563" s="31" cm="1">
        <f t="array" ref="P563">WPNFACTOR(C563)</f>
        <v>2.5</v>
      </c>
      <c r="Q563" s="33" cm="1">
        <f t="array" ref="Q563">HPFACTOr(C563)</f>
        <v>4</v>
      </c>
      <c r="R563" s="32">
        <f t="shared" ref="R563:R594" si="234">O563/P563</f>
        <v>759.6</v>
      </c>
      <c r="S563" s="33">
        <f t="shared" ref="S563:S594" si="235">J563/Q563</f>
        <v>176662496</v>
      </c>
      <c r="T563" s="32">
        <f t="shared" ref="T563:T594" si="236">R563*(1 + (N563/400))</f>
        <v>759.6</v>
      </c>
      <c r="U563" s="39">
        <f t="shared" ref="U563:U594" si="237">S563*1.6/(1 + (0.6*(1 - (M563/100))))</f>
        <v>176662496</v>
      </c>
      <c r="V563" s="41">
        <f>VLOOKUP(D563,LevelXp!$A$1:'LevelXp'!$B$1000,2,)/5</f>
        <v>300000000</v>
      </c>
      <c r="W563" s="29">
        <f t="shared" ref="W563:W594" si="238">T563*U563</f>
        <v>134192831961.60001</v>
      </c>
      <c r="X563" s="32">
        <f t="shared" ref="X563:X594" si="239">POWER(W563, 1/$X$1)</f>
        <v>168.09154292966917</v>
      </c>
      <c r="Y563" s="41">
        <v>413</v>
      </c>
      <c r="Z563" s="41">
        <v>300000000</v>
      </c>
      <c r="AA563" s="41">
        <v>0</v>
      </c>
      <c r="AC563" s="50">
        <v>562</v>
      </c>
      <c r="AD563" s="51">
        <f t="shared" si="230"/>
        <v>300000000</v>
      </c>
      <c r="AE563" s="51">
        <f t="shared" si="232"/>
        <v>33333333.333333332</v>
      </c>
      <c r="AF563" s="51">
        <f t="shared" si="231"/>
        <v>0</v>
      </c>
      <c r="AG563" s="55">
        <f t="shared" si="232"/>
        <v>0</v>
      </c>
      <c r="AH563" s="29">
        <f>SUM($AF$2:AF563)</f>
        <v>300</v>
      </c>
      <c r="AI563" s="55">
        <f>SUM($AG$2:AG563)</f>
        <v>299.99999999999824</v>
      </c>
    </row>
    <row r="564" spans="1:35" x14ac:dyDescent="0.2">
      <c r="A564" s="48" t="s">
        <v>8857</v>
      </c>
      <c r="B564" s="29">
        <v>9</v>
      </c>
      <c r="C564" s="29">
        <v>3</v>
      </c>
      <c r="D564" s="29">
        <v>455</v>
      </c>
      <c r="E564" s="29">
        <v>28000</v>
      </c>
      <c r="F564" s="29">
        <v>40000</v>
      </c>
      <c r="G564" s="29">
        <v>28000</v>
      </c>
      <c r="H564" s="29">
        <v>250000</v>
      </c>
      <c r="I564" s="29">
        <v>13000</v>
      </c>
      <c r="J564" s="29">
        <v>697500032</v>
      </c>
      <c r="K564" s="29">
        <v>760</v>
      </c>
      <c r="L564" s="29">
        <v>1519</v>
      </c>
      <c r="M564" s="29">
        <v>60</v>
      </c>
      <c r="N564" s="33">
        <v>60</v>
      </c>
      <c r="O564" s="29">
        <f t="shared" si="233"/>
        <v>1139.5</v>
      </c>
      <c r="P564" s="31" cm="1">
        <f t="array" ref="P564">WPNFACTOR(C564)</f>
        <v>2.5</v>
      </c>
      <c r="Q564" s="33" cm="1">
        <f t="array" ref="Q564">HPFACTOr(C564)</f>
        <v>4</v>
      </c>
      <c r="R564" s="32">
        <f t="shared" si="234"/>
        <v>455.8</v>
      </c>
      <c r="S564" s="33">
        <f t="shared" si="235"/>
        <v>174375008</v>
      </c>
      <c r="T564" s="32">
        <f t="shared" si="236"/>
        <v>524.16999999999996</v>
      </c>
      <c r="U564" s="39">
        <f t="shared" si="237"/>
        <v>225000010.32258067</v>
      </c>
      <c r="V564" s="41">
        <f>VLOOKUP(D564,LevelXp!$A$1:'LevelXp'!$B$1000,2,)/5</f>
        <v>300000000</v>
      </c>
      <c r="W564" s="29">
        <f t="shared" si="238"/>
        <v>117938255410.78709</v>
      </c>
      <c r="X564" s="32">
        <f t="shared" si="239"/>
        <v>163.80642790474465</v>
      </c>
      <c r="Y564" s="41">
        <v>415</v>
      </c>
      <c r="Z564" s="41">
        <v>300000000</v>
      </c>
      <c r="AA564" s="41">
        <v>1</v>
      </c>
      <c r="AC564" s="50">
        <v>563</v>
      </c>
      <c r="AD564" s="51">
        <f t="shared" si="230"/>
        <v>0</v>
      </c>
      <c r="AE564" s="51">
        <f t="shared" si="232"/>
        <v>33333333.333333332</v>
      </c>
      <c r="AF564" s="51">
        <f t="shared" si="231"/>
        <v>0</v>
      </c>
      <c r="AG564" s="55">
        <f t="shared" si="232"/>
        <v>0</v>
      </c>
      <c r="AH564" s="29">
        <f>SUM($AF$2:AF564)</f>
        <v>300</v>
      </c>
      <c r="AI564" s="55">
        <f>SUM($AG$2:AG564)</f>
        <v>299.99999999999824</v>
      </c>
    </row>
    <row r="565" spans="1:35" x14ac:dyDescent="0.2">
      <c r="A565" s="48" t="s">
        <v>8857</v>
      </c>
      <c r="B565" s="29">
        <v>10</v>
      </c>
      <c r="C565" s="29">
        <v>2</v>
      </c>
      <c r="D565" s="29">
        <v>500</v>
      </c>
      <c r="E565" s="29">
        <v>33333</v>
      </c>
      <c r="F565" s="29">
        <v>33333</v>
      </c>
      <c r="G565" s="29">
        <v>44444</v>
      </c>
      <c r="H565" s="29">
        <v>300000</v>
      </c>
      <c r="I565" s="29">
        <v>15000</v>
      </c>
      <c r="J565" s="29">
        <v>459000000</v>
      </c>
      <c r="K565" s="29">
        <v>1500</v>
      </c>
      <c r="L565" s="29">
        <v>2996</v>
      </c>
      <c r="M565" s="29">
        <v>60</v>
      </c>
      <c r="N565" s="33">
        <v>60</v>
      </c>
      <c r="O565" s="29">
        <f t="shared" si="233"/>
        <v>2248</v>
      </c>
      <c r="P565" s="31" cm="1">
        <f t="array" ref="P565">WPNFACTOR(C565)</f>
        <v>4.5</v>
      </c>
      <c r="Q565" s="33" cm="1">
        <f t="array" ref="Q565">HPFACTOr(C565)</f>
        <v>2</v>
      </c>
      <c r="R565" s="32">
        <f t="shared" si="234"/>
        <v>499.55555555555554</v>
      </c>
      <c r="S565" s="33">
        <f t="shared" si="235"/>
        <v>229500000</v>
      </c>
      <c r="T565" s="32">
        <f t="shared" si="236"/>
        <v>574.48888888888882</v>
      </c>
      <c r="U565" s="39">
        <f t="shared" si="237"/>
        <v>296129032.25806451</v>
      </c>
      <c r="V565" s="41">
        <f>VLOOKUP(D565,LevelXp!$A$1:'LevelXp'!$B$1000,2,)/5</f>
        <v>300000000</v>
      </c>
      <c r="W565" s="29">
        <f t="shared" si="238"/>
        <v>170122838709.6774</v>
      </c>
      <c r="X565" s="32">
        <f t="shared" si="239"/>
        <v>176.25949608566773</v>
      </c>
      <c r="Y565" s="41">
        <v>417</v>
      </c>
      <c r="Z565" s="41">
        <v>300000000</v>
      </c>
      <c r="AA565" s="41">
        <v>1</v>
      </c>
      <c r="AC565" s="50">
        <v>564</v>
      </c>
      <c r="AD565" s="51">
        <f t="shared" si="230"/>
        <v>0</v>
      </c>
      <c r="AE565" s="51">
        <f t="shared" si="232"/>
        <v>66666666.666666664</v>
      </c>
      <c r="AF565" s="51">
        <f t="shared" si="231"/>
        <v>0</v>
      </c>
      <c r="AG565" s="55">
        <f t="shared" si="232"/>
        <v>0</v>
      </c>
      <c r="AH565" s="29">
        <f>SUM($AF$2:AF565)</f>
        <v>300</v>
      </c>
      <c r="AI565" s="55">
        <f>SUM($AG$2:AG565)</f>
        <v>299.99999999999824</v>
      </c>
    </row>
    <row r="566" spans="1:35" x14ac:dyDescent="0.2">
      <c r="A566" s="48" t="s">
        <v>2846</v>
      </c>
      <c r="B566" s="29">
        <v>8</v>
      </c>
      <c r="C566" s="29">
        <v>5</v>
      </c>
      <c r="D566" s="29">
        <v>444</v>
      </c>
      <c r="E566" s="29">
        <v>290000</v>
      </c>
      <c r="F566" s="29">
        <v>6000</v>
      </c>
      <c r="G566" s="29">
        <v>6000</v>
      </c>
      <c r="H566" s="29">
        <v>248000</v>
      </c>
      <c r="I566" s="29">
        <v>18000</v>
      </c>
      <c r="J566" s="29">
        <v>300000000</v>
      </c>
      <c r="K566" s="29">
        <v>5001</v>
      </c>
      <c r="L566" s="29">
        <v>6499</v>
      </c>
      <c r="N566" s="33"/>
      <c r="O566" s="29">
        <f t="shared" si="233"/>
        <v>5750</v>
      </c>
      <c r="P566" s="31" cm="1">
        <f t="array" ref="P566">WPNFACTOR(C566)</f>
        <v>2</v>
      </c>
      <c r="Q566" s="33" cm="1">
        <f t="array" ref="Q566">HPFACTOr(C566)</f>
        <v>5</v>
      </c>
      <c r="R566" s="32">
        <f t="shared" si="234"/>
        <v>2875</v>
      </c>
      <c r="S566" s="33">
        <f t="shared" si="235"/>
        <v>60000000</v>
      </c>
      <c r="T566" s="32">
        <f t="shared" si="236"/>
        <v>2875</v>
      </c>
      <c r="U566" s="39">
        <f t="shared" si="237"/>
        <v>60000000</v>
      </c>
      <c r="V566" s="41">
        <f>VLOOKUP(D566,LevelXp!$A$1:'LevelXp'!$B$1000,2,)/5</f>
        <v>300000000</v>
      </c>
      <c r="W566" s="29">
        <f t="shared" si="238"/>
        <v>172500000000</v>
      </c>
      <c r="X566" s="32">
        <f t="shared" si="239"/>
        <v>176.74934777724511</v>
      </c>
      <c r="Y566" s="41">
        <v>419</v>
      </c>
      <c r="Z566" s="41">
        <v>300000000</v>
      </c>
      <c r="AA566" s="41">
        <v>1</v>
      </c>
      <c r="AC566" s="50">
        <v>565</v>
      </c>
      <c r="AD566" s="51">
        <f t="shared" si="230"/>
        <v>0</v>
      </c>
      <c r="AE566" s="51">
        <f t="shared" si="232"/>
        <v>66666666.666666664</v>
      </c>
      <c r="AF566" s="51">
        <f t="shared" si="231"/>
        <v>0</v>
      </c>
      <c r="AG566" s="55">
        <f t="shared" si="232"/>
        <v>0</v>
      </c>
      <c r="AH566" s="29">
        <f>SUM($AF$2:AF566)</f>
        <v>300</v>
      </c>
      <c r="AI566" s="55">
        <f>SUM($AG$2:AG566)</f>
        <v>299.99999999999824</v>
      </c>
    </row>
    <row r="567" spans="1:35" x14ac:dyDescent="0.2">
      <c r="A567" s="48" t="s">
        <v>8854</v>
      </c>
      <c r="B567" s="29">
        <v>7</v>
      </c>
      <c r="C567" s="29">
        <v>3</v>
      </c>
      <c r="D567" s="29">
        <v>470</v>
      </c>
      <c r="E567" s="29">
        <v>23460</v>
      </c>
      <c r="F567" s="29">
        <v>77880</v>
      </c>
      <c r="G567" s="29">
        <v>23100</v>
      </c>
      <c r="H567" s="29">
        <v>245250</v>
      </c>
      <c r="I567" s="29">
        <v>47820</v>
      </c>
      <c r="J567" s="29">
        <v>722437504</v>
      </c>
      <c r="K567" s="29">
        <v>1005</v>
      </c>
      <c r="L567" s="29">
        <v>2919</v>
      </c>
      <c r="N567" s="33"/>
      <c r="O567" s="29">
        <f t="shared" si="233"/>
        <v>1962</v>
      </c>
      <c r="P567" s="31" cm="1">
        <f t="array" ref="P567">WPNFACTOR(C567)</f>
        <v>2.5</v>
      </c>
      <c r="Q567" s="33" cm="1">
        <f t="array" ref="Q567">HPFACTOr(C567)</f>
        <v>4</v>
      </c>
      <c r="R567" s="32">
        <f t="shared" si="234"/>
        <v>784.8</v>
      </c>
      <c r="S567" s="33">
        <f t="shared" si="235"/>
        <v>180609376</v>
      </c>
      <c r="T567" s="32">
        <f t="shared" si="236"/>
        <v>784.8</v>
      </c>
      <c r="U567" s="39">
        <f t="shared" si="237"/>
        <v>180609376</v>
      </c>
      <c r="V567" s="41">
        <f>VLOOKUP(D567,LevelXp!$A$1:'LevelXp'!$B$1000,2,)/5</f>
        <v>300000000</v>
      </c>
      <c r="W567" s="29">
        <f t="shared" si="238"/>
        <v>141742238284.79999</v>
      </c>
      <c r="X567" s="32">
        <f t="shared" si="239"/>
        <v>169.94166045140139</v>
      </c>
      <c r="Y567" s="41">
        <v>421</v>
      </c>
      <c r="Z567" s="41">
        <v>300000000</v>
      </c>
      <c r="AA567" s="41">
        <v>0</v>
      </c>
      <c r="AC567" s="50">
        <v>566</v>
      </c>
      <c r="AD567" s="51">
        <f t="shared" si="230"/>
        <v>0</v>
      </c>
      <c r="AE567" s="51">
        <f t="shared" si="232"/>
        <v>66666666.666666664</v>
      </c>
      <c r="AF567" s="51">
        <f t="shared" si="231"/>
        <v>0</v>
      </c>
      <c r="AG567" s="55">
        <f t="shared" si="232"/>
        <v>0</v>
      </c>
      <c r="AH567" s="29">
        <f>SUM($AF$2:AF567)</f>
        <v>300</v>
      </c>
      <c r="AI567" s="55">
        <f>SUM($AG$2:AG567)</f>
        <v>299.99999999999824</v>
      </c>
    </row>
    <row r="568" spans="1:35" x14ac:dyDescent="0.2">
      <c r="A568" s="48" t="s">
        <v>8853</v>
      </c>
      <c r="B568" s="29">
        <v>8</v>
      </c>
      <c r="C568" s="29">
        <v>1</v>
      </c>
      <c r="D568" s="29">
        <v>492</v>
      </c>
      <c r="E568" s="29">
        <v>41522</v>
      </c>
      <c r="F568" s="29">
        <v>14558</v>
      </c>
      <c r="G568" s="29">
        <v>14457</v>
      </c>
      <c r="H568" s="29">
        <v>222387</v>
      </c>
      <c r="I568" s="29">
        <v>9089</v>
      </c>
      <c r="J568" s="29">
        <v>548183936</v>
      </c>
      <c r="K568" s="29">
        <v>5260</v>
      </c>
      <c r="L568" s="29">
        <v>10509</v>
      </c>
      <c r="N568" s="33"/>
      <c r="O568" s="29">
        <f t="shared" si="233"/>
        <v>7884.5</v>
      </c>
      <c r="P568" s="31" cm="1">
        <f t="array" ref="P568">WPNFACTOR(C568)</f>
        <v>2</v>
      </c>
      <c r="Q568" s="33" cm="1">
        <f t="array" ref="Q568">HPFACTOr(C568)</f>
        <v>5</v>
      </c>
      <c r="R568" s="32">
        <f t="shared" si="234"/>
        <v>3942.25</v>
      </c>
      <c r="S568" s="33">
        <f t="shared" si="235"/>
        <v>109636787.2</v>
      </c>
      <c r="T568" s="32">
        <f t="shared" si="236"/>
        <v>3942.25</v>
      </c>
      <c r="U568" s="39">
        <f t="shared" si="237"/>
        <v>109636787.2</v>
      </c>
      <c r="V568" s="41">
        <f>VLOOKUP(D568,LevelXp!$A$1:'LevelXp'!$B$1000,2,)/5</f>
        <v>300000000</v>
      </c>
      <c r="W568" s="29">
        <f t="shared" si="238"/>
        <v>432215624339.20001</v>
      </c>
      <c r="X568" s="32">
        <f t="shared" si="239"/>
        <v>212.39294776769034</v>
      </c>
      <c r="Y568" s="41">
        <v>423</v>
      </c>
      <c r="Z568" s="41">
        <v>300000000</v>
      </c>
      <c r="AA568" s="41">
        <v>0</v>
      </c>
      <c r="AC568" s="50">
        <v>567</v>
      </c>
      <c r="AD568" s="51">
        <f t="shared" si="230"/>
        <v>0</v>
      </c>
      <c r="AE568" s="51">
        <f t="shared" si="232"/>
        <v>33333333.333333332</v>
      </c>
      <c r="AF568" s="51">
        <f t="shared" si="231"/>
        <v>0</v>
      </c>
      <c r="AG568" s="55">
        <f t="shared" si="232"/>
        <v>0</v>
      </c>
      <c r="AH568" s="29">
        <f>SUM($AF$2:AF568)</f>
        <v>300</v>
      </c>
      <c r="AI568" s="55">
        <f>SUM($AG$2:AG568)</f>
        <v>299.99999999999824</v>
      </c>
    </row>
    <row r="569" spans="1:35" x14ac:dyDescent="0.2">
      <c r="A569" s="48" t="s">
        <v>8867</v>
      </c>
      <c r="B569" s="29">
        <v>4</v>
      </c>
      <c r="C569" s="29">
        <v>1</v>
      </c>
      <c r="D569" s="29">
        <v>492</v>
      </c>
      <c r="E569" s="29">
        <v>40120</v>
      </c>
      <c r="F569" s="29">
        <v>14050</v>
      </c>
      <c r="G569" s="29">
        <v>13990</v>
      </c>
      <c r="H569" s="29">
        <v>153340</v>
      </c>
      <c r="I569" s="29">
        <v>8490</v>
      </c>
      <c r="J569" s="29">
        <v>377983104</v>
      </c>
      <c r="K569" s="29">
        <v>10206</v>
      </c>
      <c r="L569" s="29">
        <v>20378</v>
      </c>
      <c r="N569" s="33"/>
      <c r="O569" s="29">
        <f t="shared" si="233"/>
        <v>15292</v>
      </c>
      <c r="P569" s="31" cm="1">
        <f t="array" ref="P569">WPNFACTOR(C569)</f>
        <v>2</v>
      </c>
      <c r="Q569" s="33" cm="1">
        <f t="array" ref="Q569">HPFACTOr(C569)</f>
        <v>5</v>
      </c>
      <c r="R569" s="32">
        <f t="shared" si="234"/>
        <v>7646</v>
      </c>
      <c r="S569" s="33">
        <f t="shared" si="235"/>
        <v>75596620.799999997</v>
      </c>
      <c r="T569" s="32">
        <f t="shared" si="236"/>
        <v>7646</v>
      </c>
      <c r="U569" s="39">
        <f t="shared" si="237"/>
        <v>75596620.799999997</v>
      </c>
      <c r="V569" s="41">
        <f>VLOOKUP(D569,LevelXp!$A$1:'LevelXp'!$B$1000,2,)/5</f>
        <v>300000000</v>
      </c>
      <c r="W569" s="29">
        <f t="shared" si="238"/>
        <v>578011762636.79993</v>
      </c>
      <c r="X569" s="32">
        <f t="shared" si="239"/>
        <v>225.10613704938072</v>
      </c>
      <c r="Y569" s="41">
        <v>425</v>
      </c>
      <c r="Z569" s="41">
        <v>300000000</v>
      </c>
      <c r="AA569" s="41">
        <v>0</v>
      </c>
      <c r="AC569" s="50">
        <v>568</v>
      </c>
      <c r="AD569" s="51">
        <f t="shared" si="230"/>
        <v>300000000</v>
      </c>
      <c r="AE569" s="51">
        <f t="shared" si="232"/>
        <v>33333333.333333332</v>
      </c>
      <c r="AF569" s="51">
        <f t="shared" si="231"/>
        <v>0</v>
      </c>
      <c r="AG569" s="55">
        <f t="shared" si="232"/>
        <v>0</v>
      </c>
      <c r="AH569" s="29">
        <f>SUM($AF$2:AF569)</f>
        <v>300</v>
      </c>
      <c r="AI569" s="55">
        <f>SUM($AG$2:AG569)</f>
        <v>299.99999999999824</v>
      </c>
    </row>
    <row r="570" spans="1:35" x14ac:dyDescent="0.2">
      <c r="A570" s="48" t="s">
        <v>8867</v>
      </c>
      <c r="B570" s="29">
        <v>5</v>
      </c>
      <c r="C570" s="29">
        <v>2</v>
      </c>
      <c r="D570" s="29">
        <v>500</v>
      </c>
      <c r="E570" s="29">
        <v>16780</v>
      </c>
      <c r="F570" s="29">
        <v>16860</v>
      </c>
      <c r="G570" s="29">
        <v>48140</v>
      </c>
      <c r="H570" s="29">
        <v>168670</v>
      </c>
      <c r="I570" s="29">
        <v>10180</v>
      </c>
      <c r="J570" s="29">
        <v>169007344</v>
      </c>
      <c r="K570" s="29">
        <v>28462</v>
      </c>
      <c r="L570" s="29">
        <v>52706</v>
      </c>
      <c r="N570" s="33"/>
      <c r="O570" s="29">
        <f t="shared" si="233"/>
        <v>40584</v>
      </c>
      <c r="P570" s="31" cm="1">
        <f t="array" ref="P570">WPNFACTOR(C570)</f>
        <v>4.5</v>
      </c>
      <c r="Q570" s="33" cm="1">
        <f t="array" ref="Q570">HPFACTOr(C570)</f>
        <v>2</v>
      </c>
      <c r="R570" s="32">
        <f t="shared" si="234"/>
        <v>9018.6666666666661</v>
      </c>
      <c r="S570" s="33">
        <f t="shared" si="235"/>
        <v>84503672</v>
      </c>
      <c r="T570" s="32">
        <f t="shared" si="236"/>
        <v>9018.6666666666661</v>
      </c>
      <c r="U570" s="39">
        <f t="shared" si="237"/>
        <v>84503672</v>
      </c>
      <c r="V570" s="41">
        <f>VLOOKUP(D570,LevelXp!$A$1:'LevelXp'!$B$1000,2,)/5</f>
        <v>300000000</v>
      </c>
      <c r="W570" s="29">
        <f t="shared" si="238"/>
        <v>762110449877.33325</v>
      </c>
      <c r="X570" s="32">
        <f t="shared" si="239"/>
        <v>237.90500751132055</v>
      </c>
      <c r="Y570" s="41">
        <v>427</v>
      </c>
      <c r="Z570" s="41">
        <v>300000000</v>
      </c>
      <c r="AA570" s="41">
        <v>0</v>
      </c>
      <c r="AC570" s="50">
        <v>569</v>
      </c>
      <c r="AD570" s="51">
        <f t="shared" si="230"/>
        <v>0</v>
      </c>
      <c r="AE570" s="51">
        <f t="shared" si="232"/>
        <v>33333333.333333332</v>
      </c>
      <c r="AF570" s="51">
        <f t="shared" si="231"/>
        <v>0</v>
      </c>
      <c r="AG570" s="55">
        <f t="shared" si="232"/>
        <v>0</v>
      </c>
      <c r="AH570" s="29">
        <f>SUM($AF$2:AF570)</f>
        <v>300</v>
      </c>
      <c r="AI570" s="55">
        <f>SUM($AG$2:AG570)</f>
        <v>299.99999999999824</v>
      </c>
    </row>
    <row r="571" spans="1:35" x14ac:dyDescent="0.2">
      <c r="A571" s="48" t="s">
        <v>2846</v>
      </c>
      <c r="B571" s="29">
        <v>9</v>
      </c>
      <c r="C571" s="29">
        <v>6</v>
      </c>
      <c r="D571" s="29">
        <v>488</v>
      </c>
      <c r="E571" s="29">
        <v>350000</v>
      </c>
      <c r="F571" s="29">
        <v>7000</v>
      </c>
      <c r="G571" s="29">
        <v>7000</v>
      </c>
      <c r="H571" s="29">
        <v>300000</v>
      </c>
      <c r="I571" s="29">
        <v>21500</v>
      </c>
      <c r="J571" s="29">
        <v>360000000</v>
      </c>
      <c r="K571" s="29">
        <v>4465</v>
      </c>
      <c r="L571" s="29">
        <v>6102</v>
      </c>
      <c r="N571" s="33"/>
      <c r="O571" s="29">
        <f t="shared" si="233"/>
        <v>5283.5</v>
      </c>
      <c r="P571" s="31" cm="1">
        <f t="array" ref="P571">WPNFACTOR(C571)</f>
        <v>2</v>
      </c>
      <c r="Q571" s="33" cm="1">
        <f t="array" ref="Q571">HPFACTOr(C571)</f>
        <v>4</v>
      </c>
      <c r="R571" s="32">
        <f t="shared" si="234"/>
        <v>2641.75</v>
      </c>
      <c r="S571" s="33">
        <f t="shared" si="235"/>
        <v>90000000</v>
      </c>
      <c r="T571" s="32">
        <f t="shared" si="236"/>
        <v>2641.75</v>
      </c>
      <c r="U571" s="39">
        <f t="shared" si="237"/>
        <v>90000000</v>
      </c>
      <c r="V571" s="41">
        <f>VLOOKUP(D571,LevelXp!$A$1:'LevelXp'!$B$1000,2,)/5</f>
        <v>300000000</v>
      </c>
      <c r="W571" s="29">
        <f t="shared" si="238"/>
        <v>237757500000</v>
      </c>
      <c r="X571" s="32">
        <f t="shared" si="239"/>
        <v>188.46332332248699</v>
      </c>
      <c r="Y571" s="41">
        <v>429</v>
      </c>
      <c r="Z571" s="41">
        <v>300000000</v>
      </c>
      <c r="AA571" s="41">
        <v>1</v>
      </c>
      <c r="AC571" s="50">
        <v>570</v>
      </c>
      <c r="AD571" s="51">
        <f t="shared" si="230"/>
        <v>0</v>
      </c>
      <c r="AE571" s="51">
        <f t="shared" si="232"/>
        <v>33333333.333333332</v>
      </c>
      <c r="AF571" s="51">
        <f t="shared" si="231"/>
        <v>0</v>
      </c>
      <c r="AG571" s="55">
        <f t="shared" si="232"/>
        <v>0</v>
      </c>
      <c r="AH571" s="29">
        <f>SUM($AF$2:AF571)</f>
        <v>300</v>
      </c>
      <c r="AI571" s="55">
        <f>SUM($AG$2:AG571)</f>
        <v>299.99999999999824</v>
      </c>
    </row>
    <row r="572" spans="1:35" x14ac:dyDescent="0.2">
      <c r="A572" s="48" t="s">
        <v>8854</v>
      </c>
      <c r="B572" s="29">
        <v>8</v>
      </c>
      <c r="C572" s="29">
        <v>1</v>
      </c>
      <c r="D572" s="29">
        <v>480</v>
      </c>
      <c r="E572" s="29">
        <v>89244</v>
      </c>
      <c r="F572" s="29">
        <v>18792</v>
      </c>
      <c r="G572" s="29">
        <v>11916</v>
      </c>
      <c r="H572" s="29">
        <v>262327</v>
      </c>
      <c r="I572" s="29">
        <v>48132</v>
      </c>
      <c r="J572" s="29">
        <v>1039800576</v>
      </c>
      <c r="K572" s="29">
        <v>1410</v>
      </c>
      <c r="L572" s="29">
        <v>1689</v>
      </c>
      <c r="N572" s="33"/>
      <c r="O572" s="29">
        <f t="shared" si="233"/>
        <v>1549.5</v>
      </c>
      <c r="P572" s="31" cm="1">
        <f t="array" ref="P572">WPNFACTOR(C572)</f>
        <v>2</v>
      </c>
      <c r="Q572" s="33" cm="1">
        <f t="array" ref="Q572">HPFACTOr(C572)</f>
        <v>5</v>
      </c>
      <c r="R572" s="32">
        <f t="shared" si="234"/>
        <v>774.75</v>
      </c>
      <c r="S572" s="33">
        <f t="shared" si="235"/>
        <v>207960115.19999999</v>
      </c>
      <c r="T572" s="32">
        <f t="shared" si="236"/>
        <v>774.75</v>
      </c>
      <c r="U572" s="39">
        <f t="shared" si="237"/>
        <v>207960115.19999999</v>
      </c>
      <c r="V572" s="41">
        <f>VLOOKUP(D572,LevelXp!$A$1:'LevelXp'!$B$1000,2,)/5</f>
        <v>300000000</v>
      </c>
      <c r="W572" s="29">
        <f t="shared" si="238"/>
        <v>161117099251.19998</v>
      </c>
      <c r="X572" s="32">
        <f t="shared" si="239"/>
        <v>174.35255935445647</v>
      </c>
      <c r="Y572" s="41">
        <v>431</v>
      </c>
      <c r="Z572" s="41">
        <v>300000000</v>
      </c>
      <c r="AA572" s="41">
        <v>0</v>
      </c>
      <c r="AC572" s="50">
        <v>571</v>
      </c>
      <c r="AD572" s="51">
        <f t="shared" si="230"/>
        <v>0</v>
      </c>
      <c r="AE572" s="51">
        <f t="shared" si="232"/>
        <v>33333333.333333332</v>
      </c>
      <c r="AF572" s="51">
        <f t="shared" si="231"/>
        <v>0</v>
      </c>
      <c r="AG572" s="55">
        <f t="shared" si="232"/>
        <v>0</v>
      </c>
      <c r="AH572" s="29">
        <f>SUM($AF$2:AF572)</f>
        <v>300</v>
      </c>
      <c r="AI572" s="55">
        <f>SUM($AG$2:AG572)</f>
        <v>299.99999999999824</v>
      </c>
    </row>
    <row r="573" spans="1:35" x14ac:dyDescent="0.2">
      <c r="A573" s="48" t="s">
        <v>8856</v>
      </c>
      <c r="B573" s="29">
        <v>4</v>
      </c>
      <c r="C573" s="29">
        <v>1</v>
      </c>
      <c r="D573" s="29">
        <v>485</v>
      </c>
      <c r="E573" s="29">
        <v>90000</v>
      </c>
      <c r="F573" s="29">
        <v>19000</v>
      </c>
      <c r="G573" s="29">
        <v>18500</v>
      </c>
      <c r="H573" s="29">
        <v>265000</v>
      </c>
      <c r="I573" s="29">
        <v>48500</v>
      </c>
      <c r="J573" s="29">
        <v>721462528</v>
      </c>
      <c r="K573" s="29">
        <v>1697</v>
      </c>
      <c r="L573" s="29">
        <v>2909</v>
      </c>
      <c r="M573" s="29">
        <v>15</v>
      </c>
      <c r="N573" s="33">
        <v>60</v>
      </c>
      <c r="O573" s="29">
        <f t="shared" si="233"/>
        <v>2303</v>
      </c>
      <c r="P573" s="31" cm="1">
        <f t="array" ref="P573">WPNFACTOR(C573)</f>
        <v>2</v>
      </c>
      <c r="Q573" s="33" cm="1">
        <f t="array" ref="Q573">HPFACTOr(C573)</f>
        <v>5</v>
      </c>
      <c r="R573" s="32">
        <f t="shared" si="234"/>
        <v>1151.5</v>
      </c>
      <c r="S573" s="33">
        <f t="shared" si="235"/>
        <v>144292505.59999999</v>
      </c>
      <c r="T573" s="32">
        <f t="shared" si="236"/>
        <v>1324.2249999999999</v>
      </c>
      <c r="U573" s="39">
        <f t="shared" si="237"/>
        <v>152892721.16556293</v>
      </c>
      <c r="V573" s="41">
        <f>VLOOKUP(D573,LevelXp!$A$1:'LevelXp'!$B$1000,2,)/5</f>
        <v>300000000</v>
      </c>
      <c r="W573" s="29">
        <f t="shared" si="238"/>
        <v>202464363685.46756</v>
      </c>
      <c r="X573" s="32">
        <f t="shared" si="239"/>
        <v>182.50287845261261</v>
      </c>
      <c r="Y573" s="41">
        <v>433</v>
      </c>
      <c r="Z573" s="41">
        <v>300000000</v>
      </c>
      <c r="AA573" s="41">
        <v>0</v>
      </c>
      <c r="AC573" s="50">
        <v>572</v>
      </c>
      <c r="AD573" s="51">
        <f t="shared" si="230"/>
        <v>0</v>
      </c>
      <c r="AE573" s="51">
        <f t="shared" si="232"/>
        <v>33333333.333333332</v>
      </c>
      <c r="AF573" s="51">
        <f t="shared" si="231"/>
        <v>0</v>
      </c>
      <c r="AG573" s="55">
        <f t="shared" si="232"/>
        <v>0</v>
      </c>
      <c r="AH573" s="29">
        <f>SUM($AF$2:AF573)</f>
        <v>300</v>
      </c>
      <c r="AI573" s="55">
        <f>SUM($AG$2:AG573)</f>
        <v>299.99999999999824</v>
      </c>
    </row>
    <row r="574" spans="1:35" x14ac:dyDescent="0.2">
      <c r="A574" s="48" t="s">
        <v>8853</v>
      </c>
      <c r="B574" s="29">
        <v>9</v>
      </c>
      <c r="C574" s="29">
        <v>1</v>
      </c>
      <c r="D574" s="29">
        <v>496</v>
      </c>
      <c r="E574" s="29">
        <v>47500</v>
      </c>
      <c r="F574" s="29">
        <v>16500</v>
      </c>
      <c r="G574" s="29">
        <v>16000</v>
      </c>
      <c r="H574" s="29">
        <v>270000</v>
      </c>
      <c r="I574" s="29">
        <v>11000</v>
      </c>
      <c r="J574" s="29">
        <v>670950016</v>
      </c>
      <c r="K574" s="29">
        <v>6337</v>
      </c>
      <c r="L574" s="29">
        <v>10105</v>
      </c>
      <c r="N574" s="33"/>
      <c r="O574" s="29">
        <f t="shared" si="233"/>
        <v>8221</v>
      </c>
      <c r="P574" s="31" cm="1">
        <f t="array" ref="P574">WPNFACTOR(C574)</f>
        <v>2</v>
      </c>
      <c r="Q574" s="33" cm="1">
        <f t="array" ref="Q574">HPFACTOr(C574)</f>
        <v>5</v>
      </c>
      <c r="R574" s="32">
        <f t="shared" si="234"/>
        <v>4110.5</v>
      </c>
      <c r="S574" s="33">
        <f t="shared" si="235"/>
        <v>134190003.2</v>
      </c>
      <c r="T574" s="32">
        <f t="shared" si="236"/>
        <v>4110.5</v>
      </c>
      <c r="U574" s="39">
        <f t="shared" si="237"/>
        <v>134190003.19999999</v>
      </c>
      <c r="V574" s="41">
        <f>VLOOKUP(D574,LevelXp!$A$1:'LevelXp'!$B$1000,2,)/5</f>
        <v>300000000</v>
      </c>
      <c r="W574" s="29">
        <f t="shared" si="238"/>
        <v>551588008153.59998</v>
      </c>
      <c r="X574" s="32">
        <f t="shared" si="239"/>
        <v>223.00929417428767</v>
      </c>
      <c r="Y574" s="41">
        <v>434</v>
      </c>
      <c r="Z574" s="41">
        <v>300000000</v>
      </c>
      <c r="AA574" s="41">
        <v>0</v>
      </c>
      <c r="AC574" s="50">
        <v>573</v>
      </c>
      <c r="AD574" s="51">
        <f t="shared" si="230"/>
        <v>0</v>
      </c>
      <c r="AE574" s="51">
        <f t="shared" si="232"/>
        <v>33333333.333333332</v>
      </c>
      <c r="AF574" s="51">
        <f t="shared" si="231"/>
        <v>0</v>
      </c>
      <c r="AG574" s="55">
        <f t="shared" si="232"/>
        <v>0</v>
      </c>
      <c r="AH574" s="29">
        <f>SUM($AF$2:AF574)</f>
        <v>300</v>
      </c>
      <c r="AI574" s="55">
        <f>SUM($AG$2:AG574)</f>
        <v>299.99999999999824</v>
      </c>
    </row>
    <row r="575" spans="1:35" x14ac:dyDescent="0.2">
      <c r="A575" s="48" t="s">
        <v>8853</v>
      </c>
      <c r="B575" s="29">
        <v>10</v>
      </c>
      <c r="C575" s="29">
        <v>2</v>
      </c>
      <c r="D575" s="29">
        <v>500</v>
      </c>
      <c r="E575" s="29">
        <v>9500</v>
      </c>
      <c r="F575" s="29">
        <v>11000</v>
      </c>
      <c r="G575" s="29">
        <v>40200</v>
      </c>
      <c r="H575" s="29">
        <v>190000</v>
      </c>
      <c r="I575" s="29">
        <v>29800</v>
      </c>
      <c r="J575" s="29">
        <v>454106400</v>
      </c>
      <c r="K575" s="29">
        <v>12038</v>
      </c>
      <c r="L575" s="29">
        <v>24020</v>
      </c>
      <c r="N575" s="33"/>
      <c r="O575" s="29">
        <f t="shared" si="233"/>
        <v>18029</v>
      </c>
      <c r="P575" s="31" cm="1">
        <f t="array" ref="P575">WPNFACTOR(C575)</f>
        <v>4.5</v>
      </c>
      <c r="Q575" s="33" cm="1">
        <f t="array" ref="Q575">HPFACTOr(C575)</f>
        <v>2</v>
      </c>
      <c r="R575" s="32">
        <f t="shared" si="234"/>
        <v>4006.4444444444443</v>
      </c>
      <c r="S575" s="33">
        <f t="shared" si="235"/>
        <v>227053200</v>
      </c>
      <c r="T575" s="32">
        <f t="shared" si="236"/>
        <v>4006.4444444444443</v>
      </c>
      <c r="U575" s="39">
        <f t="shared" si="237"/>
        <v>227053200</v>
      </c>
      <c r="V575" s="41">
        <f>VLOOKUP(D575,LevelXp!$A$1:'LevelXp'!$B$1000,2,)/5</f>
        <v>300000000</v>
      </c>
      <c r="W575" s="29">
        <f t="shared" si="238"/>
        <v>909676031733.33325</v>
      </c>
      <c r="X575" s="32">
        <f t="shared" si="239"/>
        <v>246.47753977436284</v>
      </c>
      <c r="Y575" s="41">
        <v>436</v>
      </c>
      <c r="Z575" s="41">
        <v>300000000</v>
      </c>
      <c r="AA575" s="41">
        <v>0</v>
      </c>
      <c r="AC575" s="50">
        <v>574</v>
      </c>
      <c r="AD575" s="51">
        <f t="shared" si="230"/>
        <v>0</v>
      </c>
      <c r="AE575" s="51">
        <f t="shared" si="232"/>
        <v>33333333.333333332</v>
      </c>
      <c r="AF575" s="51">
        <f t="shared" si="231"/>
        <v>0</v>
      </c>
      <c r="AG575" s="55">
        <f t="shared" si="232"/>
        <v>0</v>
      </c>
      <c r="AH575" s="29">
        <f>SUM($AF$2:AF575)</f>
        <v>300</v>
      </c>
      <c r="AI575" s="55">
        <f>SUM($AG$2:AG575)</f>
        <v>299.99999999999824</v>
      </c>
    </row>
    <row r="576" spans="1:35" x14ac:dyDescent="0.2">
      <c r="A576" s="48" t="s">
        <v>8864</v>
      </c>
      <c r="B576" s="29">
        <v>1</v>
      </c>
      <c r="C576" s="29">
        <v>3</v>
      </c>
      <c r="D576" s="29">
        <v>504</v>
      </c>
      <c r="E576" s="29">
        <v>10719</v>
      </c>
      <c r="F576" s="29">
        <v>42680</v>
      </c>
      <c r="G576" s="29">
        <v>10670</v>
      </c>
      <c r="H576" s="29">
        <v>227166</v>
      </c>
      <c r="I576" s="29">
        <v>15287</v>
      </c>
      <c r="J576" s="29">
        <v>458875328</v>
      </c>
      <c r="K576" s="29">
        <v>7833</v>
      </c>
      <c r="L576" s="29">
        <v>12252</v>
      </c>
      <c r="N576" s="33"/>
      <c r="O576" s="29">
        <f t="shared" si="233"/>
        <v>10042.5</v>
      </c>
      <c r="P576" s="31" cm="1">
        <f t="array" ref="P576">WPNFACTOR(C576)</f>
        <v>2.5</v>
      </c>
      <c r="Q576" s="33" cm="1">
        <f t="array" ref="Q576">HPFACTOr(C576)</f>
        <v>4</v>
      </c>
      <c r="R576" s="32">
        <f t="shared" si="234"/>
        <v>4017</v>
      </c>
      <c r="S576" s="33">
        <f t="shared" si="235"/>
        <v>114718832</v>
      </c>
      <c r="T576" s="32">
        <f t="shared" si="236"/>
        <v>4017</v>
      </c>
      <c r="U576" s="39">
        <f t="shared" si="237"/>
        <v>114718832</v>
      </c>
      <c r="V576" s="41">
        <f>VLOOKUP(D576,LevelXp!$A$1:'LevelXp'!$B$1000,2,)/5</f>
        <v>300000000</v>
      </c>
      <c r="W576" s="29">
        <f t="shared" si="238"/>
        <v>460825548144</v>
      </c>
      <c r="X576" s="32">
        <f t="shared" si="239"/>
        <v>215.13313683335844</v>
      </c>
      <c r="Y576" s="41">
        <v>437</v>
      </c>
      <c r="Z576" s="41">
        <v>300000000</v>
      </c>
      <c r="AA576" s="41">
        <v>0</v>
      </c>
      <c r="AC576" s="50">
        <v>575</v>
      </c>
      <c r="AD576" s="51">
        <f t="shared" si="230"/>
        <v>0</v>
      </c>
      <c r="AE576" s="51">
        <f t="shared" si="232"/>
        <v>33333333.333333332</v>
      </c>
      <c r="AF576" s="51">
        <f t="shared" si="231"/>
        <v>0</v>
      </c>
      <c r="AG576" s="55">
        <f t="shared" si="232"/>
        <v>0</v>
      </c>
      <c r="AH576" s="29">
        <f>SUM($AF$2:AF576)</f>
        <v>300</v>
      </c>
      <c r="AI576" s="55">
        <f>SUM($AG$2:AG576)</f>
        <v>299.99999999999824</v>
      </c>
    </row>
    <row r="577" spans="1:35" x14ac:dyDescent="0.2">
      <c r="A577" s="48" t="s">
        <v>8864</v>
      </c>
      <c r="B577" s="29">
        <v>2</v>
      </c>
      <c r="C577" s="29">
        <v>2</v>
      </c>
      <c r="D577" s="29">
        <v>508</v>
      </c>
      <c r="E577" s="29">
        <v>13425</v>
      </c>
      <c r="F577" s="29">
        <v>13546</v>
      </c>
      <c r="G577" s="29">
        <v>54428</v>
      </c>
      <c r="H577" s="29">
        <v>284718</v>
      </c>
      <c r="I577" s="29">
        <v>19279</v>
      </c>
      <c r="J577" s="29">
        <v>289842912</v>
      </c>
      <c r="K577" s="29">
        <v>12223</v>
      </c>
      <c r="L577" s="29">
        <v>24428</v>
      </c>
      <c r="N577" s="33"/>
      <c r="O577" s="29">
        <f t="shared" si="233"/>
        <v>18325.5</v>
      </c>
      <c r="P577" s="31" cm="1">
        <f t="array" ref="P577">WPNFACTOR(C577)</f>
        <v>4.5</v>
      </c>
      <c r="Q577" s="33" cm="1">
        <f t="array" ref="Q577">HPFACTOr(C577)</f>
        <v>2</v>
      </c>
      <c r="R577" s="32">
        <f t="shared" si="234"/>
        <v>4072.3333333333335</v>
      </c>
      <c r="S577" s="33">
        <f t="shared" si="235"/>
        <v>144921456</v>
      </c>
      <c r="T577" s="32">
        <f t="shared" si="236"/>
        <v>4072.3333333333335</v>
      </c>
      <c r="U577" s="39">
        <f t="shared" si="237"/>
        <v>144921456</v>
      </c>
      <c r="V577" s="41">
        <f>VLOOKUP(D577,LevelXp!$A$1:'LevelXp'!$B$1000,2,)/5</f>
        <v>300000000</v>
      </c>
      <c r="W577" s="29">
        <f t="shared" si="238"/>
        <v>590168475984</v>
      </c>
      <c r="X577" s="32">
        <f t="shared" si="239"/>
        <v>226.04515430380624</v>
      </c>
      <c r="Y577" s="41">
        <v>439</v>
      </c>
      <c r="Z577" s="41">
        <v>300000000</v>
      </c>
      <c r="AA577" s="41">
        <v>0</v>
      </c>
      <c r="AC577" s="50">
        <v>576</v>
      </c>
      <c r="AD577" s="51">
        <f t="shared" si="230"/>
        <v>0</v>
      </c>
      <c r="AE577" s="51">
        <f t="shared" si="232"/>
        <v>33333333.333333332</v>
      </c>
      <c r="AF577" s="51">
        <f t="shared" si="231"/>
        <v>0</v>
      </c>
      <c r="AG577" s="55">
        <f t="shared" si="232"/>
        <v>0</v>
      </c>
      <c r="AH577" s="29">
        <f>SUM($AF$2:AF577)</f>
        <v>300</v>
      </c>
      <c r="AI577" s="55">
        <f>SUM($AG$2:AG577)</f>
        <v>299.99999999999824</v>
      </c>
    </row>
    <row r="578" spans="1:35" x14ac:dyDescent="0.2">
      <c r="A578" s="48" t="s">
        <v>8855</v>
      </c>
      <c r="B578" s="29">
        <v>9</v>
      </c>
      <c r="C578" s="29">
        <v>5</v>
      </c>
      <c r="D578" s="29">
        <v>505</v>
      </c>
      <c r="E578" s="29">
        <v>89425</v>
      </c>
      <c r="F578" s="29">
        <v>34237</v>
      </c>
      <c r="G578" s="29">
        <v>34416</v>
      </c>
      <c r="H578" s="29">
        <v>324682</v>
      </c>
      <c r="I578" s="29">
        <v>63017</v>
      </c>
      <c r="J578" s="29">
        <v>821445440</v>
      </c>
      <c r="K578" s="29">
        <v>1725</v>
      </c>
      <c r="L578" s="29">
        <v>2908</v>
      </c>
      <c r="N578" s="33"/>
      <c r="O578" s="29">
        <f t="shared" si="233"/>
        <v>2316.5</v>
      </c>
      <c r="P578" s="31" cm="1">
        <f t="array" ref="P578">WPNFACTOR(C578)</f>
        <v>2</v>
      </c>
      <c r="Q578" s="33" cm="1">
        <f t="array" ref="Q578">HPFACTOr(C578)</f>
        <v>5</v>
      </c>
      <c r="R578" s="32">
        <f t="shared" si="234"/>
        <v>1158.25</v>
      </c>
      <c r="S578" s="33">
        <f t="shared" si="235"/>
        <v>164289088</v>
      </c>
      <c r="T578" s="32">
        <f t="shared" si="236"/>
        <v>1158.25</v>
      </c>
      <c r="U578" s="39">
        <f t="shared" si="237"/>
        <v>164289088</v>
      </c>
      <c r="V578" s="41">
        <f>VLOOKUP(D578,LevelXp!$A$1:'LevelXp'!$B$1000,2,)/5</f>
        <v>300000000</v>
      </c>
      <c r="W578" s="29">
        <f t="shared" si="238"/>
        <v>190287836176</v>
      </c>
      <c r="X578" s="32">
        <f t="shared" si="239"/>
        <v>180.2528771438667</v>
      </c>
      <c r="Y578" s="41">
        <v>441</v>
      </c>
      <c r="Z578" s="41">
        <v>300000000</v>
      </c>
      <c r="AA578" s="41">
        <v>0</v>
      </c>
      <c r="AC578" s="50">
        <v>577</v>
      </c>
      <c r="AD578" s="51">
        <f t="shared" si="230"/>
        <v>300000000</v>
      </c>
      <c r="AE578" s="51">
        <f t="shared" si="232"/>
        <v>33333333.333333332</v>
      </c>
      <c r="AF578" s="51">
        <f t="shared" si="231"/>
        <v>0</v>
      </c>
      <c r="AG578" s="55">
        <f t="shared" si="232"/>
        <v>0</v>
      </c>
      <c r="AH578" s="29">
        <f>SUM($AF$2:AF578)</f>
        <v>300</v>
      </c>
      <c r="AI578" s="55">
        <f>SUM($AG$2:AG578)</f>
        <v>299.99999999999824</v>
      </c>
    </row>
    <row r="579" spans="1:35" x14ac:dyDescent="0.2">
      <c r="A579" s="48" t="s">
        <v>8855</v>
      </c>
      <c r="B579" s="29">
        <v>10</v>
      </c>
      <c r="C579" s="29">
        <v>3</v>
      </c>
      <c r="D579" s="29">
        <v>525</v>
      </c>
      <c r="E579" s="29">
        <v>37239</v>
      </c>
      <c r="F579" s="29">
        <v>76696</v>
      </c>
      <c r="G579" s="29">
        <v>37239</v>
      </c>
      <c r="H579" s="29">
        <v>330986</v>
      </c>
      <c r="I579" s="29">
        <v>53802</v>
      </c>
      <c r="J579" s="29">
        <v>696394560</v>
      </c>
      <c r="K579" s="29">
        <v>2236</v>
      </c>
      <c r="L579" s="29">
        <v>3778</v>
      </c>
      <c r="N579" s="33"/>
      <c r="O579" s="29">
        <f t="shared" si="233"/>
        <v>3007</v>
      </c>
      <c r="P579" s="31" cm="1">
        <f t="array" ref="P579">WPNFACTOR(C579)</f>
        <v>2.5</v>
      </c>
      <c r="Q579" s="33" cm="1">
        <f t="array" ref="Q579">HPFACTOr(C579)</f>
        <v>4</v>
      </c>
      <c r="R579" s="32">
        <f t="shared" si="234"/>
        <v>1202.8</v>
      </c>
      <c r="S579" s="33">
        <f t="shared" si="235"/>
        <v>174098640</v>
      </c>
      <c r="T579" s="32">
        <f t="shared" si="236"/>
        <v>1202.8</v>
      </c>
      <c r="U579" s="39">
        <f t="shared" si="237"/>
        <v>174098640</v>
      </c>
      <c r="V579" s="41">
        <f>VLOOKUP(D579,LevelXp!$A$1:'LevelXp'!$B$1000,2,)/5</f>
        <v>300000000</v>
      </c>
      <c r="W579" s="29">
        <f t="shared" si="238"/>
        <v>209405844192</v>
      </c>
      <c r="X579" s="32">
        <f t="shared" si="239"/>
        <v>183.73748167693404</v>
      </c>
      <c r="Y579" s="41">
        <v>443</v>
      </c>
      <c r="Z579" s="41">
        <v>300000000</v>
      </c>
      <c r="AA579" s="41">
        <v>0</v>
      </c>
      <c r="AC579" s="50">
        <v>578</v>
      </c>
      <c r="AD579" s="51">
        <f t="shared" ref="AD579:AD642" si="240">SUMIF($Y$2:$Y$682, AC579, $Z$2:$Z$682)</f>
        <v>0</v>
      </c>
      <c r="AE579" s="51">
        <f t="shared" si="232"/>
        <v>33333333.333333332</v>
      </c>
      <c r="AF579" s="51">
        <f t="shared" ref="AF579:AF642" si="241">SUMIF($Y$2:$Y$682, AC579, $AA$2:$AA$682)</f>
        <v>0</v>
      </c>
      <c r="AG579" s="55">
        <f t="shared" si="232"/>
        <v>0</v>
      </c>
      <c r="AH579" s="29">
        <f>SUM($AF$2:AF579)</f>
        <v>300</v>
      </c>
      <c r="AI579" s="55">
        <f>SUM($AG$2:AG579)</f>
        <v>299.99999999999824</v>
      </c>
    </row>
    <row r="580" spans="1:35" x14ac:dyDescent="0.2">
      <c r="A580" s="48" t="s">
        <v>8857</v>
      </c>
      <c r="B580" s="29">
        <v>1</v>
      </c>
      <c r="C580" s="29">
        <v>2</v>
      </c>
      <c r="D580" s="29">
        <v>345</v>
      </c>
      <c r="E580" s="29">
        <v>15000</v>
      </c>
      <c r="F580" s="29">
        <v>15000</v>
      </c>
      <c r="G580" s="29">
        <v>45000</v>
      </c>
      <c r="H580" s="29">
        <v>200000</v>
      </c>
      <c r="I580" s="29">
        <v>23500</v>
      </c>
      <c r="J580" s="29">
        <v>2875500032</v>
      </c>
      <c r="K580" s="29">
        <v>1038</v>
      </c>
      <c r="L580" s="29">
        <v>2069</v>
      </c>
      <c r="M580" s="29">
        <v>5</v>
      </c>
      <c r="N580" s="33">
        <v>30</v>
      </c>
      <c r="O580" s="29">
        <f t="shared" si="233"/>
        <v>1553.5</v>
      </c>
      <c r="P580" s="31" cm="1">
        <f t="array" ref="P580">WPNFACTOR(C580)</f>
        <v>4.5</v>
      </c>
      <c r="Q580" s="33" cm="1">
        <f t="array" ref="Q580">HPFACTOr(C580)</f>
        <v>2</v>
      </c>
      <c r="R580" s="32">
        <f t="shared" si="234"/>
        <v>345.22222222222223</v>
      </c>
      <c r="S580" s="33">
        <f t="shared" si="235"/>
        <v>1437750016</v>
      </c>
      <c r="T580" s="32">
        <f t="shared" si="236"/>
        <v>371.11388888888888</v>
      </c>
      <c r="U580" s="39">
        <f t="shared" si="237"/>
        <v>1465222946.2420382</v>
      </c>
      <c r="V580" s="41">
        <f>VLOOKUP(D580,LevelXp!$A$1:'LevelXp'!$B$1000,2,)/5</f>
        <v>153964246</v>
      </c>
      <c r="W580" s="29">
        <f t="shared" si="238"/>
        <v>543764585669.11816</v>
      </c>
      <c r="X580" s="32">
        <f t="shared" si="239"/>
        <v>222.37306593647696</v>
      </c>
      <c r="Y580" s="41">
        <v>445</v>
      </c>
      <c r="Z580" s="41">
        <v>153964246</v>
      </c>
      <c r="AA580" s="41">
        <v>0</v>
      </c>
      <c r="AC580" s="50">
        <v>579</v>
      </c>
      <c r="AD580" s="51">
        <f t="shared" si="240"/>
        <v>0</v>
      </c>
      <c r="AE580" s="51">
        <f t="shared" si="232"/>
        <v>33333333.333333332</v>
      </c>
      <c r="AF580" s="51">
        <f t="shared" si="241"/>
        <v>0</v>
      </c>
      <c r="AG580" s="55">
        <f t="shared" si="232"/>
        <v>0</v>
      </c>
      <c r="AH580" s="29">
        <f>SUM($AF$2:AF580)</f>
        <v>300</v>
      </c>
      <c r="AI580" s="55">
        <f>SUM($AG$2:AG580)</f>
        <v>299.99999999999824</v>
      </c>
    </row>
    <row r="581" spans="1:35" x14ac:dyDescent="0.2">
      <c r="A581" s="48" t="s">
        <v>8864</v>
      </c>
      <c r="B581" s="29">
        <v>3</v>
      </c>
      <c r="C581" s="29">
        <v>1</v>
      </c>
      <c r="D581" s="29">
        <v>512</v>
      </c>
      <c r="E581" s="29">
        <v>54533</v>
      </c>
      <c r="F581" s="29">
        <v>19122</v>
      </c>
      <c r="G581" s="29">
        <v>18973</v>
      </c>
      <c r="H581" s="29">
        <v>290763</v>
      </c>
      <c r="I581" s="29">
        <v>12109</v>
      </c>
      <c r="J581" s="29">
        <v>745807104</v>
      </c>
      <c r="K581" s="29">
        <v>5652</v>
      </c>
      <c r="L581" s="29">
        <v>10901</v>
      </c>
      <c r="N581" s="33"/>
      <c r="O581" s="29">
        <f t="shared" si="233"/>
        <v>8276.5</v>
      </c>
      <c r="P581" s="31" cm="1">
        <f t="array" ref="P581">WPNFACTOR(C581)</f>
        <v>2</v>
      </c>
      <c r="Q581" s="33" cm="1">
        <f t="array" ref="Q581">HPFACTOr(C581)</f>
        <v>5</v>
      </c>
      <c r="R581" s="32">
        <f t="shared" si="234"/>
        <v>4138.25</v>
      </c>
      <c r="S581" s="33">
        <f t="shared" si="235"/>
        <v>149161420.80000001</v>
      </c>
      <c r="T581" s="32">
        <f t="shared" si="236"/>
        <v>4138.25</v>
      </c>
      <c r="U581" s="39">
        <f t="shared" si="237"/>
        <v>149161420.80000001</v>
      </c>
      <c r="V581" s="41">
        <f>VLOOKUP(D581,LevelXp!$A$1:'LevelXp'!$B$1000,2,)/5</f>
        <v>300000000</v>
      </c>
      <c r="W581" s="29">
        <f t="shared" si="238"/>
        <v>617267249625.6001</v>
      </c>
      <c r="X581" s="32">
        <f t="shared" si="239"/>
        <v>228.08390876314382</v>
      </c>
      <c r="Y581" s="41">
        <v>447</v>
      </c>
      <c r="Z581" s="41">
        <v>300000000</v>
      </c>
      <c r="AA581" s="41">
        <v>0</v>
      </c>
      <c r="AC581" s="50">
        <v>580</v>
      </c>
      <c r="AD581" s="51">
        <f t="shared" si="240"/>
        <v>0</v>
      </c>
      <c r="AE581" s="51">
        <f t="shared" si="232"/>
        <v>66666666.666666664</v>
      </c>
      <c r="AF581" s="51">
        <f t="shared" si="241"/>
        <v>0</v>
      </c>
      <c r="AG581" s="55">
        <f t="shared" si="232"/>
        <v>0</v>
      </c>
      <c r="AH581" s="29">
        <f>SUM($AF$2:AF581)</f>
        <v>300</v>
      </c>
      <c r="AI581" s="55">
        <f>SUM($AG$2:AG581)</f>
        <v>299.99999999999824</v>
      </c>
    </row>
    <row r="582" spans="1:35" x14ac:dyDescent="0.2">
      <c r="A582" s="48" t="s">
        <v>8864</v>
      </c>
      <c r="B582" s="29">
        <v>4</v>
      </c>
      <c r="C582" s="29">
        <v>3</v>
      </c>
      <c r="D582" s="29">
        <v>516</v>
      </c>
      <c r="E582" s="29">
        <v>13838</v>
      </c>
      <c r="F582" s="29">
        <v>55118</v>
      </c>
      <c r="G582" s="29">
        <v>13779</v>
      </c>
      <c r="H582" s="29">
        <v>294118</v>
      </c>
      <c r="I582" s="29">
        <v>19707</v>
      </c>
      <c r="J582" s="29">
        <v>608236032</v>
      </c>
      <c r="K582" s="29">
        <v>6901</v>
      </c>
      <c r="L582" s="29">
        <v>13768</v>
      </c>
      <c r="N582" s="33"/>
      <c r="O582" s="29">
        <f t="shared" si="233"/>
        <v>10334.5</v>
      </c>
      <c r="P582" s="31" cm="1">
        <f t="array" ref="P582">WPNFACTOR(C582)</f>
        <v>2.5</v>
      </c>
      <c r="Q582" s="33" cm="1">
        <f t="array" ref="Q582">HPFACTOr(C582)</f>
        <v>4</v>
      </c>
      <c r="R582" s="32">
        <f t="shared" si="234"/>
        <v>4133.8</v>
      </c>
      <c r="S582" s="33">
        <f t="shared" si="235"/>
        <v>152059008</v>
      </c>
      <c r="T582" s="32">
        <f t="shared" si="236"/>
        <v>4133.8</v>
      </c>
      <c r="U582" s="39">
        <f t="shared" si="237"/>
        <v>152059008</v>
      </c>
      <c r="V582" s="41">
        <f>VLOOKUP(D582,LevelXp!$A$1:'LevelXp'!$B$1000,2,)/5</f>
        <v>300000000</v>
      </c>
      <c r="W582" s="29">
        <f t="shared" si="238"/>
        <v>628581527270.40002</v>
      </c>
      <c r="X582" s="32">
        <f t="shared" si="239"/>
        <v>228.91398342396502</v>
      </c>
      <c r="Y582" s="41">
        <v>448</v>
      </c>
      <c r="Z582" s="41">
        <v>300000000</v>
      </c>
      <c r="AA582" s="41">
        <v>0</v>
      </c>
      <c r="AC582" s="50">
        <v>581</v>
      </c>
      <c r="AD582" s="51">
        <f t="shared" si="240"/>
        <v>0</v>
      </c>
      <c r="AE582" s="51">
        <f t="shared" si="232"/>
        <v>66666666.666666664</v>
      </c>
      <c r="AF582" s="51">
        <f t="shared" si="241"/>
        <v>0</v>
      </c>
      <c r="AG582" s="55">
        <f t="shared" si="232"/>
        <v>0</v>
      </c>
      <c r="AH582" s="29">
        <f>SUM($AF$2:AF582)</f>
        <v>300</v>
      </c>
      <c r="AI582" s="55">
        <f>SUM($AG$2:AG582)</f>
        <v>299.99999999999824</v>
      </c>
    </row>
    <row r="583" spans="1:35" x14ac:dyDescent="0.2">
      <c r="A583" s="48" t="s">
        <v>8866</v>
      </c>
      <c r="B583" s="29">
        <v>1</v>
      </c>
      <c r="C583" s="29">
        <v>5</v>
      </c>
      <c r="D583" s="29">
        <v>546</v>
      </c>
      <c r="E583" s="29">
        <v>106424</v>
      </c>
      <c r="F583" s="29">
        <v>20679</v>
      </c>
      <c r="G583" s="29">
        <v>20679</v>
      </c>
      <c r="H583" s="29">
        <v>347519</v>
      </c>
      <c r="I583" s="29">
        <v>57549</v>
      </c>
      <c r="J583" s="29">
        <v>950464448</v>
      </c>
      <c r="K583" s="29">
        <v>1870</v>
      </c>
      <c r="L583" s="29">
        <v>3141</v>
      </c>
      <c r="N583" s="33"/>
      <c r="O583" s="29">
        <f t="shared" si="233"/>
        <v>2505.5</v>
      </c>
      <c r="P583" s="31" cm="1">
        <f t="array" ref="P583">WPNFACTOR(C583)</f>
        <v>2</v>
      </c>
      <c r="Q583" s="33" cm="1">
        <f t="array" ref="Q583">HPFACTOr(C583)</f>
        <v>5</v>
      </c>
      <c r="R583" s="32">
        <f t="shared" si="234"/>
        <v>1252.75</v>
      </c>
      <c r="S583" s="33">
        <f t="shared" si="235"/>
        <v>190092889.59999999</v>
      </c>
      <c r="T583" s="32">
        <f t="shared" si="236"/>
        <v>1252.75</v>
      </c>
      <c r="U583" s="39">
        <f t="shared" si="237"/>
        <v>190092889.59999999</v>
      </c>
      <c r="V583" s="41">
        <f>VLOOKUP(D583,LevelXp!$A$1:'LevelXp'!$B$1000,2,)/5</f>
        <v>300000000</v>
      </c>
      <c r="W583" s="29">
        <f t="shared" si="238"/>
        <v>238138867446.39999</v>
      </c>
      <c r="X583" s="32">
        <f t="shared" si="239"/>
        <v>188.52374430263541</v>
      </c>
      <c r="Y583" s="41">
        <v>449</v>
      </c>
      <c r="Z583" s="41">
        <v>300000000</v>
      </c>
      <c r="AA583" s="41">
        <v>0</v>
      </c>
      <c r="AC583" s="50">
        <v>582</v>
      </c>
      <c r="AD583" s="51">
        <f t="shared" si="240"/>
        <v>0</v>
      </c>
      <c r="AE583" s="51">
        <f t="shared" ref="AE583:AG646" si="242">AVERAGE(AD579:AD587)</f>
        <v>33333333.333333332</v>
      </c>
      <c r="AF583" s="51">
        <f t="shared" si="241"/>
        <v>0</v>
      </c>
      <c r="AG583" s="55">
        <f t="shared" si="242"/>
        <v>0</v>
      </c>
      <c r="AH583" s="29">
        <f>SUM($AF$2:AF583)</f>
        <v>300</v>
      </c>
      <c r="AI583" s="55">
        <f>SUM($AG$2:AG583)</f>
        <v>299.99999999999824</v>
      </c>
    </row>
    <row r="584" spans="1:35" x14ac:dyDescent="0.2">
      <c r="A584" s="48" t="s">
        <v>8854</v>
      </c>
      <c r="B584" s="29">
        <v>9</v>
      </c>
      <c r="C584" s="29">
        <v>1</v>
      </c>
      <c r="D584" s="29">
        <v>490</v>
      </c>
      <c r="E584" s="29">
        <v>86820</v>
      </c>
      <c r="F584" s="29">
        <v>33240</v>
      </c>
      <c r="G584" s="29">
        <v>33414</v>
      </c>
      <c r="H584" s="29">
        <v>315225</v>
      </c>
      <c r="I584" s="29">
        <v>61182</v>
      </c>
      <c r="J584" s="29">
        <v>1307133056</v>
      </c>
      <c r="K584" s="29">
        <v>1115</v>
      </c>
      <c r="L584" s="29">
        <v>2364</v>
      </c>
      <c r="N584" s="33"/>
      <c r="O584" s="29">
        <f t="shared" si="233"/>
        <v>1739.5</v>
      </c>
      <c r="P584" s="31" cm="1">
        <f t="array" ref="P584">WPNFACTOR(C584)</f>
        <v>2</v>
      </c>
      <c r="Q584" s="33" cm="1">
        <f t="array" ref="Q584">HPFACTOr(C584)</f>
        <v>5</v>
      </c>
      <c r="R584" s="32">
        <f t="shared" si="234"/>
        <v>869.75</v>
      </c>
      <c r="S584" s="33">
        <f t="shared" si="235"/>
        <v>261426611.19999999</v>
      </c>
      <c r="T584" s="32">
        <f t="shared" si="236"/>
        <v>869.75</v>
      </c>
      <c r="U584" s="39">
        <f t="shared" si="237"/>
        <v>261426611.19999999</v>
      </c>
      <c r="V584" s="41">
        <f>VLOOKUP(D584,LevelXp!$A$1:'LevelXp'!$B$1000,2,)/5</f>
        <v>300000000</v>
      </c>
      <c r="W584" s="29">
        <f t="shared" si="238"/>
        <v>227375795091.19998</v>
      </c>
      <c r="X584" s="32">
        <f t="shared" si="239"/>
        <v>186.78794587233392</v>
      </c>
      <c r="Y584" s="41">
        <v>450</v>
      </c>
      <c r="Z584" s="41">
        <v>300000000</v>
      </c>
      <c r="AA584" s="41">
        <v>0</v>
      </c>
      <c r="AC584" s="50">
        <v>583</v>
      </c>
      <c r="AD584" s="51">
        <f t="shared" si="240"/>
        <v>0</v>
      </c>
      <c r="AE584" s="51">
        <f t="shared" si="242"/>
        <v>33333333.333333332</v>
      </c>
      <c r="AF584" s="51">
        <f t="shared" si="241"/>
        <v>0</v>
      </c>
      <c r="AG584" s="55">
        <f t="shared" si="242"/>
        <v>0</v>
      </c>
      <c r="AH584" s="29">
        <f>SUM($AF$2:AF584)</f>
        <v>300</v>
      </c>
      <c r="AI584" s="55">
        <f>SUM($AG$2:AG584)</f>
        <v>299.99999999999824</v>
      </c>
    </row>
    <row r="585" spans="1:35" x14ac:dyDescent="0.2">
      <c r="A585" s="48" t="s">
        <v>8854</v>
      </c>
      <c r="B585" s="29">
        <v>10</v>
      </c>
      <c r="C585" s="29">
        <v>2</v>
      </c>
      <c r="D585" s="29">
        <v>500</v>
      </c>
      <c r="E585" s="29">
        <v>35466</v>
      </c>
      <c r="F585" s="29">
        <v>26028</v>
      </c>
      <c r="G585" s="29">
        <v>73044</v>
      </c>
      <c r="H585" s="29">
        <v>315225</v>
      </c>
      <c r="I585" s="29">
        <v>51240</v>
      </c>
      <c r="J585" s="29">
        <v>534621568</v>
      </c>
      <c r="K585" s="29">
        <v>2567</v>
      </c>
      <c r="L585" s="29">
        <v>5151</v>
      </c>
      <c r="N585" s="33"/>
      <c r="O585" s="29">
        <f t="shared" si="233"/>
        <v>3859</v>
      </c>
      <c r="P585" s="31" cm="1">
        <f t="array" ref="P585">WPNFACTOR(C585)</f>
        <v>4.5</v>
      </c>
      <c r="Q585" s="33" cm="1">
        <f t="array" ref="Q585">HPFACTOr(C585)</f>
        <v>2</v>
      </c>
      <c r="R585" s="32">
        <f t="shared" si="234"/>
        <v>857.55555555555554</v>
      </c>
      <c r="S585" s="33">
        <f t="shared" si="235"/>
        <v>267310784</v>
      </c>
      <c r="T585" s="32">
        <f t="shared" si="236"/>
        <v>857.55555555555554</v>
      </c>
      <c r="U585" s="39">
        <f t="shared" si="237"/>
        <v>267310784</v>
      </c>
      <c r="V585" s="41">
        <f>VLOOKUP(D585,LevelXp!$A$1:'LevelXp'!$B$1000,2,)/5</f>
        <v>300000000</v>
      </c>
      <c r="W585" s="29">
        <f t="shared" si="238"/>
        <v>229233847879.11111</v>
      </c>
      <c r="X585" s="32">
        <f t="shared" si="239"/>
        <v>187.09222888202621</v>
      </c>
      <c r="Y585" s="41">
        <v>451</v>
      </c>
      <c r="Z585" s="41">
        <v>300000000</v>
      </c>
      <c r="AA585" s="41">
        <v>0</v>
      </c>
      <c r="AC585" s="50">
        <v>584</v>
      </c>
      <c r="AD585" s="51">
        <f t="shared" si="240"/>
        <v>300000000</v>
      </c>
      <c r="AE585" s="51">
        <f t="shared" si="242"/>
        <v>33333333.333333332</v>
      </c>
      <c r="AF585" s="51">
        <f t="shared" si="241"/>
        <v>0</v>
      </c>
      <c r="AG585" s="55">
        <f t="shared" si="242"/>
        <v>0</v>
      </c>
      <c r="AH585" s="29">
        <f>SUM($AF$2:AF585)</f>
        <v>300</v>
      </c>
      <c r="AI585" s="55">
        <f>SUM($AG$2:AG585)</f>
        <v>299.99999999999824</v>
      </c>
    </row>
    <row r="586" spans="1:35" x14ac:dyDescent="0.2">
      <c r="A586" s="48" t="s">
        <v>8865</v>
      </c>
      <c r="B586" s="29">
        <v>1</v>
      </c>
      <c r="C586" s="29">
        <v>2</v>
      </c>
      <c r="D586" s="29">
        <v>510</v>
      </c>
      <c r="E586" s="29">
        <v>19326</v>
      </c>
      <c r="F586" s="29">
        <v>19326</v>
      </c>
      <c r="G586" s="29">
        <v>99462</v>
      </c>
      <c r="H586" s="29">
        <v>278055</v>
      </c>
      <c r="I586" s="29">
        <v>53784</v>
      </c>
      <c r="J586" s="29">
        <v>483444928</v>
      </c>
      <c r="K586" s="29">
        <v>2152</v>
      </c>
      <c r="L586" s="29">
        <v>6080</v>
      </c>
      <c r="N586" s="33"/>
      <c r="O586" s="29">
        <f t="shared" si="233"/>
        <v>4116</v>
      </c>
      <c r="P586" s="31" cm="1">
        <f t="array" ref="P586">WPNFACTOR(C586)</f>
        <v>4.5</v>
      </c>
      <c r="Q586" s="33" cm="1">
        <f t="array" ref="Q586">HPFACTOr(C586)</f>
        <v>2</v>
      </c>
      <c r="R586" s="32">
        <f t="shared" si="234"/>
        <v>914.66666666666663</v>
      </c>
      <c r="S586" s="33">
        <f t="shared" si="235"/>
        <v>241722464</v>
      </c>
      <c r="T586" s="32">
        <f t="shared" si="236"/>
        <v>914.66666666666663</v>
      </c>
      <c r="U586" s="39">
        <f t="shared" si="237"/>
        <v>241722464</v>
      </c>
      <c r="V586" s="41">
        <f>VLOOKUP(D586,LevelXp!$A$1:'LevelXp'!$B$1000,2,)/5</f>
        <v>300000000</v>
      </c>
      <c r="W586" s="29">
        <f t="shared" si="238"/>
        <v>221095480405.33331</v>
      </c>
      <c r="X586" s="32">
        <f t="shared" si="239"/>
        <v>185.74450430372036</v>
      </c>
      <c r="Y586" s="41">
        <v>453</v>
      </c>
      <c r="Z586" s="41">
        <v>300000000</v>
      </c>
      <c r="AA586" s="41">
        <v>0</v>
      </c>
      <c r="AC586" s="50">
        <v>585</v>
      </c>
      <c r="AD586" s="51">
        <f t="shared" si="240"/>
        <v>0</v>
      </c>
      <c r="AE586" s="51">
        <f t="shared" si="242"/>
        <v>33333333.333333332</v>
      </c>
      <c r="AF586" s="51">
        <f t="shared" si="241"/>
        <v>0</v>
      </c>
      <c r="AG586" s="55">
        <f t="shared" si="242"/>
        <v>0</v>
      </c>
      <c r="AH586" s="29">
        <f>SUM($AF$2:AF586)</f>
        <v>300</v>
      </c>
      <c r="AI586" s="55">
        <f>SUM($AG$2:AG586)</f>
        <v>299.99999999999824</v>
      </c>
    </row>
    <row r="587" spans="1:35" x14ac:dyDescent="0.2">
      <c r="A587" s="48" t="s">
        <v>8865</v>
      </c>
      <c r="B587" s="29">
        <v>2</v>
      </c>
      <c r="C587" s="29">
        <v>2</v>
      </c>
      <c r="D587" s="29">
        <v>520</v>
      </c>
      <c r="E587" s="29">
        <v>36768</v>
      </c>
      <c r="F587" s="29">
        <v>36342</v>
      </c>
      <c r="G587" s="29">
        <v>102168</v>
      </c>
      <c r="H587" s="29">
        <v>345127</v>
      </c>
      <c r="I587" s="29">
        <v>65430</v>
      </c>
      <c r="J587" s="29">
        <v>622523712</v>
      </c>
      <c r="K587" s="29">
        <v>3234</v>
      </c>
      <c r="L587" s="29">
        <v>5251</v>
      </c>
      <c r="N587" s="33"/>
      <c r="O587" s="29">
        <f t="shared" si="233"/>
        <v>4242.5</v>
      </c>
      <c r="P587" s="31" cm="1">
        <f t="array" ref="P587">WPNFACTOR(C587)</f>
        <v>4.5</v>
      </c>
      <c r="Q587" s="33" cm="1">
        <f t="array" ref="Q587">HPFACTOr(C587)</f>
        <v>2</v>
      </c>
      <c r="R587" s="32">
        <f t="shared" si="234"/>
        <v>942.77777777777783</v>
      </c>
      <c r="S587" s="33">
        <f t="shared" si="235"/>
        <v>311261856</v>
      </c>
      <c r="T587" s="32">
        <f t="shared" si="236"/>
        <v>942.77777777777783</v>
      </c>
      <c r="U587" s="39">
        <f t="shared" si="237"/>
        <v>311261856</v>
      </c>
      <c r="V587" s="41">
        <f>VLOOKUP(D587,LevelXp!$A$1:'LevelXp'!$B$1000,2,)/5</f>
        <v>300000000</v>
      </c>
      <c r="W587" s="29">
        <f t="shared" si="238"/>
        <v>293450760906.66669</v>
      </c>
      <c r="X587" s="32">
        <f t="shared" si="239"/>
        <v>196.56538801347907</v>
      </c>
      <c r="Y587" s="41">
        <v>455</v>
      </c>
      <c r="Z587" s="41">
        <v>300000000</v>
      </c>
      <c r="AA587" s="41">
        <v>0</v>
      </c>
      <c r="AC587" s="50">
        <v>586</v>
      </c>
      <c r="AD587" s="51">
        <f t="shared" si="240"/>
        <v>0</v>
      </c>
      <c r="AE587" s="51">
        <f t="shared" si="242"/>
        <v>33333333.333333332</v>
      </c>
      <c r="AF587" s="51">
        <f t="shared" si="241"/>
        <v>0</v>
      </c>
      <c r="AG587" s="55">
        <f t="shared" si="242"/>
        <v>0</v>
      </c>
      <c r="AH587" s="29">
        <f>SUM($AF$2:AF587)</f>
        <v>300</v>
      </c>
      <c r="AI587" s="55">
        <f>SUM($AG$2:AG587)</f>
        <v>299.99999999999824</v>
      </c>
    </row>
    <row r="588" spans="1:35" x14ac:dyDescent="0.2">
      <c r="A588" s="48" t="s">
        <v>8865</v>
      </c>
      <c r="B588" s="29">
        <v>3</v>
      </c>
      <c r="C588" s="29">
        <v>2</v>
      </c>
      <c r="D588" s="29">
        <v>530</v>
      </c>
      <c r="E588" s="29">
        <v>30906</v>
      </c>
      <c r="F588" s="29">
        <v>31422</v>
      </c>
      <c r="G588" s="29">
        <v>111318</v>
      </c>
      <c r="H588" s="29">
        <v>359460</v>
      </c>
      <c r="I588" s="29">
        <v>72780</v>
      </c>
      <c r="J588" s="29">
        <v>676144192</v>
      </c>
      <c r="K588" s="29">
        <v>2481</v>
      </c>
      <c r="L588" s="29">
        <v>6267</v>
      </c>
      <c r="N588" s="33"/>
      <c r="O588" s="29">
        <f t="shared" si="233"/>
        <v>4374</v>
      </c>
      <c r="P588" s="31" cm="1">
        <f t="array" ref="P588">WPNFACTOR(C588)</f>
        <v>4.5</v>
      </c>
      <c r="Q588" s="33" cm="1">
        <f t="array" ref="Q588">HPFACTOr(C588)</f>
        <v>2</v>
      </c>
      <c r="R588" s="32">
        <f t="shared" si="234"/>
        <v>972</v>
      </c>
      <c r="S588" s="33">
        <f t="shared" si="235"/>
        <v>338072096</v>
      </c>
      <c r="T588" s="32">
        <f t="shared" si="236"/>
        <v>972</v>
      </c>
      <c r="U588" s="39">
        <f t="shared" si="237"/>
        <v>338072096</v>
      </c>
      <c r="V588" s="41">
        <f>VLOOKUP(D588,LevelXp!$A$1:'LevelXp'!$B$1000,2,)/5</f>
        <v>300000000</v>
      </c>
      <c r="W588" s="29">
        <f t="shared" si="238"/>
        <v>328606077312</v>
      </c>
      <c r="X588" s="32">
        <f t="shared" si="239"/>
        <v>201.06437037012955</v>
      </c>
      <c r="Y588" s="41">
        <v>457</v>
      </c>
      <c r="Z588" s="41">
        <v>300000000</v>
      </c>
      <c r="AA588" s="41">
        <v>0</v>
      </c>
      <c r="AC588" s="50">
        <v>587</v>
      </c>
      <c r="AD588" s="51">
        <f t="shared" si="240"/>
        <v>0</v>
      </c>
      <c r="AE588" s="51">
        <f t="shared" si="242"/>
        <v>66666666.666666664</v>
      </c>
      <c r="AF588" s="51">
        <f t="shared" si="241"/>
        <v>0</v>
      </c>
      <c r="AG588" s="55">
        <f t="shared" si="242"/>
        <v>0</v>
      </c>
      <c r="AH588" s="29">
        <f>SUM($AF$2:AF588)</f>
        <v>300</v>
      </c>
      <c r="AI588" s="55">
        <f>SUM($AG$2:AG588)</f>
        <v>299.99999999999824</v>
      </c>
    </row>
    <row r="589" spans="1:35" x14ac:dyDescent="0.2">
      <c r="A589" s="48" t="s">
        <v>8856</v>
      </c>
      <c r="B589" s="29">
        <v>5</v>
      </c>
      <c r="C589" s="29">
        <v>1</v>
      </c>
      <c r="D589" s="29">
        <v>525</v>
      </c>
      <c r="E589" s="29">
        <v>76500</v>
      </c>
      <c r="F589" s="29">
        <v>37000</v>
      </c>
      <c r="G589" s="29">
        <v>37000</v>
      </c>
      <c r="H589" s="29">
        <v>330500</v>
      </c>
      <c r="I589" s="29">
        <v>53500</v>
      </c>
      <c r="J589" s="29">
        <v>972496256</v>
      </c>
      <c r="K589" s="29">
        <v>1837</v>
      </c>
      <c r="L589" s="29">
        <v>3149</v>
      </c>
      <c r="M589" s="29">
        <v>30</v>
      </c>
      <c r="N589" s="33">
        <v>60</v>
      </c>
      <c r="O589" s="29">
        <f t="shared" si="233"/>
        <v>2493</v>
      </c>
      <c r="P589" s="31" cm="1">
        <f t="array" ref="P589">WPNFACTOR(C589)</f>
        <v>2</v>
      </c>
      <c r="Q589" s="33" cm="1">
        <f t="array" ref="Q589">HPFACTOr(C589)</f>
        <v>5</v>
      </c>
      <c r="R589" s="32">
        <f t="shared" si="234"/>
        <v>1246.5</v>
      </c>
      <c r="S589" s="33">
        <f t="shared" si="235"/>
        <v>194499251.19999999</v>
      </c>
      <c r="T589" s="32">
        <f t="shared" si="236"/>
        <v>1433.4749999999999</v>
      </c>
      <c r="U589" s="39">
        <f t="shared" si="237"/>
        <v>219154085.85915494</v>
      </c>
      <c r="V589" s="41">
        <f>VLOOKUP(D589,LevelXp!$A$1:'LevelXp'!$B$1000,2,)/5</f>
        <v>300000000</v>
      </c>
      <c r="W589" s="29">
        <f t="shared" si="238"/>
        <v>314151903226.95209</v>
      </c>
      <c r="X589" s="32">
        <f t="shared" si="239"/>
        <v>199.26358476076001</v>
      </c>
      <c r="Y589" s="41">
        <v>459</v>
      </c>
      <c r="Z589" s="41">
        <v>300000000</v>
      </c>
      <c r="AA589" s="41">
        <v>0</v>
      </c>
      <c r="AC589" s="50">
        <v>588</v>
      </c>
      <c r="AD589" s="51">
        <f t="shared" si="240"/>
        <v>0</v>
      </c>
      <c r="AE589" s="51">
        <f t="shared" si="242"/>
        <v>66666666.666666664</v>
      </c>
      <c r="AF589" s="51">
        <f t="shared" si="241"/>
        <v>0</v>
      </c>
      <c r="AG589" s="55">
        <f t="shared" si="242"/>
        <v>0</v>
      </c>
      <c r="AH589" s="29">
        <f>SUM($AF$2:AF589)</f>
        <v>300</v>
      </c>
      <c r="AI589" s="55">
        <f>SUM($AG$2:AG589)</f>
        <v>299.99999999999824</v>
      </c>
    </row>
    <row r="590" spans="1:35" x14ac:dyDescent="0.2">
      <c r="A590" s="48" t="s">
        <v>8867</v>
      </c>
      <c r="B590" s="29">
        <v>6</v>
      </c>
      <c r="C590" s="29">
        <v>1</v>
      </c>
      <c r="D590" s="29">
        <v>508</v>
      </c>
      <c r="E590" s="29">
        <v>57760</v>
      </c>
      <c r="F590" s="29">
        <v>20230</v>
      </c>
      <c r="G590" s="29">
        <v>20130</v>
      </c>
      <c r="H590" s="29">
        <v>185530</v>
      </c>
      <c r="I590" s="29">
        <v>12210</v>
      </c>
      <c r="J590" s="29">
        <v>472173856</v>
      </c>
      <c r="K590" s="29">
        <v>14735</v>
      </c>
      <c r="L590" s="29">
        <v>29356</v>
      </c>
      <c r="N590" s="33"/>
      <c r="O590" s="29">
        <f t="shared" si="233"/>
        <v>22045.5</v>
      </c>
      <c r="P590" s="31" cm="1">
        <f t="array" ref="P590">WPNFACTOR(C590)</f>
        <v>2</v>
      </c>
      <c r="Q590" s="33" cm="1">
        <f t="array" ref="Q590">HPFACTOr(C590)</f>
        <v>5</v>
      </c>
      <c r="R590" s="32">
        <f t="shared" si="234"/>
        <v>11022.75</v>
      </c>
      <c r="S590" s="33">
        <f t="shared" si="235"/>
        <v>94434771.200000003</v>
      </c>
      <c r="T590" s="32">
        <f t="shared" si="236"/>
        <v>11022.75</v>
      </c>
      <c r="U590" s="39">
        <f t="shared" si="237"/>
        <v>94434771.200000003</v>
      </c>
      <c r="V590" s="41">
        <f>VLOOKUP(D590,LevelXp!$A$1:'LevelXp'!$B$1000,2,)/5</f>
        <v>300000000</v>
      </c>
      <c r="W590" s="29">
        <f t="shared" si="238"/>
        <v>1040930874244.8</v>
      </c>
      <c r="X590" s="32">
        <f t="shared" si="239"/>
        <v>253.21205507736025</v>
      </c>
      <c r="Y590" s="41">
        <v>461</v>
      </c>
      <c r="Z590" s="41">
        <v>300000000</v>
      </c>
      <c r="AA590" s="41">
        <v>0</v>
      </c>
      <c r="AC590" s="50">
        <v>589</v>
      </c>
      <c r="AD590" s="51">
        <f t="shared" si="240"/>
        <v>0</v>
      </c>
      <c r="AE590" s="51">
        <f t="shared" si="242"/>
        <v>33333333.333333332</v>
      </c>
      <c r="AF590" s="51">
        <f t="shared" si="241"/>
        <v>0</v>
      </c>
      <c r="AG590" s="55">
        <f t="shared" si="242"/>
        <v>0</v>
      </c>
      <c r="AH590" s="29">
        <f>SUM($AF$2:AF590)</f>
        <v>300</v>
      </c>
      <c r="AI590" s="55">
        <f>SUM($AG$2:AG590)</f>
        <v>299.99999999999824</v>
      </c>
    </row>
    <row r="591" spans="1:35" x14ac:dyDescent="0.2">
      <c r="A591" s="48" t="s">
        <v>2846</v>
      </c>
      <c r="B591" s="29">
        <v>10</v>
      </c>
      <c r="C591" s="29">
        <v>4</v>
      </c>
      <c r="D591" s="29">
        <v>555</v>
      </c>
      <c r="E591" s="29">
        <v>10000</v>
      </c>
      <c r="F591" s="29">
        <v>400000</v>
      </c>
      <c r="G591" s="29">
        <v>10000</v>
      </c>
      <c r="H591" s="29">
        <v>360000</v>
      </c>
      <c r="I591" s="29">
        <v>24000</v>
      </c>
      <c r="J591" s="29">
        <v>430000000</v>
      </c>
      <c r="K591" s="29">
        <v>12001</v>
      </c>
      <c r="L591" s="29">
        <v>15998</v>
      </c>
      <c r="N591" s="33"/>
      <c r="O591" s="29">
        <f t="shared" si="233"/>
        <v>13999.5</v>
      </c>
      <c r="P591" s="31" cm="1">
        <f t="array" ref="P591">WPNFACTOR(C591)</f>
        <v>4</v>
      </c>
      <c r="Q591" s="33" cm="1">
        <f t="array" ref="Q591">HPFACTOr(C591)</f>
        <v>4</v>
      </c>
      <c r="R591" s="32">
        <f t="shared" si="234"/>
        <v>3499.875</v>
      </c>
      <c r="S591" s="33">
        <f t="shared" si="235"/>
        <v>107500000</v>
      </c>
      <c r="T591" s="32">
        <f t="shared" si="236"/>
        <v>3499.875</v>
      </c>
      <c r="U591" s="39">
        <f t="shared" si="237"/>
        <v>107500000</v>
      </c>
      <c r="V591" s="41">
        <f>VLOOKUP(D591,LevelXp!$A$1:'LevelXp'!$B$1000,2,)/5</f>
        <v>300000000</v>
      </c>
      <c r="W591" s="29">
        <f t="shared" si="238"/>
        <v>376236562500</v>
      </c>
      <c r="X591" s="32">
        <f t="shared" si="239"/>
        <v>206.58186770622089</v>
      </c>
      <c r="Y591" s="41">
        <v>463</v>
      </c>
      <c r="Z591" s="41">
        <v>300000000</v>
      </c>
      <c r="AA591" s="41">
        <v>1</v>
      </c>
      <c r="AC591" s="50">
        <v>590</v>
      </c>
      <c r="AD591" s="51">
        <f t="shared" si="240"/>
        <v>0</v>
      </c>
      <c r="AE591" s="51">
        <f t="shared" si="242"/>
        <v>33333333.333333332</v>
      </c>
      <c r="AF591" s="51">
        <f t="shared" si="241"/>
        <v>0</v>
      </c>
      <c r="AG591" s="55">
        <f t="shared" si="242"/>
        <v>0</v>
      </c>
      <c r="AH591" s="29">
        <f>SUM($AF$2:AF591)</f>
        <v>300</v>
      </c>
      <c r="AI591" s="55">
        <f>SUM($AG$2:AG591)</f>
        <v>299.99999999999824</v>
      </c>
    </row>
    <row r="592" spans="1:35" x14ac:dyDescent="0.2">
      <c r="A592" s="48" t="s">
        <v>8866</v>
      </c>
      <c r="B592" s="29">
        <v>2</v>
      </c>
      <c r="C592" s="29">
        <v>1</v>
      </c>
      <c r="D592" s="29">
        <v>567</v>
      </c>
      <c r="E592" s="29">
        <v>111363</v>
      </c>
      <c r="F592" s="29">
        <v>39613</v>
      </c>
      <c r="G592" s="29">
        <v>39613</v>
      </c>
      <c r="H592" s="29">
        <v>376189</v>
      </c>
      <c r="I592" s="29">
        <v>71319</v>
      </c>
      <c r="J592" s="29">
        <v>1068376768</v>
      </c>
      <c r="K592" s="29">
        <v>1935</v>
      </c>
      <c r="L592" s="29">
        <v>3264</v>
      </c>
      <c r="N592" s="33"/>
      <c r="O592" s="29">
        <f t="shared" si="233"/>
        <v>2599.5</v>
      </c>
      <c r="P592" s="31" cm="1">
        <f t="array" ref="P592">WPNFACTOR(C592)</f>
        <v>2</v>
      </c>
      <c r="Q592" s="33" cm="1">
        <f t="array" ref="Q592">HPFACTOr(C592)</f>
        <v>5</v>
      </c>
      <c r="R592" s="32">
        <f t="shared" si="234"/>
        <v>1299.75</v>
      </c>
      <c r="S592" s="33">
        <f t="shared" si="235"/>
        <v>213675353.59999999</v>
      </c>
      <c r="T592" s="32">
        <f t="shared" si="236"/>
        <v>1299.75</v>
      </c>
      <c r="U592" s="39">
        <f t="shared" si="237"/>
        <v>213675353.59999999</v>
      </c>
      <c r="V592" s="41">
        <f>VLOOKUP(D592,LevelXp!$A$1:'LevelXp'!$B$1000,2,)/5</f>
        <v>300000000</v>
      </c>
      <c r="W592" s="29">
        <f t="shared" si="238"/>
        <v>277724540841.59998</v>
      </c>
      <c r="X592" s="32">
        <f t="shared" si="239"/>
        <v>194.41190304858961</v>
      </c>
      <c r="Y592" s="41">
        <v>465</v>
      </c>
      <c r="Z592" s="41">
        <v>300000000</v>
      </c>
      <c r="AA592" s="41">
        <v>0</v>
      </c>
      <c r="AC592" s="50">
        <v>591</v>
      </c>
      <c r="AD592" s="51">
        <f t="shared" si="240"/>
        <v>300000000</v>
      </c>
      <c r="AE592" s="51">
        <f t="shared" si="242"/>
        <v>33333333.333333332</v>
      </c>
      <c r="AF592" s="51">
        <f t="shared" si="241"/>
        <v>0</v>
      </c>
      <c r="AG592" s="55">
        <f t="shared" si="242"/>
        <v>0</v>
      </c>
      <c r="AH592" s="29">
        <f>SUM($AF$2:AF592)</f>
        <v>300</v>
      </c>
      <c r="AI592" s="55">
        <f>SUM($AG$2:AG592)</f>
        <v>299.99999999999824</v>
      </c>
    </row>
    <row r="593" spans="1:35" x14ac:dyDescent="0.2">
      <c r="A593" s="48" t="s">
        <v>8865</v>
      </c>
      <c r="B593" s="29">
        <v>4</v>
      </c>
      <c r="C593" s="29">
        <v>3</v>
      </c>
      <c r="D593" s="29">
        <v>540</v>
      </c>
      <c r="E593" s="29">
        <v>35250</v>
      </c>
      <c r="F593" s="29">
        <v>121020</v>
      </c>
      <c r="G593" s="29">
        <v>35220</v>
      </c>
      <c r="H593" s="29">
        <v>325350</v>
      </c>
      <c r="I593" s="29">
        <v>55920</v>
      </c>
      <c r="J593" s="29">
        <v>1264800000</v>
      </c>
      <c r="K593" s="29">
        <v>1350</v>
      </c>
      <c r="L593" s="29">
        <v>3599</v>
      </c>
      <c r="N593" s="33"/>
      <c r="O593" s="29">
        <f t="shared" si="233"/>
        <v>2474.5</v>
      </c>
      <c r="P593" s="31" cm="1">
        <f t="array" ref="P593">WPNFACTOR(C593)</f>
        <v>2.5</v>
      </c>
      <c r="Q593" s="33" cm="1">
        <f t="array" ref="Q593">HPFACTOr(C593)</f>
        <v>4</v>
      </c>
      <c r="R593" s="32">
        <f t="shared" si="234"/>
        <v>989.8</v>
      </c>
      <c r="S593" s="33">
        <f t="shared" si="235"/>
        <v>316200000</v>
      </c>
      <c r="T593" s="32">
        <f t="shared" si="236"/>
        <v>989.8</v>
      </c>
      <c r="U593" s="39">
        <f t="shared" si="237"/>
        <v>316200000</v>
      </c>
      <c r="V593" s="41">
        <f>VLOOKUP(D593,LevelXp!$A$1:'LevelXp'!$B$1000,2,)/5</f>
        <v>300000000</v>
      </c>
      <c r="W593" s="29">
        <f t="shared" si="238"/>
        <v>312974760000</v>
      </c>
      <c r="X593" s="32">
        <f t="shared" si="239"/>
        <v>199.1140302712067</v>
      </c>
      <c r="Y593" s="41">
        <v>467</v>
      </c>
      <c r="Z593" s="41">
        <v>300000000</v>
      </c>
      <c r="AA593" s="41">
        <v>0</v>
      </c>
      <c r="AC593" s="50">
        <v>592</v>
      </c>
      <c r="AD593" s="51">
        <f t="shared" si="240"/>
        <v>0</v>
      </c>
      <c r="AE593" s="51">
        <f t="shared" si="242"/>
        <v>33333333.333333332</v>
      </c>
      <c r="AF593" s="51">
        <f t="shared" si="241"/>
        <v>0</v>
      </c>
      <c r="AG593" s="55">
        <f t="shared" si="242"/>
        <v>0</v>
      </c>
      <c r="AH593" s="29">
        <f>SUM($AF$2:AF593)</f>
        <v>300</v>
      </c>
      <c r="AI593" s="55">
        <f>SUM($AG$2:AG593)</f>
        <v>299.99999999999824</v>
      </c>
    </row>
    <row r="594" spans="1:35" x14ac:dyDescent="0.2">
      <c r="A594" s="48" t="s">
        <v>8865</v>
      </c>
      <c r="B594" s="29">
        <v>5</v>
      </c>
      <c r="C594" s="29">
        <v>2</v>
      </c>
      <c r="D594" s="29">
        <v>550</v>
      </c>
      <c r="E594" s="29">
        <v>33900</v>
      </c>
      <c r="F594" s="29">
        <v>34464</v>
      </c>
      <c r="G594" s="29">
        <v>119256</v>
      </c>
      <c r="H594" s="29">
        <v>389340</v>
      </c>
      <c r="I594" s="29">
        <v>75114</v>
      </c>
      <c r="J594" s="29">
        <v>785428544</v>
      </c>
      <c r="K594" s="29">
        <v>3892</v>
      </c>
      <c r="L594" s="29">
        <v>5330</v>
      </c>
      <c r="N594" s="33"/>
      <c r="O594" s="29">
        <f t="shared" si="233"/>
        <v>4611</v>
      </c>
      <c r="P594" s="31" cm="1">
        <f t="array" ref="P594">WPNFACTOR(C594)</f>
        <v>4.5</v>
      </c>
      <c r="Q594" s="33" cm="1">
        <f t="array" ref="Q594">HPFACTOr(C594)</f>
        <v>2</v>
      </c>
      <c r="R594" s="32">
        <f t="shared" si="234"/>
        <v>1024.6666666666667</v>
      </c>
      <c r="S594" s="33">
        <f t="shared" si="235"/>
        <v>392714272</v>
      </c>
      <c r="T594" s="32">
        <f t="shared" si="236"/>
        <v>1024.6666666666667</v>
      </c>
      <c r="U594" s="39">
        <f t="shared" si="237"/>
        <v>392714272</v>
      </c>
      <c r="V594" s="41">
        <f>VLOOKUP(D594,LevelXp!$A$1:'LevelXp'!$B$1000,2,)/5</f>
        <v>300000000</v>
      </c>
      <c r="W594" s="29">
        <f t="shared" si="238"/>
        <v>402401224042.66669</v>
      </c>
      <c r="X594" s="32">
        <f t="shared" si="239"/>
        <v>209.37839126119837</v>
      </c>
      <c r="Y594" s="41">
        <v>468</v>
      </c>
      <c r="Z594" s="41">
        <v>300000000</v>
      </c>
      <c r="AA594" s="41">
        <v>0</v>
      </c>
      <c r="AC594" s="50">
        <v>593</v>
      </c>
      <c r="AD594" s="51">
        <f t="shared" si="240"/>
        <v>0</v>
      </c>
      <c r="AE594" s="51">
        <f t="shared" si="242"/>
        <v>33333333.333333332</v>
      </c>
      <c r="AF594" s="51">
        <f t="shared" si="241"/>
        <v>0</v>
      </c>
      <c r="AG594" s="55">
        <f t="shared" si="242"/>
        <v>0</v>
      </c>
      <c r="AH594" s="29">
        <f>SUM($AF$2:AF594)</f>
        <v>300</v>
      </c>
      <c r="AI594" s="55">
        <f>SUM($AG$2:AG594)</f>
        <v>299.99999999999824</v>
      </c>
    </row>
    <row r="595" spans="1:35" x14ac:dyDescent="0.2">
      <c r="A595" s="48" t="s">
        <v>8864</v>
      </c>
      <c r="B595" s="29">
        <v>5</v>
      </c>
      <c r="C595" s="29">
        <v>1</v>
      </c>
      <c r="D595" s="29">
        <v>520</v>
      </c>
      <c r="E595" s="29">
        <v>66837</v>
      </c>
      <c r="F595" s="29">
        <v>23434</v>
      </c>
      <c r="G595" s="29">
        <v>23261</v>
      </c>
      <c r="H595" s="29">
        <v>356928</v>
      </c>
      <c r="I595" s="29">
        <v>14768</v>
      </c>
      <c r="J595" s="29">
        <v>929797440</v>
      </c>
      <c r="K595" s="29">
        <v>5563</v>
      </c>
      <c r="L595" s="29">
        <v>11110</v>
      </c>
      <c r="N595" s="33"/>
      <c r="O595" s="29">
        <f t="shared" ref="O595:O626" si="243">AVERAGE(K595, L595)</f>
        <v>8336.5</v>
      </c>
      <c r="P595" s="31" cm="1">
        <f t="array" ref="P595">WPNFACTOR(C595)</f>
        <v>2</v>
      </c>
      <c r="Q595" s="33" cm="1">
        <f t="array" ref="Q595">HPFACTOr(C595)</f>
        <v>5</v>
      </c>
      <c r="R595" s="32">
        <f t="shared" ref="R595:R626" si="244">O595/P595</f>
        <v>4168.25</v>
      </c>
      <c r="S595" s="33">
        <f t="shared" ref="S595:S626" si="245">J595/Q595</f>
        <v>185959488</v>
      </c>
      <c r="T595" s="32">
        <f t="shared" ref="T595:T626" si="246">R595*(1 + (N595/400))</f>
        <v>4168.25</v>
      </c>
      <c r="U595" s="39">
        <f t="shared" ref="U595:U626" si="247">S595*1.6/(1 + (0.6*(1 - (M595/100))))</f>
        <v>185959488</v>
      </c>
      <c r="V595" s="41">
        <f>VLOOKUP(D595,LevelXp!$A$1:'LevelXp'!$B$1000,2,)/5</f>
        <v>300000000</v>
      </c>
      <c r="W595" s="29">
        <f t="shared" ref="W595:W626" si="248">T595*U595</f>
        <v>775125635856</v>
      </c>
      <c r="X595" s="32">
        <f t="shared" ref="X595:X626" si="249">POWER(W595, 1/$X$1)</f>
        <v>238.71209271554903</v>
      </c>
      <c r="Y595" s="41">
        <v>470</v>
      </c>
      <c r="Z595" s="41">
        <v>300000000</v>
      </c>
      <c r="AA595" s="41">
        <v>0</v>
      </c>
      <c r="AC595" s="50">
        <v>594</v>
      </c>
      <c r="AD595" s="51">
        <f t="shared" si="240"/>
        <v>0</v>
      </c>
      <c r="AE595" s="51">
        <f t="shared" si="242"/>
        <v>33333333.333333332</v>
      </c>
      <c r="AF595" s="51">
        <f t="shared" si="241"/>
        <v>0</v>
      </c>
      <c r="AG595" s="55">
        <f t="shared" si="242"/>
        <v>0</v>
      </c>
      <c r="AH595" s="29">
        <f>SUM($AF$2:AF595)</f>
        <v>300</v>
      </c>
      <c r="AI595" s="55">
        <f>SUM($AG$2:AG595)</f>
        <v>299.99999999999824</v>
      </c>
    </row>
    <row r="596" spans="1:35" x14ac:dyDescent="0.2">
      <c r="A596" s="48" t="s">
        <v>8864</v>
      </c>
      <c r="B596" s="29">
        <v>6</v>
      </c>
      <c r="C596" s="29">
        <v>1</v>
      </c>
      <c r="D596" s="29">
        <v>524</v>
      </c>
      <c r="E596" s="29">
        <v>67527</v>
      </c>
      <c r="F596" s="29">
        <v>23675</v>
      </c>
      <c r="G596" s="29">
        <v>23504</v>
      </c>
      <c r="H596" s="29">
        <v>360872</v>
      </c>
      <c r="I596" s="29">
        <v>14886</v>
      </c>
      <c r="J596" s="29">
        <v>947289024</v>
      </c>
      <c r="K596" s="29">
        <v>5860</v>
      </c>
      <c r="L596" s="29">
        <v>10685</v>
      </c>
      <c r="N596" s="33"/>
      <c r="O596" s="29">
        <f t="shared" si="243"/>
        <v>8272.5</v>
      </c>
      <c r="P596" s="31" cm="1">
        <f t="array" ref="P596">WPNFACTOR(C596)</f>
        <v>2</v>
      </c>
      <c r="Q596" s="33" cm="1">
        <f t="array" ref="Q596">HPFACTOr(C596)</f>
        <v>5</v>
      </c>
      <c r="R596" s="32">
        <f t="shared" si="244"/>
        <v>4136.25</v>
      </c>
      <c r="S596" s="33">
        <f t="shared" si="245"/>
        <v>189457804.80000001</v>
      </c>
      <c r="T596" s="32">
        <f t="shared" si="246"/>
        <v>4136.25</v>
      </c>
      <c r="U596" s="39">
        <f t="shared" si="247"/>
        <v>189457804.79999998</v>
      </c>
      <c r="V596" s="41">
        <f>VLOOKUP(D596,LevelXp!$A$1:'LevelXp'!$B$1000,2,)/5</f>
        <v>300000000</v>
      </c>
      <c r="W596" s="29">
        <f t="shared" si="248"/>
        <v>783644845103.99988</v>
      </c>
      <c r="X596" s="32">
        <f t="shared" si="249"/>
        <v>239.23452577696963</v>
      </c>
      <c r="Y596" s="41">
        <v>471</v>
      </c>
      <c r="Z596" s="41">
        <v>300000000</v>
      </c>
      <c r="AA596" s="41">
        <v>0</v>
      </c>
      <c r="AC596" s="50">
        <v>595</v>
      </c>
      <c r="AD596" s="51">
        <f t="shared" si="240"/>
        <v>0</v>
      </c>
      <c r="AE596" s="51">
        <f t="shared" si="242"/>
        <v>33333333.333333332</v>
      </c>
      <c r="AF596" s="51">
        <f t="shared" si="241"/>
        <v>0</v>
      </c>
      <c r="AG596" s="55">
        <f t="shared" si="242"/>
        <v>0</v>
      </c>
      <c r="AH596" s="29">
        <f>SUM($AF$2:AF596)</f>
        <v>300</v>
      </c>
      <c r="AI596" s="55">
        <f>SUM($AG$2:AG596)</f>
        <v>299.99999999999824</v>
      </c>
    </row>
    <row r="597" spans="1:35" x14ac:dyDescent="0.2">
      <c r="A597" s="48" t="s">
        <v>8864</v>
      </c>
      <c r="B597" s="29">
        <v>7</v>
      </c>
      <c r="C597" s="29">
        <v>2</v>
      </c>
      <c r="D597" s="29">
        <v>528</v>
      </c>
      <c r="E597" s="29">
        <v>16985</v>
      </c>
      <c r="F597" s="29">
        <v>17120</v>
      </c>
      <c r="G597" s="29">
        <v>68752</v>
      </c>
      <c r="H597" s="29">
        <v>361823</v>
      </c>
      <c r="I597" s="29">
        <v>24319</v>
      </c>
      <c r="J597" s="29">
        <v>382808736</v>
      </c>
      <c r="K597" s="29">
        <v>14601</v>
      </c>
      <c r="L597" s="29">
        <v>23926</v>
      </c>
      <c r="N597" s="33"/>
      <c r="O597" s="29">
        <f t="shared" si="243"/>
        <v>19263.5</v>
      </c>
      <c r="P597" s="31" cm="1">
        <f t="array" ref="P597">WPNFACTOR(C597)</f>
        <v>4.5</v>
      </c>
      <c r="Q597" s="33" cm="1">
        <f t="array" ref="Q597">HPFACTOr(C597)</f>
        <v>2</v>
      </c>
      <c r="R597" s="32">
        <f t="shared" si="244"/>
        <v>4280.7777777777774</v>
      </c>
      <c r="S597" s="33">
        <f t="shared" si="245"/>
        <v>191404368</v>
      </c>
      <c r="T597" s="32">
        <f t="shared" si="246"/>
        <v>4280.7777777777774</v>
      </c>
      <c r="U597" s="39">
        <f t="shared" si="247"/>
        <v>191404368</v>
      </c>
      <c r="V597" s="41">
        <f>VLOOKUP(D597,LevelXp!$A$1:'LevelXp'!$B$1000,2,)/5</f>
        <v>300000000</v>
      </c>
      <c r="W597" s="29">
        <f t="shared" si="248"/>
        <v>819359565103.99988</v>
      </c>
      <c r="X597" s="32">
        <f t="shared" si="249"/>
        <v>241.37645550248763</v>
      </c>
      <c r="Y597" s="41">
        <v>473</v>
      </c>
      <c r="Z597" s="41">
        <v>300000000</v>
      </c>
      <c r="AA597" s="41">
        <v>0</v>
      </c>
      <c r="AC597" s="50">
        <v>596</v>
      </c>
      <c r="AD597" s="51">
        <f t="shared" si="240"/>
        <v>0</v>
      </c>
      <c r="AE597" s="51">
        <f t="shared" si="242"/>
        <v>0</v>
      </c>
      <c r="AF597" s="51">
        <f t="shared" si="241"/>
        <v>0</v>
      </c>
      <c r="AG597" s="55">
        <f t="shared" si="242"/>
        <v>0</v>
      </c>
      <c r="AH597" s="29">
        <f>SUM($AF$2:AF597)</f>
        <v>300</v>
      </c>
      <c r="AI597" s="55">
        <f>SUM($AG$2:AG597)</f>
        <v>299.99999999999824</v>
      </c>
    </row>
    <row r="598" spans="1:35" x14ac:dyDescent="0.2">
      <c r="A598" s="48" t="s">
        <v>8864</v>
      </c>
      <c r="B598" s="29">
        <v>8</v>
      </c>
      <c r="C598" s="29">
        <v>2</v>
      </c>
      <c r="D598" s="29">
        <v>532</v>
      </c>
      <c r="E598" s="29">
        <v>20016</v>
      </c>
      <c r="F598" s="29">
        <v>20171</v>
      </c>
      <c r="G598" s="29">
        <v>80997</v>
      </c>
      <c r="H598" s="29">
        <v>426706</v>
      </c>
      <c r="I598" s="29">
        <v>28643</v>
      </c>
      <c r="J598" s="29">
        <v>454868608</v>
      </c>
      <c r="K598" s="29">
        <v>14576</v>
      </c>
      <c r="L598" s="29">
        <v>24519</v>
      </c>
      <c r="N598" s="33"/>
      <c r="O598" s="29">
        <f t="shared" si="243"/>
        <v>19547.5</v>
      </c>
      <c r="P598" s="31" cm="1">
        <f t="array" ref="P598">WPNFACTOR(C598)</f>
        <v>4.5</v>
      </c>
      <c r="Q598" s="33" cm="1">
        <f t="array" ref="Q598">HPFACTOr(C598)</f>
        <v>2</v>
      </c>
      <c r="R598" s="32">
        <f t="shared" si="244"/>
        <v>4343.8888888888887</v>
      </c>
      <c r="S598" s="33">
        <f t="shared" si="245"/>
        <v>227434304</v>
      </c>
      <c r="T598" s="32">
        <f t="shared" si="246"/>
        <v>4343.8888888888887</v>
      </c>
      <c r="U598" s="39">
        <f t="shared" si="247"/>
        <v>227434304</v>
      </c>
      <c r="V598" s="41">
        <f>VLOOKUP(D598,LevelXp!$A$1:'LevelXp'!$B$1000,2,)/5</f>
        <v>300000000</v>
      </c>
      <c r="W598" s="29">
        <f t="shared" si="248"/>
        <v>987949346097.77771</v>
      </c>
      <c r="X598" s="32">
        <f t="shared" si="249"/>
        <v>250.58030621702275</v>
      </c>
      <c r="Y598" s="41">
        <v>475</v>
      </c>
      <c r="Z598" s="41">
        <v>300000000</v>
      </c>
      <c r="AA598" s="41">
        <v>0</v>
      </c>
      <c r="AC598" s="50">
        <v>597</v>
      </c>
      <c r="AD598" s="51">
        <f t="shared" si="240"/>
        <v>0</v>
      </c>
      <c r="AE598" s="51">
        <f t="shared" si="242"/>
        <v>0</v>
      </c>
      <c r="AF598" s="51">
        <f t="shared" si="241"/>
        <v>0</v>
      </c>
      <c r="AG598" s="55">
        <f t="shared" si="242"/>
        <v>0</v>
      </c>
      <c r="AH598" s="29">
        <f>SUM($AF$2:AF598)</f>
        <v>300</v>
      </c>
      <c r="AI598" s="55">
        <f>SUM($AG$2:AG598)</f>
        <v>299.99999999999824</v>
      </c>
    </row>
    <row r="599" spans="1:35" x14ac:dyDescent="0.2">
      <c r="A599" s="48" t="s">
        <v>8867</v>
      </c>
      <c r="B599" s="29">
        <v>7</v>
      </c>
      <c r="C599" s="29">
        <v>1</v>
      </c>
      <c r="D599" s="29">
        <v>516</v>
      </c>
      <c r="E599" s="29">
        <v>69310</v>
      </c>
      <c r="F599" s="29">
        <v>24270</v>
      </c>
      <c r="G599" s="29">
        <v>24150</v>
      </c>
      <c r="H599" s="29">
        <v>204080</v>
      </c>
      <c r="I599" s="29">
        <v>14650</v>
      </c>
      <c r="J599" s="29">
        <v>527546816</v>
      </c>
      <c r="K599" s="29">
        <v>17974</v>
      </c>
      <c r="L599" s="29">
        <v>35111</v>
      </c>
      <c r="N599" s="33"/>
      <c r="O599" s="29">
        <f t="shared" si="243"/>
        <v>26542.5</v>
      </c>
      <c r="P599" s="31" cm="1">
        <f t="array" ref="P599">WPNFACTOR(C599)</f>
        <v>2</v>
      </c>
      <c r="Q599" s="33" cm="1">
        <f t="array" ref="Q599">HPFACTOr(C599)</f>
        <v>5</v>
      </c>
      <c r="R599" s="32">
        <f t="shared" si="244"/>
        <v>13271.25</v>
      </c>
      <c r="S599" s="33">
        <f t="shared" si="245"/>
        <v>105509363.2</v>
      </c>
      <c r="T599" s="32">
        <f t="shared" si="246"/>
        <v>13271.25</v>
      </c>
      <c r="U599" s="39">
        <f t="shared" si="247"/>
        <v>105509363.2</v>
      </c>
      <c r="V599" s="41">
        <f>VLOOKUP(D599,LevelXp!$A$1:'LevelXp'!$B$1000,2,)/5</f>
        <v>300000000</v>
      </c>
      <c r="W599" s="29">
        <f t="shared" si="248"/>
        <v>1400241136368</v>
      </c>
      <c r="X599" s="32">
        <f t="shared" si="249"/>
        <v>268.68323363633107</v>
      </c>
      <c r="Y599" s="41">
        <v>477</v>
      </c>
      <c r="Z599" s="41">
        <v>300000000</v>
      </c>
      <c r="AA599" s="41">
        <v>0</v>
      </c>
      <c r="AC599" s="50">
        <v>598</v>
      </c>
      <c r="AD599" s="51">
        <f t="shared" si="240"/>
        <v>0</v>
      </c>
      <c r="AE599" s="51">
        <f t="shared" si="242"/>
        <v>0</v>
      </c>
      <c r="AF599" s="51">
        <f t="shared" si="241"/>
        <v>0</v>
      </c>
      <c r="AG599" s="55">
        <f t="shared" si="242"/>
        <v>0</v>
      </c>
      <c r="AH599" s="29">
        <f>SUM($AF$2:AF599)</f>
        <v>300</v>
      </c>
      <c r="AI599" s="55">
        <f>SUM($AG$2:AG599)</f>
        <v>299.99999999999824</v>
      </c>
    </row>
    <row r="600" spans="1:35" x14ac:dyDescent="0.2">
      <c r="A600" s="48" t="s">
        <v>8858</v>
      </c>
      <c r="B600" s="29">
        <v>1</v>
      </c>
      <c r="C600" s="29">
        <v>2</v>
      </c>
      <c r="D600" s="29">
        <v>400</v>
      </c>
      <c r="E600" s="29">
        <v>35000</v>
      </c>
      <c r="F600" s="29">
        <v>15000</v>
      </c>
      <c r="G600" s="29">
        <v>35000</v>
      </c>
      <c r="H600" s="29">
        <v>180000</v>
      </c>
      <c r="I600" s="29">
        <v>20000</v>
      </c>
      <c r="J600" s="29">
        <v>6074999808</v>
      </c>
      <c r="K600" s="29">
        <v>1351</v>
      </c>
      <c r="L600" s="29">
        <v>2249</v>
      </c>
      <c r="N600" s="33"/>
      <c r="O600" s="29">
        <f t="shared" si="243"/>
        <v>1800</v>
      </c>
      <c r="P600" s="31" cm="1">
        <f t="array" ref="P600">WPNFACTOR(C600)</f>
        <v>4.5</v>
      </c>
      <c r="Q600" s="33" cm="1">
        <f t="array" ref="Q600">HPFACTOr(C600)</f>
        <v>2</v>
      </c>
      <c r="R600" s="32">
        <f t="shared" si="244"/>
        <v>400</v>
      </c>
      <c r="S600" s="33">
        <f t="shared" si="245"/>
        <v>3037499904</v>
      </c>
      <c r="T600" s="32">
        <f t="shared" si="246"/>
        <v>400</v>
      </c>
      <c r="U600" s="39">
        <f t="shared" si="247"/>
        <v>3037499904</v>
      </c>
      <c r="V600" s="41">
        <f>VLOOKUP(D600,LevelXp!$A$1:'LevelXp'!$B$1000,2,)/5</f>
        <v>300000000</v>
      </c>
      <c r="W600" s="29">
        <f t="shared" si="248"/>
        <v>1214999961600</v>
      </c>
      <c r="X600" s="32">
        <f t="shared" si="249"/>
        <v>261.16516733801546</v>
      </c>
      <c r="Y600" s="41">
        <v>479</v>
      </c>
      <c r="Z600" s="41">
        <v>300000000</v>
      </c>
      <c r="AA600" s="41">
        <v>0</v>
      </c>
      <c r="AC600" s="50">
        <v>599</v>
      </c>
      <c r="AD600" s="51">
        <f t="shared" si="240"/>
        <v>0</v>
      </c>
      <c r="AE600" s="51">
        <f t="shared" si="242"/>
        <v>0</v>
      </c>
      <c r="AF600" s="51">
        <f t="shared" si="241"/>
        <v>0</v>
      </c>
      <c r="AG600" s="55">
        <f t="shared" si="242"/>
        <v>0</v>
      </c>
      <c r="AH600" s="29">
        <f>SUM($AF$2:AF600)</f>
        <v>300</v>
      </c>
      <c r="AI600" s="55">
        <f>SUM($AG$2:AG600)</f>
        <v>299.99999999999824</v>
      </c>
    </row>
    <row r="601" spans="1:35" x14ac:dyDescent="0.2">
      <c r="A601" s="48" t="s">
        <v>8863</v>
      </c>
      <c r="B601" s="29">
        <v>1</v>
      </c>
      <c r="C601" s="29">
        <v>1</v>
      </c>
      <c r="D601" s="29">
        <v>480</v>
      </c>
      <c r="E601" s="29">
        <v>66000</v>
      </c>
      <c r="F601" s="29">
        <v>35000</v>
      </c>
      <c r="G601" s="29">
        <v>35000</v>
      </c>
      <c r="H601" s="29">
        <v>174000</v>
      </c>
      <c r="I601" s="29">
        <v>35000</v>
      </c>
      <c r="J601" s="29">
        <v>540000000</v>
      </c>
      <c r="K601" s="29">
        <v>1901</v>
      </c>
      <c r="L601" s="29">
        <v>2144</v>
      </c>
      <c r="M601" s="29">
        <v>25</v>
      </c>
      <c r="N601" s="33">
        <v>25</v>
      </c>
      <c r="O601" s="29">
        <f t="shared" si="243"/>
        <v>2022.5</v>
      </c>
      <c r="P601" s="31" cm="1">
        <f t="array" ref="P601">WPNFACTOR(C601)</f>
        <v>2</v>
      </c>
      <c r="Q601" s="33" cm="1">
        <f t="array" ref="Q601">HPFACTOr(C601)</f>
        <v>5</v>
      </c>
      <c r="R601" s="32">
        <f t="shared" si="244"/>
        <v>1011.25</v>
      </c>
      <c r="S601" s="33">
        <f t="shared" si="245"/>
        <v>108000000</v>
      </c>
      <c r="T601" s="32">
        <f t="shared" si="246"/>
        <v>1074.453125</v>
      </c>
      <c r="U601" s="39">
        <f t="shared" si="247"/>
        <v>119172413.79310346</v>
      </c>
      <c r="V601" s="41">
        <f>VLOOKUP(D601,LevelXp!$A$1:'LevelXp'!$B$1000,2,)/5</f>
        <v>300000000</v>
      </c>
      <c r="W601" s="29">
        <f t="shared" si="248"/>
        <v>128045172413.79311</v>
      </c>
      <c r="X601" s="32">
        <f t="shared" si="249"/>
        <v>166.5223924585508</v>
      </c>
      <c r="Y601" s="41">
        <v>480</v>
      </c>
      <c r="Z601" s="41">
        <v>300000000</v>
      </c>
      <c r="AA601" s="41">
        <v>1</v>
      </c>
      <c r="AC601" s="50">
        <v>600</v>
      </c>
      <c r="AD601" s="51">
        <f t="shared" si="240"/>
        <v>0</v>
      </c>
      <c r="AE601" s="51">
        <f t="shared" si="242"/>
        <v>0</v>
      </c>
      <c r="AF601" s="51">
        <f t="shared" si="241"/>
        <v>0</v>
      </c>
      <c r="AG601" s="55">
        <f t="shared" si="242"/>
        <v>0</v>
      </c>
      <c r="AH601" s="29">
        <f>SUM($AF$2:AF601)</f>
        <v>300</v>
      </c>
      <c r="AI601" s="55">
        <f>SUM($AG$2:AG601)</f>
        <v>299.99999999999824</v>
      </c>
    </row>
    <row r="602" spans="1:35" x14ac:dyDescent="0.2">
      <c r="A602" s="48" t="s">
        <v>8863</v>
      </c>
      <c r="B602" s="29">
        <v>3</v>
      </c>
      <c r="C602" s="29">
        <v>3</v>
      </c>
      <c r="D602" s="29">
        <v>486</v>
      </c>
      <c r="E602" s="29">
        <v>36500</v>
      </c>
      <c r="F602" s="29">
        <v>68700</v>
      </c>
      <c r="G602" s="29">
        <v>36500</v>
      </c>
      <c r="H602" s="29">
        <v>178800</v>
      </c>
      <c r="I602" s="29">
        <v>36500</v>
      </c>
      <c r="J602" s="29">
        <v>558000000</v>
      </c>
      <c r="K602" s="29">
        <v>1931</v>
      </c>
      <c r="L602" s="29">
        <v>2174</v>
      </c>
      <c r="M602" s="29">
        <v>25</v>
      </c>
      <c r="N602" s="33">
        <v>25</v>
      </c>
      <c r="O602" s="29">
        <f t="shared" si="243"/>
        <v>2052.5</v>
      </c>
      <c r="P602" s="31" cm="1">
        <f t="array" ref="P602">WPNFACTOR(C602)</f>
        <v>2.5</v>
      </c>
      <c r="Q602" s="33" cm="1">
        <f t="array" ref="Q602">HPFACTOr(C602)</f>
        <v>4</v>
      </c>
      <c r="R602" s="32">
        <f t="shared" si="244"/>
        <v>821</v>
      </c>
      <c r="S602" s="33">
        <f t="shared" si="245"/>
        <v>139500000</v>
      </c>
      <c r="T602" s="32">
        <f t="shared" si="246"/>
        <v>872.3125</v>
      </c>
      <c r="U602" s="39">
        <f t="shared" si="247"/>
        <v>153931034.48275861</v>
      </c>
      <c r="V602" s="41">
        <f>VLOOKUP(D602,LevelXp!$A$1:'LevelXp'!$B$1000,2,)/5</f>
        <v>300000000</v>
      </c>
      <c r="W602" s="29">
        <f t="shared" si="248"/>
        <v>134275965517.24138</v>
      </c>
      <c r="X602" s="32">
        <f t="shared" si="249"/>
        <v>168.11236458743548</v>
      </c>
      <c r="Y602" s="41">
        <v>480</v>
      </c>
      <c r="Z602" s="41">
        <v>300000000</v>
      </c>
      <c r="AA602" s="41">
        <v>1</v>
      </c>
      <c r="AC602" s="50">
        <v>601</v>
      </c>
      <c r="AD602" s="51">
        <f t="shared" si="240"/>
        <v>0</v>
      </c>
      <c r="AE602" s="51">
        <f t="shared" si="242"/>
        <v>33333333.333333332</v>
      </c>
      <c r="AF602" s="51">
        <f t="shared" si="241"/>
        <v>0</v>
      </c>
      <c r="AG602" s="55">
        <f t="shared" si="242"/>
        <v>0</v>
      </c>
      <c r="AH602" s="29">
        <f>SUM($AF$2:AF602)</f>
        <v>300</v>
      </c>
      <c r="AI602" s="55">
        <f>SUM($AG$2:AG602)</f>
        <v>299.99999999999824</v>
      </c>
    </row>
    <row r="603" spans="1:35" x14ac:dyDescent="0.2">
      <c r="A603" s="48" t="s">
        <v>8863</v>
      </c>
      <c r="B603" s="29">
        <v>4</v>
      </c>
      <c r="C603" s="29">
        <v>1</v>
      </c>
      <c r="D603" s="29">
        <v>489</v>
      </c>
      <c r="E603" s="29">
        <v>70050</v>
      </c>
      <c r="F603" s="29">
        <v>37250</v>
      </c>
      <c r="G603" s="29">
        <v>37250</v>
      </c>
      <c r="H603" s="29">
        <v>181200</v>
      </c>
      <c r="I603" s="29">
        <v>37250</v>
      </c>
      <c r="J603" s="29">
        <v>567000000</v>
      </c>
      <c r="K603" s="29">
        <v>1948</v>
      </c>
      <c r="L603" s="29">
        <v>2189</v>
      </c>
      <c r="M603" s="29">
        <v>25</v>
      </c>
      <c r="N603" s="33">
        <v>25</v>
      </c>
      <c r="O603" s="29">
        <f t="shared" si="243"/>
        <v>2068.5</v>
      </c>
      <c r="P603" s="31" cm="1">
        <f t="array" ref="P603">WPNFACTOR(C603)</f>
        <v>2</v>
      </c>
      <c r="Q603" s="33" cm="1">
        <f t="array" ref="Q603">HPFACTOr(C603)</f>
        <v>5</v>
      </c>
      <c r="R603" s="32">
        <f t="shared" si="244"/>
        <v>1034.25</v>
      </c>
      <c r="S603" s="33">
        <f t="shared" si="245"/>
        <v>113400000</v>
      </c>
      <c r="T603" s="32">
        <f t="shared" si="246"/>
        <v>1098.890625</v>
      </c>
      <c r="U603" s="39">
        <f t="shared" si="247"/>
        <v>125131034.48275863</v>
      </c>
      <c r="V603" s="41">
        <f>VLOOKUP(D603,LevelXp!$A$1:'LevelXp'!$B$1000,2,)/5</f>
        <v>300000000</v>
      </c>
      <c r="W603" s="29">
        <f t="shared" si="248"/>
        <v>137505320689.65518</v>
      </c>
      <c r="X603" s="32">
        <f t="shared" si="249"/>
        <v>168.91332099809725</v>
      </c>
      <c r="Y603" s="41">
        <v>480</v>
      </c>
      <c r="Z603" s="41">
        <v>300000000</v>
      </c>
      <c r="AA603" s="41">
        <v>1</v>
      </c>
      <c r="AC603" s="50">
        <v>602</v>
      </c>
      <c r="AD603" s="51">
        <f t="shared" si="240"/>
        <v>0</v>
      </c>
      <c r="AE603" s="51">
        <f t="shared" si="242"/>
        <v>33333333.333333332</v>
      </c>
      <c r="AF603" s="51">
        <f t="shared" si="241"/>
        <v>0</v>
      </c>
      <c r="AG603" s="55">
        <f t="shared" si="242"/>
        <v>0</v>
      </c>
      <c r="AH603" s="29">
        <f>SUM($AF$2:AF603)</f>
        <v>300</v>
      </c>
      <c r="AI603" s="55">
        <f>SUM($AG$2:AG603)</f>
        <v>299.99999999999824</v>
      </c>
    </row>
    <row r="604" spans="1:35" x14ac:dyDescent="0.2">
      <c r="A604" s="48" t="s">
        <v>8863</v>
      </c>
      <c r="B604" s="29">
        <v>6</v>
      </c>
      <c r="C604" s="29">
        <v>1</v>
      </c>
      <c r="D604" s="29">
        <v>495</v>
      </c>
      <c r="E604" s="29">
        <v>72750</v>
      </c>
      <c r="F604" s="29">
        <v>38750</v>
      </c>
      <c r="G604" s="29">
        <v>38750</v>
      </c>
      <c r="H604" s="29">
        <v>186000</v>
      </c>
      <c r="I604" s="29">
        <v>38750</v>
      </c>
      <c r="J604" s="29">
        <v>585000000</v>
      </c>
      <c r="K604" s="29">
        <v>1980</v>
      </c>
      <c r="L604" s="29">
        <v>2216</v>
      </c>
      <c r="M604" s="29">
        <v>25</v>
      </c>
      <c r="N604" s="33">
        <v>25</v>
      </c>
      <c r="O604" s="29">
        <f t="shared" si="243"/>
        <v>2098</v>
      </c>
      <c r="P604" s="31" cm="1">
        <f t="array" ref="P604">WPNFACTOR(C604)</f>
        <v>2</v>
      </c>
      <c r="Q604" s="33" cm="1">
        <f t="array" ref="Q604">HPFACTOr(C604)</f>
        <v>5</v>
      </c>
      <c r="R604" s="32">
        <f t="shared" si="244"/>
        <v>1049</v>
      </c>
      <c r="S604" s="33">
        <f t="shared" si="245"/>
        <v>117000000</v>
      </c>
      <c r="T604" s="32">
        <f t="shared" si="246"/>
        <v>1114.5625</v>
      </c>
      <c r="U604" s="39">
        <f t="shared" si="247"/>
        <v>129103448.27586207</v>
      </c>
      <c r="V604" s="41">
        <f>VLOOKUP(D604,LevelXp!$A$1:'LevelXp'!$B$1000,2,)/5</f>
        <v>300000000</v>
      </c>
      <c r="W604" s="29">
        <f t="shared" si="248"/>
        <v>143893862068.96552</v>
      </c>
      <c r="X604" s="32">
        <f t="shared" si="249"/>
        <v>170.45449321900725</v>
      </c>
      <c r="Y604" s="41">
        <v>480</v>
      </c>
      <c r="Z604" s="41">
        <v>300000000</v>
      </c>
      <c r="AA604" s="41">
        <v>1</v>
      </c>
      <c r="AC604" s="50">
        <v>603</v>
      </c>
      <c r="AD604" s="51">
        <f t="shared" si="240"/>
        <v>0</v>
      </c>
      <c r="AE604" s="51">
        <f t="shared" si="242"/>
        <v>33333333.333333332</v>
      </c>
      <c r="AF604" s="51">
        <f t="shared" si="241"/>
        <v>0</v>
      </c>
      <c r="AG604" s="55">
        <f t="shared" si="242"/>
        <v>0</v>
      </c>
      <c r="AH604" s="29">
        <f>SUM($AF$2:AF604)</f>
        <v>300</v>
      </c>
      <c r="AI604" s="55">
        <f>SUM($AG$2:AG604)</f>
        <v>299.99999999999824</v>
      </c>
    </row>
    <row r="605" spans="1:35" x14ac:dyDescent="0.2">
      <c r="A605" s="48" t="s">
        <v>8863</v>
      </c>
      <c r="B605" s="29">
        <v>2</v>
      </c>
      <c r="C605" s="29">
        <v>2</v>
      </c>
      <c r="D605" s="29">
        <v>483</v>
      </c>
      <c r="E605" s="29">
        <v>35750</v>
      </c>
      <c r="F605" s="29">
        <v>35750</v>
      </c>
      <c r="G605" s="29">
        <v>67350</v>
      </c>
      <c r="H605" s="29">
        <v>176400</v>
      </c>
      <c r="I605" s="29">
        <v>35750</v>
      </c>
      <c r="J605" s="29">
        <v>549000000</v>
      </c>
      <c r="K605" s="29">
        <v>1918</v>
      </c>
      <c r="L605" s="29">
        <v>2162</v>
      </c>
      <c r="M605" s="29">
        <v>25</v>
      </c>
      <c r="N605" s="33">
        <v>25</v>
      </c>
      <c r="O605" s="29">
        <f t="shared" si="243"/>
        <v>2040</v>
      </c>
      <c r="P605" s="31" cm="1">
        <f t="array" ref="P605">WPNFACTOR(C605)</f>
        <v>4.5</v>
      </c>
      <c r="Q605" s="33" cm="1">
        <f t="array" ref="Q605">HPFACTOr(C605)</f>
        <v>2</v>
      </c>
      <c r="R605" s="32">
        <f t="shared" si="244"/>
        <v>453.33333333333331</v>
      </c>
      <c r="S605" s="33">
        <f t="shared" si="245"/>
        <v>274500000</v>
      </c>
      <c r="T605" s="32">
        <f t="shared" si="246"/>
        <v>481.66666666666663</v>
      </c>
      <c r="U605" s="39">
        <f t="shared" si="247"/>
        <v>302896551.72413796</v>
      </c>
      <c r="V605" s="41">
        <f>VLOOKUP(D605,LevelXp!$A$1:'LevelXp'!$B$1000,2,)/5</f>
        <v>300000000</v>
      </c>
      <c r="W605" s="29">
        <f t="shared" si="248"/>
        <v>145895172413.79312</v>
      </c>
      <c r="X605" s="32">
        <f t="shared" si="249"/>
        <v>170.9260216083176</v>
      </c>
      <c r="Y605" s="41">
        <v>480</v>
      </c>
      <c r="Z605" s="41">
        <v>300000000</v>
      </c>
      <c r="AA605" s="41">
        <v>1</v>
      </c>
      <c r="AC605" s="50">
        <v>604</v>
      </c>
      <c r="AD605" s="51">
        <f t="shared" si="240"/>
        <v>0</v>
      </c>
      <c r="AE605" s="51">
        <f t="shared" si="242"/>
        <v>33333333.333333332</v>
      </c>
      <c r="AF605" s="51">
        <f t="shared" si="241"/>
        <v>0</v>
      </c>
      <c r="AG605" s="55">
        <f t="shared" si="242"/>
        <v>0</v>
      </c>
      <c r="AH605" s="29">
        <f>SUM($AF$2:AF605)</f>
        <v>300</v>
      </c>
      <c r="AI605" s="55">
        <f>SUM($AG$2:AG605)</f>
        <v>299.99999999999824</v>
      </c>
    </row>
    <row r="606" spans="1:35" x14ac:dyDescent="0.2">
      <c r="A606" s="48" t="s">
        <v>8863</v>
      </c>
      <c r="B606" s="29">
        <v>7</v>
      </c>
      <c r="C606" s="29">
        <v>3</v>
      </c>
      <c r="D606" s="29">
        <v>498</v>
      </c>
      <c r="E606" s="29">
        <v>39500</v>
      </c>
      <c r="F606" s="29">
        <v>74100</v>
      </c>
      <c r="G606" s="29">
        <v>39500</v>
      </c>
      <c r="H606" s="29">
        <v>188400</v>
      </c>
      <c r="I606" s="29">
        <v>39500</v>
      </c>
      <c r="J606" s="29">
        <v>594000000</v>
      </c>
      <c r="K606" s="29">
        <v>1996</v>
      </c>
      <c r="L606" s="29">
        <v>2235</v>
      </c>
      <c r="M606" s="29">
        <v>25</v>
      </c>
      <c r="N606" s="33">
        <v>25</v>
      </c>
      <c r="O606" s="29">
        <f t="shared" si="243"/>
        <v>2115.5</v>
      </c>
      <c r="P606" s="31" cm="1">
        <f t="array" ref="P606">WPNFACTOR(C606)</f>
        <v>2.5</v>
      </c>
      <c r="Q606" s="33" cm="1">
        <f t="array" ref="Q606">HPFACTOr(C606)</f>
        <v>4</v>
      </c>
      <c r="R606" s="32">
        <f t="shared" si="244"/>
        <v>846.2</v>
      </c>
      <c r="S606" s="33">
        <f t="shared" si="245"/>
        <v>148500000</v>
      </c>
      <c r="T606" s="32">
        <f t="shared" si="246"/>
        <v>899.08750000000009</v>
      </c>
      <c r="U606" s="39">
        <f t="shared" si="247"/>
        <v>163862068.96551725</v>
      </c>
      <c r="V606" s="41">
        <f>VLOOKUP(D606,LevelXp!$A$1:'LevelXp'!$B$1000,2,)/5</f>
        <v>300000000</v>
      </c>
      <c r="W606" s="29">
        <f t="shared" si="248"/>
        <v>147326337931.03452</v>
      </c>
      <c r="X606" s="32">
        <f t="shared" si="249"/>
        <v>171.26005484199763</v>
      </c>
      <c r="Y606" s="41">
        <v>480</v>
      </c>
      <c r="Z606" s="41">
        <v>300000000</v>
      </c>
      <c r="AA606" s="41">
        <v>1</v>
      </c>
      <c r="AC606" s="50">
        <v>605</v>
      </c>
      <c r="AD606" s="51">
        <f t="shared" si="240"/>
        <v>300000000</v>
      </c>
      <c r="AE606" s="51">
        <f t="shared" si="242"/>
        <v>33333333.333333332</v>
      </c>
      <c r="AF606" s="51">
        <f t="shared" si="241"/>
        <v>0</v>
      </c>
      <c r="AG606" s="55">
        <f t="shared" si="242"/>
        <v>0</v>
      </c>
      <c r="AH606" s="29">
        <f>SUM($AF$2:AF606)</f>
        <v>300</v>
      </c>
      <c r="AI606" s="55">
        <f>SUM($AG$2:AG606)</f>
        <v>299.99999999999824</v>
      </c>
    </row>
    <row r="607" spans="1:35" x14ac:dyDescent="0.2">
      <c r="A607" s="48" t="s">
        <v>8863</v>
      </c>
      <c r="B607" s="29">
        <v>8</v>
      </c>
      <c r="C607" s="29">
        <v>3</v>
      </c>
      <c r="D607" s="29">
        <v>501</v>
      </c>
      <c r="E607" s="29">
        <v>40250</v>
      </c>
      <c r="F607" s="29">
        <v>80500</v>
      </c>
      <c r="G607" s="29">
        <v>40250</v>
      </c>
      <c r="H607" s="29">
        <v>190800</v>
      </c>
      <c r="I607" s="29">
        <v>40250</v>
      </c>
      <c r="J607" s="29">
        <v>603000000</v>
      </c>
      <c r="K607" s="29">
        <v>2017</v>
      </c>
      <c r="L607" s="29">
        <v>2254</v>
      </c>
      <c r="M607" s="29">
        <v>25</v>
      </c>
      <c r="N607" s="33">
        <v>25</v>
      </c>
      <c r="O607" s="29">
        <f t="shared" si="243"/>
        <v>2135.5</v>
      </c>
      <c r="P607" s="31" cm="1">
        <f t="array" ref="P607">WPNFACTOR(C607)</f>
        <v>2.5</v>
      </c>
      <c r="Q607" s="33" cm="1">
        <f t="array" ref="Q607">HPFACTOr(C607)</f>
        <v>4</v>
      </c>
      <c r="R607" s="32">
        <f t="shared" si="244"/>
        <v>854.2</v>
      </c>
      <c r="S607" s="33">
        <f t="shared" si="245"/>
        <v>150750000</v>
      </c>
      <c r="T607" s="32">
        <f t="shared" si="246"/>
        <v>907.58750000000009</v>
      </c>
      <c r="U607" s="39">
        <f t="shared" si="247"/>
        <v>166344827.58620691</v>
      </c>
      <c r="V607" s="41">
        <f>VLOOKUP(D607,LevelXp!$A$1:'LevelXp'!$B$1000,2,)/5</f>
        <v>300000000</v>
      </c>
      <c r="W607" s="29">
        <f t="shared" si="248"/>
        <v>150972486206.89658</v>
      </c>
      <c r="X607" s="32">
        <f t="shared" si="249"/>
        <v>172.09948130931986</v>
      </c>
      <c r="Y607" s="41">
        <v>480</v>
      </c>
      <c r="Z607" s="41">
        <v>300000000</v>
      </c>
      <c r="AA607" s="41">
        <v>1</v>
      </c>
      <c r="AC607" s="50">
        <v>606</v>
      </c>
      <c r="AD607" s="51">
        <f t="shared" si="240"/>
        <v>0</v>
      </c>
      <c r="AE607" s="51">
        <f t="shared" si="242"/>
        <v>33333333.333333332</v>
      </c>
      <c r="AF607" s="51">
        <f t="shared" si="241"/>
        <v>0</v>
      </c>
      <c r="AG607" s="55">
        <f t="shared" si="242"/>
        <v>0</v>
      </c>
      <c r="AH607" s="29">
        <f>SUM($AF$2:AF607)</f>
        <v>300</v>
      </c>
      <c r="AI607" s="55">
        <f>SUM($AG$2:AG607)</f>
        <v>299.99999999999824</v>
      </c>
    </row>
    <row r="608" spans="1:35" x14ac:dyDescent="0.2">
      <c r="A608" s="48" t="s">
        <v>8863</v>
      </c>
      <c r="B608" s="29">
        <v>9</v>
      </c>
      <c r="C608" s="29">
        <v>1</v>
      </c>
      <c r="D608" s="29">
        <v>504</v>
      </c>
      <c r="E608" s="29">
        <v>82000</v>
      </c>
      <c r="F608" s="29">
        <v>41000</v>
      </c>
      <c r="G608" s="29">
        <v>41000</v>
      </c>
      <c r="H608" s="29">
        <v>193200</v>
      </c>
      <c r="I608" s="29">
        <v>41000</v>
      </c>
      <c r="J608" s="29">
        <v>612000000</v>
      </c>
      <c r="K608" s="29">
        <v>2020</v>
      </c>
      <c r="L608" s="29">
        <v>2267</v>
      </c>
      <c r="M608" s="29">
        <v>25</v>
      </c>
      <c r="N608" s="33">
        <v>25</v>
      </c>
      <c r="O608" s="29">
        <f t="shared" si="243"/>
        <v>2143.5</v>
      </c>
      <c r="P608" s="31" cm="1">
        <f t="array" ref="P608">WPNFACTOR(C608)</f>
        <v>2</v>
      </c>
      <c r="Q608" s="33" cm="1">
        <f t="array" ref="Q608">HPFACTOr(C608)</f>
        <v>5</v>
      </c>
      <c r="R608" s="32">
        <f t="shared" si="244"/>
        <v>1071.75</v>
      </c>
      <c r="S608" s="33">
        <f t="shared" si="245"/>
        <v>122400000</v>
      </c>
      <c r="T608" s="32">
        <f t="shared" si="246"/>
        <v>1138.734375</v>
      </c>
      <c r="U608" s="39">
        <f t="shared" si="247"/>
        <v>135062068.96551725</v>
      </c>
      <c r="V608" s="41">
        <f>VLOOKUP(D608,LevelXp!$A$1:'LevelXp'!$B$1000,2,)/5</f>
        <v>300000000</v>
      </c>
      <c r="W608" s="29">
        <f t="shared" si="248"/>
        <v>153799820689.65518</v>
      </c>
      <c r="X608" s="32">
        <f t="shared" si="249"/>
        <v>172.73930416631859</v>
      </c>
      <c r="Y608" s="41">
        <v>480</v>
      </c>
      <c r="Z608" s="41">
        <v>300000000</v>
      </c>
      <c r="AA608" s="41">
        <v>1</v>
      </c>
      <c r="AC608" s="50">
        <v>607</v>
      </c>
      <c r="AD608" s="51">
        <f t="shared" si="240"/>
        <v>0</v>
      </c>
      <c r="AE608" s="51">
        <f t="shared" si="242"/>
        <v>33333333.333333332</v>
      </c>
      <c r="AF608" s="51">
        <f t="shared" si="241"/>
        <v>0</v>
      </c>
      <c r="AG608" s="55">
        <f t="shared" si="242"/>
        <v>0</v>
      </c>
      <c r="AH608" s="29">
        <f>SUM($AF$2:AF608)</f>
        <v>300</v>
      </c>
      <c r="AI608" s="55">
        <f>SUM($AG$2:AG608)</f>
        <v>299.99999999999824</v>
      </c>
    </row>
    <row r="609" spans="1:35" x14ac:dyDescent="0.2">
      <c r="A609" s="48" t="s">
        <v>8863</v>
      </c>
      <c r="B609" s="29">
        <v>5</v>
      </c>
      <c r="C609" s="29">
        <v>2</v>
      </c>
      <c r="D609" s="29">
        <v>492</v>
      </c>
      <c r="E609" s="29">
        <v>38000</v>
      </c>
      <c r="F609" s="29">
        <v>38000</v>
      </c>
      <c r="G609" s="29">
        <v>71400</v>
      </c>
      <c r="H609" s="29">
        <v>183600</v>
      </c>
      <c r="I609" s="29">
        <v>38000</v>
      </c>
      <c r="J609" s="29">
        <v>576000000</v>
      </c>
      <c r="K609" s="29">
        <v>1962</v>
      </c>
      <c r="L609" s="29">
        <v>2202</v>
      </c>
      <c r="M609" s="29">
        <v>25</v>
      </c>
      <c r="N609" s="33">
        <v>25</v>
      </c>
      <c r="O609" s="29">
        <f t="shared" si="243"/>
        <v>2082</v>
      </c>
      <c r="P609" s="31" cm="1">
        <f t="array" ref="P609">WPNFACTOR(C609)</f>
        <v>4.5</v>
      </c>
      <c r="Q609" s="33" cm="1">
        <f t="array" ref="Q609">HPFACTOr(C609)</f>
        <v>2</v>
      </c>
      <c r="R609" s="32">
        <f t="shared" si="244"/>
        <v>462.66666666666669</v>
      </c>
      <c r="S609" s="33">
        <f t="shared" si="245"/>
        <v>288000000</v>
      </c>
      <c r="T609" s="32">
        <f t="shared" si="246"/>
        <v>491.58333333333337</v>
      </c>
      <c r="U609" s="39">
        <f t="shared" si="247"/>
        <v>317793103.44827586</v>
      </c>
      <c r="V609" s="41">
        <f>VLOOKUP(D609,LevelXp!$A$1:'LevelXp'!$B$1000,2,)/5</f>
        <v>300000000</v>
      </c>
      <c r="W609" s="29">
        <f t="shared" si="248"/>
        <v>156221793103.4483</v>
      </c>
      <c r="X609" s="32">
        <f t="shared" si="249"/>
        <v>173.27995386819671</v>
      </c>
      <c r="Y609" s="41">
        <v>480</v>
      </c>
      <c r="Z609" s="41">
        <v>300000000</v>
      </c>
      <c r="AA609" s="41">
        <v>1</v>
      </c>
      <c r="AC609" s="50">
        <v>608</v>
      </c>
      <c r="AD609" s="51">
        <f t="shared" si="240"/>
        <v>0</v>
      </c>
      <c r="AE609" s="51">
        <f t="shared" si="242"/>
        <v>33333333.333333332</v>
      </c>
      <c r="AF609" s="51">
        <f t="shared" si="241"/>
        <v>0</v>
      </c>
      <c r="AG609" s="55">
        <f t="shared" si="242"/>
        <v>0</v>
      </c>
      <c r="AH609" s="29">
        <f>SUM($AF$2:AF609)</f>
        <v>300</v>
      </c>
      <c r="AI609" s="55">
        <f>SUM($AG$2:AG609)</f>
        <v>299.99999999999824</v>
      </c>
    </row>
    <row r="610" spans="1:35" x14ac:dyDescent="0.2">
      <c r="A610" s="48" t="s">
        <v>8863</v>
      </c>
      <c r="B610" s="29">
        <v>10</v>
      </c>
      <c r="C610" s="29">
        <v>1</v>
      </c>
      <c r="D610" s="29">
        <v>510</v>
      </c>
      <c r="E610" s="29">
        <v>85000</v>
      </c>
      <c r="F610" s="29">
        <v>42500</v>
      </c>
      <c r="G610" s="29">
        <v>42500</v>
      </c>
      <c r="H610" s="29">
        <v>198000</v>
      </c>
      <c r="I610" s="29">
        <v>42500</v>
      </c>
      <c r="J610" s="29">
        <v>630000000</v>
      </c>
      <c r="K610" s="29">
        <v>2064</v>
      </c>
      <c r="L610" s="29">
        <v>2296</v>
      </c>
      <c r="M610" s="29">
        <v>25</v>
      </c>
      <c r="N610" s="33">
        <v>25</v>
      </c>
      <c r="O610" s="29">
        <f t="shared" si="243"/>
        <v>2180</v>
      </c>
      <c r="P610" s="31" cm="1">
        <f t="array" ref="P610">WPNFACTOR(C610)</f>
        <v>2</v>
      </c>
      <c r="Q610" s="33" cm="1">
        <f t="array" ref="Q610">HPFACTOr(C610)</f>
        <v>5</v>
      </c>
      <c r="R610" s="32">
        <f t="shared" si="244"/>
        <v>1090</v>
      </c>
      <c r="S610" s="33">
        <f t="shared" si="245"/>
        <v>126000000</v>
      </c>
      <c r="T610" s="32">
        <f t="shared" si="246"/>
        <v>1158.125</v>
      </c>
      <c r="U610" s="39">
        <f t="shared" si="247"/>
        <v>139034482.75862068</v>
      </c>
      <c r="V610" s="41">
        <f>VLOOKUP(D610,LevelXp!$A$1:'LevelXp'!$B$1000,2,)/5</f>
        <v>300000000</v>
      </c>
      <c r="W610" s="29">
        <f t="shared" si="248"/>
        <v>161019310344.82758</v>
      </c>
      <c r="X610" s="32">
        <f t="shared" si="249"/>
        <v>174.33138979892206</v>
      </c>
      <c r="Y610" s="41">
        <v>480</v>
      </c>
      <c r="Z610" s="41">
        <v>300000000</v>
      </c>
      <c r="AA610" s="41">
        <v>1</v>
      </c>
      <c r="AC610" s="50">
        <v>609</v>
      </c>
      <c r="AD610" s="51">
        <f t="shared" si="240"/>
        <v>0</v>
      </c>
      <c r="AE610" s="51">
        <f t="shared" si="242"/>
        <v>33333333.333333332</v>
      </c>
      <c r="AF610" s="51">
        <f t="shared" si="241"/>
        <v>0</v>
      </c>
      <c r="AG610" s="55">
        <f t="shared" si="242"/>
        <v>0</v>
      </c>
      <c r="AH610" s="29">
        <f>SUM($AF$2:AF610)</f>
        <v>300</v>
      </c>
      <c r="AI610" s="55">
        <f>SUM($AG$2:AG610)</f>
        <v>299.99999999999824</v>
      </c>
    </row>
    <row r="611" spans="1:35" x14ac:dyDescent="0.2">
      <c r="A611" s="48" t="s">
        <v>8858</v>
      </c>
      <c r="B611" s="29">
        <v>2</v>
      </c>
      <c r="C611" s="29">
        <v>1</v>
      </c>
      <c r="D611" s="29">
        <v>400</v>
      </c>
      <c r="E611" s="29">
        <v>45000</v>
      </c>
      <c r="F611" s="29">
        <v>15000</v>
      </c>
      <c r="G611" s="29">
        <v>45000</v>
      </c>
      <c r="H611" s="29">
        <v>200000</v>
      </c>
      <c r="I611" s="29">
        <v>23500</v>
      </c>
      <c r="J611" s="29">
        <v>3037499904</v>
      </c>
      <c r="K611" s="29">
        <v>600</v>
      </c>
      <c r="L611" s="29">
        <v>999</v>
      </c>
      <c r="N611" s="33"/>
      <c r="O611" s="29">
        <f t="shared" si="243"/>
        <v>799.5</v>
      </c>
      <c r="P611" s="31" cm="1">
        <f t="array" ref="P611">WPNFACTOR(C611)</f>
        <v>2</v>
      </c>
      <c r="Q611" s="33" cm="1">
        <f t="array" ref="Q611">HPFACTOr(C611)</f>
        <v>5</v>
      </c>
      <c r="R611" s="32">
        <f t="shared" si="244"/>
        <v>399.75</v>
      </c>
      <c r="S611" s="33">
        <f t="shared" si="245"/>
        <v>607499980.79999995</v>
      </c>
      <c r="T611" s="32">
        <f t="shared" si="246"/>
        <v>399.75</v>
      </c>
      <c r="U611" s="39">
        <f t="shared" si="247"/>
        <v>607499980.79999995</v>
      </c>
      <c r="V611" s="41">
        <f>VLOOKUP(D611,LevelXp!$A$1:'LevelXp'!$B$1000,2,)/5</f>
        <v>300000000</v>
      </c>
      <c r="W611" s="29">
        <f t="shared" si="248"/>
        <v>242848117324.79999</v>
      </c>
      <c r="X611" s="32">
        <f t="shared" si="249"/>
        <v>189.26353532986315</v>
      </c>
      <c r="Y611" s="41">
        <v>483</v>
      </c>
      <c r="Z611" s="41">
        <v>300000000</v>
      </c>
      <c r="AA611" s="41">
        <v>0</v>
      </c>
      <c r="AC611" s="50">
        <v>610</v>
      </c>
      <c r="AD611" s="51">
        <f t="shared" si="240"/>
        <v>0</v>
      </c>
      <c r="AE611" s="51">
        <f t="shared" si="242"/>
        <v>0</v>
      </c>
      <c r="AF611" s="51">
        <f t="shared" si="241"/>
        <v>0</v>
      </c>
      <c r="AG611" s="55">
        <f t="shared" si="242"/>
        <v>0</v>
      </c>
      <c r="AH611" s="29">
        <f>SUM($AF$2:AF611)</f>
        <v>300</v>
      </c>
      <c r="AI611" s="55">
        <f>SUM($AG$2:AG611)</f>
        <v>299.99999999999824</v>
      </c>
    </row>
    <row r="612" spans="1:35" x14ac:dyDescent="0.2">
      <c r="A612" s="48" t="s">
        <v>8858</v>
      </c>
      <c r="B612" s="29">
        <v>3</v>
      </c>
      <c r="C612" s="29">
        <v>1</v>
      </c>
      <c r="D612" s="29">
        <v>400</v>
      </c>
      <c r="E612" s="29">
        <v>60000</v>
      </c>
      <c r="F612" s="29">
        <v>20000</v>
      </c>
      <c r="G612" s="29">
        <v>20000</v>
      </c>
      <c r="H612" s="29">
        <v>220000</v>
      </c>
      <c r="I612" s="29">
        <v>31500</v>
      </c>
      <c r="J612" s="29">
        <v>8099999744</v>
      </c>
      <c r="K612" s="29">
        <v>600</v>
      </c>
      <c r="L612" s="29">
        <v>999</v>
      </c>
      <c r="N612" s="33"/>
      <c r="O612" s="29">
        <f t="shared" si="243"/>
        <v>799.5</v>
      </c>
      <c r="P612" s="31" cm="1">
        <f t="array" ref="P612">WPNFACTOR(C612)</f>
        <v>2</v>
      </c>
      <c r="Q612" s="33" cm="1">
        <f t="array" ref="Q612">HPFACTOr(C612)</f>
        <v>5</v>
      </c>
      <c r="R612" s="32">
        <f t="shared" si="244"/>
        <v>399.75</v>
      </c>
      <c r="S612" s="33">
        <f t="shared" si="245"/>
        <v>1619999948.8</v>
      </c>
      <c r="T612" s="32">
        <f t="shared" si="246"/>
        <v>399.75</v>
      </c>
      <c r="U612" s="39">
        <f t="shared" si="247"/>
        <v>1619999948.8</v>
      </c>
      <c r="V612" s="41">
        <f>VLOOKUP(D612,LevelXp!$A$1:'LevelXp'!$B$1000,2,)/5</f>
        <v>300000000</v>
      </c>
      <c r="W612" s="29">
        <f t="shared" si="248"/>
        <v>647594979532.79993</v>
      </c>
      <c r="X612" s="32">
        <f t="shared" si="249"/>
        <v>230.28237223066745</v>
      </c>
      <c r="Y612" s="41">
        <v>485</v>
      </c>
      <c r="Z612" s="41">
        <v>300000000</v>
      </c>
      <c r="AA612" s="41">
        <v>0</v>
      </c>
      <c r="AC612" s="50">
        <v>611</v>
      </c>
      <c r="AD612" s="51">
        <f t="shared" si="240"/>
        <v>0</v>
      </c>
      <c r="AE612" s="51">
        <f t="shared" si="242"/>
        <v>0</v>
      </c>
      <c r="AF612" s="51">
        <f t="shared" si="241"/>
        <v>0</v>
      </c>
      <c r="AG612" s="55">
        <f t="shared" si="242"/>
        <v>0</v>
      </c>
      <c r="AH612" s="29">
        <f>SUM($AF$2:AF612)</f>
        <v>300</v>
      </c>
      <c r="AI612" s="55">
        <f>SUM($AG$2:AG612)</f>
        <v>299.99999999999824</v>
      </c>
    </row>
    <row r="613" spans="1:35" x14ac:dyDescent="0.2">
      <c r="A613" s="48" t="s">
        <v>8857</v>
      </c>
      <c r="B613" s="29">
        <v>2</v>
      </c>
      <c r="C613" s="29">
        <v>1</v>
      </c>
      <c r="D613" s="29">
        <v>390</v>
      </c>
      <c r="E613" s="29">
        <v>60000</v>
      </c>
      <c r="F613" s="29">
        <v>20000</v>
      </c>
      <c r="G613" s="29">
        <v>20000</v>
      </c>
      <c r="H613" s="29">
        <v>220000</v>
      </c>
      <c r="I613" s="29">
        <v>31500</v>
      </c>
      <c r="J613" s="29">
        <v>8910000128</v>
      </c>
      <c r="K613" s="29">
        <v>520</v>
      </c>
      <c r="L613" s="29">
        <v>1049</v>
      </c>
      <c r="M613" s="29">
        <v>10</v>
      </c>
      <c r="N613" s="33">
        <v>35</v>
      </c>
      <c r="O613" s="29">
        <f t="shared" si="243"/>
        <v>784.5</v>
      </c>
      <c r="P613" s="31" cm="1">
        <f t="array" ref="P613">WPNFACTOR(C613)</f>
        <v>2</v>
      </c>
      <c r="Q613" s="33" cm="1">
        <f t="array" ref="Q613">HPFACTOr(C613)</f>
        <v>5</v>
      </c>
      <c r="R613" s="32">
        <f t="shared" si="244"/>
        <v>392.25</v>
      </c>
      <c r="S613" s="33">
        <f t="shared" si="245"/>
        <v>1782000025.5999999</v>
      </c>
      <c r="T613" s="32">
        <f t="shared" si="246"/>
        <v>426.57187499999998</v>
      </c>
      <c r="U613" s="39">
        <f t="shared" si="247"/>
        <v>1851428598.025974</v>
      </c>
      <c r="V613" s="41">
        <f>VLOOKUP(D613,LevelXp!$A$1:'LevelXp'!$B$1000,2,)/5</f>
        <v>288853442</v>
      </c>
      <c r="W613" s="29">
        <f t="shared" si="248"/>
        <v>789767368488.56104</v>
      </c>
      <c r="X613" s="32">
        <f t="shared" si="249"/>
        <v>239.60718511601291</v>
      </c>
      <c r="Y613" s="41">
        <v>487</v>
      </c>
      <c r="Z613" s="41">
        <v>288853442</v>
      </c>
      <c r="AA613" s="41">
        <v>0</v>
      </c>
      <c r="AC613" s="50">
        <v>612</v>
      </c>
      <c r="AD613" s="51">
        <f t="shared" si="240"/>
        <v>0</v>
      </c>
      <c r="AE613" s="51">
        <f t="shared" si="242"/>
        <v>0</v>
      </c>
      <c r="AF613" s="51">
        <f t="shared" si="241"/>
        <v>0</v>
      </c>
      <c r="AG613" s="55">
        <f t="shared" si="242"/>
        <v>0</v>
      </c>
      <c r="AH613" s="29">
        <f>SUM($AF$2:AF613)</f>
        <v>300</v>
      </c>
      <c r="AI613" s="55">
        <f>SUM($AG$2:AG613)</f>
        <v>299.99999999999824</v>
      </c>
    </row>
    <row r="614" spans="1:35" x14ac:dyDescent="0.2">
      <c r="A614" s="48" t="s">
        <v>8864</v>
      </c>
      <c r="B614" s="29">
        <v>9</v>
      </c>
      <c r="C614" s="29">
        <v>1</v>
      </c>
      <c r="D614" s="29">
        <v>536</v>
      </c>
      <c r="E614" s="29">
        <v>81165</v>
      </c>
      <c r="F614" s="29">
        <v>28453</v>
      </c>
      <c r="G614" s="29">
        <v>28262</v>
      </c>
      <c r="H614" s="29">
        <v>434616</v>
      </c>
      <c r="I614" s="29">
        <v>17779</v>
      </c>
      <c r="J614" s="29">
        <v>1166944000</v>
      </c>
      <c r="K614" s="29">
        <v>6172</v>
      </c>
      <c r="L614" s="29">
        <v>11183</v>
      </c>
      <c r="N614" s="33"/>
      <c r="O614" s="29">
        <f t="shared" si="243"/>
        <v>8677.5</v>
      </c>
      <c r="P614" s="31" cm="1">
        <f t="array" ref="P614">WPNFACTOR(C614)</f>
        <v>2</v>
      </c>
      <c r="Q614" s="33" cm="1">
        <f t="array" ref="Q614">HPFACTOr(C614)</f>
        <v>5</v>
      </c>
      <c r="R614" s="32">
        <f t="shared" si="244"/>
        <v>4338.75</v>
      </c>
      <c r="S614" s="33">
        <f t="shared" si="245"/>
        <v>233388800</v>
      </c>
      <c r="T614" s="32">
        <f t="shared" si="246"/>
        <v>4338.75</v>
      </c>
      <c r="U614" s="39">
        <f t="shared" si="247"/>
        <v>233388800</v>
      </c>
      <c r="V614" s="41">
        <f>VLOOKUP(D614,LevelXp!$A$1:'LevelXp'!$B$1000,2,)/5</f>
        <v>300000000</v>
      </c>
      <c r="W614" s="29">
        <f t="shared" si="248"/>
        <v>1012615656000</v>
      </c>
      <c r="X614" s="32">
        <f t="shared" si="249"/>
        <v>251.81925082069662</v>
      </c>
      <c r="Y614" s="41">
        <v>490</v>
      </c>
      <c r="Z614" s="41">
        <v>300000000</v>
      </c>
      <c r="AA614" s="41">
        <v>0</v>
      </c>
      <c r="AC614" s="50">
        <v>613</v>
      </c>
      <c r="AD614" s="51">
        <f t="shared" si="240"/>
        <v>0</v>
      </c>
      <c r="AE614" s="51">
        <f t="shared" si="242"/>
        <v>0</v>
      </c>
      <c r="AF614" s="51">
        <f t="shared" si="241"/>
        <v>0</v>
      </c>
      <c r="AG614" s="55">
        <f t="shared" si="242"/>
        <v>0</v>
      </c>
      <c r="AH614" s="29">
        <f>SUM($AF$2:AF614)</f>
        <v>300</v>
      </c>
      <c r="AI614" s="55">
        <f>SUM($AG$2:AG614)</f>
        <v>299.99999999999824</v>
      </c>
    </row>
    <row r="615" spans="1:35" x14ac:dyDescent="0.2">
      <c r="A615" s="48" t="s">
        <v>8864</v>
      </c>
      <c r="B615" s="29">
        <v>10</v>
      </c>
      <c r="C615" s="29">
        <v>3</v>
      </c>
      <c r="D615" s="29">
        <v>540</v>
      </c>
      <c r="E615" s="29">
        <v>20563</v>
      </c>
      <c r="F615" s="29">
        <v>81950</v>
      </c>
      <c r="G615" s="29">
        <v>20487</v>
      </c>
      <c r="H615" s="29">
        <v>439082</v>
      </c>
      <c r="I615" s="29">
        <v>29219</v>
      </c>
      <c r="J615" s="29">
        <v>950173440</v>
      </c>
      <c r="K615" s="29">
        <v>7214</v>
      </c>
      <c r="L615" s="29">
        <v>13561</v>
      </c>
      <c r="N615" s="33"/>
      <c r="O615" s="29">
        <f t="shared" si="243"/>
        <v>10387.5</v>
      </c>
      <c r="P615" s="31" cm="1">
        <f t="array" ref="P615">WPNFACTOR(C615)</f>
        <v>2.5</v>
      </c>
      <c r="Q615" s="33" cm="1">
        <f t="array" ref="Q615">HPFACTOr(C615)</f>
        <v>4</v>
      </c>
      <c r="R615" s="32">
        <f t="shared" si="244"/>
        <v>4155</v>
      </c>
      <c r="S615" s="33">
        <f t="shared" si="245"/>
        <v>237543360</v>
      </c>
      <c r="T615" s="32">
        <f t="shared" si="246"/>
        <v>4155</v>
      </c>
      <c r="U615" s="39">
        <f t="shared" si="247"/>
        <v>237543360</v>
      </c>
      <c r="V615" s="41">
        <f>VLOOKUP(D615,LevelXp!$A$1:'LevelXp'!$B$1000,2,)/5</f>
        <v>300000000</v>
      </c>
      <c r="W615" s="29">
        <f t="shared" si="248"/>
        <v>986992660800</v>
      </c>
      <c r="X615" s="32">
        <f t="shared" si="249"/>
        <v>250.53175728971041</v>
      </c>
      <c r="Y615" s="41">
        <v>492</v>
      </c>
      <c r="Z615" s="41">
        <v>300000000</v>
      </c>
      <c r="AA615" s="41">
        <v>0</v>
      </c>
      <c r="AC615" s="50">
        <v>614</v>
      </c>
      <c r="AD615" s="51">
        <f t="shared" si="240"/>
        <v>0</v>
      </c>
      <c r="AE615" s="51">
        <f t="shared" si="242"/>
        <v>33333333.333333332</v>
      </c>
      <c r="AF615" s="51">
        <f t="shared" si="241"/>
        <v>0</v>
      </c>
      <c r="AG615" s="55">
        <f t="shared" si="242"/>
        <v>0</v>
      </c>
      <c r="AH615" s="29">
        <f>SUM($AF$2:AF615)</f>
        <v>300</v>
      </c>
      <c r="AI615" s="55">
        <f>SUM($AG$2:AG615)</f>
        <v>299.99999999999824</v>
      </c>
    </row>
    <row r="616" spans="1:35" x14ac:dyDescent="0.2">
      <c r="A616" s="48" t="s">
        <v>8867</v>
      </c>
      <c r="B616" s="29">
        <v>8</v>
      </c>
      <c r="C616" s="29">
        <v>1</v>
      </c>
      <c r="D616" s="29">
        <v>524</v>
      </c>
      <c r="E616" s="29">
        <v>83170</v>
      </c>
      <c r="F616" s="29">
        <v>29120</v>
      </c>
      <c r="G616" s="29">
        <v>28980</v>
      </c>
      <c r="H616" s="29">
        <v>224480</v>
      </c>
      <c r="I616" s="29">
        <v>17580</v>
      </c>
      <c r="J616" s="29">
        <v>589260032</v>
      </c>
      <c r="K616" s="29">
        <v>21311</v>
      </c>
      <c r="L616" s="29">
        <v>41831</v>
      </c>
      <c r="N616" s="33"/>
      <c r="O616" s="29">
        <f t="shared" si="243"/>
        <v>31571</v>
      </c>
      <c r="P616" s="31" cm="1">
        <f t="array" ref="P616">WPNFACTOR(C616)</f>
        <v>2</v>
      </c>
      <c r="Q616" s="33" cm="1">
        <f t="array" ref="Q616">HPFACTOr(C616)</f>
        <v>5</v>
      </c>
      <c r="R616" s="32">
        <f t="shared" si="244"/>
        <v>15785.5</v>
      </c>
      <c r="S616" s="33">
        <f t="shared" si="245"/>
        <v>117852006.40000001</v>
      </c>
      <c r="T616" s="32">
        <f t="shared" si="246"/>
        <v>15785.5</v>
      </c>
      <c r="U616" s="39">
        <f t="shared" si="247"/>
        <v>117852006.40000001</v>
      </c>
      <c r="V616" s="41">
        <f>VLOOKUP(D616,LevelXp!$A$1:'LevelXp'!$B$1000,2,)/5</f>
        <v>300000000</v>
      </c>
      <c r="W616" s="29">
        <f t="shared" si="248"/>
        <v>1860352847027.2002</v>
      </c>
      <c r="X616" s="32">
        <f t="shared" si="249"/>
        <v>284.3931061547338</v>
      </c>
      <c r="Y616" s="41">
        <v>493</v>
      </c>
      <c r="Z616" s="41">
        <v>300000000</v>
      </c>
      <c r="AA616" s="41">
        <v>0</v>
      </c>
      <c r="AC616" s="50">
        <v>615</v>
      </c>
      <c r="AD616" s="51">
        <f t="shared" si="240"/>
        <v>0</v>
      </c>
      <c r="AE616" s="51">
        <f t="shared" si="242"/>
        <v>33333333.333333332</v>
      </c>
      <c r="AF616" s="51">
        <f t="shared" si="241"/>
        <v>0</v>
      </c>
      <c r="AG616" s="55">
        <f t="shared" si="242"/>
        <v>0</v>
      </c>
      <c r="AH616" s="29">
        <f>SUM($AF$2:AF616)</f>
        <v>300</v>
      </c>
      <c r="AI616" s="55">
        <f>SUM($AG$2:AG616)</f>
        <v>299.99999999999824</v>
      </c>
    </row>
    <row r="617" spans="1:35" x14ac:dyDescent="0.2">
      <c r="A617" s="48" t="s">
        <v>8867</v>
      </c>
      <c r="B617" s="29">
        <v>9</v>
      </c>
      <c r="C617" s="29">
        <v>3</v>
      </c>
      <c r="D617" s="29">
        <v>532</v>
      </c>
      <c r="E617" s="29">
        <v>34940</v>
      </c>
      <c r="F617" s="29">
        <v>99800</v>
      </c>
      <c r="G617" s="29">
        <v>34770</v>
      </c>
      <c r="H617" s="29">
        <v>246920</v>
      </c>
      <c r="I617" s="29">
        <v>21090</v>
      </c>
      <c r="J617" s="29">
        <v>526433440</v>
      </c>
      <c r="K617" s="29">
        <v>31926</v>
      </c>
      <c r="L617" s="29">
        <v>62970</v>
      </c>
      <c r="N617" s="33"/>
      <c r="O617" s="29">
        <f t="shared" si="243"/>
        <v>47448</v>
      </c>
      <c r="P617" s="31" cm="1">
        <f t="array" ref="P617">WPNFACTOR(C617)</f>
        <v>2.5</v>
      </c>
      <c r="Q617" s="33" cm="1">
        <f t="array" ref="Q617">HPFACTOr(C617)</f>
        <v>4</v>
      </c>
      <c r="R617" s="32">
        <f t="shared" si="244"/>
        <v>18979.2</v>
      </c>
      <c r="S617" s="33">
        <f t="shared" si="245"/>
        <v>131608360</v>
      </c>
      <c r="T617" s="32">
        <f t="shared" si="246"/>
        <v>18979.2</v>
      </c>
      <c r="U617" s="39">
        <f t="shared" si="247"/>
        <v>131608360</v>
      </c>
      <c r="V617" s="41">
        <f>VLOOKUP(D617,LevelXp!$A$1:'LevelXp'!$B$1000,2,)/5</f>
        <v>300000000</v>
      </c>
      <c r="W617" s="29">
        <f t="shared" si="248"/>
        <v>2497821386112</v>
      </c>
      <c r="X617" s="32">
        <f t="shared" si="249"/>
        <v>301.65621392635757</v>
      </c>
      <c r="Y617" s="41">
        <v>495</v>
      </c>
      <c r="Z617" s="41">
        <v>300000000</v>
      </c>
      <c r="AA617" s="41">
        <v>0</v>
      </c>
      <c r="AC617" s="50">
        <v>616</v>
      </c>
      <c r="AD617" s="51">
        <f t="shared" si="240"/>
        <v>0</v>
      </c>
      <c r="AE617" s="51">
        <f t="shared" si="242"/>
        <v>33333333.333333332</v>
      </c>
      <c r="AF617" s="51">
        <f t="shared" si="241"/>
        <v>0</v>
      </c>
      <c r="AG617" s="55">
        <f t="shared" si="242"/>
        <v>0</v>
      </c>
      <c r="AH617" s="29">
        <f>SUM($AF$2:AF617)</f>
        <v>300</v>
      </c>
      <c r="AI617" s="55">
        <f>SUM($AG$2:AG617)</f>
        <v>299.99999999999824</v>
      </c>
    </row>
    <row r="618" spans="1:35" x14ac:dyDescent="0.2">
      <c r="A618" s="48" t="s">
        <v>8867</v>
      </c>
      <c r="B618" s="29">
        <v>10</v>
      </c>
      <c r="C618" s="29">
        <v>2</v>
      </c>
      <c r="D618" s="29">
        <v>540</v>
      </c>
      <c r="E618" s="29">
        <v>41920</v>
      </c>
      <c r="F618" s="29">
        <v>41720</v>
      </c>
      <c r="G618" s="29">
        <v>119760</v>
      </c>
      <c r="H618" s="29">
        <v>271610</v>
      </c>
      <c r="I618" s="29">
        <v>25300</v>
      </c>
      <c r="J618" s="29">
        <v>293882016</v>
      </c>
      <c r="K618" s="29">
        <v>70776</v>
      </c>
      <c r="L618" s="29">
        <v>136537</v>
      </c>
      <c r="N618" s="33"/>
      <c r="O618" s="29">
        <f t="shared" si="243"/>
        <v>103656.5</v>
      </c>
      <c r="P618" s="31" cm="1">
        <f t="array" ref="P618">WPNFACTOR(C618)</f>
        <v>4.5</v>
      </c>
      <c r="Q618" s="33" cm="1">
        <f t="array" ref="Q618">HPFACTOr(C618)</f>
        <v>2</v>
      </c>
      <c r="R618" s="32">
        <f t="shared" si="244"/>
        <v>23034.777777777777</v>
      </c>
      <c r="S618" s="33">
        <f t="shared" si="245"/>
        <v>146941008</v>
      </c>
      <c r="T618" s="32">
        <f t="shared" si="246"/>
        <v>23034.777777777777</v>
      </c>
      <c r="U618" s="39">
        <f t="shared" si="247"/>
        <v>146941008</v>
      </c>
      <c r="V618" s="41">
        <f>VLOOKUP(D618,LevelXp!$A$1:'LevelXp'!$B$1000,2,)/5</f>
        <v>300000000</v>
      </c>
      <c r="W618" s="29">
        <f t="shared" si="248"/>
        <v>3384753465722.6665</v>
      </c>
      <c r="X618" s="32">
        <f t="shared" si="249"/>
        <v>320.5571057796904</v>
      </c>
      <c r="Y618" s="41">
        <v>496</v>
      </c>
      <c r="Z618" s="41">
        <v>300000000</v>
      </c>
      <c r="AA618" s="41">
        <v>0</v>
      </c>
      <c r="AC618" s="50">
        <v>617</v>
      </c>
      <c r="AD618" s="51">
        <f t="shared" si="240"/>
        <v>0</v>
      </c>
      <c r="AE618" s="51">
        <f t="shared" si="242"/>
        <v>33333333.333333332</v>
      </c>
      <c r="AF618" s="51">
        <f t="shared" si="241"/>
        <v>0</v>
      </c>
      <c r="AG618" s="55">
        <f t="shared" si="242"/>
        <v>0</v>
      </c>
      <c r="AH618" s="29">
        <f>SUM($AF$2:AF618)</f>
        <v>300</v>
      </c>
      <c r="AI618" s="55">
        <f>SUM($AG$2:AG618)</f>
        <v>299.99999999999824</v>
      </c>
    </row>
    <row r="619" spans="1:35" x14ac:dyDescent="0.2">
      <c r="A619" s="48" t="s">
        <v>8866</v>
      </c>
      <c r="B619" s="29">
        <v>3</v>
      </c>
      <c r="C619" s="29">
        <v>4</v>
      </c>
      <c r="D619" s="29">
        <v>588</v>
      </c>
      <c r="E619" s="29">
        <v>34306</v>
      </c>
      <c r="F619" s="29">
        <v>123563</v>
      </c>
      <c r="G619" s="29">
        <v>34306</v>
      </c>
      <c r="H619" s="29">
        <v>399001</v>
      </c>
      <c r="I619" s="29">
        <v>80786</v>
      </c>
      <c r="J619" s="29">
        <v>940046336</v>
      </c>
      <c r="K619" s="29">
        <v>4030</v>
      </c>
      <c r="L619" s="29">
        <v>6764</v>
      </c>
      <c r="N619" s="33"/>
      <c r="O619" s="29">
        <f t="shared" si="243"/>
        <v>5397</v>
      </c>
      <c r="P619" s="31" cm="1">
        <f t="array" ref="P619">WPNFACTOR(C619)</f>
        <v>4</v>
      </c>
      <c r="Q619" s="33" cm="1">
        <f t="array" ref="Q619">HPFACTOr(C619)</f>
        <v>4</v>
      </c>
      <c r="R619" s="32">
        <f t="shared" si="244"/>
        <v>1349.25</v>
      </c>
      <c r="S619" s="33">
        <f t="shared" si="245"/>
        <v>235011584</v>
      </c>
      <c r="T619" s="32">
        <f t="shared" si="246"/>
        <v>1349.25</v>
      </c>
      <c r="U619" s="39">
        <f t="shared" si="247"/>
        <v>235011584</v>
      </c>
      <c r="V619" s="41">
        <f>VLOOKUP(D619,LevelXp!$A$1:'LevelXp'!$B$1000,2,)/5</f>
        <v>300000000</v>
      </c>
      <c r="W619" s="29">
        <f t="shared" si="248"/>
        <v>317089379712</v>
      </c>
      <c r="X619" s="32">
        <f t="shared" si="249"/>
        <v>199.63484148892144</v>
      </c>
      <c r="Y619" s="41">
        <v>497</v>
      </c>
      <c r="Z619" s="41">
        <v>300000000</v>
      </c>
      <c r="AA619" s="41">
        <v>0</v>
      </c>
      <c r="AC619" s="50">
        <v>618</v>
      </c>
      <c r="AD619" s="51">
        <f t="shared" si="240"/>
        <v>300000000</v>
      </c>
      <c r="AE619" s="51">
        <f t="shared" si="242"/>
        <v>33333333.333333332</v>
      </c>
      <c r="AF619" s="51">
        <f t="shared" si="241"/>
        <v>0</v>
      </c>
      <c r="AG619" s="55">
        <f t="shared" si="242"/>
        <v>0</v>
      </c>
      <c r="AH619" s="29">
        <f>SUM($AF$2:AF619)</f>
        <v>300</v>
      </c>
      <c r="AI619" s="55">
        <f>SUM($AG$2:AG619)</f>
        <v>299.99999999999824</v>
      </c>
    </row>
    <row r="620" spans="1:35" x14ac:dyDescent="0.2">
      <c r="A620" s="48" t="s">
        <v>8866</v>
      </c>
      <c r="B620" s="29">
        <v>4</v>
      </c>
      <c r="C620" s="29">
        <v>2</v>
      </c>
      <c r="D620" s="29">
        <v>600</v>
      </c>
      <c r="E620" s="29">
        <v>39832</v>
      </c>
      <c r="F620" s="29">
        <v>39832</v>
      </c>
      <c r="G620" s="29">
        <v>136753</v>
      </c>
      <c r="H620" s="29">
        <v>417645</v>
      </c>
      <c r="I620" s="29">
        <v>63190</v>
      </c>
      <c r="J620" s="29">
        <v>502009280</v>
      </c>
      <c r="K620" s="29">
        <v>4609</v>
      </c>
      <c r="L620" s="29">
        <v>7769</v>
      </c>
      <c r="N620" s="33"/>
      <c r="O620" s="29">
        <f t="shared" si="243"/>
        <v>6189</v>
      </c>
      <c r="P620" s="31" cm="1">
        <f t="array" ref="P620">WPNFACTOR(C620)</f>
        <v>4.5</v>
      </c>
      <c r="Q620" s="33" cm="1">
        <f t="array" ref="Q620">HPFACTOr(C620)</f>
        <v>2</v>
      </c>
      <c r="R620" s="32">
        <f t="shared" si="244"/>
        <v>1375.3333333333333</v>
      </c>
      <c r="S620" s="33">
        <f t="shared" si="245"/>
        <v>251004640</v>
      </c>
      <c r="T620" s="32">
        <f t="shared" si="246"/>
        <v>1375.3333333333333</v>
      </c>
      <c r="U620" s="39">
        <f t="shared" si="247"/>
        <v>251004640</v>
      </c>
      <c r="V620" s="41">
        <f>VLOOKUP(D620,LevelXp!$A$1:'LevelXp'!$B$1000,2,)/5</f>
        <v>300000000</v>
      </c>
      <c r="W620" s="29">
        <f t="shared" si="248"/>
        <v>345215048213.33331</v>
      </c>
      <c r="X620" s="32">
        <f t="shared" si="249"/>
        <v>203.05698980314926</v>
      </c>
      <c r="Y620" s="41">
        <v>498</v>
      </c>
      <c r="Z620" s="41">
        <v>300000000</v>
      </c>
      <c r="AA620" s="41">
        <v>0</v>
      </c>
      <c r="AC620" s="50">
        <v>619</v>
      </c>
      <c r="AD620" s="51">
        <f t="shared" si="240"/>
        <v>0</v>
      </c>
      <c r="AE620" s="51">
        <f t="shared" si="242"/>
        <v>33333333.333333332</v>
      </c>
      <c r="AF620" s="51">
        <f t="shared" si="241"/>
        <v>0</v>
      </c>
      <c r="AG620" s="55">
        <f t="shared" si="242"/>
        <v>0</v>
      </c>
      <c r="AH620" s="29">
        <f>SUM($AF$2:AF620)</f>
        <v>300</v>
      </c>
      <c r="AI620" s="55">
        <f>SUM($AG$2:AG620)</f>
        <v>299.99999999999824</v>
      </c>
    </row>
    <row r="621" spans="1:35" x14ac:dyDescent="0.2">
      <c r="A621" s="48" t="s">
        <v>8862</v>
      </c>
      <c r="B621" s="29">
        <v>1</v>
      </c>
      <c r="C621" s="29">
        <v>1</v>
      </c>
      <c r="D621" s="29">
        <v>500</v>
      </c>
      <c r="E621" s="29">
        <v>80000</v>
      </c>
      <c r="F621" s="29">
        <v>40000</v>
      </c>
      <c r="G621" s="29">
        <v>40000</v>
      </c>
      <c r="H621" s="29">
        <v>190000</v>
      </c>
      <c r="I621" s="29">
        <v>40000</v>
      </c>
      <c r="J621" s="29">
        <v>600000000</v>
      </c>
      <c r="K621" s="29">
        <v>2007</v>
      </c>
      <c r="L621" s="29">
        <v>2244</v>
      </c>
      <c r="M621" s="29">
        <v>50</v>
      </c>
      <c r="N621" s="33">
        <v>50</v>
      </c>
      <c r="O621" s="29">
        <f t="shared" si="243"/>
        <v>2125.5</v>
      </c>
      <c r="P621" s="31" cm="1">
        <f t="array" ref="P621">WPNFACTOR(C621)</f>
        <v>2</v>
      </c>
      <c r="Q621" s="33" cm="1">
        <f t="array" ref="Q621">HPFACTOr(C621)</f>
        <v>5</v>
      </c>
      <c r="R621" s="32">
        <f t="shared" si="244"/>
        <v>1062.75</v>
      </c>
      <c r="S621" s="33">
        <f t="shared" si="245"/>
        <v>120000000</v>
      </c>
      <c r="T621" s="32">
        <f t="shared" si="246"/>
        <v>1195.59375</v>
      </c>
      <c r="U621" s="39">
        <f t="shared" si="247"/>
        <v>147692307.69230768</v>
      </c>
      <c r="V621" s="41">
        <f>VLOOKUP(D621,LevelXp!$A$1:'LevelXp'!$B$1000,2,)/5</f>
        <v>300000000</v>
      </c>
      <c r="W621" s="29">
        <f t="shared" si="248"/>
        <v>176580000000</v>
      </c>
      <c r="X621" s="32">
        <f t="shared" si="249"/>
        <v>177.57764922568873</v>
      </c>
      <c r="Y621" s="41">
        <v>500</v>
      </c>
      <c r="Z621" s="41">
        <v>300000000</v>
      </c>
      <c r="AA621" s="41">
        <v>0</v>
      </c>
      <c r="AC621" s="50">
        <v>620</v>
      </c>
      <c r="AD621" s="51">
        <f t="shared" si="240"/>
        <v>0</v>
      </c>
      <c r="AE621" s="51">
        <f t="shared" si="242"/>
        <v>33333333.333333332</v>
      </c>
      <c r="AF621" s="51">
        <f t="shared" si="241"/>
        <v>0</v>
      </c>
      <c r="AG621" s="55">
        <f t="shared" si="242"/>
        <v>0</v>
      </c>
      <c r="AH621" s="29">
        <f>SUM($AF$2:AF621)</f>
        <v>300</v>
      </c>
      <c r="AI621" s="55">
        <f>SUM($AG$2:AG621)</f>
        <v>299.99999999999824</v>
      </c>
    </row>
    <row r="622" spans="1:35" x14ac:dyDescent="0.2">
      <c r="A622" s="48" t="s">
        <v>8862</v>
      </c>
      <c r="B622" s="29">
        <v>2</v>
      </c>
      <c r="C622" s="29">
        <v>1</v>
      </c>
      <c r="D622" s="29">
        <v>507</v>
      </c>
      <c r="E622" s="29">
        <v>83500</v>
      </c>
      <c r="F622" s="29">
        <v>41750</v>
      </c>
      <c r="G622" s="29">
        <v>41750</v>
      </c>
      <c r="H622" s="29">
        <v>195600</v>
      </c>
      <c r="I622" s="29">
        <v>41750</v>
      </c>
      <c r="J622" s="29">
        <v>621000000</v>
      </c>
      <c r="K622" s="29">
        <v>2038</v>
      </c>
      <c r="L622" s="29">
        <v>2283</v>
      </c>
      <c r="M622" s="29">
        <v>50</v>
      </c>
      <c r="N622" s="33">
        <v>50</v>
      </c>
      <c r="O622" s="29">
        <f t="shared" si="243"/>
        <v>2160.5</v>
      </c>
      <c r="P622" s="31" cm="1">
        <f t="array" ref="P622">WPNFACTOR(C622)</f>
        <v>2</v>
      </c>
      <c r="Q622" s="33" cm="1">
        <f t="array" ref="Q622">HPFACTOr(C622)</f>
        <v>5</v>
      </c>
      <c r="R622" s="32">
        <f t="shared" si="244"/>
        <v>1080.25</v>
      </c>
      <c r="S622" s="33">
        <f t="shared" si="245"/>
        <v>124200000</v>
      </c>
      <c r="T622" s="32">
        <f t="shared" si="246"/>
        <v>1215.28125</v>
      </c>
      <c r="U622" s="39">
        <f t="shared" si="247"/>
        <v>152861538.46153846</v>
      </c>
      <c r="V622" s="41">
        <f>VLOOKUP(D622,LevelXp!$A$1:'LevelXp'!$B$1000,2,)/5</f>
        <v>300000000</v>
      </c>
      <c r="W622" s="29">
        <f t="shared" si="248"/>
        <v>185769761538.46155</v>
      </c>
      <c r="X622" s="32">
        <f t="shared" si="249"/>
        <v>179.38866782450137</v>
      </c>
      <c r="Y622" s="41">
        <v>500</v>
      </c>
      <c r="Z622" s="41">
        <v>300000000</v>
      </c>
      <c r="AA622" s="41">
        <v>0</v>
      </c>
      <c r="AC622" s="50">
        <v>621</v>
      </c>
      <c r="AD622" s="51">
        <f t="shared" si="240"/>
        <v>0</v>
      </c>
      <c r="AE622" s="51">
        <f t="shared" si="242"/>
        <v>33333333.333333332</v>
      </c>
      <c r="AF622" s="51">
        <f t="shared" si="241"/>
        <v>0</v>
      </c>
      <c r="AG622" s="55">
        <f t="shared" si="242"/>
        <v>0</v>
      </c>
      <c r="AH622" s="29">
        <f>SUM($AF$2:AF622)</f>
        <v>300</v>
      </c>
      <c r="AI622" s="55">
        <f>SUM($AG$2:AG622)</f>
        <v>299.99999999999824</v>
      </c>
    </row>
    <row r="623" spans="1:35" x14ac:dyDescent="0.2">
      <c r="A623" s="48" t="s">
        <v>8862</v>
      </c>
      <c r="B623" s="29">
        <v>4</v>
      </c>
      <c r="C623" s="29">
        <v>3</v>
      </c>
      <c r="D623" s="29">
        <v>521</v>
      </c>
      <c r="E623" s="29">
        <v>45250</v>
      </c>
      <c r="F623" s="29">
        <v>90500</v>
      </c>
      <c r="G623" s="29">
        <v>45250</v>
      </c>
      <c r="H623" s="29">
        <v>206800</v>
      </c>
      <c r="I623" s="29">
        <v>45250</v>
      </c>
      <c r="J623" s="29">
        <v>663000000</v>
      </c>
      <c r="K623" s="29">
        <v>2115</v>
      </c>
      <c r="L623" s="29">
        <v>2341</v>
      </c>
      <c r="M623" s="29">
        <v>50</v>
      </c>
      <c r="N623" s="33">
        <v>50</v>
      </c>
      <c r="O623" s="29">
        <f t="shared" si="243"/>
        <v>2228</v>
      </c>
      <c r="P623" s="31" cm="1">
        <f t="array" ref="P623">WPNFACTOR(C623)</f>
        <v>2.5</v>
      </c>
      <c r="Q623" s="33" cm="1">
        <f t="array" ref="Q623">HPFACTOr(C623)</f>
        <v>4</v>
      </c>
      <c r="R623" s="32">
        <f t="shared" si="244"/>
        <v>891.2</v>
      </c>
      <c r="S623" s="33">
        <f t="shared" si="245"/>
        <v>165750000</v>
      </c>
      <c r="T623" s="32">
        <f t="shared" si="246"/>
        <v>1002.6</v>
      </c>
      <c r="U623" s="39">
        <f t="shared" si="247"/>
        <v>204000000</v>
      </c>
      <c r="V623" s="41">
        <f>VLOOKUP(D623,LevelXp!$A$1:'LevelXp'!$B$1000,2,)/5</f>
        <v>300000000</v>
      </c>
      <c r="W623" s="29">
        <f t="shared" si="248"/>
        <v>204530400000</v>
      </c>
      <c r="X623" s="32">
        <f t="shared" si="249"/>
        <v>182.87383545338372</v>
      </c>
      <c r="Y623" s="41">
        <v>500</v>
      </c>
      <c r="Z623" s="41">
        <v>300000000</v>
      </c>
      <c r="AA623" s="41">
        <v>0</v>
      </c>
      <c r="AC623" s="50">
        <v>622</v>
      </c>
      <c r="AD623" s="51">
        <f t="shared" si="240"/>
        <v>0</v>
      </c>
      <c r="AE623" s="51">
        <f t="shared" si="242"/>
        <v>33333333.333333332</v>
      </c>
      <c r="AF623" s="51">
        <f t="shared" si="241"/>
        <v>0</v>
      </c>
      <c r="AG623" s="55">
        <f t="shared" si="242"/>
        <v>0</v>
      </c>
      <c r="AH623" s="29">
        <f>SUM($AF$2:AF623)</f>
        <v>300</v>
      </c>
      <c r="AI623" s="55">
        <f>SUM($AG$2:AG623)</f>
        <v>299.99999999999824</v>
      </c>
    </row>
    <row r="624" spans="1:35" x14ac:dyDescent="0.2">
      <c r="A624" s="48" t="s">
        <v>8862</v>
      </c>
      <c r="B624" s="29">
        <v>3</v>
      </c>
      <c r="C624" s="29">
        <v>2</v>
      </c>
      <c r="D624" s="29">
        <v>514</v>
      </c>
      <c r="E624" s="29">
        <v>43500</v>
      </c>
      <c r="F624" s="29">
        <v>43500</v>
      </c>
      <c r="G624" s="29">
        <v>87000</v>
      </c>
      <c r="H624" s="29">
        <v>201200</v>
      </c>
      <c r="I624" s="29">
        <v>43500</v>
      </c>
      <c r="J624" s="29">
        <v>642000000</v>
      </c>
      <c r="K624" s="29">
        <v>2071</v>
      </c>
      <c r="L624" s="29">
        <v>2310</v>
      </c>
      <c r="M624" s="29">
        <v>50</v>
      </c>
      <c r="N624" s="33">
        <v>50</v>
      </c>
      <c r="O624" s="29">
        <f t="shared" si="243"/>
        <v>2190.5</v>
      </c>
      <c r="P624" s="31" cm="1">
        <f t="array" ref="P624">WPNFACTOR(C624)</f>
        <v>4.5</v>
      </c>
      <c r="Q624" s="33" cm="1">
        <f t="array" ref="Q624">HPFACTOr(C624)</f>
        <v>2</v>
      </c>
      <c r="R624" s="32">
        <f t="shared" si="244"/>
        <v>486.77777777777777</v>
      </c>
      <c r="S624" s="33">
        <f t="shared" si="245"/>
        <v>321000000</v>
      </c>
      <c r="T624" s="32">
        <f t="shared" si="246"/>
        <v>547.625</v>
      </c>
      <c r="U624" s="39">
        <f t="shared" si="247"/>
        <v>395076923.07692307</v>
      </c>
      <c r="V624" s="41">
        <f>VLOOKUP(D624,LevelXp!$A$1:'LevelXp'!$B$1000,2,)/5</f>
        <v>300000000</v>
      </c>
      <c r="W624" s="29">
        <f t="shared" si="248"/>
        <v>216354000000</v>
      </c>
      <c r="X624" s="32">
        <f t="shared" si="249"/>
        <v>184.94090810420241</v>
      </c>
      <c r="Y624" s="41">
        <v>500</v>
      </c>
      <c r="Z624" s="41">
        <v>300000000</v>
      </c>
      <c r="AA624" s="41">
        <v>0</v>
      </c>
      <c r="AC624" s="50">
        <v>623</v>
      </c>
      <c r="AD624" s="51">
        <f t="shared" si="240"/>
        <v>0</v>
      </c>
      <c r="AE624" s="51">
        <f t="shared" si="242"/>
        <v>0</v>
      </c>
      <c r="AF624" s="51">
        <f t="shared" si="241"/>
        <v>0</v>
      </c>
      <c r="AG624" s="55">
        <f t="shared" si="242"/>
        <v>0</v>
      </c>
      <c r="AH624" s="29">
        <f>SUM($AF$2:AF624)</f>
        <v>300</v>
      </c>
      <c r="AI624" s="55">
        <f>SUM($AG$2:AG624)</f>
        <v>299.99999999999824</v>
      </c>
    </row>
    <row r="625" spans="1:35" x14ac:dyDescent="0.2">
      <c r="A625" s="48" t="s">
        <v>8862</v>
      </c>
      <c r="B625" s="29">
        <v>6</v>
      </c>
      <c r="C625" s="29">
        <v>3</v>
      </c>
      <c r="D625" s="29">
        <v>535</v>
      </c>
      <c r="E625" s="29">
        <v>48750</v>
      </c>
      <c r="F625" s="29">
        <v>97500</v>
      </c>
      <c r="G625" s="29">
        <v>48750</v>
      </c>
      <c r="H625" s="29">
        <v>218000</v>
      </c>
      <c r="I625" s="29">
        <v>48750</v>
      </c>
      <c r="J625" s="29">
        <v>705000000</v>
      </c>
      <c r="K625" s="29">
        <v>2179</v>
      </c>
      <c r="L625" s="29">
        <v>2419</v>
      </c>
      <c r="M625" s="29">
        <v>50</v>
      </c>
      <c r="N625" s="33">
        <v>50</v>
      </c>
      <c r="O625" s="29">
        <f t="shared" si="243"/>
        <v>2299</v>
      </c>
      <c r="P625" s="31" cm="1">
        <f t="array" ref="P625">WPNFACTOR(C625)</f>
        <v>2.5</v>
      </c>
      <c r="Q625" s="33" cm="1">
        <f t="array" ref="Q625">HPFACTOr(C625)</f>
        <v>4</v>
      </c>
      <c r="R625" s="32">
        <f t="shared" si="244"/>
        <v>919.6</v>
      </c>
      <c r="S625" s="33">
        <f t="shared" si="245"/>
        <v>176250000</v>
      </c>
      <c r="T625" s="32">
        <f t="shared" si="246"/>
        <v>1034.55</v>
      </c>
      <c r="U625" s="39">
        <f t="shared" si="247"/>
        <v>216923076.92307693</v>
      </c>
      <c r="V625" s="41">
        <f>VLOOKUP(D625,LevelXp!$A$1:'LevelXp'!$B$1000,2,)/5</f>
        <v>300000000</v>
      </c>
      <c r="W625" s="29">
        <f t="shared" si="248"/>
        <v>224417769230.76923</v>
      </c>
      <c r="X625" s="32">
        <f t="shared" si="249"/>
        <v>186.29939657313832</v>
      </c>
      <c r="Y625" s="41">
        <v>500</v>
      </c>
      <c r="Z625" s="41">
        <v>300000000</v>
      </c>
      <c r="AA625" s="41">
        <v>0</v>
      </c>
      <c r="AC625" s="50">
        <v>624</v>
      </c>
      <c r="AD625" s="51">
        <f t="shared" si="240"/>
        <v>0</v>
      </c>
      <c r="AE625" s="51">
        <f t="shared" si="242"/>
        <v>0</v>
      </c>
      <c r="AF625" s="51">
        <f t="shared" si="241"/>
        <v>0</v>
      </c>
      <c r="AG625" s="55">
        <f t="shared" si="242"/>
        <v>0</v>
      </c>
      <c r="AH625" s="29">
        <f>SUM($AF$2:AF625)</f>
        <v>300</v>
      </c>
      <c r="AI625" s="55">
        <f>SUM($AG$2:AG625)</f>
        <v>299.99999999999824</v>
      </c>
    </row>
    <row r="626" spans="1:35" x14ac:dyDescent="0.2">
      <c r="A626" s="48" t="s">
        <v>8862</v>
      </c>
      <c r="B626" s="29">
        <v>5</v>
      </c>
      <c r="C626" s="29">
        <v>2</v>
      </c>
      <c r="D626" s="29">
        <v>528</v>
      </c>
      <c r="E626" s="29">
        <v>47000</v>
      </c>
      <c r="F626" s="29">
        <v>47000</v>
      </c>
      <c r="G626" s="29">
        <v>94000</v>
      </c>
      <c r="H626" s="29">
        <v>212400</v>
      </c>
      <c r="I626" s="29">
        <v>47000</v>
      </c>
      <c r="J626" s="29">
        <v>684000000</v>
      </c>
      <c r="K626" s="29">
        <v>2144</v>
      </c>
      <c r="L626" s="29">
        <v>2377</v>
      </c>
      <c r="M626" s="29">
        <v>50</v>
      </c>
      <c r="N626" s="33">
        <v>50</v>
      </c>
      <c r="O626" s="29">
        <f t="shared" si="243"/>
        <v>2260.5</v>
      </c>
      <c r="P626" s="31" cm="1">
        <f t="array" ref="P626">WPNFACTOR(C626)</f>
        <v>4.5</v>
      </c>
      <c r="Q626" s="33" cm="1">
        <f t="array" ref="Q626">HPFACTOr(C626)</f>
        <v>2</v>
      </c>
      <c r="R626" s="32">
        <f t="shared" si="244"/>
        <v>502.33333333333331</v>
      </c>
      <c r="S626" s="33">
        <f t="shared" si="245"/>
        <v>342000000</v>
      </c>
      <c r="T626" s="32">
        <f t="shared" si="246"/>
        <v>565.125</v>
      </c>
      <c r="U626" s="39">
        <f t="shared" si="247"/>
        <v>420923076.92307693</v>
      </c>
      <c r="V626" s="41">
        <f>VLOOKUP(D626,LevelXp!$A$1:'LevelXp'!$B$1000,2,)/5</f>
        <v>300000000</v>
      </c>
      <c r="W626" s="29">
        <f t="shared" si="248"/>
        <v>237874153846.15384</v>
      </c>
      <c r="X626" s="32">
        <f t="shared" si="249"/>
        <v>188.48181330332278</v>
      </c>
      <c r="Y626" s="41">
        <v>500</v>
      </c>
      <c r="Z626" s="41">
        <v>300000000</v>
      </c>
      <c r="AA626" s="41">
        <v>0</v>
      </c>
      <c r="AC626" s="50">
        <v>625</v>
      </c>
      <c r="AD626" s="51">
        <f t="shared" si="240"/>
        <v>0</v>
      </c>
      <c r="AE626" s="51">
        <f t="shared" si="242"/>
        <v>0</v>
      </c>
      <c r="AF626" s="51">
        <f t="shared" si="241"/>
        <v>0</v>
      </c>
      <c r="AG626" s="55">
        <f t="shared" si="242"/>
        <v>0</v>
      </c>
      <c r="AH626" s="29">
        <f>SUM($AF$2:AF626)</f>
        <v>300</v>
      </c>
      <c r="AI626" s="55">
        <f>SUM($AG$2:AG626)</f>
        <v>299.99999999999824</v>
      </c>
    </row>
    <row r="627" spans="1:35" x14ac:dyDescent="0.2">
      <c r="A627" s="48" t="s">
        <v>8862</v>
      </c>
      <c r="B627" s="29">
        <v>8</v>
      </c>
      <c r="C627" s="29">
        <v>1</v>
      </c>
      <c r="D627" s="29">
        <v>549</v>
      </c>
      <c r="E627" s="29">
        <v>104500</v>
      </c>
      <c r="F627" s="29">
        <v>52250</v>
      </c>
      <c r="G627" s="29">
        <v>52250</v>
      </c>
      <c r="H627" s="29">
        <v>229200</v>
      </c>
      <c r="I627" s="29">
        <v>52250</v>
      </c>
      <c r="J627" s="29">
        <v>747000000</v>
      </c>
      <c r="K627" s="29">
        <v>2247</v>
      </c>
      <c r="L627" s="29">
        <v>2485</v>
      </c>
      <c r="M627" s="29">
        <v>50</v>
      </c>
      <c r="N627" s="33">
        <v>50</v>
      </c>
      <c r="O627" s="29">
        <f t="shared" ref="O627:O658" si="250">AVERAGE(K627, L627)</f>
        <v>2366</v>
      </c>
      <c r="P627" s="31" cm="1">
        <f t="array" ref="P627">WPNFACTOR(C627)</f>
        <v>2</v>
      </c>
      <c r="Q627" s="33" cm="1">
        <f t="array" ref="Q627">HPFACTOr(C627)</f>
        <v>5</v>
      </c>
      <c r="R627" s="32">
        <f t="shared" ref="R627:R658" si="251">O627/P627</f>
        <v>1183</v>
      </c>
      <c r="S627" s="33">
        <f t="shared" ref="S627:S658" si="252">J627/Q627</f>
        <v>149400000</v>
      </c>
      <c r="T627" s="32">
        <f t="shared" ref="T627:T658" si="253">R627*(1 + (N627/400))</f>
        <v>1330.875</v>
      </c>
      <c r="U627" s="39">
        <f t="shared" ref="U627:U658" si="254">S627*1.6/(1 + (0.6*(1 - (M627/100))))</f>
        <v>183876923.07692307</v>
      </c>
      <c r="V627" s="41">
        <f>VLOOKUP(D627,LevelXp!$A$1:'LevelXp'!$B$1000,2,)/5</f>
        <v>300000000</v>
      </c>
      <c r="W627" s="29">
        <f t="shared" ref="W627:W658" si="255">T627*U627</f>
        <v>244717200000</v>
      </c>
      <c r="X627" s="32">
        <f t="shared" ref="X627:X658" si="256">POWER(W627, 1/$X$1)</f>
        <v>189.55397624207387</v>
      </c>
      <c r="Y627" s="41">
        <v>500</v>
      </c>
      <c r="Z627" s="41">
        <v>300000000</v>
      </c>
      <c r="AA627" s="41">
        <v>0</v>
      </c>
      <c r="AC627" s="50">
        <v>626</v>
      </c>
      <c r="AD627" s="51">
        <f t="shared" si="240"/>
        <v>0</v>
      </c>
      <c r="AE627" s="51">
        <f t="shared" si="242"/>
        <v>0</v>
      </c>
      <c r="AF627" s="51">
        <f t="shared" si="241"/>
        <v>0</v>
      </c>
      <c r="AG627" s="55">
        <f t="shared" si="242"/>
        <v>0</v>
      </c>
      <c r="AH627" s="29">
        <f>SUM($AF$2:AF627)</f>
        <v>300</v>
      </c>
      <c r="AI627" s="55">
        <f>SUM($AG$2:AG627)</f>
        <v>299.99999999999824</v>
      </c>
    </row>
    <row r="628" spans="1:35" x14ac:dyDescent="0.2">
      <c r="A628" s="48" t="s">
        <v>8862</v>
      </c>
      <c r="B628" s="29">
        <v>9</v>
      </c>
      <c r="C628" s="29">
        <v>1</v>
      </c>
      <c r="D628" s="29">
        <v>556</v>
      </c>
      <c r="E628" s="29">
        <v>108000</v>
      </c>
      <c r="F628" s="29">
        <v>54000</v>
      </c>
      <c r="G628" s="29">
        <v>54000</v>
      </c>
      <c r="H628" s="29">
        <v>234800</v>
      </c>
      <c r="I628" s="29">
        <v>54000</v>
      </c>
      <c r="J628" s="29">
        <v>768000000</v>
      </c>
      <c r="K628" s="29">
        <v>2302</v>
      </c>
      <c r="L628" s="29">
        <v>2530</v>
      </c>
      <c r="M628" s="29">
        <v>50</v>
      </c>
      <c r="N628" s="33">
        <v>50</v>
      </c>
      <c r="O628" s="29">
        <f t="shared" si="250"/>
        <v>2416</v>
      </c>
      <c r="P628" s="31" cm="1">
        <f t="array" ref="P628">WPNFACTOR(C628)</f>
        <v>2</v>
      </c>
      <c r="Q628" s="33" cm="1">
        <f t="array" ref="Q628">HPFACTOr(C628)</f>
        <v>5</v>
      </c>
      <c r="R628" s="32">
        <f t="shared" si="251"/>
        <v>1208</v>
      </c>
      <c r="S628" s="33">
        <f t="shared" si="252"/>
        <v>153600000</v>
      </c>
      <c r="T628" s="32">
        <f t="shared" si="253"/>
        <v>1359</v>
      </c>
      <c r="U628" s="39">
        <f t="shared" si="254"/>
        <v>189046153.84615383</v>
      </c>
      <c r="V628" s="41">
        <f>VLOOKUP(D628,LevelXp!$A$1:'LevelXp'!$B$1000,2,)/5</f>
        <v>300000000</v>
      </c>
      <c r="W628" s="29">
        <f t="shared" si="255"/>
        <v>256913723076.92303</v>
      </c>
      <c r="X628" s="32">
        <f t="shared" si="256"/>
        <v>191.40684315132549</v>
      </c>
      <c r="Y628" s="41">
        <v>500</v>
      </c>
      <c r="Z628" s="41">
        <v>300000000</v>
      </c>
      <c r="AA628" s="41">
        <v>0</v>
      </c>
      <c r="AC628" s="50">
        <v>627</v>
      </c>
      <c r="AD628" s="51">
        <f t="shared" si="240"/>
        <v>0</v>
      </c>
      <c r="AE628" s="51">
        <f t="shared" si="242"/>
        <v>0</v>
      </c>
      <c r="AF628" s="51">
        <f t="shared" si="241"/>
        <v>0</v>
      </c>
      <c r="AG628" s="55">
        <f t="shared" si="242"/>
        <v>0</v>
      </c>
      <c r="AH628" s="29">
        <f>SUM($AF$2:AF628)</f>
        <v>300</v>
      </c>
      <c r="AI628" s="55">
        <f>SUM($AG$2:AG628)</f>
        <v>299.99999999999824</v>
      </c>
    </row>
    <row r="629" spans="1:35" x14ac:dyDescent="0.2">
      <c r="A629" s="48" t="s">
        <v>8862</v>
      </c>
      <c r="B629" s="29">
        <v>7</v>
      </c>
      <c r="C629" s="29">
        <v>2</v>
      </c>
      <c r="D629" s="29">
        <v>542</v>
      </c>
      <c r="E629" s="29">
        <v>50500</v>
      </c>
      <c r="F629" s="29">
        <v>50500</v>
      </c>
      <c r="G629" s="29">
        <v>101000</v>
      </c>
      <c r="H629" s="29">
        <v>223600</v>
      </c>
      <c r="I629" s="29">
        <v>50500</v>
      </c>
      <c r="J629" s="29">
        <v>726000000</v>
      </c>
      <c r="K629" s="29">
        <v>2222</v>
      </c>
      <c r="L629" s="29">
        <v>2459</v>
      </c>
      <c r="M629" s="29">
        <v>50</v>
      </c>
      <c r="N629" s="33">
        <v>50</v>
      </c>
      <c r="O629" s="29">
        <f t="shared" si="250"/>
        <v>2340.5</v>
      </c>
      <c r="P629" s="31" cm="1">
        <f t="array" ref="P629">WPNFACTOR(C629)</f>
        <v>4.5</v>
      </c>
      <c r="Q629" s="33" cm="1">
        <f t="array" ref="Q629">HPFACTOr(C629)</f>
        <v>2</v>
      </c>
      <c r="R629" s="32">
        <f t="shared" si="251"/>
        <v>520.11111111111109</v>
      </c>
      <c r="S629" s="33">
        <f t="shared" si="252"/>
        <v>363000000</v>
      </c>
      <c r="T629" s="32">
        <f t="shared" si="253"/>
        <v>585.125</v>
      </c>
      <c r="U629" s="39">
        <f t="shared" si="254"/>
        <v>446769230.76923078</v>
      </c>
      <c r="V629" s="41">
        <f>VLOOKUP(D629,LevelXp!$A$1:'LevelXp'!$B$1000,2,)/5</f>
        <v>300000000</v>
      </c>
      <c r="W629" s="29">
        <f t="shared" si="255"/>
        <v>261415846153.84616</v>
      </c>
      <c r="X629" s="32">
        <f t="shared" si="256"/>
        <v>192.07302750971095</v>
      </c>
      <c r="Y629" s="41">
        <v>500</v>
      </c>
      <c r="Z629" s="41">
        <v>300000000</v>
      </c>
      <c r="AA629" s="41">
        <v>0</v>
      </c>
      <c r="AC629" s="50">
        <v>628</v>
      </c>
      <c r="AD629" s="51">
        <f t="shared" si="240"/>
        <v>0</v>
      </c>
      <c r="AE629" s="51">
        <f t="shared" si="242"/>
        <v>33333333.333333332</v>
      </c>
      <c r="AF629" s="51">
        <f t="shared" si="241"/>
        <v>0</v>
      </c>
      <c r="AG629" s="55">
        <f t="shared" si="242"/>
        <v>0</v>
      </c>
      <c r="AH629" s="29">
        <f>SUM($AF$2:AF629)</f>
        <v>300</v>
      </c>
      <c r="AI629" s="55">
        <f>SUM($AG$2:AG629)</f>
        <v>299.99999999999824</v>
      </c>
    </row>
    <row r="630" spans="1:35" x14ac:dyDescent="0.2">
      <c r="A630" s="48" t="s">
        <v>8862</v>
      </c>
      <c r="B630" s="29">
        <v>10</v>
      </c>
      <c r="C630" s="29">
        <v>2</v>
      </c>
      <c r="D630" s="29">
        <v>570</v>
      </c>
      <c r="E630" s="29">
        <v>57500</v>
      </c>
      <c r="F630" s="29">
        <v>57500</v>
      </c>
      <c r="G630" s="29">
        <v>115000</v>
      </c>
      <c r="H630" s="29">
        <v>246000</v>
      </c>
      <c r="I630" s="29">
        <v>57500</v>
      </c>
      <c r="J630" s="29">
        <v>810000000</v>
      </c>
      <c r="K630" s="29">
        <v>2412</v>
      </c>
      <c r="L630" s="29">
        <v>2591</v>
      </c>
      <c r="M630" s="29">
        <v>50</v>
      </c>
      <c r="N630" s="33">
        <v>50</v>
      </c>
      <c r="O630" s="29">
        <f t="shared" si="250"/>
        <v>2501.5</v>
      </c>
      <c r="P630" s="31" cm="1">
        <f t="array" ref="P630">WPNFACTOR(C630)</f>
        <v>4.5</v>
      </c>
      <c r="Q630" s="33" cm="1">
        <f t="array" ref="Q630">HPFACTOr(C630)</f>
        <v>2</v>
      </c>
      <c r="R630" s="32">
        <f t="shared" si="251"/>
        <v>555.88888888888891</v>
      </c>
      <c r="S630" s="33">
        <f t="shared" si="252"/>
        <v>405000000</v>
      </c>
      <c r="T630" s="32">
        <f t="shared" si="253"/>
        <v>625.375</v>
      </c>
      <c r="U630" s="39">
        <f t="shared" si="254"/>
        <v>498461538.46153843</v>
      </c>
      <c r="V630" s="41">
        <f>VLOOKUP(D630,LevelXp!$A$1:'LevelXp'!$B$1000,2,)/5</f>
        <v>300000000</v>
      </c>
      <c r="W630" s="29">
        <f t="shared" si="255"/>
        <v>311725384615.38458</v>
      </c>
      <c r="X630" s="32">
        <f t="shared" si="256"/>
        <v>198.95480570693897</v>
      </c>
      <c r="Y630" s="41">
        <v>500</v>
      </c>
      <c r="Z630" s="41">
        <v>300000000</v>
      </c>
      <c r="AA630" s="41">
        <v>0</v>
      </c>
      <c r="AC630" s="50">
        <v>629</v>
      </c>
      <c r="AD630" s="51">
        <f t="shared" si="240"/>
        <v>0</v>
      </c>
      <c r="AE630" s="51">
        <f t="shared" si="242"/>
        <v>33333333.333333332</v>
      </c>
      <c r="AF630" s="51">
        <f t="shared" si="241"/>
        <v>0</v>
      </c>
      <c r="AG630" s="55">
        <f t="shared" si="242"/>
        <v>0</v>
      </c>
      <c r="AH630" s="29">
        <f>SUM($AF$2:AF630)</f>
        <v>300</v>
      </c>
      <c r="AI630" s="55">
        <f>SUM($AG$2:AG630)</f>
        <v>299.99999999999824</v>
      </c>
    </row>
    <row r="631" spans="1:35" x14ac:dyDescent="0.2">
      <c r="A631" s="48" t="s">
        <v>8865</v>
      </c>
      <c r="B631" s="29">
        <v>6</v>
      </c>
      <c r="C631" s="29">
        <v>1</v>
      </c>
      <c r="D631" s="29">
        <v>560</v>
      </c>
      <c r="E631" s="29">
        <v>224978</v>
      </c>
      <c r="F631" s="29">
        <v>55368</v>
      </c>
      <c r="G631" s="29">
        <v>54462</v>
      </c>
      <c r="H631" s="29">
        <v>433845</v>
      </c>
      <c r="I631" s="29">
        <v>80154</v>
      </c>
      <c r="J631" s="29">
        <v>1196667008</v>
      </c>
      <c r="K631" s="29">
        <v>1226</v>
      </c>
      <c r="L631" s="29">
        <v>2952</v>
      </c>
      <c r="N631" s="33"/>
      <c r="O631" s="29">
        <f t="shared" si="250"/>
        <v>2089</v>
      </c>
      <c r="P631" s="31" cm="1">
        <f t="array" ref="P631">WPNFACTOR(C631)</f>
        <v>2</v>
      </c>
      <c r="Q631" s="33" cm="1">
        <f t="array" ref="Q631">HPFACTOr(C631)</f>
        <v>5</v>
      </c>
      <c r="R631" s="32">
        <f t="shared" si="251"/>
        <v>1044.5</v>
      </c>
      <c r="S631" s="33">
        <f t="shared" si="252"/>
        <v>239333401.59999999</v>
      </c>
      <c r="T631" s="32">
        <f t="shared" si="253"/>
        <v>1044.5</v>
      </c>
      <c r="U631" s="39">
        <f t="shared" si="254"/>
        <v>239333401.59999999</v>
      </c>
      <c r="V631" s="41">
        <f>VLOOKUP(D631,LevelXp!$A$1:'LevelXp'!$B$1000,2,)/5</f>
        <v>300000000</v>
      </c>
      <c r="W631" s="29">
        <f t="shared" si="255"/>
        <v>249983737971.19998</v>
      </c>
      <c r="X631" s="32">
        <f t="shared" si="256"/>
        <v>190.36291722513255</v>
      </c>
      <c r="Y631" s="41">
        <v>503</v>
      </c>
      <c r="Z631" s="41">
        <v>300000000</v>
      </c>
      <c r="AA631" s="41">
        <v>0</v>
      </c>
      <c r="AC631" s="50">
        <v>630</v>
      </c>
      <c r="AD631" s="51">
        <f t="shared" si="240"/>
        <v>0</v>
      </c>
      <c r="AE631" s="51">
        <f t="shared" si="242"/>
        <v>33333333.333333332</v>
      </c>
      <c r="AF631" s="51">
        <f t="shared" si="241"/>
        <v>0</v>
      </c>
      <c r="AG631" s="55">
        <f t="shared" si="242"/>
        <v>0</v>
      </c>
      <c r="AH631" s="29">
        <f>SUM($AF$2:AF631)</f>
        <v>300</v>
      </c>
      <c r="AI631" s="55">
        <f>SUM($AG$2:AG631)</f>
        <v>299.99999999999824</v>
      </c>
    </row>
    <row r="632" spans="1:35" x14ac:dyDescent="0.2">
      <c r="A632" s="48" t="s">
        <v>8866</v>
      </c>
      <c r="B632" s="29">
        <v>5</v>
      </c>
      <c r="C632" s="29">
        <v>1</v>
      </c>
      <c r="D632" s="29">
        <v>612</v>
      </c>
      <c r="E632" s="29">
        <v>137144</v>
      </c>
      <c r="F632" s="29">
        <v>39634</v>
      </c>
      <c r="G632" s="29">
        <v>39634</v>
      </c>
      <c r="H632" s="29">
        <v>447741</v>
      </c>
      <c r="I632" s="29">
        <v>86381</v>
      </c>
      <c r="J632" s="29">
        <v>1372326144</v>
      </c>
      <c r="K632" s="29">
        <v>2084</v>
      </c>
      <c r="L632" s="29">
        <v>3520</v>
      </c>
      <c r="N632" s="33"/>
      <c r="O632" s="29">
        <f t="shared" si="250"/>
        <v>2802</v>
      </c>
      <c r="P632" s="31" cm="1">
        <f t="array" ref="P632">WPNFACTOR(C632)</f>
        <v>2</v>
      </c>
      <c r="Q632" s="33" cm="1">
        <f t="array" ref="Q632">HPFACTOr(C632)</f>
        <v>5</v>
      </c>
      <c r="R632" s="32">
        <f t="shared" si="251"/>
        <v>1401</v>
      </c>
      <c r="S632" s="33">
        <f t="shared" si="252"/>
        <v>274465228.80000001</v>
      </c>
      <c r="T632" s="32">
        <f t="shared" si="253"/>
        <v>1401</v>
      </c>
      <c r="U632" s="39">
        <f t="shared" si="254"/>
        <v>274465228.80000001</v>
      </c>
      <c r="V632" s="41">
        <f>VLOOKUP(D632,LevelXp!$A$1:'LevelXp'!$B$1000,2,)/5</f>
        <v>300000000</v>
      </c>
      <c r="W632" s="29">
        <f t="shared" si="255"/>
        <v>384525785548.79999</v>
      </c>
      <c r="X632" s="32">
        <f t="shared" si="256"/>
        <v>207.48423009445227</v>
      </c>
      <c r="Y632" s="41">
        <v>504</v>
      </c>
      <c r="Z632" s="41">
        <v>300000000</v>
      </c>
      <c r="AA632" s="41">
        <v>0</v>
      </c>
      <c r="AC632" s="50">
        <v>631</v>
      </c>
      <c r="AD632" s="51">
        <f t="shared" si="240"/>
        <v>0</v>
      </c>
      <c r="AE632" s="51">
        <f t="shared" si="242"/>
        <v>33333333.333333332</v>
      </c>
      <c r="AF632" s="51">
        <f t="shared" si="241"/>
        <v>0</v>
      </c>
      <c r="AG632" s="55">
        <f t="shared" si="242"/>
        <v>0</v>
      </c>
      <c r="AH632" s="29">
        <f>SUM($AF$2:AF632)</f>
        <v>300</v>
      </c>
      <c r="AI632" s="55">
        <f>SUM($AG$2:AG632)</f>
        <v>299.99999999999824</v>
      </c>
    </row>
    <row r="633" spans="1:35" x14ac:dyDescent="0.2">
      <c r="A633" s="48" t="s">
        <v>8865</v>
      </c>
      <c r="B633" s="29">
        <v>7</v>
      </c>
      <c r="C633" s="29">
        <v>2</v>
      </c>
      <c r="D633" s="29">
        <v>570</v>
      </c>
      <c r="E633" s="29">
        <v>46638</v>
      </c>
      <c r="F633" s="29">
        <v>46632</v>
      </c>
      <c r="G633" s="29">
        <v>116148</v>
      </c>
      <c r="H633" s="29">
        <v>410917</v>
      </c>
      <c r="I633" s="29">
        <v>79146</v>
      </c>
      <c r="J633" s="29">
        <v>876589696</v>
      </c>
      <c r="K633" s="29">
        <v>3627</v>
      </c>
      <c r="L633" s="29">
        <v>5890</v>
      </c>
      <c r="N633" s="33"/>
      <c r="O633" s="29">
        <f t="shared" si="250"/>
        <v>4758.5</v>
      </c>
      <c r="P633" s="31" cm="1">
        <f t="array" ref="P633">WPNFACTOR(C633)</f>
        <v>4.5</v>
      </c>
      <c r="Q633" s="33" cm="1">
        <f t="array" ref="Q633">HPFACTOr(C633)</f>
        <v>2</v>
      </c>
      <c r="R633" s="32">
        <f t="shared" si="251"/>
        <v>1057.4444444444443</v>
      </c>
      <c r="S633" s="33">
        <f t="shared" si="252"/>
        <v>438294848</v>
      </c>
      <c r="T633" s="32">
        <f t="shared" si="253"/>
        <v>1057.4444444444443</v>
      </c>
      <c r="U633" s="39">
        <f t="shared" si="254"/>
        <v>438294848</v>
      </c>
      <c r="V633" s="41">
        <f>VLOOKUP(D633,LevelXp!$A$1:'LevelXp'!$B$1000,2,)/5</f>
        <v>300000000</v>
      </c>
      <c r="W633" s="29">
        <f t="shared" si="255"/>
        <v>463472452046.22217</v>
      </c>
      <c r="X633" s="32">
        <f t="shared" si="256"/>
        <v>215.37970863613015</v>
      </c>
      <c r="Y633" s="41">
        <v>505</v>
      </c>
      <c r="Z633" s="41">
        <v>300000000</v>
      </c>
      <c r="AA633" s="41">
        <v>0</v>
      </c>
      <c r="AC633" s="50">
        <v>632</v>
      </c>
      <c r="AD633" s="51">
        <f t="shared" si="240"/>
        <v>300000000</v>
      </c>
      <c r="AE633" s="51">
        <f t="shared" si="242"/>
        <v>33333333.333333332</v>
      </c>
      <c r="AF633" s="51">
        <f t="shared" si="241"/>
        <v>0</v>
      </c>
      <c r="AG633" s="55">
        <f t="shared" si="242"/>
        <v>0</v>
      </c>
      <c r="AH633" s="29">
        <f>SUM($AF$2:AF633)</f>
        <v>300</v>
      </c>
      <c r="AI633" s="55">
        <f>SUM($AG$2:AG633)</f>
        <v>299.99999999999824</v>
      </c>
    </row>
    <row r="634" spans="1:35" x14ac:dyDescent="0.2">
      <c r="A634" s="48" t="s">
        <v>8858</v>
      </c>
      <c r="B634" s="29">
        <v>4</v>
      </c>
      <c r="C634" s="29">
        <v>3</v>
      </c>
      <c r="D634" s="29">
        <v>400</v>
      </c>
      <c r="E634" s="29">
        <v>25000</v>
      </c>
      <c r="F634" s="29">
        <v>75000</v>
      </c>
      <c r="G634" s="29">
        <v>25000</v>
      </c>
      <c r="H634" s="29">
        <v>240000</v>
      </c>
      <c r="I634" s="29">
        <v>45000</v>
      </c>
      <c r="J634" s="29">
        <v>8099999744</v>
      </c>
      <c r="K634" s="29">
        <v>750</v>
      </c>
      <c r="L634" s="29">
        <v>1249</v>
      </c>
      <c r="N634" s="33"/>
      <c r="O634" s="29">
        <f t="shared" si="250"/>
        <v>999.5</v>
      </c>
      <c r="P634" s="31" cm="1">
        <f t="array" ref="P634">WPNFACTOR(C634)</f>
        <v>2.5</v>
      </c>
      <c r="Q634" s="33" cm="1">
        <f t="array" ref="Q634">HPFACTOr(C634)</f>
        <v>4</v>
      </c>
      <c r="R634" s="32">
        <f t="shared" si="251"/>
        <v>399.8</v>
      </c>
      <c r="S634" s="33">
        <f t="shared" si="252"/>
        <v>2024999936</v>
      </c>
      <c r="T634" s="32">
        <f t="shared" si="253"/>
        <v>399.8</v>
      </c>
      <c r="U634" s="39">
        <f t="shared" si="254"/>
        <v>2024999936.0000002</v>
      </c>
      <c r="V634" s="41">
        <f>VLOOKUP(D634,LevelXp!$A$1:'LevelXp'!$B$1000,2,)/5</f>
        <v>300000000</v>
      </c>
      <c r="W634" s="29">
        <f t="shared" si="255"/>
        <v>809594974412.80017</v>
      </c>
      <c r="X634" s="32">
        <f t="shared" si="256"/>
        <v>240.7983799412381</v>
      </c>
      <c r="Y634" s="41">
        <v>506</v>
      </c>
      <c r="Z634" s="41">
        <v>300000000</v>
      </c>
      <c r="AA634" s="41">
        <v>0</v>
      </c>
      <c r="AC634" s="50">
        <v>633</v>
      </c>
      <c r="AD634" s="51">
        <f t="shared" si="240"/>
        <v>0</v>
      </c>
      <c r="AE634" s="51">
        <f t="shared" si="242"/>
        <v>33333333.333333332</v>
      </c>
      <c r="AF634" s="51">
        <f t="shared" si="241"/>
        <v>0</v>
      </c>
      <c r="AG634" s="55">
        <f t="shared" si="242"/>
        <v>0</v>
      </c>
      <c r="AH634" s="29">
        <f>SUM($AF$2:AF634)</f>
        <v>300</v>
      </c>
      <c r="AI634" s="55">
        <f>SUM($AG$2:AG634)</f>
        <v>299.99999999999824</v>
      </c>
    </row>
    <row r="635" spans="1:35" x14ac:dyDescent="0.2">
      <c r="A635" s="48" t="s">
        <v>8858</v>
      </c>
      <c r="B635" s="29">
        <v>5</v>
      </c>
      <c r="C635" s="29">
        <v>1</v>
      </c>
      <c r="D635" s="29">
        <v>400</v>
      </c>
      <c r="E635" s="29">
        <v>90000</v>
      </c>
      <c r="F635" s="29">
        <v>30000</v>
      </c>
      <c r="G635" s="29">
        <v>30000</v>
      </c>
      <c r="H635" s="29">
        <v>260000</v>
      </c>
      <c r="I635" s="29">
        <v>48500</v>
      </c>
      <c r="J635" s="29">
        <v>5062499840</v>
      </c>
      <c r="K635" s="29">
        <v>600</v>
      </c>
      <c r="L635" s="29">
        <v>999</v>
      </c>
      <c r="N635" s="33"/>
      <c r="O635" s="29">
        <f t="shared" si="250"/>
        <v>799.5</v>
      </c>
      <c r="P635" s="31" cm="1">
        <f t="array" ref="P635">WPNFACTOR(C635)</f>
        <v>2</v>
      </c>
      <c r="Q635" s="33" cm="1">
        <f t="array" ref="Q635">HPFACTOr(C635)</f>
        <v>5</v>
      </c>
      <c r="R635" s="32">
        <f t="shared" si="251"/>
        <v>399.75</v>
      </c>
      <c r="S635" s="33">
        <f t="shared" si="252"/>
        <v>1012499968</v>
      </c>
      <c r="T635" s="32">
        <f t="shared" si="253"/>
        <v>399.75</v>
      </c>
      <c r="U635" s="39">
        <f t="shared" si="254"/>
        <v>1012499968.0000001</v>
      </c>
      <c r="V635" s="41">
        <f>VLOOKUP(D635,LevelXp!$A$1:'LevelXp'!$B$1000,2,)/5</f>
        <v>300000000</v>
      </c>
      <c r="W635" s="29">
        <f t="shared" si="255"/>
        <v>404746862208.00006</v>
      </c>
      <c r="X635" s="32">
        <f t="shared" si="256"/>
        <v>209.62192173554027</v>
      </c>
      <c r="Y635" s="41">
        <v>507</v>
      </c>
      <c r="Z635" s="41">
        <v>300000000</v>
      </c>
      <c r="AA635" s="41">
        <v>0</v>
      </c>
      <c r="AC635" s="50">
        <v>634</v>
      </c>
      <c r="AD635" s="51">
        <f t="shared" si="240"/>
        <v>0</v>
      </c>
      <c r="AE635" s="51">
        <f t="shared" si="242"/>
        <v>33333333.333333332</v>
      </c>
      <c r="AF635" s="51">
        <f t="shared" si="241"/>
        <v>0</v>
      </c>
      <c r="AG635" s="55">
        <f t="shared" si="242"/>
        <v>0</v>
      </c>
      <c r="AH635" s="29">
        <f>SUM($AF$2:AF635)</f>
        <v>300</v>
      </c>
      <c r="AI635" s="55">
        <f>SUM($AG$2:AG635)</f>
        <v>299.99999999999824</v>
      </c>
    </row>
    <row r="636" spans="1:35" x14ac:dyDescent="0.2">
      <c r="A636" s="48" t="s">
        <v>8865</v>
      </c>
      <c r="B636" s="29">
        <v>8</v>
      </c>
      <c r="C636" s="29">
        <v>2</v>
      </c>
      <c r="D636" s="29">
        <v>580</v>
      </c>
      <c r="E636" s="29">
        <v>34644</v>
      </c>
      <c r="F636" s="29">
        <v>34650</v>
      </c>
      <c r="G636" s="29">
        <v>147120</v>
      </c>
      <c r="H636" s="29">
        <v>433935</v>
      </c>
      <c r="I636" s="29">
        <v>82506</v>
      </c>
      <c r="J636" s="29">
        <v>943157696</v>
      </c>
      <c r="K636" s="29">
        <v>3980</v>
      </c>
      <c r="L636" s="29">
        <v>5964</v>
      </c>
      <c r="N636" s="33"/>
      <c r="O636" s="29">
        <f t="shared" si="250"/>
        <v>4972</v>
      </c>
      <c r="P636" s="31" cm="1">
        <f t="array" ref="P636">WPNFACTOR(C636)</f>
        <v>4.5</v>
      </c>
      <c r="Q636" s="33" cm="1">
        <f t="array" ref="Q636">HPFACTOr(C636)</f>
        <v>2</v>
      </c>
      <c r="R636" s="32">
        <f t="shared" si="251"/>
        <v>1104.8888888888889</v>
      </c>
      <c r="S636" s="33">
        <f t="shared" si="252"/>
        <v>471578848</v>
      </c>
      <c r="T636" s="32">
        <f t="shared" si="253"/>
        <v>1104.8888888888889</v>
      </c>
      <c r="U636" s="39">
        <f t="shared" si="254"/>
        <v>471578848</v>
      </c>
      <c r="V636" s="41">
        <f>VLOOKUP(D636,LevelXp!$A$1:'LevelXp'!$B$1000,2,)/5</f>
        <v>300000000</v>
      </c>
      <c r="W636" s="29">
        <f t="shared" si="255"/>
        <v>521042229390.22223</v>
      </c>
      <c r="X636" s="32">
        <f t="shared" si="256"/>
        <v>220.48273356239642</v>
      </c>
      <c r="Y636" s="41">
        <v>508</v>
      </c>
      <c r="Z636" s="41">
        <v>300000000</v>
      </c>
      <c r="AA636" s="41">
        <v>0</v>
      </c>
      <c r="AC636" s="50">
        <v>635</v>
      </c>
      <c r="AD636" s="51">
        <f t="shared" si="240"/>
        <v>0</v>
      </c>
      <c r="AE636" s="51">
        <f t="shared" si="242"/>
        <v>33333333.333333332</v>
      </c>
      <c r="AF636" s="51">
        <f t="shared" si="241"/>
        <v>0</v>
      </c>
      <c r="AG636" s="55">
        <f t="shared" si="242"/>
        <v>0</v>
      </c>
      <c r="AH636" s="29">
        <f>SUM($AF$2:AF636)</f>
        <v>300</v>
      </c>
      <c r="AI636" s="55">
        <f>SUM($AG$2:AG636)</f>
        <v>299.99999999999824</v>
      </c>
    </row>
    <row r="637" spans="1:35" x14ac:dyDescent="0.2">
      <c r="A637" s="48" t="s">
        <v>8856</v>
      </c>
      <c r="B637" s="29">
        <v>6</v>
      </c>
      <c r="C637" s="29">
        <v>4</v>
      </c>
      <c r="D637" s="29">
        <v>565</v>
      </c>
      <c r="E637" s="29">
        <v>39500</v>
      </c>
      <c r="F637" s="29">
        <v>111000</v>
      </c>
      <c r="G637" s="29">
        <v>39500</v>
      </c>
      <c r="H637" s="29">
        <v>376000</v>
      </c>
      <c r="I637" s="29">
        <v>71500</v>
      </c>
      <c r="J637" s="29">
        <v>951280000</v>
      </c>
      <c r="K637" s="29">
        <v>3955</v>
      </c>
      <c r="L637" s="29">
        <v>6779</v>
      </c>
      <c r="M637" s="29">
        <v>40</v>
      </c>
      <c r="N637" s="33">
        <v>60</v>
      </c>
      <c r="O637" s="29">
        <f t="shared" si="250"/>
        <v>5367</v>
      </c>
      <c r="P637" s="31" cm="1">
        <f t="array" ref="P637">WPNFACTOR(C637)</f>
        <v>4</v>
      </c>
      <c r="Q637" s="33" cm="1">
        <f t="array" ref="Q637">HPFACTOr(C637)</f>
        <v>4</v>
      </c>
      <c r="R637" s="32">
        <f t="shared" si="251"/>
        <v>1341.75</v>
      </c>
      <c r="S637" s="33">
        <f t="shared" si="252"/>
        <v>237820000</v>
      </c>
      <c r="T637" s="32">
        <f t="shared" si="253"/>
        <v>1543.0124999999998</v>
      </c>
      <c r="U637" s="39">
        <f t="shared" si="254"/>
        <v>279788235.29411769</v>
      </c>
      <c r="V637" s="41">
        <f>VLOOKUP(D637,LevelXp!$A$1:'LevelXp'!$B$1000,2,)/5</f>
        <v>300000000</v>
      </c>
      <c r="W637" s="29">
        <f t="shared" si="255"/>
        <v>431716744411.76471</v>
      </c>
      <c r="X637" s="32">
        <f t="shared" si="256"/>
        <v>212.34389469006095</v>
      </c>
      <c r="Y637" s="41">
        <v>509</v>
      </c>
      <c r="Z637" s="41">
        <v>300000000</v>
      </c>
      <c r="AA637" s="41">
        <v>0</v>
      </c>
      <c r="AC637" s="50">
        <v>636</v>
      </c>
      <c r="AD637" s="51">
        <f t="shared" si="240"/>
        <v>0</v>
      </c>
      <c r="AE637" s="51">
        <f t="shared" si="242"/>
        <v>33333333.333333332</v>
      </c>
      <c r="AF637" s="51">
        <f t="shared" si="241"/>
        <v>0</v>
      </c>
      <c r="AG637" s="55">
        <f t="shared" si="242"/>
        <v>0</v>
      </c>
      <c r="AH637" s="29">
        <f>SUM($AF$2:AF637)</f>
        <v>300</v>
      </c>
      <c r="AI637" s="55">
        <f>SUM($AG$2:AG637)</f>
        <v>299.99999999999824</v>
      </c>
    </row>
    <row r="638" spans="1:35" x14ac:dyDescent="0.2">
      <c r="A638" s="48" t="s">
        <v>8856</v>
      </c>
      <c r="B638" s="29">
        <v>7</v>
      </c>
      <c r="C638" s="29">
        <v>6</v>
      </c>
      <c r="D638" s="29">
        <v>600</v>
      </c>
      <c r="E638" s="29">
        <v>136500</v>
      </c>
      <c r="F638" s="29">
        <v>39500</v>
      </c>
      <c r="G638" s="29">
        <v>39500</v>
      </c>
      <c r="H638" s="29">
        <v>417500</v>
      </c>
      <c r="I638" s="29">
        <v>63000</v>
      </c>
      <c r="J638" s="29">
        <v>1120570112</v>
      </c>
      <c r="K638" s="29">
        <v>1692</v>
      </c>
      <c r="L638" s="29">
        <v>3703</v>
      </c>
      <c r="M638" s="29">
        <v>10</v>
      </c>
      <c r="N638" s="33">
        <v>60</v>
      </c>
      <c r="O638" s="29">
        <f t="shared" si="250"/>
        <v>2697.5</v>
      </c>
      <c r="P638" s="31" cm="1">
        <f t="array" ref="P638">WPNFACTOR(C638)</f>
        <v>2</v>
      </c>
      <c r="Q638" s="33" cm="1">
        <f t="array" ref="Q638">HPFACTOr(C638)</f>
        <v>4</v>
      </c>
      <c r="R638" s="32">
        <f t="shared" si="251"/>
        <v>1348.75</v>
      </c>
      <c r="S638" s="33">
        <f t="shared" si="252"/>
        <v>280142528</v>
      </c>
      <c r="T638" s="32">
        <f t="shared" si="253"/>
        <v>1551.0624999999998</v>
      </c>
      <c r="U638" s="39">
        <f t="shared" si="254"/>
        <v>291057171.94805193</v>
      </c>
      <c r="V638" s="41">
        <f>VLOOKUP(D638,LevelXp!$A$1:'LevelXp'!$B$1000,2,)/5</f>
        <v>300000000</v>
      </c>
      <c r="W638" s="29">
        <f t="shared" si="255"/>
        <v>451447864764.67523</v>
      </c>
      <c r="X638" s="32">
        <f t="shared" si="256"/>
        <v>214.25034042518541</v>
      </c>
      <c r="Y638" s="41">
        <v>510</v>
      </c>
      <c r="Z638" s="41">
        <v>300000000</v>
      </c>
      <c r="AA638" s="41">
        <v>0</v>
      </c>
      <c r="AC638" s="50">
        <v>637</v>
      </c>
      <c r="AD638" s="51">
        <f t="shared" si="240"/>
        <v>0</v>
      </c>
      <c r="AE638" s="51">
        <f t="shared" si="242"/>
        <v>0</v>
      </c>
      <c r="AF638" s="51">
        <f t="shared" si="241"/>
        <v>0</v>
      </c>
      <c r="AG638" s="55">
        <f t="shared" si="242"/>
        <v>0</v>
      </c>
      <c r="AH638" s="29">
        <f>SUM($AF$2:AF638)</f>
        <v>300</v>
      </c>
      <c r="AI638" s="55">
        <f>SUM($AG$2:AG638)</f>
        <v>299.99999999999824</v>
      </c>
    </row>
    <row r="639" spans="1:35" x14ac:dyDescent="0.2">
      <c r="A639" s="48" t="s">
        <v>2846</v>
      </c>
      <c r="B639" s="29">
        <v>11</v>
      </c>
      <c r="C639" s="29">
        <v>2</v>
      </c>
      <c r="D639" s="29">
        <v>557</v>
      </c>
      <c r="E639" s="29">
        <v>10100</v>
      </c>
      <c r="F639" s="29">
        <v>10100</v>
      </c>
      <c r="G639" s="29">
        <v>404000</v>
      </c>
      <c r="H639" s="29">
        <v>361800</v>
      </c>
      <c r="I639" s="29">
        <v>24240</v>
      </c>
      <c r="J639" s="29">
        <v>403768800</v>
      </c>
      <c r="K639" s="29">
        <v>13636</v>
      </c>
      <c r="L639" s="29">
        <v>18177</v>
      </c>
      <c r="N639" s="33"/>
      <c r="O639" s="29">
        <f t="shared" si="250"/>
        <v>15906.5</v>
      </c>
      <c r="P639" s="31" cm="1">
        <f t="array" ref="P639">WPNFACTOR(C639)</f>
        <v>4.5</v>
      </c>
      <c r="Q639" s="33" cm="1">
        <f t="array" ref="Q639">HPFACTOr(C639)</f>
        <v>2</v>
      </c>
      <c r="R639" s="32">
        <f t="shared" si="251"/>
        <v>3534.7777777777778</v>
      </c>
      <c r="S639" s="33">
        <f t="shared" si="252"/>
        <v>201884400</v>
      </c>
      <c r="T639" s="32">
        <f t="shared" si="253"/>
        <v>3534.7777777777778</v>
      </c>
      <c r="U639" s="39">
        <f t="shared" si="254"/>
        <v>201884400</v>
      </c>
      <c r="V639" s="41">
        <f>VLOOKUP(D639,LevelXp!$A$1:'LevelXp'!$B$1000,2,)/5</f>
        <v>300000000</v>
      </c>
      <c r="W639" s="29">
        <f t="shared" si="255"/>
        <v>713616490800</v>
      </c>
      <c r="X639" s="32">
        <f t="shared" si="256"/>
        <v>234.79723348437895</v>
      </c>
      <c r="Y639" s="41">
        <v>511</v>
      </c>
      <c r="Z639" s="41">
        <v>300000000</v>
      </c>
      <c r="AA639" s="41">
        <v>1</v>
      </c>
      <c r="AC639" s="50">
        <v>638</v>
      </c>
      <c r="AD639" s="51">
        <f t="shared" si="240"/>
        <v>0</v>
      </c>
      <c r="AE639" s="51">
        <f t="shared" si="242"/>
        <v>0</v>
      </c>
      <c r="AF639" s="51">
        <f t="shared" si="241"/>
        <v>0</v>
      </c>
      <c r="AG639" s="55">
        <f t="shared" si="242"/>
        <v>0</v>
      </c>
      <c r="AH639" s="29">
        <f>SUM($AF$2:AF639)</f>
        <v>300</v>
      </c>
      <c r="AI639" s="55">
        <f>SUM($AG$2:AG639)</f>
        <v>299.99999999999824</v>
      </c>
    </row>
    <row r="640" spans="1:35" x14ac:dyDescent="0.2">
      <c r="A640" s="48" t="s">
        <v>8866</v>
      </c>
      <c r="B640" s="29">
        <v>6</v>
      </c>
      <c r="C640" s="29">
        <v>1</v>
      </c>
      <c r="D640" s="29">
        <v>624</v>
      </c>
      <c r="E640" s="29">
        <v>163224</v>
      </c>
      <c r="F640" s="29">
        <v>64781</v>
      </c>
      <c r="G640" s="29">
        <v>63721</v>
      </c>
      <c r="H640" s="29">
        <v>507599</v>
      </c>
      <c r="I640" s="29">
        <v>93780</v>
      </c>
      <c r="J640" s="29">
        <v>1586246912</v>
      </c>
      <c r="K640" s="29">
        <v>2127</v>
      </c>
      <c r="L640" s="29">
        <v>3587</v>
      </c>
      <c r="N640" s="33"/>
      <c r="O640" s="29">
        <f t="shared" si="250"/>
        <v>2857</v>
      </c>
      <c r="P640" s="31" cm="1">
        <f t="array" ref="P640">WPNFACTOR(C640)</f>
        <v>2</v>
      </c>
      <c r="Q640" s="33" cm="1">
        <f t="array" ref="Q640">HPFACTOr(C640)</f>
        <v>5</v>
      </c>
      <c r="R640" s="32">
        <f t="shared" si="251"/>
        <v>1428.5</v>
      </c>
      <c r="S640" s="33">
        <f t="shared" si="252"/>
        <v>317249382.39999998</v>
      </c>
      <c r="T640" s="32">
        <f t="shared" si="253"/>
        <v>1428.5</v>
      </c>
      <c r="U640" s="39">
        <f t="shared" si="254"/>
        <v>317249382.39999998</v>
      </c>
      <c r="V640" s="41">
        <f>VLOOKUP(D640,LevelXp!$A$1:'LevelXp'!$B$1000,2,)/5</f>
        <v>300000000</v>
      </c>
      <c r="W640" s="29">
        <f t="shared" si="255"/>
        <v>453190742758.39996</v>
      </c>
      <c r="X640" s="32">
        <f t="shared" si="256"/>
        <v>214.41551426720244</v>
      </c>
      <c r="Y640" s="41">
        <v>512</v>
      </c>
      <c r="Z640" s="41">
        <v>300000000</v>
      </c>
      <c r="AA640" s="41">
        <v>0</v>
      </c>
      <c r="AC640" s="50">
        <v>639</v>
      </c>
      <c r="AD640" s="51">
        <f t="shared" si="240"/>
        <v>0</v>
      </c>
      <c r="AE640" s="51">
        <f t="shared" si="242"/>
        <v>0</v>
      </c>
      <c r="AF640" s="51">
        <f t="shared" si="241"/>
        <v>0</v>
      </c>
      <c r="AG640" s="55">
        <f t="shared" si="242"/>
        <v>0</v>
      </c>
      <c r="AH640" s="29">
        <f>SUM($AF$2:AF640)</f>
        <v>300</v>
      </c>
      <c r="AI640" s="55">
        <f>SUM($AG$2:AG640)</f>
        <v>299.99999999999824</v>
      </c>
    </row>
    <row r="641" spans="1:35" x14ac:dyDescent="0.2">
      <c r="A641" s="48" t="s">
        <v>8865</v>
      </c>
      <c r="B641" s="29">
        <v>9</v>
      </c>
      <c r="C641" s="29">
        <v>3</v>
      </c>
      <c r="D641" s="29">
        <v>590</v>
      </c>
      <c r="E641" s="29">
        <v>45021</v>
      </c>
      <c r="F641" s="29">
        <v>165800</v>
      </c>
      <c r="G641" s="29">
        <v>75600</v>
      </c>
      <c r="H641" s="29">
        <v>44342</v>
      </c>
      <c r="I641" s="29">
        <v>101840</v>
      </c>
      <c r="J641" s="29">
        <v>1545725056</v>
      </c>
      <c r="K641" s="29">
        <v>2120</v>
      </c>
      <c r="L641" s="29">
        <v>5229</v>
      </c>
      <c r="N641" s="33"/>
      <c r="O641" s="29">
        <f t="shared" si="250"/>
        <v>3674.5</v>
      </c>
      <c r="P641" s="31" cm="1">
        <f t="array" ref="P641">WPNFACTOR(C641)</f>
        <v>2.5</v>
      </c>
      <c r="Q641" s="33" cm="1">
        <f t="array" ref="Q641">HPFACTOr(C641)</f>
        <v>4</v>
      </c>
      <c r="R641" s="32">
        <f t="shared" si="251"/>
        <v>1469.8</v>
      </c>
      <c r="S641" s="33">
        <f t="shared" si="252"/>
        <v>386431264</v>
      </c>
      <c r="T641" s="32">
        <f t="shared" si="253"/>
        <v>1469.8</v>
      </c>
      <c r="U641" s="39">
        <f t="shared" si="254"/>
        <v>386431263.99999994</v>
      </c>
      <c r="V641" s="41">
        <f>VLOOKUP(D641,LevelXp!$A$1:'LevelXp'!$B$1000,2,)/5</f>
        <v>300000000</v>
      </c>
      <c r="W641" s="29">
        <f t="shared" si="255"/>
        <v>567976671827.19995</v>
      </c>
      <c r="X641" s="32">
        <f t="shared" si="256"/>
        <v>224.31902039069843</v>
      </c>
      <c r="Y641" s="41">
        <v>513</v>
      </c>
      <c r="Z641" s="41">
        <v>300000000</v>
      </c>
      <c r="AA641" s="41">
        <v>0</v>
      </c>
      <c r="AC641" s="50">
        <v>640</v>
      </c>
      <c r="AD641" s="51">
        <f t="shared" si="240"/>
        <v>0</v>
      </c>
      <c r="AE641" s="51">
        <f t="shared" si="242"/>
        <v>0</v>
      </c>
      <c r="AF641" s="51">
        <f t="shared" si="241"/>
        <v>0</v>
      </c>
      <c r="AG641" s="55">
        <f t="shared" si="242"/>
        <v>0</v>
      </c>
      <c r="AH641" s="29">
        <f>SUM($AF$2:AF641)</f>
        <v>300</v>
      </c>
      <c r="AI641" s="55">
        <f>SUM($AG$2:AG641)</f>
        <v>299.99999999999824</v>
      </c>
    </row>
    <row r="642" spans="1:35" x14ac:dyDescent="0.2">
      <c r="A642" s="48" t="s">
        <v>8866</v>
      </c>
      <c r="B642" s="29">
        <v>7</v>
      </c>
      <c r="C642" s="29">
        <v>3</v>
      </c>
      <c r="D642" s="29">
        <v>636</v>
      </c>
      <c r="E642" s="29">
        <v>55499</v>
      </c>
      <c r="F642" s="29">
        <v>174216</v>
      </c>
      <c r="G642" s="29">
        <v>55499</v>
      </c>
      <c r="H642" s="29">
        <v>538992</v>
      </c>
      <c r="I642" s="29">
        <v>94184</v>
      </c>
      <c r="J642" s="29">
        <v>1373351680</v>
      </c>
      <c r="K642" s="29">
        <v>2722</v>
      </c>
      <c r="L642" s="29">
        <v>4531</v>
      </c>
      <c r="N642" s="33"/>
      <c r="O642" s="29">
        <f t="shared" si="250"/>
        <v>3626.5</v>
      </c>
      <c r="P642" s="31" cm="1">
        <f t="array" ref="P642">WPNFACTOR(C642)</f>
        <v>2.5</v>
      </c>
      <c r="Q642" s="33" cm="1">
        <f t="array" ref="Q642">HPFACTOr(C642)</f>
        <v>4</v>
      </c>
      <c r="R642" s="32">
        <f t="shared" si="251"/>
        <v>1450.6</v>
      </c>
      <c r="S642" s="33">
        <f t="shared" si="252"/>
        <v>343337920</v>
      </c>
      <c r="T642" s="32">
        <f t="shared" si="253"/>
        <v>1450.6</v>
      </c>
      <c r="U642" s="39">
        <f t="shared" si="254"/>
        <v>343337920</v>
      </c>
      <c r="V642" s="41">
        <f>VLOOKUP(D642,LevelXp!$A$1:'LevelXp'!$B$1000,2,)/5</f>
        <v>300000000</v>
      </c>
      <c r="W642" s="29">
        <f t="shared" si="255"/>
        <v>498045986751.99994</v>
      </c>
      <c r="X642" s="32">
        <f t="shared" si="256"/>
        <v>218.50123146531891</v>
      </c>
      <c r="Y642" s="41">
        <v>514</v>
      </c>
      <c r="Z642" s="41">
        <v>300000000</v>
      </c>
      <c r="AA642" s="41">
        <v>0</v>
      </c>
      <c r="AC642" s="50">
        <v>641</v>
      </c>
      <c r="AD642" s="51">
        <f t="shared" si="240"/>
        <v>0</v>
      </c>
      <c r="AE642" s="51">
        <f t="shared" si="242"/>
        <v>33333333.333333332</v>
      </c>
      <c r="AF642" s="51">
        <f t="shared" si="241"/>
        <v>0</v>
      </c>
      <c r="AG642" s="55">
        <f t="shared" si="242"/>
        <v>0</v>
      </c>
      <c r="AH642" s="29">
        <f>SUM($AF$2:AF642)</f>
        <v>300</v>
      </c>
      <c r="AI642" s="55">
        <f>SUM($AG$2:AG642)</f>
        <v>299.99999999999824</v>
      </c>
    </row>
    <row r="643" spans="1:35" x14ac:dyDescent="0.2">
      <c r="A643" s="48" t="s">
        <v>2846</v>
      </c>
      <c r="B643" s="29">
        <v>12</v>
      </c>
      <c r="C643" s="29">
        <v>3</v>
      </c>
      <c r="D643" s="29">
        <v>559</v>
      </c>
      <c r="E643" s="29">
        <v>10200</v>
      </c>
      <c r="F643" s="29">
        <v>408040</v>
      </c>
      <c r="G643" s="29">
        <v>10200</v>
      </c>
      <c r="H643" s="29">
        <v>363600</v>
      </c>
      <c r="I643" s="29">
        <v>24480</v>
      </c>
      <c r="J643" s="29">
        <v>814464000</v>
      </c>
      <c r="K643" s="29">
        <v>7653</v>
      </c>
      <c r="L643" s="29">
        <v>10198</v>
      </c>
      <c r="N643" s="33"/>
      <c r="O643" s="29">
        <f t="shared" si="250"/>
        <v>8925.5</v>
      </c>
      <c r="P643" s="31" cm="1">
        <f t="array" ref="P643">WPNFACTOR(C643)</f>
        <v>2.5</v>
      </c>
      <c r="Q643" s="33" cm="1">
        <f t="array" ref="Q643">HPFACTOr(C643)</f>
        <v>4</v>
      </c>
      <c r="R643" s="32">
        <f t="shared" si="251"/>
        <v>3570.2</v>
      </c>
      <c r="S643" s="33">
        <f t="shared" si="252"/>
        <v>203616000</v>
      </c>
      <c r="T643" s="32">
        <f t="shared" si="253"/>
        <v>3570.2</v>
      </c>
      <c r="U643" s="39">
        <f t="shared" si="254"/>
        <v>203616000</v>
      </c>
      <c r="V643" s="41">
        <f>VLOOKUP(D643,LevelXp!$A$1:'LevelXp'!$B$1000,2,)/5</f>
        <v>300000000</v>
      </c>
      <c r="W643" s="29">
        <f t="shared" si="255"/>
        <v>726949843200</v>
      </c>
      <c r="X643" s="32">
        <f t="shared" si="256"/>
        <v>235.66814828342106</v>
      </c>
      <c r="Y643" s="41">
        <v>515</v>
      </c>
      <c r="Z643" s="41">
        <v>300000000</v>
      </c>
      <c r="AA643" s="41">
        <v>1</v>
      </c>
      <c r="AC643" s="50">
        <v>642</v>
      </c>
      <c r="AD643" s="51">
        <f t="shared" ref="AD643:AD706" si="257">SUMIF($Y$2:$Y$682, AC643, $Z$2:$Z$682)</f>
        <v>0</v>
      </c>
      <c r="AE643" s="51">
        <f t="shared" si="242"/>
        <v>33333333.333333332</v>
      </c>
      <c r="AF643" s="51">
        <f t="shared" ref="AF643:AF706" si="258">SUMIF($Y$2:$Y$682, AC643, $AA$2:$AA$682)</f>
        <v>0</v>
      </c>
      <c r="AG643" s="55">
        <f t="shared" si="242"/>
        <v>0</v>
      </c>
      <c r="AH643" s="29">
        <f>SUM($AF$2:AF643)</f>
        <v>300</v>
      </c>
      <c r="AI643" s="55">
        <f>SUM($AG$2:AG643)</f>
        <v>299.99999999999824</v>
      </c>
    </row>
    <row r="644" spans="1:35" x14ac:dyDescent="0.2">
      <c r="A644" s="48" t="s">
        <v>2846</v>
      </c>
      <c r="B644" s="29">
        <v>13</v>
      </c>
      <c r="C644" s="29">
        <v>5</v>
      </c>
      <c r="D644" s="29">
        <v>561</v>
      </c>
      <c r="E644" s="29">
        <v>412120</v>
      </c>
      <c r="F644" s="29">
        <v>10300</v>
      </c>
      <c r="G644" s="29">
        <v>10300</v>
      </c>
      <c r="H644" s="29">
        <v>365410</v>
      </c>
      <c r="I644" s="29">
        <v>24720</v>
      </c>
      <c r="J644" s="29">
        <v>1026802112</v>
      </c>
      <c r="K644" s="29">
        <v>6182</v>
      </c>
      <c r="L644" s="29">
        <v>8241</v>
      </c>
      <c r="N644" s="33"/>
      <c r="O644" s="29">
        <f t="shared" si="250"/>
        <v>7211.5</v>
      </c>
      <c r="P644" s="31" cm="1">
        <f t="array" ref="P644">WPNFACTOR(C644)</f>
        <v>2</v>
      </c>
      <c r="Q644" s="33" cm="1">
        <f t="array" ref="Q644">HPFACTOr(C644)</f>
        <v>5</v>
      </c>
      <c r="R644" s="32">
        <f t="shared" si="251"/>
        <v>3605.75</v>
      </c>
      <c r="S644" s="33">
        <f t="shared" si="252"/>
        <v>205360422.40000001</v>
      </c>
      <c r="T644" s="32">
        <f t="shared" si="253"/>
        <v>3605.75</v>
      </c>
      <c r="U644" s="39">
        <f t="shared" si="254"/>
        <v>205360422.40000001</v>
      </c>
      <c r="V644" s="41">
        <f>VLOOKUP(D644,LevelXp!$A$1:'LevelXp'!$B$1000,2,)/5</f>
        <v>300000000</v>
      </c>
      <c r="W644" s="29">
        <f t="shared" si="255"/>
        <v>740478343068.80005</v>
      </c>
      <c r="X644" s="32">
        <f t="shared" si="256"/>
        <v>236.53884520269014</v>
      </c>
      <c r="Y644" s="41">
        <v>516</v>
      </c>
      <c r="Z644" s="41">
        <v>300000000</v>
      </c>
      <c r="AA644" s="41">
        <v>1</v>
      </c>
      <c r="AC644" s="50">
        <v>643</v>
      </c>
      <c r="AD644" s="51">
        <f t="shared" si="257"/>
        <v>0</v>
      </c>
      <c r="AE644" s="51">
        <f t="shared" si="242"/>
        <v>33333333.333333332</v>
      </c>
      <c r="AF644" s="51">
        <f t="shared" si="258"/>
        <v>0</v>
      </c>
      <c r="AG644" s="55">
        <f t="shared" si="242"/>
        <v>0</v>
      </c>
      <c r="AH644" s="29">
        <f>SUM($AF$2:AF644)</f>
        <v>300</v>
      </c>
      <c r="AI644" s="55">
        <f>SUM($AG$2:AG644)</f>
        <v>299.99999999999824</v>
      </c>
    </row>
    <row r="645" spans="1:35" x14ac:dyDescent="0.2">
      <c r="A645" s="48" t="s">
        <v>8866</v>
      </c>
      <c r="B645" s="29">
        <v>8</v>
      </c>
      <c r="C645" s="29">
        <v>5</v>
      </c>
      <c r="D645" s="29">
        <v>648</v>
      </c>
      <c r="E645" s="29">
        <v>182015</v>
      </c>
      <c r="F645" s="29">
        <v>41927</v>
      </c>
      <c r="G645" s="29">
        <v>41927</v>
      </c>
      <c r="H645" s="29">
        <v>575061</v>
      </c>
      <c r="I645" s="29">
        <v>99832</v>
      </c>
      <c r="J645" s="29">
        <v>1866072960</v>
      </c>
      <c r="K645" s="29">
        <v>2212</v>
      </c>
      <c r="L645" s="29">
        <v>3727</v>
      </c>
      <c r="N645" s="33"/>
      <c r="O645" s="29">
        <f t="shared" si="250"/>
        <v>2969.5</v>
      </c>
      <c r="P645" s="31" cm="1">
        <f t="array" ref="P645">WPNFACTOR(C645)</f>
        <v>2</v>
      </c>
      <c r="Q645" s="33" cm="1">
        <f t="array" ref="Q645">HPFACTOr(C645)</f>
        <v>5</v>
      </c>
      <c r="R645" s="32">
        <f t="shared" si="251"/>
        <v>1484.75</v>
      </c>
      <c r="S645" s="33">
        <f t="shared" si="252"/>
        <v>373214592</v>
      </c>
      <c r="T645" s="32">
        <f t="shared" si="253"/>
        <v>1484.75</v>
      </c>
      <c r="U645" s="39">
        <f t="shared" si="254"/>
        <v>373214592</v>
      </c>
      <c r="V645" s="41">
        <f>VLOOKUP(D645,LevelXp!$A$1:'LevelXp'!$B$1000,2,)/5</f>
        <v>300000000</v>
      </c>
      <c r="W645" s="29">
        <f t="shared" si="255"/>
        <v>554130365472</v>
      </c>
      <c r="X645" s="32">
        <f t="shared" si="256"/>
        <v>223.21449330238687</v>
      </c>
      <c r="Y645" s="41">
        <v>517</v>
      </c>
      <c r="Z645" s="41">
        <v>300000000</v>
      </c>
      <c r="AA645" s="41">
        <v>0</v>
      </c>
      <c r="AC645" s="50">
        <v>644</v>
      </c>
      <c r="AD645" s="51">
        <f t="shared" si="257"/>
        <v>0</v>
      </c>
      <c r="AE645" s="51">
        <f t="shared" si="242"/>
        <v>33333333.333333332</v>
      </c>
      <c r="AF645" s="51">
        <f t="shared" si="258"/>
        <v>0</v>
      </c>
      <c r="AG645" s="55">
        <f t="shared" si="242"/>
        <v>0</v>
      </c>
      <c r="AH645" s="29">
        <f>SUM($AF$2:AF645)</f>
        <v>300</v>
      </c>
      <c r="AI645" s="55">
        <f>SUM($AG$2:AG645)</f>
        <v>299.99999999999824</v>
      </c>
    </row>
    <row r="646" spans="1:35" x14ac:dyDescent="0.2">
      <c r="A646" s="48" t="s">
        <v>8865</v>
      </c>
      <c r="B646" s="29">
        <v>10</v>
      </c>
      <c r="C646" s="29">
        <v>2</v>
      </c>
      <c r="D646" s="29">
        <v>600</v>
      </c>
      <c r="E646" s="29">
        <v>50682</v>
      </c>
      <c r="F646" s="29">
        <v>50268</v>
      </c>
      <c r="G646" s="29">
        <v>183510</v>
      </c>
      <c r="H646" s="29">
        <v>569115</v>
      </c>
      <c r="I646" s="29">
        <v>110250</v>
      </c>
      <c r="J646" s="29">
        <v>1427435264</v>
      </c>
      <c r="K646" s="29">
        <v>4776</v>
      </c>
      <c r="L646" s="29">
        <v>7369</v>
      </c>
      <c r="N646" s="33"/>
      <c r="O646" s="29">
        <f t="shared" si="250"/>
        <v>6072.5</v>
      </c>
      <c r="P646" s="31" cm="1">
        <f t="array" ref="P646">WPNFACTOR(C646)</f>
        <v>4.5</v>
      </c>
      <c r="Q646" s="33" cm="1">
        <f t="array" ref="Q646">HPFACTOr(C646)</f>
        <v>2</v>
      </c>
      <c r="R646" s="32">
        <f t="shared" si="251"/>
        <v>1349.4444444444443</v>
      </c>
      <c r="S646" s="33">
        <f t="shared" si="252"/>
        <v>713717632</v>
      </c>
      <c r="T646" s="32">
        <f t="shared" si="253"/>
        <v>1349.4444444444443</v>
      </c>
      <c r="U646" s="39">
        <f t="shared" si="254"/>
        <v>713717632</v>
      </c>
      <c r="V646" s="41">
        <f>VLOOKUP(D646,LevelXp!$A$1:'LevelXp'!$B$1000,2,)/5</f>
        <v>300000000</v>
      </c>
      <c r="W646" s="29">
        <f t="shared" si="255"/>
        <v>963122293404.44434</v>
      </c>
      <c r="X646" s="32">
        <f t="shared" si="256"/>
        <v>249.30804155781178</v>
      </c>
      <c r="Y646" s="41">
        <v>518</v>
      </c>
      <c r="Z646" s="41">
        <v>300000000</v>
      </c>
      <c r="AA646" s="41">
        <v>0</v>
      </c>
      <c r="AC646" s="50">
        <v>645</v>
      </c>
      <c r="AD646" s="51">
        <f t="shared" si="257"/>
        <v>300000000</v>
      </c>
      <c r="AE646" s="51">
        <f t="shared" si="242"/>
        <v>33333333.333333332</v>
      </c>
      <c r="AF646" s="51">
        <f t="shared" si="258"/>
        <v>0</v>
      </c>
      <c r="AG646" s="55">
        <f t="shared" si="242"/>
        <v>0</v>
      </c>
      <c r="AH646" s="29">
        <f>SUM($AF$2:AF646)</f>
        <v>300</v>
      </c>
      <c r="AI646" s="55">
        <f>SUM($AG$2:AG646)</f>
        <v>299.99999999999824</v>
      </c>
    </row>
    <row r="647" spans="1:35" x14ac:dyDescent="0.2">
      <c r="A647" s="48" t="s">
        <v>8857</v>
      </c>
      <c r="B647" s="29">
        <v>3</v>
      </c>
      <c r="C647" s="29">
        <v>3</v>
      </c>
      <c r="D647" s="29">
        <v>435</v>
      </c>
      <c r="E647" s="29">
        <v>25000</v>
      </c>
      <c r="F647" s="29">
        <v>75000</v>
      </c>
      <c r="G647" s="29">
        <v>25000</v>
      </c>
      <c r="H647" s="29">
        <v>240000</v>
      </c>
      <c r="I647" s="29">
        <v>45000</v>
      </c>
      <c r="J647" s="29">
        <v>8650800128</v>
      </c>
      <c r="K647" s="29">
        <v>725</v>
      </c>
      <c r="L647" s="29">
        <v>1459</v>
      </c>
      <c r="M647" s="29">
        <v>15</v>
      </c>
      <c r="N647" s="33">
        <v>35</v>
      </c>
      <c r="O647" s="29">
        <f t="shared" si="250"/>
        <v>1092</v>
      </c>
      <c r="P647" s="31" cm="1">
        <f t="array" ref="P647">WPNFACTOR(C647)</f>
        <v>2.5</v>
      </c>
      <c r="Q647" s="33" cm="1">
        <f t="array" ref="Q647">HPFACTOr(C647)</f>
        <v>4</v>
      </c>
      <c r="R647" s="32">
        <f t="shared" si="251"/>
        <v>436.8</v>
      </c>
      <c r="S647" s="33">
        <f t="shared" si="252"/>
        <v>2162700032</v>
      </c>
      <c r="T647" s="32">
        <f t="shared" si="253"/>
        <v>475.02</v>
      </c>
      <c r="U647" s="39">
        <f t="shared" si="254"/>
        <v>2291602682.9139075</v>
      </c>
      <c r="V647" s="41">
        <f>VLOOKUP(D647,LevelXp!$A$1:'LevelXp'!$B$1000,2,)/5</f>
        <v>300000000</v>
      </c>
      <c r="W647" s="29">
        <f t="shared" si="255"/>
        <v>1088557106437.7643</v>
      </c>
      <c r="X647" s="32">
        <f t="shared" si="256"/>
        <v>255.48784520625952</v>
      </c>
      <c r="Y647" s="41">
        <v>519</v>
      </c>
      <c r="Z647" s="41">
        <v>300000000</v>
      </c>
      <c r="AA647" s="41">
        <v>0</v>
      </c>
      <c r="AC647" s="50">
        <v>646</v>
      </c>
      <c r="AD647" s="51">
        <f t="shared" si="257"/>
        <v>0</v>
      </c>
      <c r="AE647" s="51">
        <f t="shared" ref="AE647:AG710" si="259">AVERAGE(AD643:AD651)</f>
        <v>33333333.333333332</v>
      </c>
      <c r="AF647" s="51">
        <f t="shared" si="258"/>
        <v>0</v>
      </c>
      <c r="AG647" s="55">
        <f t="shared" si="259"/>
        <v>0</v>
      </c>
      <c r="AH647" s="29">
        <f>SUM($AF$2:AF647)</f>
        <v>300</v>
      </c>
      <c r="AI647" s="55">
        <f>SUM($AG$2:AG647)</f>
        <v>299.99999999999824</v>
      </c>
    </row>
    <row r="648" spans="1:35" x14ac:dyDescent="0.2">
      <c r="A648" s="48" t="s">
        <v>8856</v>
      </c>
      <c r="B648" s="29">
        <v>8</v>
      </c>
      <c r="C648" s="29">
        <v>3</v>
      </c>
      <c r="D648" s="29">
        <v>625</v>
      </c>
      <c r="E648" s="29">
        <v>63500</v>
      </c>
      <c r="F648" s="29">
        <v>163000</v>
      </c>
      <c r="G648" s="29">
        <v>63500</v>
      </c>
      <c r="H648" s="29">
        <v>507500</v>
      </c>
      <c r="I648" s="29">
        <v>93500</v>
      </c>
      <c r="J648" s="29">
        <v>1417955072</v>
      </c>
      <c r="K648" s="29">
        <v>2734</v>
      </c>
      <c r="L648" s="29">
        <v>4686</v>
      </c>
      <c r="M648" s="29">
        <v>50</v>
      </c>
      <c r="N648" s="33">
        <v>60</v>
      </c>
      <c r="O648" s="29">
        <f t="shared" si="250"/>
        <v>3710</v>
      </c>
      <c r="P648" s="31" cm="1">
        <f t="array" ref="P648">WPNFACTOR(C648)</f>
        <v>2.5</v>
      </c>
      <c r="Q648" s="33" cm="1">
        <f t="array" ref="Q648">HPFACTOr(C648)</f>
        <v>4</v>
      </c>
      <c r="R648" s="32">
        <f t="shared" si="251"/>
        <v>1484</v>
      </c>
      <c r="S648" s="33">
        <f t="shared" si="252"/>
        <v>354488768</v>
      </c>
      <c r="T648" s="32">
        <f t="shared" si="253"/>
        <v>1706.6</v>
      </c>
      <c r="U648" s="39">
        <f t="shared" si="254"/>
        <v>436293868.30769235</v>
      </c>
      <c r="V648" s="41">
        <f>VLOOKUP(D648,LevelXp!$A$1:'LevelXp'!$B$1000,2,)/5</f>
        <v>300000000</v>
      </c>
      <c r="W648" s="29">
        <f t="shared" si="255"/>
        <v>744579115653.90771</v>
      </c>
      <c r="X648" s="32">
        <f t="shared" si="256"/>
        <v>236.80025741139784</v>
      </c>
      <c r="Y648" s="41">
        <v>520</v>
      </c>
      <c r="Z648" s="41">
        <v>300000000</v>
      </c>
      <c r="AA648" s="41">
        <v>0</v>
      </c>
      <c r="AC648" s="50">
        <v>647</v>
      </c>
      <c r="AD648" s="51">
        <f t="shared" si="257"/>
        <v>0</v>
      </c>
      <c r="AE648" s="51">
        <f t="shared" si="259"/>
        <v>33333333.333333332</v>
      </c>
      <c r="AF648" s="51">
        <f t="shared" si="258"/>
        <v>0</v>
      </c>
      <c r="AG648" s="55">
        <f t="shared" si="259"/>
        <v>0</v>
      </c>
      <c r="AH648" s="29">
        <f>SUM($AF$2:AF648)</f>
        <v>300</v>
      </c>
      <c r="AI648" s="55">
        <f>SUM($AG$2:AG648)</f>
        <v>299.99999999999824</v>
      </c>
    </row>
    <row r="649" spans="1:35" x14ac:dyDescent="0.2">
      <c r="A649" s="48" t="s">
        <v>8856</v>
      </c>
      <c r="B649" s="29">
        <v>9</v>
      </c>
      <c r="C649" s="29">
        <v>6</v>
      </c>
      <c r="D649" s="29">
        <v>645</v>
      </c>
      <c r="E649" s="29">
        <v>182000</v>
      </c>
      <c r="F649" s="29">
        <v>42000</v>
      </c>
      <c r="G649" s="29">
        <v>42000</v>
      </c>
      <c r="H649" s="29">
        <v>575000</v>
      </c>
      <c r="I649" s="29">
        <v>100000</v>
      </c>
      <c r="J649" s="29">
        <v>1657149952</v>
      </c>
      <c r="K649" s="29">
        <v>1847</v>
      </c>
      <c r="L649" s="29">
        <v>3877</v>
      </c>
      <c r="M649" s="29">
        <v>50</v>
      </c>
      <c r="N649" s="33">
        <v>60</v>
      </c>
      <c r="O649" s="29">
        <f t="shared" si="250"/>
        <v>2862</v>
      </c>
      <c r="P649" s="31" cm="1">
        <f t="array" ref="P649">WPNFACTOR(C649)</f>
        <v>2</v>
      </c>
      <c r="Q649" s="33" cm="1">
        <f t="array" ref="Q649">HPFACTOr(C649)</f>
        <v>4</v>
      </c>
      <c r="R649" s="32">
        <f t="shared" si="251"/>
        <v>1431</v>
      </c>
      <c r="S649" s="33">
        <f t="shared" si="252"/>
        <v>414287488</v>
      </c>
      <c r="T649" s="32">
        <f t="shared" si="253"/>
        <v>1645.6499999999999</v>
      </c>
      <c r="U649" s="39">
        <f t="shared" si="254"/>
        <v>509892292.92307699</v>
      </c>
      <c r="V649" s="41">
        <f>VLOOKUP(D649,LevelXp!$A$1:'LevelXp'!$B$1000,2,)/5</f>
        <v>300000000</v>
      </c>
      <c r="W649" s="29">
        <f t="shared" si="255"/>
        <v>839104251848.86157</v>
      </c>
      <c r="X649" s="32">
        <f t="shared" si="256"/>
        <v>242.52872539338037</v>
      </c>
      <c r="Y649" s="41">
        <v>522</v>
      </c>
      <c r="Z649" s="41">
        <v>300000000</v>
      </c>
      <c r="AA649" s="41">
        <v>0</v>
      </c>
      <c r="AC649" s="50">
        <v>648</v>
      </c>
      <c r="AD649" s="51">
        <f t="shared" si="257"/>
        <v>0</v>
      </c>
      <c r="AE649" s="51">
        <f t="shared" si="259"/>
        <v>66666666.666666664</v>
      </c>
      <c r="AF649" s="51">
        <f t="shared" si="258"/>
        <v>0</v>
      </c>
      <c r="AG649" s="55">
        <f t="shared" si="259"/>
        <v>0</v>
      </c>
      <c r="AH649" s="29">
        <f>SUM($AF$2:AF649)</f>
        <v>300</v>
      </c>
      <c r="AI649" s="55">
        <f>SUM($AG$2:AG649)</f>
        <v>299.99999999999824</v>
      </c>
    </row>
    <row r="650" spans="1:35" x14ac:dyDescent="0.2">
      <c r="A650" s="48" t="s">
        <v>8857</v>
      </c>
      <c r="B650" s="29">
        <v>4</v>
      </c>
      <c r="C650" s="29">
        <v>2</v>
      </c>
      <c r="D650" s="29">
        <v>485</v>
      </c>
      <c r="E650" s="29">
        <v>30000</v>
      </c>
      <c r="F650" s="29">
        <v>30000</v>
      </c>
      <c r="G650" s="29">
        <v>90000</v>
      </c>
      <c r="H650" s="29">
        <v>260000</v>
      </c>
      <c r="I650" s="29">
        <v>48500</v>
      </c>
      <c r="J650" s="29">
        <v>5212349952</v>
      </c>
      <c r="K650" s="29">
        <v>1460</v>
      </c>
      <c r="L650" s="29">
        <v>2919</v>
      </c>
      <c r="M650" s="29">
        <v>20</v>
      </c>
      <c r="N650" s="33">
        <v>40</v>
      </c>
      <c r="O650" s="29">
        <f t="shared" si="250"/>
        <v>2189.5</v>
      </c>
      <c r="P650" s="31" cm="1">
        <f t="array" ref="P650">WPNFACTOR(C650)</f>
        <v>4.5</v>
      </c>
      <c r="Q650" s="33" cm="1">
        <f t="array" ref="Q650">HPFACTOr(C650)</f>
        <v>2</v>
      </c>
      <c r="R650" s="32">
        <f t="shared" si="251"/>
        <v>486.55555555555554</v>
      </c>
      <c r="S650" s="33">
        <f t="shared" si="252"/>
        <v>2606174976</v>
      </c>
      <c r="T650" s="32">
        <f t="shared" si="253"/>
        <v>535.21111111111111</v>
      </c>
      <c r="U650" s="39">
        <f t="shared" si="254"/>
        <v>2817486460.5405407</v>
      </c>
      <c r="V650" s="41">
        <f>VLOOKUP(D650,LevelXp!$A$1:'LevelXp'!$B$1000,2,)/5</f>
        <v>300000000</v>
      </c>
      <c r="W650" s="29">
        <f t="shared" si="255"/>
        <v>1507950059086.4146</v>
      </c>
      <c r="X650" s="32">
        <f t="shared" si="256"/>
        <v>272.69513607845039</v>
      </c>
      <c r="Y650" s="41">
        <v>524</v>
      </c>
      <c r="Z650" s="41">
        <v>300000000</v>
      </c>
      <c r="AA650" s="41">
        <v>0</v>
      </c>
      <c r="AC650" s="50">
        <v>649</v>
      </c>
      <c r="AD650" s="51">
        <f t="shared" si="257"/>
        <v>0</v>
      </c>
      <c r="AE650" s="51">
        <f t="shared" si="259"/>
        <v>66666666.666666664</v>
      </c>
      <c r="AF650" s="51">
        <f t="shared" si="258"/>
        <v>0</v>
      </c>
      <c r="AG650" s="55">
        <f t="shared" si="259"/>
        <v>0</v>
      </c>
      <c r="AH650" s="29">
        <f>SUM($AF$2:AF650)</f>
        <v>300</v>
      </c>
      <c r="AI650" s="55">
        <f>SUM($AG$2:AG650)</f>
        <v>299.99999999999824</v>
      </c>
    </row>
    <row r="651" spans="1:35" x14ac:dyDescent="0.2">
      <c r="A651" s="48" t="s">
        <v>8866</v>
      </c>
      <c r="B651" s="29">
        <v>9</v>
      </c>
      <c r="C651" s="29">
        <v>1</v>
      </c>
      <c r="D651" s="29">
        <v>660</v>
      </c>
      <c r="E651" s="29">
        <v>195334</v>
      </c>
      <c r="F651" s="29">
        <v>50000</v>
      </c>
      <c r="G651" s="29">
        <v>50000</v>
      </c>
      <c r="H651" s="29">
        <v>651487</v>
      </c>
      <c r="I651" s="29">
        <v>117563</v>
      </c>
      <c r="J651" s="29">
        <v>2153164544</v>
      </c>
      <c r="K651" s="29">
        <v>2251</v>
      </c>
      <c r="L651" s="29">
        <v>3798</v>
      </c>
      <c r="N651" s="33"/>
      <c r="O651" s="29">
        <f t="shared" si="250"/>
        <v>3024.5</v>
      </c>
      <c r="P651" s="31" cm="1">
        <f t="array" ref="P651">WPNFACTOR(C651)</f>
        <v>2</v>
      </c>
      <c r="Q651" s="33" cm="1">
        <f t="array" ref="Q651">HPFACTOr(C651)</f>
        <v>5</v>
      </c>
      <c r="R651" s="32">
        <f t="shared" si="251"/>
        <v>1512.25</v>
      </c>
      <c r="S651" s="33">
        <f t="shared" si="252"/>
        <v>430632908.80000001</v>
      </c>
      <c r="T651" s="32">
        <f t="shared" si="253"/>
        <v>1512.25</v>
      </c>
      <c r="U651" s="39">
        <f t="shared" si="254"/>
        <v>430632908.80000001</v>
      </c>
      <c r="V651" s="41">
        <f>VLOOKUP(D651,LevelXp!$A$1:'LevelXp'!$B$1000,2,)/5</f>
        <v>300000000</v>
      </c>
      <c r="W651" s="29">
        <f t="shared" si="255"/>
        <v>651224616332.80005</v>
      </c>
      <c r="X651" s="32">
        <f t="shared" si="256"/>
        <v>230.5399325232485</v>
      </c>
      <c r="Y651" s="41">
        <v>526</v>
      </c>
      <c r="Z651" s="41">
        <v>300000000</v>
      </c>
      <c r="AA651" s="41">
        <v>0</v>
      </c>
      <c r="AC651" s="50">
        <v>650</v>
      </c>
      <c r="AD651" s="51">
        <f t="shared" si="257"/>
        <v>0</v>
      </c>
      <c r="AE651" s="51">
        <f t="shared" si="259"/>
        <v>33333333.333333332</v>
      </c>
      <c r="AF651" s="51">
        <f t="shared" si="258"/>
        <v>0</v>
      </c>
      <c r="AG651" s="55">
        <f t="shared" si="259"/>
        <v>0</v>
      </c>
      <c r="AH651" s="29">
        <f>SUM($AF$2:AF651)</f>
        <v>300</v>
      </c>
      <c r="AI651" s="55">
        <f>SUM($AG$2:AG651)</f>
        <v>299.99999999999824</v>
      </c>
    </row>
    <row r="652" spans="1:35" x14ac:dyDescent="0.2">
      <c r="A652" s="48" t="s">
        <v>2846</v>
      </c>
      <c r="B652" s="29">
        <v>14</v>
      </c>
      <c r="C652" s="29">
        <v>1</v>
      </c>
      <c r="D652" s="29">
        <v>563</v>
      </c>
      <c r="E652" s="29">
        <v>416240</v>
      </c>
      <c r="F652" s="29">
        <v>10400</v>
      </c>
      <c r="G652" s="29">
        <v>10400</v>
      </c>
      <c r="H652" s="29">
        <v>367230</v>
      </c>
      <c r="I652" s="29">
        <v>24960</v>
      </c>
      <c r="J652" s="29">
        <v>1035588608</v>
      </c>
      <c r="K652" s="29">
        <v>6244</v>
      </c>
      <c r="L652" s="29">
        <v>8322</v>
      </c>
      <c r="N652" s="33"/>
      <c r="O652" s="29">
        <f t="shared" si="250"/>
        <v>7283</v>
      </c>
      <c r="P652" s="31" cm="1">
        <f t="array" ref="P652">WPNFACTOR(C652)</f>
        <v>2</v>
      </c>
      <c r="Q652" s="33" cm="1">
        <f t="array" ref="Q652">HPFACTOr(C652)</f>
        <v>5</v>
      </c>
      <c r="R652" s="32">
        <f t="shared" si="251"/>
        <v>3641.5</v>
      </c>
      <c r="S652" s="33">
        <f t="shared" si="252"/>
        <v>207117721.59999999</v>
      </c>
      <c r="T652" s="32">
        <f t="shared" si="253"/>
        <v>3641.5</v>
      </c>
      <c r="U652" s="39">
        <f t="shared" si="254"/>
        <v>207117721.59999999</v>
      </c>
      <c r="V652" s="41">
        <f>VLOOKUP(D652,LevelXp!$A$1:'LevelXp'!$B$1000,2,)/5</f>
        <v>300000000</v>
      </c>
      <c r="W652" s="29">
        <f t="shared" si="255"/>
        <v>754219183206.40002</v>
      </c>
      <c r="X652" s="32">
        <f t="shared" si="256"/>
        <v>237.41027706622071</v>
      </c>
      <c r="Y652" s="41">
        <v>528</v>
      </c>
      <c r="Z652" s="41">
        <v>300000000</v>
      </c>
      <c r="AA652" s="41">
        <v>1</v>
      </c>
      <c r="AC652" s="50">
        <v>651</v>
      </c>
      <c r="AD652" s="51">
        <f t="shared" si="257"/>
        <v>0</v>
      </c>
      <c r="AE652" s="51">
        <f t="shared" si="259"/>
        <v>33333333.333333332</v>
      </c>
      <c r="AF652" s="51">
        <f t="shared" si="258"/>
        <v>0</v>
      </c>
      <c r="AG652" s="55">
        <f t="shared" si="259"/>
        <v>0</v>
      </c>
      <c r="AH652" s="29">
        <f>SUM($AF$2:AF652)</f>
        <v>300</v>
      </c>
      <c r="AI652" s="55">
        <f>SUM($AG$2:AG652)</f>
        <v>299.99999999999824</v>
      </c>
    </row>
    <row r="653" spans="1:35" x14ac:dyDescent="0.2">
      <c r="A653" s="48" t="s">
        <v>2846</v>
      </c>
      <c r="B653" s="29">
        <v>15</v>
      </c>
      <c r="C653" s="29">
        <v>6</v>
      </c>
      <c r="D653" s="29">
        <v>565</v>
      </c>
      <c r="E653" s="29">
        <v>420400</v>
      </c>
      <c r="F653" s="29">
        <v>10500</v>
      </c>
      <c r="G653" s="29">
        <v>10500</v>
      </c>
      <c r="H653" s="29">
        <v>369060</v>
      </c>
      <c r="I653" s="29">
        <v>25210</v>
      </c>
      <c r="J653" s="29">
        <v>835551872</v>
      </c>
      <c r="K653" s="29">
        <v>5110</v>
      </c>
      <c r="L653" s="29">
        <v>7507</v>
      </c>
      <c r="N653" s="33"/>
      <c r="O653" s="29">
        <f t="shared" si="250"/>
        <v>6308.5</v>
      </c>
      <c r="P653" s="31" cm="1">
        <f t="array" ref="P653">WPNFACTOR(C653)</f>
        <v>2</v>
      </c>
      <c r="Q653" s="33" cm="1">
        <f t="array" ref="Q653">HPFACTOr(C653)</f>
        <v>4</v>
      </c>
      <c r="R653" s="32">
        <f t="shared" si="251"/>
        <v>3154.25</v>
      </c>
      <c r="S653" s="33">
        <f t="shared" si="252"/>
        <v>208887968</v>
      </c>
      <c r="T653" s="32">
        <f t="shared" si="253"/>
        <v>3154.25</v>
      </c>
      <c r="U653" s="39">
        <f t="shared" si="254"/>
        <v>208887968</v>
      </c>
      <c r="V653" s="41">
        <f>VLOOKUP(D653,LevelXp!$A$1:'LevelXp'!$B$1000,2,)/5</f>
        <v>300000000</v>
      </c>
      <c r="W653" s="29">
        <f t="shared" si="255"/>
        <v>658884873064</v>
      </c>
      <c r="X653" s="32">
        <f t="shared" si="256"/>
        <v>231.0797597774087</v>
      </c>
      <c r="Y653" s="41">
        <v>530</v>
      </c>
      <c r="Z653" s="41">
        <v>300000000</v>
      </c>
      <c r="AA653" s="41">
        <v>1</v>
      </c>
      <c r="AC653" s="50">
        <v>652</v>
      </c>
      <c r="AD653" s="51">
        <f t="shared" si="257"/>
        <v>300000000</v>
      </c>
      <c r="AE653" s="51">
        <f t="shared" si="259"/>
        <v>33333333.333333332</v>
      </c>
      <c r="AF653" s="51">
        <f t="shared" si="258"/>
        <v>0</v>
      </c>
      <c r="AG653" s="55">
        <f t="shared" si="259"/>
        <v>0</v>
      </c>
      <c r="AH653" s="29">
        <f>SUM($AF$2:AF653)</f>
        <v>300</v>
      </c>
      <c r="AI653" s="55">
        <f>SUM($AG$2:AG653)</f>
        <v>299.99999999999824</v>
      </c>
    </row>
    <row r="654" spans="1:35" x14ac:dyDescent="0.2">
      <c r="A654" s="48" t="s">
        <v>2846</v>
      </c>
      <c r="B654" s="29">
        <v>16</v>
      </c>
      <c r="C654" s="29">
        <v>2</v>
      </c>
      <c r="D654" s="29">
        <v>567</v>
      </c>
      <c r="E654" s="29">
        <v>10600</v>
      </c>
      <c r="F654" s="29">
        <v>10600</v>
      </c>
      <c r="G654" s="29">
        <v>424600</v>
      </c>
      <c r="H654" s="29">
        <v>370900</v>
      </c>
      <c r="I654" s="29">
        <v>25460</v>
      </c>
      <c r="J654" s="29">
        <v>421342400</v>
      </c>
      <c r="K654" s="29">
        <v>14335</v>
      </c>
      <c r="L654" s="29">
        <v>19104</v>
      </c>
      <c r="N654" s="33"/>
      <c r="O654" s="29">
        <f t="shared" si="250"/>
        <v>16719.5</v>
      </c>
      <c r="P654" s="31" cm="1">
        <f t="array" ref="P654">WPNFACTOR(C654)</f>
        <v>4.5</v>
      </c>
      <c r="Q654" s="33" cm="1">
        <f t="array" ref="Q654">HPFACTOr(C654)</f>
        <v>2</v>
      </c>
      <c r="R654" s="32">
        <f t="shared" si="251"/>
        <v>3715.4444444444443</v>
      </c>
      <c r="S654" s="33">
        <f t="shared" si="252"/>
        <v>210671200</v>
      </c>
      <c r="T654" s="32">
        <f t="shared" si="253"/>
        <v>3715.4444444444443</v>
      </c>
      <c r="U654" s="39">
        <f t="shared" si="254"/>
        <v>210671200</v>
      </c>
      <c r="V654" s="41">
        <f>VLOOKUP(D654,LevelXp!$A$1:'LevelXp'!$B$1000,2,)/5</f>
        <v>300000000</v>
      </c>
      <c r="W654" s="29">
        <f t="shared" si="255"/>
        <v>782737139644.44446</v>
      </c>
      <c r="X654" s="32">
        <f t="shared" si="256"/>
        <v>239.17907842232043</v>
      </c>
      <c r="Y654" s="41">
        <v>532</v>
      </c>
      <c r="Z654" s="41">
        <v>300000000</v>
      </c>
      <c r="AA654" s="41">
        <v>1</v>
      </c>
      <c r="AC654" s="50">
        <v>653</v>
      </c>
      <c r="AD654" s="51">
        <f t="shared" si="257"/>
        <v>0</v>
      </c>
      <c r="AE654" s="51">
        <f t="shared" si="259"/>
        <v>33333333.333333332</v>
      </c>
      <c r="AF654" s="51">
        <f t="shared" si="258"/>
        <v>0</v>
      </c>
      <c r="AG654" s="55">
        <f t="shared" si="259"/>
        <v>0</v>
      </c>
      <c r="AH654" s="29">
        <f>SUM($AF$2:AF654)</f>
        <v>300</v>
      </c>
      <c r="AI654" s="55">
        <f>SUM($AG$2:AG654)</f>
        <v>299.99999999999824</v>
      </c>
    </row>
    <row r="655" spans="1:35" x14ac:dyDescent="0.2">
      <c r="A655" s="48" t="s">
        <v>8858</v>
      </c>
      <c r="B655" s="29">
        <v>6</v>
      </c>
      <c r="C655" s="29">
        <v>2</v>
      </c>
      <c r="D655" s="29">
        <v>400</v>
      </c>
      <c r="E655" s="29">
        <v>35000</v>
      </c>
      <c r="F655" s="29">
        <v>35000</v>
      </c>
      <c r="G655" s="29">
        <v>105000</v>
      </c>
      <c r="H655" s="29">
        <v>280000</v>
      </c>
      <c r="I655" s="29">
        <v>53500</v>
      </c>
      <c r="J655" s="29">
        <v>6074999808</v>
      </c>
      <c r="K655" s="29">
        <v>1350</v>
      </c>
      <c r="L655" s="29">
        <v>2249</v>
      </c>
      <c r="N655" s="33"/>
      <c r="O655" s="29">
        <f t="shared" si="250"/>
        <v>1799.5</v>
      </c>
      <c r="P655" s="31" cm="1">
        <f t="array" ref="P655">WPNFACTOR(C655)</f>
        <v>4.5</v>
      </c>
      <c r="Q655" s="33" cm="1">
        <f t="array" ref="Q655">HPFACTOr(C655)</f>
        <v>2</v>
      </c>
      <c r="R655" s="32">
        <f t="shared" si="251"/>
        <v>399.88888888888891</v>
      </c>
      <c r="S655" s="33">
        <f t="shared" si="252"/>
        <v>3037499904</v>
      </c>
      <c r="T655" s="32">
        <f t="shared" si="253"/>
        <v>399.88888888888891</v>
      </c>
      <c r="U655" s="39">
        <f t="shared" si="254"/>
        <v>3037499904</v>
      </c>
      <c r="V655" s="41">
        <f>VLOOKUP(D655,LevelXp!$A$1:'LevelXp'!$B$1000,2,)/5</f>
        <v>300000000</v>
      </c>
      <c r="W655" s="29">
        <f t="shared" si="255"/>
        <v>1214662461610.6667</v>
      </c>
      <c r="X655" s="32">
        <f t="shared" si="256"/>
        <v>261.15065654965287</v>
      </c>
      <c r="Y655" s="41">
        <v>534</v>
      </c>
      <c r="Z655" s="41">
        <v>300000000</v>
      </c>
      <c r="AA655" s="41">
        <v>0</v>
      </c>
      <c r="AC655" s="50">
        <v>654</v>
      </c>
      <c r="AD655" s="51">
        <f t="shared" si="257"/>
        <v>0</v>
      </c>
      <c r="AE655" s="51">
        <f t="shared" si="259"/>
        <v>33333333.333333332</v>
      </c>
      <c r="AF655" s="51">
        <f t="shared" si="258"/>
        <v>0</v>
      </c>
      <c r="AG655" s="55">
        <f t="shared" si="259"/>
        <v>0</v>
      </c>
      <c r="AH655" s="29">
        <f>SUM($AF$2:AF655)</f>
        <v>300</v>
      </c>
      <c r="AI655" s="55">
        <f>SUM($AG$2:AG655)</f>
        <v>299.99999999999824</v>
      </c>
    </row>
    <row r="656" spans="1:35" x14ac:dyDescent="0.2">
      <c r="A656" s="48" t="s">
        <v>2846</v>
      </c>
      <c r="B656" s="29">
        <v>17</v>
      </c>
      <c r="C656" s="29">
        <v>1</v>
      </c>
      <c r="D656" s="29">
        <v>569</v>
      </c>
      <c r="E656" s="29">
        <v>428840</v>
      </c>
      <c r="F656" s="29">
        <v>10700</v>
      </c>
      <c r="G656" s="29">
        <v>10700</v>
      </c>
      <c r="H656" s="29">
        <v>372750</v>
      </c>
      <c r="I656" s="29">
        <v>25710</v>
      </c>
      <c r="J656" s="29">
        <v>1062337472</v>
      </c>
      <c r="K656" s="29">
        <v>6432</v>
      </c>
      <c r="L656" s="29">
        <v>8569</v>
      </c>
      <c r="N656" s="33"/>
      <c r="O656" s="29">
        <f t="shared" si="250"/>
        <v>7500.5</v>
      </c>
      <c r="P656" s="31" cm="1">
        <f t="array" ref="P656">WPNFACTOR(C656)</f>
        <v>2</v>
      </c>
      <c r="Q656" s="33" cm="1">
        <f t="array" ref="Q656">HPFACTOr(C656)</f>
        <v>5</v>
      </c>
      <c r="R656" s="32">
        <f t="shared" si="251"/>
        <v>3750.25</v>
      </c>
      <c r="S656" s="33">
        <f t="shared" si="252"/>
        <v>212467494.40000001</v>
      </c>
      <c r="T656" s="32">
        <f t="shared" si="253"/>
        <v>3750.25</v>
      </c>
      <c r="U656" s="39">
        <f t="shared" si="254"/>
        <v>212467494.40000001</v>
      </c>
      <c r="V656" s="41">
        <f>VLOOKUP(D656,LevelXp!$A$1:'LevelXp'!$B$1000,2,)/5</f>
        <v>300000000</v>
      </c>
      <c r="W656" s="29">
        <f t="shared" si="255"/>
        <v>796806220873.59998</v>
      </c>
      <c r="X656" s="32">
        <f t="shared" si="256"/>
        <v>240.03277345979123</v>
      </c>
      <c r="Y656" s="41">
        <v>536</v>
      </c>
      <c r="Z656" s="41">
        <v>300000000</v>
      </c>
      <c r="AA656" s="41">
        <v>1</v>
      </c>
      <c r="AC656" s="50">
        <v>655</v>
      </c>
      <c r="AD656" s="51">
        <f t="shared" si="257"/>
        <v>0</v>
      </c>
      <c r="AE656" s="51">
        <f t="shared" si="259"/>
        <v>33333333.333333332</v>
      </c>
      <c r="AF656" s="51">
        <f t="shared" si="258"/>
        <v>0</v>
      </c>
      <c r="AG656" s="55">
        <f t="shared" si="259"/>
        <v>0</v>
      </c>
      <c r="AH656" s="29">
        <f>SUM($AF$2:AF656)</f>
        <v>300</v>
      </c>
      <c r="AI656" s="55">
        <f>SUM($AG$2:AG656)</f>
        <v>299.99999999999824</v>
      </c>
    </row>
    <row r="657" spans="1:35" x14ac:dyDescent="0.2">
      <c r="A657" s="48" t="s">
        <v>2846</v>
      </c>
      <c r="B657" s="29">
        <v>18</v>
      </c>
      <c r="C657" s="29">
        <v>2</v>
      </c>
      <c r="D657" s="29">
        <v>571</v>
      </c>
      <c r="E657" s="29">
        <v>10800</v>
      </c>
      <c r="F657" s="29">
        <v>10800</v>
      </c>
      <c r="G657" s="29">
        <v>433120</v>
      </c>
      <c r="H657" s="29">
        <v>374610</v>
      </c>
      <c r="I657" s="29">
        <v>25960</v>
      </c>
      <c r="J657" s="29">
        <v>428553856</v>
      </c>
      <c r="K657" s="29">
        <v>14620</v>
      </c>
      <c r="L657" s="29">
        <v>19487</v>
      </c>
      <c r="N657" s="33"/>
      <c r="O657" s="29">
        <f t="shared" si="250"/>
        <v>17053.5</v>
      </c>
      <c r="P657" s="31" cm="1">
        <f t="array" ref="P657">WPNFACTOR(C657)</f>
        <v>4.5</v>
      </c>
      <c r="Q657" s="33" cm="1">
        <f t="array" ref="Q657">HPFACTOr(C657)</f>
        <v>2</v>
      </c>
      <c r="R657" s="32">
        <f t="shared" si="251"/>
        <v>3789.6666666666665</v>
      </c>
      <c r="S657" s="33">
        <f t="shared" si="252"/>
        <v>214276928</v>
      </c>
      <c r="T657" s="32">
        <f t="shared" si="253"/>
        <v>3789.6666666666665</v>
      </c>
      <c r="U657" s="39">
        <f t="shared" si="254"/>
        <v>214276928</v>
      </c>
      <c r="V657" s="41">
        <f>VLOOKUP(D657,LevelXp!$A$1:'LevelXp'!$B$1000,2,)/5</f>
        <v>300000000</v>
      </c>
      <c r="W657" s="29">
        <f t="shared" si="255"/>
        <v>812038131477.33325</v>
      </c>
      <c r="X657" s="32">
        <f t="shared" si="256"/>
        <v>240.94353879655102</v>
      </c>
      <c r="Y657" s="41">
        <v>538</v>
      </c>
      <c r="Z657" s="41">
        <v>300000000</v>
      </c>
      <c r="AA657" s="41">
        <v>1</v>
      </c>
      <c r="AC657" s="50">
        <v>656</v>
      </c>
      <c r="AD657" s="51">
        <f t="shared" si="257"/>
        <v>0</v>
      </c>
      <c r="AE657" s="51">
        <f t="shared" si="259"/>
        <v>33333333.333333332</v>
      </c>
      <c r="AF657" s="51">
        <f t="shared" si="258"/>
        <v>0</v>
      </c>
      <c r="AG657" s="55">
        <f t="shared" si="259"/>
        <v>0</v>
      </c>
      <c r="AH657" s="29">
        <f>SUM($AF$2:AF657)</f>
        <v>300</v>
      </c>
      <c r="AI657" s="55">
        <f>SUM($AG$2:AG657)</f>
        <v>299.99999999999824</v>
      </c>
    </row>
    <row r="658" spans="1:35" x14ac:dyDescent="0.2">
      <c r="A658" s="48" t="s">
        <v>2846</v>
      </c>
      <c r="B658" s="29">
        <v>19</v>
      </c>
      <c r="C658" s="29">
        <v>7</v>
      </c>
      <c r="D658" s="29">
        <v>573</v>
      </c>
      <c r="E658" s="29">
        <v>10900</v>
      </c>
      <c r="F658" s="29">
        <v>437450</v>
      </c>
      <c r="G658" s="29">
        <v>10900</v>
      </c>
      <c r="H658" s="29">
        <v>376480</v>
      </c>
      <c r="I658" s="29">
        <v>26220</v>
      </c>
      <c r="J658" s="29">
        <v>864398080</v>
      </c>
      <c r="K658" s="29">
        <v>8201</v>
      </c>
      <c r="L658" s="29">
        <v>10935</v>
      </c>
      <c r="N658" s="33"/>
      <c r="O658" s="29">
        <f t="shared" si="250"/>
        <v>9568</v>
      </c>
      <c r="P658" s="31" cm="1">
        <f t="array" ref="P658">WPNFACTOR(C658)</f>
        <v>2.5</v>
      </c>
      <c r="Q658" s="33" cm="1">
        <f t="array" ref="Q658">HPFACTOr(C658)</f>
        <v>4</v>
      </c>
      <c r="R658" s="32">
        <f t="shared" si="251"/>
        <v>3827.2</v>
      </c>
      <c r="S658" s="33">
        <f t="shared" si="252"/>
        <v>216099520</v>
      </c>
      <c r="T658" s="32">
        <f t="shared" si="253"/>
        <v>3827.2</v>
      </c>
      <c r="U658" s="39">
        <f t="shared" si="254"/>
        <v>216099520</v>
      </c>
      <c r="V658" s="41">
        <f>VLOOKUP(D658,LevelXp!$A$1:'LevelXp'!$B$1000,2,)/5</f>
        <v>300000000</v>
      </c>
      <c r="W658" s="29">
        <f t="shared" si="255"/>
        <v>827056082944</v>
      </c>
      <c r="X658" s="32">
        <f t="shared" si="256"/>
        <v>241.8282271400758</v>
      </c>
      <c r="Y658" s="41">
        <v>540</v>
      </c>
      <c r="Z658" s="41">
        <v>300000000</v>
      </c>
      <c r="AA658" s="41">
        <v>1</v>
      </c>
      <c r="AC658" s="50">
        <v>657</v>
      </c>
      <c r="AD658" s="51">
        <f t="shared" si="257"/>
        <v>0</v>
      </c>
      <c r="AE658" s="51">
        <f t="shared" si="259"/>
        <v>0</v>
      </c>
      <c r="AF658" s="51">
        <f t="shared" si="258"/>
        <v>0</v>
      </c>
      <c r="AG658" s="55">
        <f t="shared" si="259"/>
        <v>0</v>
      </c>
      <c r="AH658" s="29">
        <f>SUM($AF$2:AF658)</f>
        <v>300</v>
      </c>
      <c r="AI658" s="55">
        <f>SUM($AG$2:AG658)</f>
        <v>299.99999999999824</v>
      </c>
    </row>
    <row r="659" spans="1:35" x14ac:dyDescent="0.2">
      <c r="A659" s="48" t="s">
        <v>2846</v>
      </c>
      <c r="B659" s="29">
        <v>20</v>
      </c>
      <c r="C659" s="29">
        <v>6</v>
      </c>
      <c r="D659" s="29">
        <v>575</v>
      </c>
      <c r="E659" s="29">
        <v>441820</v>
      </c>
      <c r="F659" s="29">
        <v>11000</v>
      </c>
      <c r="G659" s="29">
        <v>11000</v>
      </c>
      <c r="H659" s="29">
        <v>378360</v>
      </c>
      <c r="I659" s="29">
        <v>26480</v>
      </c>
      <c r="J659" s="29">
        <v>871741440</v>
      </c>
      <c r="K659" s="29">
        <v>5315</v>
      </c>
      <c r="L659" s="29">
        <v>7685</v>
      </c>
      <c r="N659" s="33"/>
      <c r="O659" s="29">
        <f t="shared" ref="O659:O682" si="260">AVERAGE(K659, L659)</f>
        <v>6500</v>
      </c>
      <c r="P659" s="31" cm="1">
        <f t="array" ref="P659">WPNFACTOR(C659)</f>
        <v>2</v>
      </c>
      <c r="Q659" s="33" cm="1">
        <f t="array" ref="Q659">HPFACTOr(C659)</f>
        <v>4</v>
      </c>
      <c r="R659" s="32">
        <f t="shared" ref="R659:R682" si="261">O659/P659</f>
        <v>3250</v>
      </c>
      <c r="S659" s="33">
        <f t="shared" ref="S659:S682" si="262">J659/Q659</f>
        <v>217935360</v>
      </c>
      <c r="T659" s="32">
        <f t="shared" ref="T659:T682" si="263">R659*(1 + (N659/400))</f>
        <v>3250</v>
      </c>
      <c r="U659" s="39">
        <f t="shared" ref="U659:U682" si="264">S659*1.6/(1 + (0.6*(1 - (M659/100))))</f>
        <v>217935360</v>
      </c>
      <c r="V659" s="41">
        <f>VLOOKUP(D659,LevelXp!$A$1:'LevelXp'!$B$1000,2,)/5</f>
        <v>300000000</v>
      </c>
      <c r="W659" s="29">
        <f t="shared" ref="W659:W682" si="265">T659*U659</f>
        <v>708289920000</v>
      </c>
      <c r="X659" s="32">
        <f t="shared" ref="X659:X682" si="266">POWER(W659, 1/$X$1)</f>
        <v>234.44566790428445</v>
      </c>
      <c r="Y659" s="41">
        <v>542</v>
      </c>
      <c r="Z659" s="41">
        <v>300000000</v>
      </c>
      <c r="AA659" s="41">
        <v>1</v>
      </c>
      <c r="AC659" s="50">
        <v>658</v>
      </c>
      <c r="AD659" s="51">
        <f t="shared" si="257"/>
        <v>0</v>
      </c>
      <c r="AE659" s="51">
        <f t="shared" si="259"/>
        <v>0</v>
      </c>
      <c r="AF659" s="51">
        <f t="shared" si="258"/>
        <v>0</v>
      </c>
      <c r="AG659" s="55">
        <f t="shared" si="259"/>
        <v>0</v>
      </c>
      <c r="AH659" s="29">
        <f>SUM($AF$2:AF659)</f>
        <v>300</v>
      </c>
      <c r="AI659" s="55">
        <f>SUM($AG$2:AG659)</f>
        <v>299.99999999999824</v>
      </c>
    </row>
    <row r="660" spans="1:35" x14ac:dyDescent="0.2">
      <c r="A660" s="48" t="s">
        <v>2846</v>
      </c>
      <c r="B660" s="29">
        <v>21</v>
      </c>
      <c r="C660" s="29">
        <v>2</v>
      </c>
      <c r="D660" s="29">
        <v>580</v>
      </c>
      <c r="E660" s="29">
        <v>12000</v>
      </c>
      <c r="F660" s="29">
        <v>12000</v>
      </c>
      <c r="G660" s="29">
        <v>450000</v>
      </c>
      <c r="H660" s="29">
        <v>380000</v>
      </c>
      <c r="I660" s="29">
        <v>27000</v>
      </c>
      <c r="J660" s="29">
        <v>450000000</v>
      </c>
      <c r="K660" s="29">
        <v>15000</v>
      </c>
      <c r="L660" s="29">
        <v>20000</v>
      </c>
      <c r="N660" s="33"/>
      <c r="O660" s="29">
        <f t="shared" si="260"/>
        <v>17500</v>
      </c>
      <c r="P660" s="31" cm="1">
        <f t="array" ref="P660">WPNFACTOR(C660)</f>
        <v>4.5</v>
      </c>
      <c r="Q660" s="33" cm="1">
        <f t="array" ref="Q660">HPFACTOr(C660)</f>
        <v>2</v>
      </c>
      <c r="R660" s="32">
        <f t="shared" si="261"/>
        <v>3888.8888888888887</v>
      </c>
      <c r="S660" s="33">
        <f t="shared" si="262"/>
        <v>225000000</v>
      </c>
      <c r="T660" s="32">
        <f t="shared" si="263"/>
        <v>3888.8888888888887</v>
      </c>
      <c r="U660" s="39">
        <f t="shared" si="264"/>
        <v>225000000</v>
      </c>
      <c r="V660" s="41">
        <f>VLOOKUP(D660,LevelXp!$A$1:'LevelXp'!$B$1000,2,)/5</f>
        <v>300000000</v>
      </c>
      <c r="W660" s="29">
        <f t="shared" si="265"/>
        <v>875000000000</v>
      </c>
      <c r="X660" s="32">
        <f t="shared" si="266"/>
        <v>244.56911420647992</v>
      </c>
      <c r="Y660" s="41">
        <v>544</v>
      </c>
      <c r="Z660" s="41">
        <v>300000000</v>
      </c>
      <c r="AA660" s="41">
        <v>1</v>
      </c>
      <c r="AC660" s="50">
        <v>659</v>
      </c>
      <c r="AD660" s="51">
        <f t="shared" si="257"/>
        <v>0</v>
      </c>
      <c r="AE660" s="51">
        <f t="shared" si="259"/>
        <v>0</v>
      </c>
      <c r="AF660" s="51">
        <f t="shared" si="258"/>
        <v>0</v>
      </c>
      <c r="AG660" s="55">
        <f t="shared" si="259"/>
        <v>0</v>
      </c>
      <c r="AH660" s="29">
        <f>SUM($AF$2:AF660)</f>
        <v>300</v>
      </c>
      <c r="AI660" s="55">
        <f>SUM($AG$2:AG660)</f>
        <v>299.99999999999824</v>
      </c>
    </row>
    <row r="661" spans="1:35" x14ac:dyDescent="0.2">
      <c r="A661" s="48" t="s">
        <v>8866</v>
      </c>
      <c r="B661" s="29">
        <v>10</v>
      </c>
      <c r="C661" s="29">
        <v>1</v>
      </c>
      <c r="D661" s="29">
        <v>666</v>
      </c>
      <c r="E661" s="29">
        <v>229388</v>
      </c>
      <c r="F661" s="29">
        <v>62835</v>
      </c>
      <c r="G661" s="29">
        <v>62835</v>
      </c>
      <c r="H661" s="29">
        <v>711394</v>
      </c>
      <c r="I661" s="29">
        <v>137813</v>
      </c>
      <c r="J661" s="29">
        <v>2372498944</v>
      </c>
      <c r="K661" s="29">
        <v>2268</v>
      </c>
      <c r="L661" s="29">
        <v>3834</v>
      </c>
      <c r="N661" s="33"/>
      <c r="O661" s="29">
        <f t="shared" si="260"/>
        <v>3051</v>
      </c>
      <c r="P661" s="31" cm="1">
        <f t="array" ref="P661">WPNFACTOR(C661)</f>
        <v>2</v>
      </c>
      <c r="Q661" s="33" cm="1">
        <f t="array" ref="Q661">HPFACTOr(C661)</f>
        <v>5</v>
      </c>
      <c r="R661" s="32">
        <f t="shared" si="261"/>
        <v>1525.5</v>
      </c>
      <c r="S661" s="33">
        <f t="shared" si="262"/>
        <v>474499788.80000001</v>
      </c>
      <c r="T661" s="32">
        <f t="shared" si="263"/>
        <v>1525.5</v>
      </c>
      <c r="U661" s="39">
        <f t="shared" si="264"/>
        <v>474499788.80000001</v>
      </c>
      <c r="V661" s="41">
        <f>VLOOKUP(D661,LevelXp!$A$1:'LevelXp'!$B$1000,2,)/5</f>
        <v>300000000</v>
      </c>
      <c r="W661" s="29">
        <f t="shared" si="265"/>
        <v>723849427814.40002</v>
      </c>
      <c r="X661" s="32">
        <f t="shared" si="266"/>
        <v>235.46678119591871</v>
      </c>
      <c r="Y661" s="41">
        <v>546</v>
      </c>
      <c r="Z661" s="41">
        <v>300000000</v>
      </c>
      <c r="AA661" s="41">
        <v>0</v>
      </c>
      <c r="AC661" s="50">
        <v>660</v>
      </c>
      <c r="AD661" s="51">
        <f t="shared" si="257"/>
        <v>0</v>
      </c>
      <c r="AE661" s="51">
        <f t="shared" si="259"/>
        <v>0</v>
      </c>
      <c r="AF661" s="51">
        <f t="shared" si="258"/>
        <v>0</v>
      </c>
      <c r="AG661" s="55">
        <f t="shared" si="259"/>
        <v>0</v>
      </c>
      <c r="AH661" s="29">
        <f>SUM($AF$2:AF661)</f>
        <v>300</v>
      </c>
      <c r="AI661" s="55">
        <f>SUM($AG$2:AG661)</f>
        <v>299.99999999999824</v>
      </c>
    </row>
    <row r="662" spans="1:35" x14ac:dyDescent="0.2">
      <c r="A662" s="48" t="s">
        <v>8856</v>
      </c>
      <c r="B662" s="29">
        <v>10</v>
      </c>
      <c r="C662" s="29">
        <v>6</v>
      </c>
      <c r="D662" s="29">
        <v>660</v>
      </c>
      <c r="E662" s="29">
        <v>229500</v>
      </c>
      <c r="F662" s="29">
        <v>62500</v>
      </c>
      <c r="G662" s="29">
        <v>62500</v>
      </c>
      <c r="H662" s="29">
        <v>711000</v>
      </c>
      <c r="I662" s="29">
        <v>137000</v>
      </c>
      <c r="J662" s="29">
        <v>2096028032</v>
      </c>
      <c r="K662" s="29">
        <v>1852</v>
      </c>
      <c r="L662" s="29">
        <v>3899</v>
      </c>
      <c r="M662" s="29">
        <v>60</v>
      </c>
      <c r="N662" s="33">
        <v>60</v>
      </c>
      <c r="O662" s="29">
        <f t="shared" si="260"/>
        <v>2875.5</v>
      </c>
      <c r="P662" s="31" cm="1">
        <f t="array" ref="P662">WPNFACTOR(C662)</f>
        <v>2</v>
      </c>
      <c r="Q662" s="33" cm="1">
        <f t="array" ref="Q662">HPFACTOr(C662)</f>
        <v>4</v>
      </c>
      <c r="R662" s="32">
        <f t="shared" si="261"/>
        <v>1437.75</v>
      </c>
      <c r="S662" s="33">
        <f t="shared" si="262"/>
        <v>524007008</v>
      </c>
      <c r="T662" s="32">
        <f t="shared" si="263"/>
        <v>1653.4124999999999</v>
      </c>
      <c r="U662" s="39">
        <f t="shared" si="264"/>
        <v>676138074.83870971</v>
      </c>
      <c r="V662" s="41">
        <f>VLOOKUP(D662,LevelXp!$A$1:'LevelXp'!$B$1000,2,)/5</f>
        <v>300000000</v>
      </c>
      <c r="W662" s="29">
        <f t="shared" si="265"/>
        <v>1117935144664.2581</v>
      </c>
      <c r="X662" s="32">
        <f t="shared" si="266"/>
        <v>256.85221889939447</v>
      </c>
      <c r="Y662" s="41">
        <v>548</v>
      </c>
      <c r="Z662" s="41">
        <v>300000000</v>
      </c>
      <c r="AA662" s="41">
        <v>0</v>
      </c>
      <c r="AC662" s="50">
        <v>661</v>
      </c>
      <c r="AD662" s="51">
        <f t="shared" si="257"/>
        <v>0</v>
      </c>
      <c r="AE662" s="51">
        <f t="shared" si="259"/>
        <v>0</v>
      </c>
      <c r="AF662" s="51">
        <f t="shared" si="258"/>
        <v>0</v>
      </c>
      <c r="AG662" s="55">
        <f t="shared" si="259"/>
        <v>0</v>
      </c>
      <c r="AH662" s="29">
        <f>SUM($AF$2:AF662)</f>
        <v>300</v>
      </c>
      <c r="AI662" s="55">
        <f>SUM($AG$2:AG662)</f>
        <v>299.99999999999824</v>
      </c>
    </row>
    <row r="663" spans="1:35" x14ac:dyDescent="0.2">
      <c r="A663" s="48" t="s">
        <v>8857</v>
      </c>
      <c r="B663" s="29">
        <v>5</v>
      </c>
      <c r="C663" s="29">
        <v>2</v>
      </c>
      <c r="D663" s="29">
        <v>525</v>
      </c>
      <c r="E663" s="29">
        <v>35000</v>
      </c>
      <c r="F663" s="29">
        <v>35000</v>
      </c>
      <c r="G663" s="29">
        <v>105000</v>
      </c>
      <c r="H663" s="29">
        <v>280000</v>
      </c>
      <c r="I663" s="29">
        <v>53500</v>
      </c>
      <c r="J663" s="29">
        <v>6066899968</v>
      </c>
      <c r="K663" s="29">
        <v>1578</v>
      </c>
      <c r="L663" s="29">
        <v>3159</v>
      </c>
      <c r="M663" s="29">
        <v>25</v>
      </c>
      <c r="N663" s="33">
        <v>40</v>
      </c>
      <c r="O663" s="29">
        <f t="shared" si="260"/>
        <v>2368.5</v>
      </c>
      <c r="P663" s="31" cm="1">
        <f t="array" ref="P663">WPNFACTOR(C663)</f>
        <v>4.5</v>
      </c>
      <c r="Q663" s="33" cm="1">
        <f t="array" ref="Q663">HPFACTOr(C663)</f>
        <v>2</v>
      </c>
      <c r="R663" s="32">
        <f t="shared" si="261"/>
        <v>526.33333333333337</v>
      </c>
      <c r="S663" s="33">
        <f t="shared" si="262"/>
        <v>3033449984</v>
      </c>
      <c r="T663" s="32">
        <f t="shared" si="263"/>
        <v>578.96666666666681</v>
      </c>
      <c r="U663" s="39">
        <f t="shared" si="264"/>
        <v>3347255154.7586212</v>
      </c>
      <c r="V663" s="41">
        <f>VLOOKUP(D663,LevelXp!$A$1:'LevelXp'!$B$1000,2,)/5</f>
        <v>300000000</v>
      </c>
      <c r="W663" s="29">
        <f t="shared" si="265"/>
        <v>1937949159433.417</v>
      </c>
      <c r="X663" s="32">
        <f t="shared" si="266"/>
        <v>286.72692417650535</v>
      </c>
      <c r="Y663" s="41">
        <v>550</v>
      </c>
      <c r="Z663" s="41">
        <v>300000000</v>
      </c>
      <c r="AA663" s="41">
        <v>0</v>
      </c>
      <c r="AC663" s="50">
        <v>662</v>
      </c>
      <c r="AD663" s="51">
        <f t="shared" si="257"/>
        <v>0</v>
      </c>
      <c r="AE663" s="51">
        <f t="shared" si="259"/>
        <v>0</v>
      </c>
      <c r="AF663" s="51">
        <f t="shared" si="258"/>
        <v>0</v>
      </c>
      <c r="AG663" s="55">
        <f t="shared" si="259"/>
        <v>0</v>
      </c>
      <c r="AH663" s="29">
        <f>SUM($AF$2:AF663)</f>
        <v>300</v>
      </c>
      <c r="AI663" s="55">
        <f>SUM($AG$2:AG663)</f>
        <v>299.99999999999824</v>
      </c>
    </row>
    <row r="664" spans="1:35" x14ac:dyDescent="0.2">
      <c r="A664" s="48" t="s">
        <v>8857</v>
      </c>
      <c r="B664" s="29">
        <v>6</v>
      </c>
      <c r="C664" s="29">
        <v>1</v>
      </c>
      <c r="D664" s="29">
        <v>565</v>
      </c>
      <c r="E664" s="29">
        <v>120000</v>
      </c>
      <c r="F664" s="29">
        <v>40000</v>
      </c>
      <c r="G664" s="29">
        <v>40000</v>
      </c>
      <c r="H664" s="29">
        <v>300000</v>
      </c>
      <c r="I664" s="29">
        <v>71500</v>
      </c>
      <c r="J664" s="29">
        <v>17465624576</v>
      </c>
      <c r="K664" s="29">
        <v>750</v>
      </c>
      <c r="L664" s="29">
        <v>1509</v>
      </c>
      <c r="M664" s="29">
        <v>40</v>
      </c>
      <c r="N664" s="33">
        <v>45</v>
      </c>
      <c r="O664" s="29">
        <f t="shared" si="260"/>
        <v>1129.5</v>
      </c>
      <c r="P664" s="31" cm="1">
        <f t="array" ref="P664">WPNFACTOR(C664)</f>
        <v>2</v>
      </c>
      <c r="Q664" s="33" cm="1">
        <f t="array" ref="Q664">HPFACTOr(C664)</f>
        <v>5</v>
      </c>
      <c r="R664" s="32">
        <f t="shared" si="261"/>
        <v>564.75</v>
      </c>
      <c r="S664" s="33">
        <f t="shared" si="262"/>
        <v>3493124915.1999998</v>
      </c>
      <c r="T664" s="32">
        <f t="shared" si="263"/>
        <v>628.28437500000007</v>
      </c>
      <c r="U664" s="39">
        <f t="shared" si="264"/>
        <v>4109558723.7647061</v>
      </c>
      <c r="V664" s="41">
        <f>VLOOKUP(D664,LevelXp!$A$1:'LevelXp'!$B$1000,2,)/5</f>
        <v>300000000</v>
      </c>
      <c r="W664" s="29">
        <f t="shared" si="265"/>
        <v>2581971534286.3062</v>
      </c>
      <c r="X664" s="32">
        <f t="shared" si="266"/>
        <v>303.6618894601387</v>
      </c>
      <c r="Y664" s="41">
        <v>556</v>
      </c>
      <c r="Z664" s="41">
        <v>300000000</v>
      </c>
      <c r="AA664" s="41">
        <v>0</v>
      </c>
      <c r="AC664" s="50">
        <v>663</v>
      </c>
      <c r="AD664" s="51">
        <f t="shared" si="257"/>
        <v>0</v>
      </c>
      <c r="AE664" s="51">
        <f t="shared" si="259"/>
        <v>0</v>
      </c>
      <c r="AF664" s="51">
        <f t="shared" si="258"/>
        <v>0</v>
      </c>
      <c r="AG664" s="55">
        <f t="shared" si="259"/>
        <v>0</v>
      </c>
      <c r="AH664" s="29">
        <f>SUM($AF$2:AF664)</f>
        <v>300</v>
      </c>
      <c r="AI664" s="55">
        <f>SUM($AG$2:AG664)</f>
        <v>299.99999999999824</v>
      </c>
    </row>
    <row r="665" spans="1:35" x14ac:dyDescent="0.2">
      <c r="A665" s="48" t="s">
        <v>8858</v>
      </c>
      <c r="B665" s="29">
        <v>7</v>
      </c>
      <c r="C665" s="29">
        <v>3</v>
      </c>
      <c r="D665" s="29">
        <v>450</v>
      </c>
      <c r="E665" s="29">
        <v>40000</v>
      </c>
      <c r="F665" s="29">
        <v>120000</v>
      </c>
      <c r="G665" s="29">
        <v>40000</v>
      </c>
      <c r="H665" s="29">
        <v>300000</v>
      </c>
      <c r="I665" s="29">
        <v>71500</v>
      </c>
      <c r="J665" s="29">
        <v>16199999488</v>
      </c>
      <c r="K665" s="29">
        <v>850</v>
      </c>
      <c r="L665" s="29">
        <v>1399</v>
      </c>
      <c r="N665" s="33"/>
      <c r="O665" s="29">
        <f t="shared" si="260"/>
        <v>1124.5</v>
      </c>
      <c r="P665" s="31" cm="1">
        <f t="array" ref="P665">WPNFACTOR(C665)</f>
        <v>2.5</v>
      </c>
      <c r="Q665" s="33" cm="1">
        <f t="array" ref="Q665">HPFACTOr(C665)</f>
        <v>4</v>
      </c>
      <c r="R665" s="32">
        <f t="shared" si="261"/>
        <v>449.8</v>
      </c>
      <c r="S665" s="33">
        <f t="shared" si="262"/>
        <v>4049999872</v>
      </c>
      <c r="T665" s="32">
        <f t="shared" si="263"/>
        <v>449.8</v>
      </c>
      <c r="U665" s="39">
        <f t="shared" si="264"/>
        <v>4049999872.0000005</v>
      </c>
      <c r="V665" s="41">
        <f>VLOOKUP(D665,LevelXp!$A$1:'LevelXp'!$B$1000,2,)/5</f>
        <v>300000000</v>
      </c>
      <c r="W665" s="29">
        <f t="shared" si="265"/>
        <v>1821689942425.6003</v>
      </c>
      <c r="X665" s="32">
        <f t="shared" si="266"/>
        <v>283.20107145452431</v>
      </c>
      <c r="Y665" s="41">
        <v>562</v>
      </c>
      <c r="Z665" s="41">
        <v>300000000</v>
      </c>
      <c r="AA665" s="41">
        <v>0</v>
      </c>
      <c r="AC665" s="50">
        <v>664</v>
      </c>
      <c r="AD665" s="51">
        <f t="shared" si="257"/>
        <v>0</v>
      </c>
      <c r="AE665" s="51">
        <f t="shared" si="259"/>
        <v>0</v>
      </c>
      <c r="AF665" s="51">
        <f t="shared" si="258"/>
        <v>0</v>
      </c>
      <c r="AG665" s="55">
        <f t="shared" si="259"/>
        <v>0</v>
      </c>
      <c r="AH665" s="29">
        <f>SUM($AF$2:AF665)</f>
        <v>300</v>
      </c>
      <c r="AI665" s="55">
        <f>SUM($AG$2:AG665)</f>
        <v>299.99999999999824</v>
      </c>
    </row>
    <row r="666" spans="1:35" x14ac:dyDescent="0.2">
      <c r="A666" s="48" t="s">
        <v>8857</v>
      </c>
      <c r="B666" s="29">
        <v>7</v>
      </c>
      <c r="C666" s="29">
        <v>1</v>
      </c>
      <c r="D666" s="29">
        <v>600</v>
      </c>
      <c r="E666" s="29">
        <v>135000</v>
      </c>
      <c r="F666" s="29">
        <v>45000</v>
      </c>
      <c r="G666" s="29">
        <v>45000</v>
      </c>
      <c r="H666" s="29">
        <v>320000</v>
      </c>
      <c r="I666" s="29">
        <v>63000</v>
      </c>
      <c r="J666" s="29">
        <v>19764000768</v>
      </c>
      <c r="K666" s="29">
        <v>800</v>
      </c>
      <c r="L666" s="29">
        <v>1599</v>
      </c>
      <c r="M666" s="29">
        <v>20</v>
      </c>
      <c r="N666" s="33">
        <v>45</v>
      </c>
      <c r="O666" s="29">
        <f t="shared" si="260"/>
        <v>1199.5</v>
      </c>
      <c r="P666" s="31" cm="1">
        <f t="array" ref="P666">WPNFACTOR(C666)</f>
        <v>2</v>
      </c>
      <c r="Q666" s="33" cm="1">
        <f t="array" ref="Q666">HPFACTOr(C666)</f>
        <v>5</v>
      </c>
      <c r="R666" s="32">
        <f t="shared" si="261"/>
        <v>599.75</v>
      </c>
      <c r="S666" s="33">
        <f t="shared" si="262"/>
        <v>3952800153.5999999</v>
      </c>
      <c r="T666" s="32">
        <f t="shared" si="263"/>
        <v>667.22187500000007</v>
      </c>
      <c r="U666" s="39">
        <f t="shared" si="264"/>
        <v>4273297463.3513517</v>
      </c>
      <c r="V666" s="41">
        <f>VLOOKUP(D666,LevelXp!$A$1:'LevelXp'!$B$1000,2,)/5</f>
        <v>300000000</v>
      </c>
      <c r="W666" s="29">
        <f t="shared" si="265"/>
        <v>2851237545930.0332</v>
      </c>
      <c r="X666" s="32">
        <f t="shared" si="266"/>
        <v>309.74669436909937</v>
      </c>
      <c r="Y666" s="41">
        <v>568</v>
      </c>
      <c r="Z666" s="41">
        <v>300000000</v>
      </c>
      <c r="AA666" s="41">
        <v>0</v>
      </c>
      <c r="AC666" s="50">
        <v>665</v>
      </c>
      <c r="AD666" s="51">
        <f t="shared" si="257"/>
        <v>0</v>
      </c>
      <c r="AE666" s="51">
        <f t="shared" si="259"/>
        <v>0</v>
      </c>
      <c r="AF666" s="51">
        <f t="shared" si="258"/>
        <v>0</v>
      </c>
      <c r="AG666" s="55">
        <f t="shared" si="259"/>
        <v>0</v>
      </c>
      <c r="AH666" s="29">
        <f>SUM($AF$2:AF666)</f>
        <v>300</v>
      </c>
      <c r="AI666" s="55">
        <f>SUM($AG$2:AG666)</f>
        <v>299.99999999999824</v>
      </c>
    </row>
    <row r="667" spans="1:35" x14ac:dyDescent="0.2">
      <c r="A667" s="48" t="s">
        <v>8858</v>
      </c>
      <c r="B667" s="29">
        <v>8</v>
      </c>
      <c r="C667" s="29">
        <v>2</v>
      </c>
      <c r="D667" s="29">
        <v>500</v>
      </c>
      <c r="E667" s="29">
        <v>50000</v>
      </c>
      <c r="F667" s="29">
        <v>50000</v>
      </c>
      <c r="G667" s="29">
        <v>150000</v>
      </c>
      <c r="H667" s="29">
        <v>320000</v>
      </c>
      <c r="I667" s="29">
        <v>93500</v>
      </c>
      <c r="J667" s="29">
        <v>16199999488</v>
      </c>
      <c r="K667" s="29">
        <v>1700</v>
      </c>
      <c r="L667" s="29">
        <v>2799</v>
      </c>
      <c r="N667" s="33"/>
      <c r="O667" s="29">
        <f t="shared" si="260"/>
        <v>2249.5</v>
      </c>
      <c r="P667" s="31" cm="1">
        <f t="array" ref="P667">WPNFACTOR(C667)</f>
        <v>4.5</v>
      </c>
      <c r="Q667" s="33" cm="1">
        <f t="array" ref="Q667">HPFACTOr(C667)</f>
        <v>2</v>
      </c>
      <c r="R667" s="32">
        <f t="shared" si="261"/>
        <v>499.88888888888891</v>
      </c>
      <c r="S667" s="33">
        <f t="shared" si="262"/>
        <v>8099999744</v>
      </c>
      <c r="T667" s="32">
        <f t="shared" si="263"/>
        <v>499.88888888888891</v>
      </c>
      <c r="U667" s="39">
        <f t="shared" si="264"/>
        <v>8099999744.000001</v>
      </c>
      <c r="V667" s="41">
        <f>VLOOKUP(D667,LevelXp!$A$1:'LevelXp'!$B$1000,2,)/5</f>
        <v>300000000</v>
      </c>
      <c r="W667" s="29">
        <f t="shared" si="265"/>
        <v>4049099872028.4453</v>
      </c>
      <c r="X667" s="32">
        <f t="shared" si="266"/>
        <v>332.25513201021693</v>
      </c>
      <c r="Y667" s="41">
        <v>577</v>
      </c>
      <c r="Z667" s="41">
        <v>300000000</v>
      </c>
      <c r="AA667" s="41">
        <v>0</v>
      </c>
      <c r="AC667" s="50">
        <v>666</v>
      </c>
      <c r="AD667" s="51">
        <f t="shared" si="257"/>
        <v>0</v>
      </c>
      <c r="AE667" s="51">
        <f t="shared" si="259"/>
        <v>0</v>
      </c>
      <c r="AF667" s="51">
        <f t="shared" si="258"/>
        <v>0</v>
      </c>
      <c r="AG667" s="55">
        <f t="shared" si="259"/>
        <v>0</v>
      </c>
      <c r="AH667" s="29">
        <f>SUM($AF$2:AF667)</f>
        <v>300</v>
      </c>
      <c r="AI667" s="55">
        <f>SUM($AG$2:AG667)</f>
        <v>299.99999999999824</v>
      </c>
    </row>
    <row r="668" spans="1:35" x14ac:dyDescent="0.2">
      <c r="A668" s="48" t="s">
        <v>8858</v>
      </c>
      <c r="B668" s="29">
        <v>9</v>
      </c>
      <c r="C668" s="29">
        <v>1</v>
      </c>
      <c r="D668" s="29">
        <v>550</v>
      </c>
      <c r="E668" s="29">
        <v>200000</v>
      </c>
      <c r="F668" s="29">
        <v>75000</v>
      </c>
      <c r="G668" s="29">
        <v>75000</v>
      </c>
      <c r="H668" s="29">
        <v>330000</v>
      </c>
      <c r="I668" s="29">
        <v>100000</v>
      </c>
      <c r="J668" s="29">
        <v>18225000448</v>
      </c>
      <c r="K668" s="29">
        <v>850</v>
      </c>
      <c r="L668" s="29">
        <v>1399</v>
      </c>
      <c r="N668" s="33"/>
      <c r="O668" s="29">
        <f t="shared" si="260"/>
        <v>1124.5</v>
      </c>
      <c r="P668" s="31" cm="1">
        <f t="array" ref="P668">WPNFACTOR(C668)</f>
        <v>2</v>
      </c>
      <c r="Q668" s="33" cm="1">
        <f t="array" ref="Q668">HPFACTOr(C668)</f>
        <v>5</v>
      </c>
      <c r="R668" s="32">
        <f t="shared" si="261"/>
        <v>562.25</v>
      </c>
      <c r="S668" s="33">
        <f t="shared" si="262"/>
        <v>3645000089.5999999</v>
      </c>
      <c r="T668" s="32">
        <f t="shared" si="263"/>
        <v>562.25</v>
      </c>
      <c r="U668" s="39">
        <f t="shared" si="264"/>
        <v>3645000089.6000004</v>
      </c>
      <c r="V668" s="41">
        <f>VLOOKUP(D668,LevelXp!$A$1:'LevelXp'!$B$1000,2,)/5</f>
        <v>300000000</v>
      </c>
      <c r="W668" s="29">
        <f t="shared" si="265"/>
        <v>2049401300377.6001</v>
      </c>
      <c r="X668" s="32">
        <f t="shared" si="266"/>
        <v>289.9515278210813</v>
      </c>
      <c r="Y668" s="41">
        <v>584</v>
      </c>
      <c r="Z668" s="41">
        <v>300000000</v>
      </c>
      <c r="AA668" s="41">
        <v>0</v>
      </c>
      <c r="AC668" s="50">
        <v>667</v>
      </c>
      <c r="AD668" s="51">
        <f t="shared" si="257"/>
        <v>0</v>
      </c>
      <c r="AE668" s="51">
        <f t="shared" si="259"/>
        <v>0</v>
      </c>
      <c r="AF668" s="51">
        <f t="shared" si="258"/>
        <v>0</v>
      </c>
      <c r="AG668" s="55">
        <f t="shared" si="259"/>
        <v>0</v>
      </c>
      <c r="AH668" s="29">
        <f>SUM($AF$2:AF668)</f>
        <v>300</v>
      </c>
      <c r="AI668" s="55">
        <f>SUM($AG$2:AG668)</f>
        <v>299.99999999999824</v>
      </c>
    </row>
    <row r="669" spans="1:35" x14ac:dyDescent="0.2">
      <c r="A669" s="48" t="s">
        <v>8857</v>
      </c>
      <c r="B669" s="29">
        <v>8</v>
      </c>
      <c r="C669" s="29">
        <v>3</v>
      </c>
      <c r="D669" s="29">
        <v>625</v>
      </c>
      <c r="E669" s="29">
        <v>50000</v>
      </c>
      <c r="F669" s="29">
        <v>150000</v>
      </c>
      <c r="G669" s="29">
        <v>50000</v>
      </c>
      <c r="H669" s="29">
        <v>340000</v>
      </c>
      <c r="I669" s="29">
        <v>93500</v>
      </c>
      <c r="J669" s="29">
        <v>17487900672</v>
      </c>
      <c r="K669" s="29">
        <v>1045</v>
      </c>
      <c r="L669" s="29">
        <v>2089</v>
      </c>
      <c r="M669" s="29">
        <v>60</v>
      </c>
      <c r="N669" s="33">
        <v>50</v>
      </c>
      <c r="O669" s="29">
        <f t="shared" si="260"/>
        <v>1567</v>
      </c>
      <c r="P669" s="31" cm="1">
        <f t="array" ref="P669">WPNFACTOR(C669)</f>
        <v>2.5</v>
      </c>
      <c r="Q669" s="33" cm="1">
        <f t="array" ref="Q669">HPFACTOr(C669)</f>
        <v>4</v>
      </c>
      <c r="R669" s="32">
        <f t="shared" si="261"/>
        <v>626.79999999999995</v>
      </c>
      <c r="S669" s="33">
        <f t="shared" si="262"/>
        <v>4371975168</v>
      </c>
      <c r="T669" s="32">
        <f t="shared" si="263"/>
        <v>705.15</v>
      </c>
      <c r="U669" s="39">
        <f t="shared" si="264"/>
        <v>5641258281.2903223</v>
      </c>
      <c r="V669" s="41">
        <f>VLOOKUP(D669,LevelXp!$A$1:'LevelXp'!$B$1000,2,)/5</f>
        <v>300000000</v>
      </c>
      <c r="W669" s="29">
        <f t="shared" si="265"/>
        <v>3977933277051.8706</v>
      </c>
      <c r="X669" s="32">
        <f t="shared" si="266"/>
        <v>331.07889638938315</v>
      </c>
      <c r="Y669" s="41">
        <v>591</v>
      </c>
      <c r="Z669" s="41">
        <v>300000000</v>
      </c>
      <c r="AA669" s="41">
        <v>0</v>
      </c>
      <c r="AC669" s="50">
        <v>668</v>
      </c>
      <c r="AD669" s="51">
        <f t="shared" si="257"/>
        <v>0</v>
      </c>
      <c r="AE669" s="51">
        <f t="shared" si="259"/>
        <v>0</v>
      </c>
      <c r="AF669" s="51">
        <f t="shared" si="258"/>
        <v>0</v>
      </c>
      <c r="AG669" s="55">
        <f t="shared" si="259"/>
        <v>0</v>
      </c>
      <c r="AH669" s="29">
        <f>SUM($AF$2:AF669)</f>
        <v>300</v>
      </c>
      <c r="AI669" s="55">
        <f>SUM($AG$2:AG669)</f>
        <v>299.99999999999824</v>
      </c>
    </row>
    <row r="670" spans="1:35" x14ac:dyDescent="0.2">
      <c r="A670" s="48" t="s">
        <v>8858</v>
      </c>
      <c r="B670" s="29">
        <v>10</v>
      </c>
      <c r="C670" s="29">
        <v>2</v>
      </c>
      <c r="D670" s="29">
        <v>600</v>
      </c>
      <c r="E670" s="29">
        <v>100000</v>
      </c>
      <c r="F670" s="29">
        <v>100000</v>
      </c>
      <c r="G670" s="29">
        <v>250000</v>
      </c>
      <c r="H670" s="29">
        <v>430000</v>
      </c>
      <c r="I670" s="29">
        <v>137000</v>
      </c>
      <c r="J670" s="29">
        <v>12149999616</v>
      </c>
      <c r="K670" s="29">
        <v>2050</v>
      </c>
      <c r="L670" s="29">
        <v>3398</v>
      </c>
      <c r="N670" s="33"/>
      <c r="O670" s="29">
        <f t="shared" si="260"/>
        <v>2724</v>
      </c>
      <c r="P670" s="31" cm="1">
        <f t="array" ref="P670">WPNFACTOR(C670)</f>
        <v>4.5</v>
      </c>
      <c r="Q670" s="33" cm="1">
        <f t="array" ref="Q670">HPFACTOr(C670)</f>
        <v>2</v>
      </c>
      <c r="R670" s="32">
        <f t="shared" si="261"/>
        <v>605.33333333333337</v>
      </c>
      <c r="S670" s="33">
        <f t="shared" si="262"/>
        <v>6074999808</v>
      </c>
      <c r="T670" s="32">
        <f t="shared" si="263"/>
        <v>605.33333333333337</v>
      </c>
      <c r="U670" s="39">
        <f t="shared" si="264"/>
        <v>6074999808</v>
      </c>
      <c r="V670" s="41">
        <f>VLOOKUP(D670,LevelXp!$A$1:'LevelXp'!$B$1000,2,)/5</f>
        <v>300000000</v>
      </c>
      <c r="W670" s="29">
        <f t="shared" si="265"/>
        <v>3677399883776</v>
      </c>
      <c r="X670" s="32">
        <f t="shared" si="266"/>
        <v>325.91786866412787</v>
      </c>
      <c r="Y670" s="41">
        <v>605</v>
      </c>
      <c r="Z670" s="41">
        <v>300000000</v>
      </c>
      <c r="AA670" s="41">
        <v>0</v>
      </c>
      <c r="AC670" s="50">
        <v>669</v>
      </c>
      <c r="AD670" s="51">
        <f t="shared" si="257"/>
        <v>0</v>
      </c>
      <c r="AE670" s="51">
        <f t="shared" si="259"/>
        <v>0</v>
      </c>
      <c r="AF670" s="51">
        <f t="shared" si="258"/>
        <v>0</v>
      </c>
      <c r="AG670" s="55">
        <f t="shared" si="259"/>
        <v>0</v>
      </c>
      <c r="AH670" s="29">
        <f>SUM($AF$2:AF670)</f>
        <v>300</v>
      </c>
      <c r="AI670" s="55">
        <f>SUM($AG$2:AG670)</f>
        <v>299.99999999999824</v>
      </c>
    </row>
    <row r="671" spans="1:35" x14ac:dyDescent="0.2">
      <c r="A671" s="48" t="s">
        <v>8857</v>
      </c>
      <c r="B671" s="29">
        <v>9</v>
      </c>
      <c r="C671" s="29">
        <v>3</v>
      </c>
      <c r="D671" s="29">
        <v>645</v>
      </c>
      <c r="E671" s="29">
        <v>75000</v>
      </c>
      <c r="F671" s="29">
        <v>200000</v>
      </c>
      <c r="G671" s="29">
        <v>75000</v>
      </c>
      <c r="H671" s="29">
        <v>360000</v>
      </c>
      <c r="I671" s="29">
        <v>100000</v>
      </c>
      <c r="J671" s="29">
        <v>19099799552</v>
      </c>
      <c r="K671" s="29">
        <v>1075</v>
      </c>
      <c r="L671" s="29">
        <v>2159</v>
      </c>
      <c r="M671" s="29">
        <v>60</v>
      </c>
      <c r="N671" s="33">
        <v>60</v>
      </c>
      <c r="O671" s="29">
        <f t="shared" si="260"/>
        <v>1617</v>
      </c>
      <c r="P671" s="31" cm="1">
        <f t="array" ref="P671">WPNFACTOR(C671)</f>
        <v>2.5</v>
      </c>
      <c r="Q671" s="33" cm="1">
        <f t="array" ref="Q671">HPFACTOr(C671)</f>
        <v>4</v>
      </c>
      <c r="R671" s="32">
        <f t="shared" si="261"/>
        <v>646.79999999999995</v>
      </c>
      <c r="S671" s="33">
        <f t="shared" si="262"/>
        <v>4774949888</v>
      </c>
      <c r="T671" s="32">
        <f t="shared" si="263"/>
        <v>743.81999999999994</v>
      </c>
      <c r="U671" s="39">
        <f t="shared" si="264"/>
        <v>6161225661.9354839</v>
      </c>
      <c r="V671" s="41">
        <f>VLOOKUP(D671,LevelXp!$A$1:'LevelXp'!$B$1000,2,)/5</f>
        <v>300000000</v>
      </c>
      <c r="W671" s="29">
        <f t="shared" si="265"/>
        <v>4582842871860.8516</v>
      </c>
      <c r="X671" s="32">
        <f t="shared" si="266"/>
        <v>340.58615793817239</v>
      </c>
      <c r="Y671" s="41">
        <v>618</v>
      </c>
      <c r="Z671" s="41">
        <v>300000000</v>
      </c>
      <c r="AA671" s="41">
        <v>0</v>
      </c>
      <c r="AC671" s="50">
        <v>670</v>
      </c>
      <c r="AD671" s="51">
        <f t="shared" si="257"/>
        <v>0</v>
      </c>
      <c r="AE671" s="51">
        <f t="shared" si="259"/>
        <v>0</v>
      </c>
      <c r="AF671" s="51">
        <f t="shared" si="258"/>
        <v>0</v>
      </c>
      <c r="AG671" s="55">
        <f t="shared" si="259"/>
        <v>0</v>
      </c>
      <c r="AH671" s="29">
        <f>SUM($AF$2:AF671)</f>
        <v>300</v>
      </c>
      <c r="AI671" s="55">
        <f>SUM($AG$2:AG671)</f>
        <v>299.99999999999824</v>
      </c>
    </row>
    <row r="672" spans="1:35" x14ac:dyDescent="0.2">
      <c r="A672" s="48" t="s">
        <v>8857</v>
      </c>
      <c r="B672" s="29">
        <v>10</v>
      </c>
      <c r="C672" s="29">
        <v>2</v>
      </c>
      <c r="D672" s="29">
        <v>660</v>
      </c>
      <c r="E672" s="29">
        <v>100000</v>
      </c>
      <c r="F672" s="29">
        <v>100000</v>
      </c>
      <c r="G672" s="29">
        <v>250000</v>
      </c>
      <c r="H672" s="29">
        <v>500000</v>
      </c>
      <c r="I672" s="29">
        <v>137000</v>
      </c>
      <c r="J672" s="29">
        <v>13567500288</v>
      </c>
      <c r="K672" s="29">
        <v>2000</v>
      </c>
      <c r="L672" s="29">
        <v>4000</v>
      </c>
      <c r="M672" s="29">
        <v>60</v>
      </c>
      <c r="N672" s="33">
        <v>60</v>
      </c>
      <c r="O672" s="29">
        <f t="shared" si="260"/>
        <v>3000</v>
      </c>
      <c r="P672" s="31" cm="1">
        <f t="array" ref="P672">WPNFACTOR(C672)</f>
        <v>4.5</v>
      </c>
      <c r="Q672" s="33" cm="1">
        <f t="array" ref="Q672">HPFACTOr(C672)</f>
        <v>2</v>
      </c>
      <c r="R672" s="32">
        <f t="shared" si="261"/>
        <v>666.66666666666663</v>
      </c>
      <c r="S672" s="33">
        <f t="shared" si="262"/>
        <v>6783750144</v>
      </c>
      <c r="T672" s="32">
        <f t="shared" si="263"/>
        <v>766.66666666666652</v>
      </c>
      <c r="U672" s="39">
        <f t="shared" si="264"/>
        <v>8753225992.2580662</v>
      </c>
      <c r="V672" s="41">
        <f>VLOOKUP(D672,LevelXp!$A$1:'LevelXp'!$B$1000,2,)/5</f>
        <v>300000000</v>
      </c>
      <c r="W672" s="29">
        <f t="shared" si="265"/>
        <v>6710806594064.5156</v>
      </c>
      <c r="X672" s="32">
        <f t="shared" si="266"/>
        <v>367.58259933354361</v>
      </c>
      <c r="Y672" s="41">
        <v>632</v>
      </c>
      <c r="Z672" s="41">
        <v>300000000</v>
      </c>
      <c r="AA672" s="41">
        <v>0</v>
      </c>
      <c r="AC672" s="50">
        <v>671</v>
      </c>
      <c r="AD672" s="51">
        <f t="shared" si="257"/>
        <v>0</v>
      </c>
      <c r="AE672" s="51">
        <f t="shared" si="259"/>
        <v>0</v>
      </c>
      <c r="AF672" s="51">
        <f t="shared" si="258"/>
        <v>0</v>
      </c>
      <c r="AG672" s="55">
        <f t="shared" si="259"/>
        <v>0</v>
      </c>
      <c r="AH672" s="29">
        <f>SUM($AF$2:AF672)</f>
        <v>300</v>
      </c>
      <c r="AI672" s="55">
        <f>SUM($AG$2:AG672)</f>
        <v>299.99999999999824</v>
      </c>
    </row>
    <row r="673" spans="1:35" x14ac:dyDescent="0.2">
      <c r="A673" s="48" t="s">
        <v>8863</v>
      </c>
      <c r="B673" s="29">
        <v>1</v>
      </c>
      <c r="C673" s="29">
        <v>1</v>
      </c>
      <c r="D673" s="29">
        <v>600</v>
      </c>
      <c r="E673" s="29">
        <v>280000</v>
      </c>
      <c r="F673" s="29">
        <v>140000</v>
      </c>
      <c r="G673" s="29">
        <v>140000</v>
      </c>
      <c r="H673" s="29">
        <v>430000</v>
      </c>
      <c r="I673" s="29">
        <v>115000</v>
      </c>
      <c r="J673" s="29">
        <v>15000000000</v>
      </c>
      <c r="K673" s="29">
        <v>3500</v>
      </c>
      <c r="L673" s="29">
        <v>3750</v>
      </c>
      <c r="M673" s="29">
        <v>50</v>
      </c>
      <c r="N673" s="33">
        <v>50</v>
      </c>
      <c r="O673" s="29">
        <f t="shared" si="260"/>
        <v>3625</v>
      </c>
      <c r="P673" s="31" cm="1">
        <f t="array" ref="P673">WPNFACTOR(C673)</f>
        <v>2</v>
      </c>
      <c r="Q673" s="33" cm="1">
        <f t="array" ref="Q673">HPFACTOr(C673)</f>
        <v>5</v>
      </c>
      <c r="R673" s="32">
        <f t="shared" si="261"/>
        <v>1812.5</v>
      </c>
      <c r="S673" s="33">
        <f t="shared" si="262"/>
        <v>3000000000</v>
      </c>
      <c r="T673" s="32">
        <f t="shared" si="263"/>
        <v>2039.0625</v>
      </c>
      <c r="U673" s="39">
        <f t="shared" si="264"/>
        <v>3692307692.3076921</v>
      </c>
      <c r="V673" s="41">
        <f>VLOOKUP(D673,LevelXp!$A$1:'LevelXp'!$B$1000,2,)/5</f>
        <v>300000000</v>
      </c>
      <c r="W673" s="29">
        <f t="shared" si="265"/>
        <v>7528846153846.1533</v>
      </c>
      <c r="X673" s="32">
        <f t="shared" si="266"/>
        <v>376.13667796186178</v>
      </c>
      <c r="Y673" s="41">
        <v>645</v>
      </c>
      <c r="Z673" s="41">
        <v>300000000</v>
      </c>
      <c r="AA673" s="41">
        <v>0</v>
      </c>
      <c r="AC673" s="50">
        <v>672</v>
      </c>
      <c r="AD673" s="51">
        <f t="shared" si="257"/>
        <v>0</v>
      </c>
      <c r="AE673" s="51">
        <f t="shared" si="259"/>
        <v>33333333.333333332</v>
      </c>
      <c r="AF673" s="51">
        <f t="shared" si="258"/>
        <v>0</v>
      </c>
      <c r="AG673" s="55">
        <f t="shared" si="259"/>
        <v>0</v>
      </c>
      <c r="AH673" s="29">
        <f>SUM($AF$2:AF673)</f>
        <v>300</v>
      </c>
      <c r="AI673" s="55">
        <f>SUM($AG$2:AG673)</f>
        <v>299.99999999999824</v>
      </c>
    </row>
    <row r="674" spans="1:35" x14ac:dyDescent="0.2">
      <c r="A674" s="48" t="s">
        <v>8863</v>
      </c>
      <c r="B674" s="29">
        <v>2</v>
      </c>
      <c r="C674" s="29">
        <v>2</v>
      </c>
      <c r="D674" s="29">
        <v>605</v>
      </c>
      <c r="E674" s="29">
        <v>142500</v>
      </c>
      <c r="F674" s="29">
        <v>142500</v>
      </c>
      <c r="G674" s="29">
        <v>285000</v>
      </c>
      <c r="H674" s="29">
        <v>434000</v>
      </c>
      <c r="I674" s="29">
        <v>116250</v>
      </c>
      <c r="J674" s="29">
        <v>15350000000</v>
      </c>
      <c r="K674" s="29">
        <v>3625</v>
      </c>
      <c r="L674" s="29">
        <v>3875</v>
      </c>
      <c r="M674" s="29">
        <v>50</v>
      </c>
      <c r="N674" s="33">
        <v>50</v>
      </c>
      <c r="O674" s="29">
        <f t="shared" si="260"/>
        <v>3750</v>
      </c>
      <c r="P674" s="31" cm="1">
        <f t="array" ref="P674">WPNFACTOR(C674)</f>
        <v>4.5</v>
      </c>
      <c r="Q674" s="33" cm="1">
        <f t="array" ref="Q674">HPFACTOr(C674)</f>
        <v>2</v>
      </c>
      <c r="R674" s="32">
        <f t="shared" si="261"/>
        <v>833.33333333333337</v>
      </c>
      <c r="S674" s="33">
        <f t="shared" si="262"/>
        <v>7675000000</v>
      </c>
      <c r="T674" s="32">
        <f t="shared" si="263"/>
        <v>937.5</v>
      </c>
      <c r="U674" s="39">
        <f t="shared" si="264"/>
        <v>9446153846.1538467</v>
      </c>
      <c r="V674" s="41">
        <f>VLOOKUP(D674,LevelXp!$A$1:'LevelXp'!$B$1000,2,)/5</f>
        <v>300000000</v>
      </c>
      <c r="W674" s="29">
        <f t="shared" si="265"/>
        <v>8855769230769.2305</v>
      </c>
      <c r="X674" s="32">
        <f t="shared" si="266"/>
        <v>388.5485192206051</v>
      </c>
      <c r="Y674" s="41">
        <v>652</v>
      </c>
      <c r="Z674" s="41">
        <v>300000000</v>
      </c>
      <c r="AA674" s="41">
        <v>0</v>
      </c>
      <c r="AC674" s="50">
        <v>673</v>
      </c>
      <c r="AD674" s="51">
        <f t="shared" si="257"/>
        <v>0</v>
      </c>
      <c r="AE674" s="51">
        <f t="shared" si="259"/>
        <v>33333333.333333332</v>
      </c>
      <c r="AF674" s="51">
        <f t="shared" si="258"/>
        <v>0</v>
      </c>
      <c r="AG674" s="55">
        <f t="shared" si="259"/>
        <v>0</v>
      </c>
      <c r="AH674" s="29">
        <f>SUM($AF$2:AF674)</f>
        <v>300</v>
      </c>
      <c r="AI674" s="55">
        <f>SUM($AG$2:AG674)</f>
        <v>299.99999999999824</v>
      </c>
    </row>
    <row r="675" spans="1:35" x14ac:dyDescent="0.2">
      <c r="A675" s="48" t="s">
        <v>8863</v>
      </c>
      <c r="B675" s="29">
        <v>3</v>
      </c>
      <c r="C675" s="29">
        <v>3</v>
      </c>
      <c r="D675" s="29">
        <v>610</v>
      </c>
      <c r="E675" s="29">
        <v>157500</v>
      </c>
      <c r="F675" s="29">
        <v>315000</v>
      </c>
      <c r="G675" s="29">
        <v>157500</v>
      </c>
      <c r="H675" s="29">
        <v>458000</v>
      </c>
      <c r="I675" s="29">
        <v>123750</v>
      </c>
      <c r="J675" s="29">
        <v>17450000000</v>
      </c>
      <c r="K675" s="29">
        <v>4375</v>
      </c>
      <c r="L675" s="29">
        <v>4625</v>
      </c>
      <c r="M675" s="29">
        <v>50</v>
      </c>
      <c r="N675" s="33">
        <v>50</v>
      </c>
      <c r="O675" s="29">
        <f t="shared" si="260"/>
        <v>4500</v>
      </c>
      <c r="P675" s="31" cm="1">
        <f t="array" ref="P675">WPNFACTOR(C675)</f>
        <v>2.5</v>
      </c>
      <c r="Q675" s="33" cm="1">
        <f t="array" ref="Q675">HPFACTOr(C675)</f>
        <v>4</v>
      </c>
      <c r="R675" s="32">
        <f t="shared" si="261"/>
        <v>1800</v>
      </c>
      <c r="S675" s="33">
        <f t="shared" si="262"/>
        <v>4362500000</v>
      </c>
      <c r="T675" s="32">
        <f t="shared" si="263"/>
        <v>2025</v>
      </c>
      <c r="U675" s="39">
        <f t="shared" si="264"/>
        <v>5369230769.2307692</v>
      </c>
      <c r="V675" s="41">
        <f>VLOOKUP(D675,LevelXp!$A$1:'LevelXp'!$B$1000,2,)/5</f>
        <v>300000000</v>
      </c>
      <c r="W675" s="29">
        <f t="shared" si="265"/>
        <v>10872692307692.307</v>
      </c>
      <c r="X675" s="32">
        <f t="shared" si="266"/>
        <v>404.82508857540961</v>
      </c>
      <c r="Y675" s="41">
        <v>676</v>
      </c>
      <c r="Z675" s="41">
        <v>300000000</v>
      </c>
      <c r="AA675" s="41">
        <v>0</v>
      </c>
      <c r="AC675" s="50">
        <v>674</v>
      </c>
      <c r="AD675" s="51">
        <f t="shared" si="257"/>
        <v>0</v>
      </c>
      <c r="AE675" s="51">
        <f t="shared" si="259"/>
        <v>33333333.333333332</v>
      </c>
      <c r="AF675" s="51">
        <f t="shared" si="258"/>
        <v>0</v>
      </c>
      <c r="AG675" s="55">
        <f t="shared" si="259"/>
        <v>0</v>
      </c>
      <c r="AH675" s="29">
        <f>SUM($AF$2:AF675)</f>
        <v>300</v>
      </c>
      <c r="AI675" s="55">
        <f>SUM($AG$2:AG675)</f>
        <v>299.99999999999824</v>
      </c>
    </row>
    <row r="676" spans="1:35" x14ac:dyDescent="0.2">
      <c r="A676" s="48" t="s">
        <v>8863</v>
      </c>
      <c r="B676" s="29">
        <v>4</v>
      </c>
      <c r="C676" s="29">
        <v>1</v>
      </c>
      <c r="D676" s="29">
        <v>615</v>
      </c>
      <c r="E676" s="29">
        <v>320000</v>
      </c>
      <c r="F676" s="29">
        <v>160000</v>
      </c>
      <c r="G676" s="29">
        <v>160000</v>
      </c>
      <c r="H676" s="29">
        <v>462000</v>
      </c>
      <c r="I676" s="29">
        <v>125000</v>
      </c>
      <c r="J676" s="29">
        <v>17800000000</v>
      </c>
      <c r="K676" s="29">
        <v>4500</v>
      </c>
      <c r="L676" s="29">
        <v>4750</v>
      </c>
      <c r="M676" s="29">
        <v>50</v>
      </c>
      <c r="N676" s="33">
        <v>50</v>
      </c>
      <c r="O676" s="29">
        <f t="shared" si="260"/>
        <v>4625</v>
      </c>
      <c r="P676" s="31" cm="1">
        <f t="array" ref="P676">WPNFACTOR(C676)</f>
        <v>2</v>
      </c>
      <c r="Q676" s="33" cm="1">
        <f t="array" ref="Q676">HPFACTOr(C676)</f>
        <v>5</v>
      </c>
      <c r="R676" s="32">
        <f t="shared" si="261"/>
        <v>2312.5</v>
      </c>
      <c r="S676" s="33">
        <f t="shared" si="262"/>
        <v>3560000000</v>
      </c>
      <c r="T676" s="32">
        <f t="shared" si="263"/>
        <v>2601.5625</v>
      </c>
      <c r="U676" s="39">
        <f t="shared" si="264"/>
        <v>4381538461.5384617</v>
      </c>
      <c r="V676" s="41">
        <f>VLOOKUP(D676,LevelXp!$A$1:'LevelXp'!$B$1000,2,)/5</f>
        <v>300000000</v>
      </c>
      <c r="W676" s="29">
        <f t="shared" si="265"/>
        <v>11398846153846.154</v>
      </c>
      <c r="X676" s="32">
        <f t="shared" si="266"/>
        <v>408.66945480380195</v>
      </c>
      <c r="Y676" s="41">
        <v>691</v>
      </c>
      <c r="Z676" s="41">
        <v>300000000</v>
      </c>
      <c r="AA676" s="41">
        <v>0</v>
      </c>
      <c r="AC676" s="50">
        <v>675</v>
      </c>
      <c r="AD676" s="51">
        <f t="shared" si="257"/>
        <v>0</v>
      </c>
      <c r="AE676" s="51">
        <f t="shared" si="259"/>
        <v>33333333.333333332</v>
      </c>
      <c r="AF676" s="51">
        <f t="shared" si="258"/>
        <v>0</v>
      </c>
      <c r="AG676" s="55">
        <f t="shared" si="259"/>
        <v>0</v>
      </c>
      <c r="AH676" s="29">
        <f>SUM($AF$2:AF676)</f>
        <v>300</v>
      </c>
      <c r="AI676" s="55">
        <f>SUM($AG$2:AG676)</f>
        <v>299.99999999999824</v>
      </c>
    </row>
    <row r="677" spans="1:35" x14ac:dyDescent="0.2">
      <c r="A677" s="48" t="s">
        <v>8863</v>
      </c>
      <c r="B677" s="29">
        <v>5</v>
      </c>
      <c r="C677" s="29">
        <v>2</v>
      </c>
      <c r="D677" s="29">
        <v>620</v>
      </c>
      <c r="E677" s="29">
        <v>175000</v>
      </c>
      <c r="F677" s="29">
        <v>175000</v>
      </c>
      <c r="G677" s="29">
        <v>350000</v>
      </c>
      <c r="H677" s="29">
        <v>486000</v>
      </c>
      <c r="I677" s="29">
        <v>132500</v>
      </c>
      <c r="J677" s="29">
        <v>19900000000</v>
      </c>
      <c r="K677" s="29">
        <v>5250</v>
      </c>
      <c r="L677" s="29">
        <v>5500</v>
      </c>
      <c r="M677" s="29">
        <v>50</v>
      </c>
      <c r="N677" s="33">
        <v>50</v>
      </c>
      <c r="O677" s="29">
        <f t="shared" si="260"/>
        <v>5375</v>
      </c>
      <c r="P677" s="31" cm="1">
        <f t="array" ref="P677">WPNFACTOR(C677)</f>
        <v>4.5</v>
      </c>
      <c r="Q677" s="33" cm="1">
        <f t="array" ref="Q677">HPFACTOr(C677)</f>
        <v>2</v>
      </c>
      <c r="R677" s="32">
        <f t="shared" si="261"/>
        <v>1194.4444444444443</v>
      </c>
      <c r="S677" s="33">
        <f t="shared" si="262"/>
        <v>9950000000</v>
      </c>
      <c r="T677" s="32">
        <f t="shared" si="263"/>
        <v>1343.75</v>
      </c>
      <c r="U677" s="39">
        <f t="shared" si="264"/>
        <v>12246153846.153845</v>
      </c>
      <c r="V677" s="41">
        <f>VLOOKUP(D677,LevelXp!$A$1:'LevelXp'!$B$1000,2,)/5</f>
        <v>300000000</v>
      </c>
      <c r="W677" s="29">
        <f t="shared" si="265"/>
        <v>16455769230769.229</v>
      </c>
      <c r="X677" s="32">
        <f t="shared" si="266"/>
        <v>439.80851937511557</v>
      </c>
      <c r="Y677" s="41">
        <v>713</v>
      </c>
      <c r="Z677" s="41">
        <v>300000000</v>
      </c>
      <c r="AA677" s="41">
        <v>0</v>
      </c>
      <c r="AC677" s="50">
        <v>676</v>
      </c>
      <c r="AD677" s="51">
        <f t="shared" si="257"/>
        <v>300000000</v>
      </c>
      <c r="AE677" s="51">
        <f t="shared" si="259"/>
        <v>33333333.333333332</v>
      </c>
      <c r="AF677" s="51">
        <f t="shared" si="258"/>
        <v>0</v>
      </c>
      <c r="AG677" s="55">
        <f t="shared" si="259"/>
        <v>0</v>
      </c>
      <c r="AH677" s="29">
        <f>SUM($AF$2:AF677)</f>
        <v>300</v>
      </c>
      <c r="AI677" s="55">
        <f>SUM($AG$2:AG677)</f>
        <v>299.99999999999824</v>
      </c>
    </row>
    <row r="678" spans="1:35" x14ac:dyDescent="0.2">
      <c r="A678" s="48" t="s">
        <v>8863</v>
      </c>
      <c r="B678" s="29">
        <v>6</v>
      </c>
      <c r="C678" s="29">
        <v>1</v>
      </c>
      <c r="D678" s="29">
        <v>625</v>
      </c>
      <c r="E678" s="29">
        <v>355000</v>
      </c>
      <c r="F678" s="29">
        <v>177500</v>
      </c>
      <c r="G678" s="29">
        <v>177500</v>
      </c>
      <c r="H678" s="29">
        <v>490000</v>
      </c>
      <c r="I678" s="29">
        <v>133750</v>
      </c>
      <c r="J678" s="29">
        <v>20250000000</v>
      </c>
      <c r="K678" s="29">
        <v>5375</v>
      </c>
      <c r="L678" s="29">
        <v>5625</v>
      </c>
      <c r="M678" s="29">
        <v>50</v>
      </c>
      <c r="N678" s="33">
        <v>50</v>
      </c>
      <c r="O678" s="29">
        <f t="shared" si="260"/>
        <v>5500</v>
      </c>
      <c r="P678" s="31" cm="1">
        <f t="array" ref="P678">WPNFACTOR(C678)</f>
        <v>2</v>
      </c>
      <c r="Q678" s="33" cm="1">
        <f t="array" ref="Q678">HPFACTOr(C678)</f>
        <v>5</v>
      </c>
      <c r="R678" s="32">
        <f t="shared" si="261"/>
        <v>2750</v>
      </c>
      <c r="S678" s="33">
        <f t="shared" si="262"/>
        <v>4050000000</v>
      </c>
      <c r="T678" s="32">
        <f t="shared" si="263"/>
        <v>3093.75</v>
      </c>
      <c r="U678" s="39">
        <f t="shared" si="264"/>
        <v>4984615384.6153841</v>
      </c>
      <c r="V678" s="41">
        <f>VLOOKUP(D678,LevelXp!$A$1:'LevelXp'!$B$1000,2,)/5</f>
        <v>300000000</v>
      </c>
      <c r="W678" s="29">
        <f t="shared" si="265"/>
        <v>15421153846153.844</v>
      </c>
      <c r="X678" s="32">
        <f t="shared" si="266"/>
        <v>434.13357438673876</v>
      </c>
      <c r="Y678" s="41">
        <v>729</v>
      </c>
      <c r="Z678" s="41">
        <v>300000000</v>
      </c>
      <c r="AA678" s="41">
        <v>0</v>
      </c>
      <c r="AC678" s="50">
        <v>677</v>
      </c>
      <c r="AD678" s="51">
        <f t="shared" si="257"/>
        <v>0</v>
      </c>
      <c r="AE678" s="51">
        <f t="shared" si="259"/>
        <v>33333333.333333332</v>
      </c>
      <c r="AF678" s="51">
        <f t="shared" si="258"/>
        <v>0</v>
      </c>
      <c r="AG678" s="55">
        <f t="shared" si="259"/>
        <v>0</v>
      </c>
      <c r="AH678" s="29">
        <f>SUM($AF$2:AF678)</f>
        <v>300</v>
      </c>
      <c r="AI678" s="55">
        <f>SUM($AG$2:AG678)</f>
        <v>299.99999999999824</v>
      </c>
    </row>
    <row r="679" spans="1:35" x14ac:dyDescent="0.2">
      <c r="A679" s="48" t="s">
        <v>8863</v>
      </c>
      <c r="B679" s="29">
        <v>7</v>
      </c>
      <c r="C679" s="29">
        <v>3</v>
      </c>
      <c r="D679" s="29">
        <v>630</v>
      </c>
      <c r="E679" s="29">
        <v>203000</v>
      </c>
      <c r="F679" s="29">
        <v>406000</v>
      </c>
      <c r="G679" s="29">
        <v>203000</v>
      </c>
      <c r="H679" s="29">
        <v>514000</v>
      </c>
      <c r="I679" s="29">
        <v>141250</v>
      </c>
      <c r="J679" s="29">
        <v>22350000000</v>
      </c>
      <c r="K679" s="29">
        <v>6125</v>
      </c>
      <c r="L679" s="29">
        <v>6375</v>
      </c>
      <c r="M679" s="29">
        <v>50</v>
      </c>
      <c r="N679" s="33">
        <v>50</v>
      </c>
      <c r="O679" s="29">
        <f t="shared" si="260"/>
        <v>6250</v>
      </c>
      <c r="P679" s="31" cm="1">
        <f t="array" ref="P679">WPNFACTOR(C679)</f>
        <v>2.5</v>
      </c>
      <c r="Q679" s="33" cm="1">
        <f t="array" ref="Q679">HPFACTOr(C679)</f>
        <v>4</v>
      </c>
      <c r="R679" s="32">
        <f t="shared" si="261"/>
        <v>2500</v>
      </c>
      <c r="S679" s="33">
        <f t="shared" si="262"/>
        <v>5587500000</v>
      </c>
      <c r="T679" s="32">
        <f t="shared" si="263"/>
        <v>2812.5</v>
      </c>
      <c r="U679" s="39">
        <f t="shared" si="264"/>
        <v>6876923076.9230766</v>
      </c>
      <c r="V679" s="41">
        <f>VLOOKUP(D679,LevelXp!$A$1:'LevelXp'!$B$1000,2,)/5</f>
        <v>300000000</v>
      </c>
      <c r="W679" s="29">
        <f t="shared" si="265"/>
        <v>19341346153846.152</v>
      </c>
      <c r="X679" s="32">
        <f t="shared" si="266"/>
        <v>454.25251398958818</v>
      </c>
      <c r="Y679" s="41">
        <v>747</v>
      </c>
      <c r="Z679" s="41">
        <v>300000000</v>
      </c>
      <c r="AA679" s="41">
        <v>0</v>
      </c>
      <c r="AC679" s="50">
        <v>678</v>
      </c>
      <c r="AD679" s="51">
        <f t="shared" si="257"/>
        <v>0</v>
      </c>
      <c r="AE679" s="51">
        <f t="shared" si="259"/>
        <v>33333333.333333332</v>
      </c>
      <c r="AF679" s="51">
        <f t="shared" si="258"/>
        <v>0</v>
      </c>
      <c r="AG679" s="55">
        <f t="shared" si="259"/>
        <v>0</v>
      </c>
      <c r="AH679" s="29">
        <f>SUM($AF$2:AF679)</f>
        <v>300</v>
      </c>
      <c r="AI679" s="55">
        <f>SUM($AG$2:AG679)</f>
        <v>299.99999999999824</v>
      </c>
    </row>
    <row r="680" spans="1:35" x14ac:dyDescent="0.2">
      <c r="A680" s="48" t="s">
        <v>8863</v>
      </c>
      <c r="B680" s="29">
        <v>8</v>
      </c>
      <c r="C680" s="29">
        <v>3</v>
      </c>
      <c r="D680" s="29">
        <v>635</v>
      </c>
      <c r="E680" s="29">
        <v>206000</v>
      </c>
      <c r="F680" s="29">
        <v>412000</v>
      </c>
      <c r="G680" s="29">
        <v>206000</v>
      </c>
      <c r="H680" s="29">
        <v>518000</v>
      </c>
      <c r="I680" s="29">
        <v>142500</v>
      </c>
      <c r="J680" s="29">
        <v>22700000000</v>
      </c>
      <c r="K680" s="29">
        <v>6250</v>
      </c>
      <c r="L680" s="29">
        <v>6500</v>
      </c>
      <c r="M680" s="29">
        <v>50</v>
      </c>
      <c r="N680" s="33">
        <v>50</v>
      </c>
      <c r="O680" s="29">
        <f t="shared" si="260"/>
        <v>6375</v>
      </c>
      <c r="P680" s="31" cm="1">
        <f t="array" ref="P680">WPNFACTOR(C680)</f>
        <v>2.5</v>
      </c>
      <c r="Q680" s="33" cm="1">
        <f t="array" ref="Q680">HPFACTOr(C680)</f>
        <v>4</v>
      </c>
      <c r="R680" s="32">
        <f t="shared" si="261"/>
        <v>2550</v>
      </c>
      <c r="S680" s="33">
        <f t="shared" si="262"/>
        <v>5675000000</v>
      </c>
      <c r="T680" s="32">
        <f t="shared" si="263"/>
        <v>2868.75</v>
      </c>
      <c r="U680" s="39">
        <f t="shared" si="264"/>
        <v>6984615384.6153841</v>
      </c>
      <c r="V680" s="41">
        <f>VLOOKUP(D680,LevelXp!$A$1:'LevelXp'!$B$1000,2,)/5</f>
        <v>300000000</v>
      </c>
      <c r="W680" s="29">
        <f t="shared" si="265"/>
        <v>20037115384615.383</v>
      </c>
      <c r="X680" s="32">
        <f t="shared" si="266"/>
        <v>457.47465660404345</v>
      </c>
      <c r="Y680" s="41">
        <v>760</v>
      </c>
      <c r="Z680" s="41">
        <v>300000000</v>
      </c>
      <c r="AA680" s="41">
        <v>0</v>
      </c>
      <c r="AC680" s="50">
        <v>679</v>
      </c>
      <c r="AD680" s="51">
        <f t="shared" si="257"/>
        <v>0</v>
      </c>
      <c r="AE680" s="51">
        <f t="shared" si="259"/>
        <v>33333333.333333332</v>
      </c>
      <c r="AF680" s="51">
        <f t="shared" si="258"/>
        <v>0</v>
      </c>
      <c r="AG680" s="55">
        <f t="shared" si="259"/>
        <v>0</v>
      </c>
      <c r="AH680" s="29">
        <f>SUM($AF$2:AF680)</f>
        <v>300</v>
      </c>
      <c r="AI680" s="55">
        <f>SUM($AG$2:AG680)</f>
        <v>299.99999999999824</v>
      </c>
    </row>
    <row r="681" spans="1:35" x14ac:dyDescent="0.2">
      <c r="A681" s="48" t="s">
        <v>8863</v>
      </c>
      <c r="B681" s="29">
        <v>9</v>
      </c>
      <c r="C681" s="29">
        <v>1</v>
      </c>
      <c r="D681" s="29">
        <v>640</v>
      </c>
      <c r="E681" s="29">
        <v>448000</v>
      </c>
      <c r="F681" s="29">
        <v>224000</v>
      </c>
      <c r="G681" s="29">
        <v>224000</v>
      </c>
      <c r="H681" s="29">
        <v>542000</v>
      </c>
      <c r="I681" s="29">
        <v>150000</v>
      </c>
      <c r="J681" s="29">
        <v>24800000000</v>
      </c>
      <c r="K681" s="29">
        <v>7000</v>
      </c>
      <c r="L681" s="29">
        <v>7250</v>
      </c>
      <c r="M681" s="29">
        <v>50</v>
      </c>
      <c r="N681" s="33">
        <v>50</v>
      </c>
      <c r="O681" s="29">
        <f t="shared" si="260"/>
        <v>7125</v>
      </c>
      <c r="P681" s="31" cm="1">
        <f t="array" ref="P681">WPNFACTOR(C681)</f>
        <v>2</v>
      </c>
      <c r="Q681" s="33" cm="1">
        <f t="array" ref="Q681">HPFACTOr(C681)</f>
        <v>5</v>
      </c>
      <c r="R681" s="32">
        <f t="shared" si="261"/>
        <v>3562.5</v>
      </c>
      <c r="S681" s="33">
        <f t="shared" si="262"/>
        <v>4960000000</v>
      </c>
      <c r="T681" s="32">
        <f t="shared" si="263"/>
        <v>4007.8125</v>
      </c>
      <c r="U681" s="39">
        <f t="shared" si="264"/>
        <v>6104615384.6153841</v>
      </c>
      <c r="V681" s="41">
        <f>VLOOKUP(D681,LevelXp!$A$1:'LevelXp'!$B$1000,2,)/5</f>
        <v>300000000</v>
      </c>
      <c r="W681" s="29">
        <f t="shared" si="265"/>
        <v>24466153846153.844</v>
      </c>
      <c r="X681" s="32">
        <f t="shared" si="266"/>
        <v>476.11639923198055</v>
      </c>
      <c r="Y681" s="41">
        <v>773</v>
      </c>
      <c r="Z681" s="41">
        <v>300000000</v>
      </c>
      <c r="AA681" s="41">
        <v>0</v>
      </c>
      <c r="AC681" s="50">
        <v>680</v>
      </c>
      <c r="AD681" s="51">
        <f t="shared" si="257"/>
        <v>0</v>
      </c>
      <c r="AE681" s="51">
        <f t="shared" si="259"/>
        <v>33333333.333333332</v>
      </c>
      <c r="AF681" s="51">
        <f t="shared" si="258"/>
        <v>0</v>
      </c>
      <c r="AG681" s="55">
        <f t="shared" si="259"/>
        <v>0</v>
      </c>
      <c r="AH681" s="29">
        <f>SUM($AF$2:AF681)</f>
        <v>300</v>
      </c>
      <c r="AI681" s="55">
        <f>SUM($AG$2:AG681)</f>
        <v>299.99999999999824</v>
      </c>
    </row>
    <row r="682" spans="1:35" ht="13.5" thickBot="1" x14ac:dyDescent="0.25">
      <c r="A682" s="49" t="s">
        <v>8863</v>
      </c>
      <c r="B682" s="29">
        <v>10</v>
      </c>
      <c r="C682" s="29">
        <v>1</v>
      </c>
      <c r="D682" s="29">
        <v>650</v>
      </c>
      <c r="E682" s="29">
        <v>460000</v>
      </c>
      <c r="F682" s="29">
        <v>230000</v>
      </c>
      <c r="G682" s="29">
        <v>230000</v>
      </c>
      <c r="H682" s="29">
        <v>550000</v>
      </c>
      <c r="I682" s="29">
        <v>152500</v>
      </c>
      <c r="J682" s="29">
        <v>25500000000</v>
      </c>
      <c r="K682" s="29">
        <v>7250</v>
      </c>
      <c r="L682" s="29">
        <v>7500</v>
      </c>
      <c r="M682" s="29">
        <v>50</v>
      </c>
      <c r="N682" s="33">
        <v>50</v>
      </c>
      <c r="O682" s="29">
        <f t="shared" si="260"/>
        <v>7375</v>
      </c>
      <c r="P682" s="31" cm="1">
        <f t="array" ref="P682">WPNFACTOR(C682)</f>
        <v>2</v>
      </c>
      <c r="Q682" s="33" cm="1">
        <f t="array" ref="Q682">HPFACTOr(C682)</f>
        <v>5</v>
      </c>
      <c r="R682" s="32">
        <f t="shared" si="261"/>
        <v>3687.5</v>
      </c>
      <c r="S682" s="33">
        <f t="shared" si="262"/>
        <v>5100000000</v>
      </c>
      <c r="T682" s="32">
        <f t="shared" si="263"/>
        <v>4148.4375</v>
      </c>
      <c r="U682" s="39">
        <f t="shared" si="264"/>
        <v>6276923076.9230766</v>
      </c>
      <c r="V682" s="41">
        <f>VLOOKUP(D682,LevelXp!$A$1:'LevelXp'!$B$1000,2,)/5</f>
        <v>300000000</v>
      </c>
      <c r="W682" s="29">
        <f t="shared" si="265"/>
        <v>26039423076923.074</v>
      </c>
      <c r="X682" s="32">
        <f t="shared" si="266"/>
        <v>482.08794482576542</v>
      </c>
      <c r="Y682" s="41">
        <v>782</v>
      </c>
      <c r="Z682" s="41">
        <v>300000000</v>
      </c>
      <c r="AA682" s="41">
        <v>0</v>
      </c>
      <c r="AC682" s="50">
        <v>681</v>
      </c>
      <c r="AD682" s="51">
        <f t="shared" si="257"/>
        <v>0</v>
      </c>
      <c r="AE682" s="51">
        <f t="shared" si="259"/>
        <v>0</v>
      </c>
      <c r="AF682" s="51">
        <f t="shared" si="258"/>
        <v>0</v>
      </c>
      <c r="AG682" s="55">
        <f t="shared" si="259"/>
        <v>0</v>
      </c>
      <c r="AH682" s="29">
        <f>SUM($AF$2:AF682)</f>
        <v>300</v>
      </c>
      <c r="AI682" s="55">
        <f>SUM($AG$2:AG682)</f>
        <v>299.99999999999824</v>
      </c>
    </row>
    <row r="683" spans="1:35" ht="13.5" thickTop="1" x14ac:dyDescent="0.2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5"/>
      <c r="Q683" s="45"/>
      <c r="R683" s="46"/>
      <c r="S683" s="44"/>
      <c r="T683" s="46"/>
      <c r="U683" s="44"/>
      <c r="V683" s="44"/>
      <c r="W683" s="44"/>
      <c r="X683" s="46"/>
      <c r="Y683" s="44"/>
      <c r="Z683" s="44"/>
      <c r="AA683" s="44"/>
      <c r="AC683" s="50">
        <v>682</v>
      </c>
      <c r="AD683" s="51">
        <f t="shared" si="257"/>
        <v>0</v>
      </c>
      <c r="AE683" s="51">
        <f t="shared" si="259"/>
        <v>0</v>
      </c>
      <c r="AF683" s="51">
        <f t="shared" si="258"/>
        <v>0</v>
      </c>
      <c r="AG683" s="55">
        <f t="shared" si="259"/>
        <v>0</v>
      </c>
      <c r="AH683" s="29">
        <f>SUM($AF$2:AF683)</f>
        <v>300</v>
      </c>
      <c r="AI683" s="55">
        <f>SUM($AG$2:AG683)</f>
        <v>299.99999999999824</v>
      </c>
    </row>
    <row r="684" spans="1:35" x14ac:dyDescent="0.2">
      <c r="AC684" s="50">
        <v>683</v>
      </c>
      <c r="AD684" s="51">
        <f t="shared" si="257"/>
        <v>0</v>
      </c>
      <c r="AE684" s="51">
        <f t="shared" si="259"/>
        <v>0</v>
      </c>
      <c r="AF684" s="51">
        <f t="shared" si="258"/>
        <v>0</v>
      </c>
      <c r="AG684" s="55">
        <f t="shared" si="259"/>
        <v>0</v>
      </c>
      <c r="AH684" s="29">
        <f>SUM($AF$2:AF684)</f>
        <v>300</v>
      </c>
      <c r="AI684" s="55">
        <f>SUM($AG$2:AG684)</f>
        <v>299.99999999999824</v>
      </c>
    </row>
    <row r="685" spans="1:35" x14ac:dyDescent="0.2">
      <c r="AC685" s="50">
        <v>684</v>
      </c>
      <c r="AD685" s="51">
        <f t="shared" si="257"/>
        <v>0</v>
      </c>
      <c r="AE685" s="51">
        <f t="shared" si="259"/>
        <v>0</v>
      </c>
      <c r="AF685" s="51">
        <f t="shared" si="258"/>
        <v>0</v>
      </c>
      <c r="AG685" s="55">
        <f t="shared" si="259"/>
        <v>0</v>
      </c>
      <c r="AH685" s="29">
        <f>SUM($AF$2:AF685)</f>
        <v>300</v>
      </c>
      <c r="AI685" s="55">
        <f>SUM($AG$2:AG685)</f>
        <v>299.99999999999824</v>
      </c>
    </row>
    <row r="686" spans="1:35" x14ac:dyDescent="0.2">
      <c r="AC686" s="50">
        <v>685</v>
      </c>
      <c r="AD686" s="51">
        <f t="shared" si="257"/>
        <v>0</v>
      </c>
      <c r="AE686" s="51">
        <f t="shared" si="259"/>
        <v>0</v>
      </c>
      <c r="AF686" s="51">
        <f t="shared" si="258"/>
        <v>0</v>
      </c>
      <c r="AG686" s="55">
        <f t="shared" si="259"/>
        <v>0</v>
      </c>
      <c r="AH686" s="29">
        <f>SUM($AF$2:AF686)</f>
        <v>300</v>
      </c>
      <c r="AI686" s="55">
        <f>SUM($AG$2:AG686)</f>
        <v>299.99999999999824</v>
      </c>
    </row>
    <row r="687" spans="1:35" x14ac:dyDescent="0.2">
      <c r="AC687" s="50">
        <v>686</v>
      </c>
      <c r="AD687" s="51">
        <f t="shared" si="257"/>
        <v>0</v>
      </c>
      <c r="AE687" s="51">
        <f t="shared" si="259"/>
        <v>0</v>
      </c>
      <c r="AF687" s="51">
        <f t="shared" si="258"/>
        <v>0</v>
      </c>
      <c r="AG687" s="55">
        <f t="shared" si="259"/>
        <v>0</v>
      </c>
      <c r="AH687" s="29">
        <f>SUM($AF$2:AF687)</f>
        <v>300</v>
      </c>
      <c r="AI687" s="55">
        <f>SUM($AG$2:AG687)</f>
        <v>299.99999999999824</v>
      </c>
    </row>
    <row r="688" spans="1:35" x14ac:dyDescent="0.2">
      <c r="AC688" s="50">
        <v>687</v>
      </c>
      <c r="AD688" s="51">
        <f t="shared" si="257"/>
        <v>0</v>
      </c>
      <c r="AE688" s="51">
        <f t="shared" si="259"/>
        <v>33333333.333333332</v>
      </c>
      <c r="AF688" s="51">
        <f t="shared" si="258"/>
        <v>0</v>
      </c>
      <c r="AG688" s="55">
        <f t="shared" si="259"/>
        <v>0</v>
      </c>
      <c r="AH688" s="29">
        <f>SUM($AF$2:AF688)</f>
        <v>300</v>
      </c>
      <c r="AI688" s="55">
        <f>SUM($AG$2:AG688)</f>
        <v>299.99999999999824</v>
      </c>
    </row>
    <row r="689" spans="29:35" x14ac:dyDescent="0.2">
      <c r="AC689" s="50">
        <v>688</v>
      </c>
      <c r="AD689" s="51">
        <f t="shared" si="257"/>
        <v>0</v>
      </c>
      <c r="AE689" s="51">
        <f t="shared" si="259"/>
        <v>33333333.333333332</v>
      </c>
      <c r="AF689" s="51">
        <f t="shared" si="258"/>
        <v>0</v>
      </c>
      <c r="AG689" s="55">
        <f t="shared" si="259"/>
        <v>0</v>
      </c>
      <c r="AH689" s="29">
        <f>SUM($AF$2:AF689)</f>
        <v>300</v>
      </c>
      <c r="AI689" s="55">
        <f>SUM($AG$2:AG689)</f>
        <v>299.99999999999824</v>
      </c>
    </row>
    <row r="690" spans="29:35" x14ac:dyDescent="0.2">
      <c r="AC690" s="50">
        <v>689</v>
      </c>
      <c r="AD690" s="51">
        <f t="shared" si="257"/>
        <v>0</v>
      </c>
      <c r="AE690" s="51">
        <f t="shared" si="259"/>
        <v>33333333.333333332</v>
      </c>
      <c r="AF690" s="51">
        <f t="shared" si="258"/>
        <v>0</v>
      </c>
      <c r="AG690" s="55">
        <f t="shared" si="259"/>
        <v>0</v>
      </c>
      <c r="AH690" s="29">
        <f>SUM($AF$2:AF690)</f>
        <v>300</v>
      </c>
      <c r="AI690" s="55">
        <f>SUM($AG$2:AG690)</f>
        <v>299.99999999999824</v>
      </c>
    </row>
    <row r="691" spans="29:35" x14ac:dyDescent="0.2">
      <c r="AC691" s="50">
        <v>690</v>
      </c>
      <c r="AD691" s="51">
        <f t="shared" si="257"/>
        <v>0</v>
      </c>
      <c r="AE691" s="51">
        <f t="shared" si="259"/>
        <v>33333333.333333332</v>
      </c>
      <c r="AF691" s="51">
        <f t="shared" si="258"/>
        <v>0</v>
      </c>
      <c r="AG691" s="55">
        <f t="shared" si="259"/>
        <v>0</v>
      </c>
      <c r="AH691" s="29">
        <f>SUM($AF$2:AF691)</f>
        <v>300</v>
      </c>
      <c r="AI691" s="55">
        <f>SUM($AG$2:AG691)</f>
        <v>299.99999999999824</v>
      </c>
    </row>
    <row r="692" spans="29:35" x14ac:dyDescent="0.2">
      <c r="AC692" s="50">
        <v>691</v>
      </c>
      <c r="AD692" s="51">
        <f t="shared" si="257"/>
        <v>300000000</v>
      </c>
      <c r="AE692" s="51">
        <f t="shared" si="259"/>
        <v>33333333.333333332</v>
      </c>
      <c r="AF692" s="51">
        <f t="shared" si="258"/>
        <v>0</v>
      </c>
      <c r="AG692" s="55">
        <f t="shared" si="259"/>
        <v>0</v>
      </c>
      <c r="AH692" s="29">
        <f>SUM($AF$2:AF692)</f>
        <v>300</v>
      </c>
      <c r="AI692" s="55">
        <f>SUM($AG$2:AG692)</f>
        <v>299.99999999999824</v>
      </c>
    </row>
    <row r="693" spans="29:35" x14ac:dyDescent="0.2">
      <c r="AC693" s="50">
        <v>692</v>
      </c>
      <c r="AD693" s="51">
        <f t="shared" si="257"/>
        <v>0</v>
      </c>
      <c r="AE693" s="51">
        <f t="shared" si="259"/>
        <v>33333333.333333332</v>
      </c>
      <c r="AF693" s="51">
        <f t="shared" si="258"/>
        <v>0</v>
      </c>
      <c r="AG693" s="55">
        <f t="shared" si="259"/>
        <v>0</v>
      </c>
      <c r="AH693" s="29">
        <f>SUM($AF$2:AF693)</f>
        <v>300</v>
      </c>
      <c r="AI693" s="55">
        <f>SUM($AG$2:AG693)</f>
        <v>299.99999999999824</v>
      </c>
    </row>
    <row r="694" spans="29:35" x14ac:dyDescent="0.2">
      <c r="AC694" s="50">
        <v>693</v>
      </c>
      <c r="AD694" s="51">
        <f t="shared" si="257"/>
        <v>0</v>
      </c>
      <c r="AE694" s="51">
        <f t="shared" si="259"/>
        <v>33333333.333333332</v>
      </c>
      <c r="AF694" s="51">
        <f t="shared" si="258"/>
        <v>0</v>
      </c>
      <c r="AG694" s="55">
        <f t="shared" si="259"/>
        <v>0</v>
      </c>
      <c r="AH694" s="29">
        <f>SUM($AF$2:AF694)</f>
        <v>300</v>
      </c>
      <c r="AI694" s="55">
        <f>SUM($AG$2:AG694)</f>
        <v>299.99999999999824</v>
      </c>
    </row>
    <row r="695" spans="29:35" x14ac:dyDescent="0.2">
      <c r="AC695" s="50">
        <v>694</v>
      </c>
      <c r="AD695" s="51">
        <f t="shared" si="257"/>
        <v>0</v>
      </c>
      <c r="AE695" s="51">
        <f t="shared" si="259"/>
        <v>33333333.333333332</v>
      </c>
      <c r="AF695" s="51">
        <f t="shared" si="258"/>
        <v>0</v>
      </c>
      <c r="AG695" s="55">
        <f t="shared" si="259"/>
        <v>0</v>
      </c>
      <c r="AH695" s="29">
        <f>SUM($AF$2:AF695)</f>
        <v>300</v>
      </c>
      <c r="AI695" s="55">
        <f>SUM($AG$2:AG695)</f>
        <v>299.99999999999824</v>
      </c>
    </row>
    <row r="696" spans="29:35" x14ac:dyDescent="0.2">
      <c r="AC696" s="50">
        <v>695</v>
      </c>
      <c r="AD696" s="51">
        <f t="shared" si="257"/>
        <v>0</v>
      </c>
      <c r="AE696" s="51">
        <f t="shared" si="259"/>
        <v>33333333.333333332</v>
      </c>
      <c r="AF696" s="51">
        <f t="shared" si="258"/>
        <v>0</v>
      </c>
      <c r="AG696" s="55">
        <f t="shared" si="259"/>
        <v>0</v>
      </c>
      <c r="AH696" s="29">
        <f>SUM($AF$2:AF696)</f>
        <v>300</v>
      </c>
      <c r="AI696" s="55">
        <f>SUM($AG$2:AG696)</f>
        <v>299.99999999999824</v>
      </c>
    </row>
    <row r="697" spans="29:35" x14ac:dyDescent="0.2">
      <c r="AC697" s="50">
        <v>696</v>
      </c>
      <c r="AD697" s="51">
        <f t="shared" si="257"/>
        <v>0</v>
      </c>
      <c r="AE697" s="51">
        <f t="shared" si="259"/>
        <v>0</v>
      </c>
      <c r="AF697" s="51">
        <f t="shared" si="258"/>
        <v>0</v>
      </c>
      <c r="AG697" s="55">
        <f t="shared" si="259"/>
        <v>0</v>
      </c>
      <c r="AH697" s="29">
        <f>SUM($AF$2:AF697)</f>
        <v>300</v>
      </c>
      <c r="AI697" s="55">
        <f>SUM($AG$2:AG697)</f>
        <v>299.99999999999824</v>
      </c>
    </row>
    <row r="698" spans="29:35" x14ac:dyDescent="0.2">
      <c r="AC698" s="50">
        <v>697</v>
      </c>
      <c r="AD698" s="51">
        <f t="shared" si="257"/>
        <v>0</v>
      </c>
      <c r="AE698" s="51">
        <f t="shared" si="259"/>
        <v>0</v>
      </c>
      <c r="AF698" s="51">
        <f t="shared" si="258"/>
        <v>0</v>
      </c>
      <c r="AG698" s="55">
        <f t="shared" si="259"/>
        <v>0</v>
      </c>
      <c r="AH698" s="29">
        <f>SUM($AF$2:AF698)</f>
        <v>300</v>
      </c>
      <c r="AI698" s="55">
        <f>SUM($AG$2:AG698)</f>
        <v>299.99999999999824</v>
      </c>
    </row>
    <row r="699" spans="29:35" x14ac:dyDescent="0.2">
      <c r="AC699" s="50">
        <v>698</v>
      </c>
      <c r="AD699" s="51">
        <f t="shared" si="257"/>
        <v>0</v>
      </c>
      <c r="AE699" s="51">
        <f t="shared" si="259"/>
        <v>0</v>
      </c>
      <c r="AF699" s="51">
        <f t="shared" si="258"/>
        <v>0</v>
      </c>
      <c r="AG699" s="55">
        <f t="shared" si="259"/>
        <v>0</v>
      </c>
      <c r="AH699" s="29">
        <f>SUM($AF$2:AF699)</f>
        <v>300</v>
      </c>
      <c r="AI699" s="55">
        <f>SUM($AG$2:AG699)</f>
        <v>299.99999999999824</v>
      </c>
    </row>
    <row r="700" spans="29:35" x14ac:dyDescent="0.2">
      <c r="AC700" s="50">
        <v>699</v>
      </c>
      <c r="AD700" s="51">
        <f t="shared" si="257"/>
        <v>0</v>
      </c>
      <c r="AE700" s="51">
        <f t="shared" si="259"/>
        <v>0</v>
      </c>
      <c r="AF700" s="51">
        <f t="shared" si="258"/>
        <v>0</v>
      </c>
      <c r="AG700" s="55">
        <f t="shared" si="259"/>
        <v>0</v>
      </c>
      <c r="AH700" s="29">
        <f>SUM($AF$2:AF700)</f>
        <v>300</v>
      </c>
      <c r="AI700" s="55">
        <f>SUM($AG$2:AG700)</f>
        <v>299.99999999999824</v>
      </c>
    </row>
    <row r="701" spans="29:35" x14ac:dyDescent="0.2">
      <c r="AC701" s="50">
        <v>700</v>
      </c>
      <c r="AD701" s="51">
        <f t="shared" si="257"/>
        <v>0</v>
      </c>
      <c r="AE701" s="51">
        <f t="shared" si="259"/>
        <v>0</v>
      </c>
      <c r="AF701" s="51">
        <f t="shared" si="258"/>
        <v>0</v>
      </c>
      <c r="AG701" s="55">
        <f t="shared" si="259"/>
        <v>0</v>
      </c>
      <c r="AH701" s="29">
        <f>SUM($AF$2:AF701)</f>
        <v>300</v>
      </c>
      <c r="AI701" s="55">
        <f>SUM($AG$2:AG701)</f>
        <v>299.99999999999824</v>
      </c>
    </row>
    <row r="702" spans="29:35" x14ac:dyDescent="0.2">
      <c r="AC702" s="50">
        <v>701</v>
      </c>
      <c r="AD702" s="51">
        <f t="shared" si="257"/>
        <v>0</v>
      </c>
      <c r="AE702" s="51">
        <f t="shared" si="259"/>
        <v>0</v>
      </c>
      <c r="AF702" s="51">
        <f t="shared" si="258"/>
        <v>0</v>
      </c>
      <c r="AG702" s="55">
        <f t="shared" si="259"/>
        <v>0</v>
      </c>
      <c r="AH702" s="29">
        <f>SUM($AF$2:AF702)</f>
        <v>300</v>
      </c>
      <c r="AI702" s="55">
        <f>SUM($AG$2:AG702)</f>
        <v>299.99999999999824</v>
      </c>
    </row>
    <row r="703" spans="29:35" x14ac:dyDescent="0.2">
      <c r="AC703" s="50">
        <v>702</v>
      </c>
      <c r="AD703" s="51">
        <f t="shared" si="257"/>
        <v>0</v>
      </c>
      <c r="AE703" s="51">
        <f t="shared" si="259"/>
        <v>0</v>
      </c>
      <c r="AF703" s="51">
        <f t="shared" si="258"/>
        <v>0</v>
      </c>
      <c r="AG703" s="55">
        <f t="shared" si="259"/>
        <v>0</v>
      </c>
      <c r="AH703" s="29">
        <f>SUM($AF$2:AF703)</f>
        <v>300</v>
      </c>
      <c r="AI703" s="55">
        <f>SUM($AG$2:AG703)</f>
        <v>299.99999999999824</v>
      </c>
    </row>
    <row r="704" spans="29:35" x14ac:dyDescent="0.2">
      <c r="AC704" s="50">
        <v>703</v>
      </c>
      <c r="AD704" s="51">
        <f t="shared" si="257"/>
        <v>0</v>
      </c>
      <c r="AE704" s="51">
        <f t="shared" si="259"/>
        <v>0</v>
      </c>
      <c r="AF704" s="51">
        <f t="shared" si="258"/>
        <v>0</v>
      </c>
      <c r="AG704" s="55">
        <f t="shared" si="259"/>
        <v>0</v>
      </c>
      <c r="AH704" s="29">
        <f>SUM($AF$2:AF704)</f>
        <v>300</v>
      </c>
      <c r="AI704" s="55">
        <f>SUM($AG$2:AG704)</f>
        <v>299.99999999999824</v>
      </c>
    </row>
    <row r="705" spans="29:35" x14ac:dyDescent="0.2">
      <c r="AC705" s="50">
        <v>704</v>
      </c>
      <c r="AD705" s="51">
        <f t="shared" si="257"/>
        <v>0</v>
      </c>
      <c r="AE705" s="51">
        <f t="shared" si="259"/>
        <v>0</v>
      </c>
      <c r="AF705" s="51">
        <f t="shared" si="258"/>
        <v>0</v>
      </c>
      <c r="AG705" s="55">
        <f t="shared" si="259"/>
        <v>0</v>
      </c>
      <c r="AH705" s="29">
        <f>SUM($AF$2:AF705)</f>
        <v>300</v>
      </c>
      <c r="AI705" s="55">
        <f>SUM($AG$2:AG705)</f>
        <v>299.99999999999824</v>
      </c>
    </row>
    <row r="706" spans="29:35" x14ac:dyDescent="0.2">
      <c r="AC706" s="50">
        <v>705</v>
      </c>
      <c r="AD706" s="51">
        <f t="shared" si="257"/>
        <v>0</v>
      </c>
      <c r="AE706" s="51">
        <f t="shared" si="259"/>
        <v>0</v>
      </c>
      <c r="AF706" s="51">
        <f t="shared" si="258"/>
        <v>0</v>
      </c>
      <c r="AG706" s="55">
        <f t="shared" si="259"/>
        <v>0</v>
      </c>
      <c r="AH706" s="29">
        <f>SUM($AF$2:AF706)</f>
        <v>300</v>
      </c>
      <c r="AI706" s="55">
        <f>SUM($AG$2:AG706)</f>
        <v>299.99999999999824</v>
      </c>
    </row>
    <row r="707" spans="29:35" x14ac:dyDescent="0.2">
      <c r="AC707" s="50">
        <v>706</v>
      </c>
      <c r="AD707" s="51">
        <f t="shared" ref="AD707:AD770" si="267">SUMIF($Y$2:$Y$682, AC707, $Z$2:$Z$682)</f>
        <v>0</v>
      </c>
      <c r="AE707" s="51">
        <f t="shared" si="259"/>
        <v>0</v>
      </c>
      <c r="AF707" s="51">
        <f t="shared" ref="AF707:AF770" si="268">SUMIF($Y$2:$Y$682, AC707, $AA$2:$AA$682)</f>
        <v>0</v>
      </c>
      <c r="AG707" s="55">
        <f t="shared" si="259"/>
        <v>0</v>
      </c>
      <c r="AH707" s="29">
        <f>SUM($AF$2:AF707)</f>
        <v>300</v>
      </c>
      <c r="AI707" s="55">
        <f>SUM($AG$2:AG707)</f>
        <v>299.99999999999824</v>
      </c>
    </row>
    <row r="708" spans="29:35" x14ac:dyDescent="0.2">
      <c r="AC708" s="50">
        <v>707</v>
      </c>
      <c r="AD708" s="51">
        <f t="shared" si="267"/>
        <v>0</v>
      </c>
      <c r="AE708" s="51">
        <f t="shared" si="259"/>
        <v>0</v>
      </c>
      <c r="AF708" s="51">
        <f t="shared" si="268"/>
        <v>0</v>
      </c>
      <c r="AG708" s="55">
        <f t="shared" si="259"/>
        <v>0</v>
      </c>
      <c r="AH708" s="29">
        <f>SUM($AF$2:AF708)</f>
        <v>300</v>
      </c>
      <c r="AI708" s="55">
        <f>SUM($AG$2:AG708)</f>
        <v>299.99999999999824</v>
      </c>
    </row>
    <row r="709" spans="29:35" x14ac:dyDescent="0.2">
      <c r="AC709" s="50">
        <v>708</v>
      </c>
      <c r="AD709" s="51">
        <f t="shared" si="267"/>
        <v>0</v>
      </c>
      <c r="AE709" s="51">
        <f t="shared" si="259"/>
        <v>0</v>
      </c>
      <c r="AF709" s="51">
        <f t="shared" si="268"/>
        <v>0</v>
      </c>
      <c r="AG709" s="55">
        <f t="shared" si="259"/>
        <v>0</v>
      </c>
      <c r="AH709" s="29">
        <f>SUM($AF$2:AF709)</f>
        <v>300</v>
      </c>
      <c r="AI709" s="55">
        <f>SUM($AG$2:AG709)</f>
        <v>299.99999999999824</v>
      </c>
    </row>
    <row r="710" spans="29:35" x14ac:dyDescent="0.2">
      <c r="AC710" s="50">
        <v>709</v>
      </c>
      <c r="AD710" s="51">
        <f t="shared" si="267"/>
        <v>0</v>
      </c>
      <c r="AE710" s="51">
        <f t="shared" si="259"/>
        <v>33333333.333333332</v>
      </c>
      <c r="AF710" s="51">
        <f t="shared" si="268"/>
        <v>0</v>
      </c>
      <c r="AG710" s="55">
        <f t="shared" si="259"/>
        <v>0</v>
      </c>
      <c r="AH710" s="29">
        <f>SUM($AF$2:AF710)</f>
        <v>300</v>
      </c>
      <c r="AI710" s="55">
        <f>SUM($AG$2:AG710)</f>
        <v>299.99999999999824</v>
      </c>
    </row>
    <row r="711" spans="29:35" x14ac:dyDescent="0.2">
      <c r="AC711" s="50">
        <v>710</v>
      </c>
      <c r="AD711" s="51">
        <f t="shared" si="267"/>
        <v>0</v>
      </c>
      <c r="AE711" s="51">
        <f t="shared" ref="AE711:AG774" si="269">AVERAGE(AD707:AD715)</f>
        <v>33333333.333333332</v>
      </c>
      <c r="AF711" s="51">
        <f t="shared" si="268"/>
        <v>0</v>
      </c>
      <c r="AG711" s="55">
        <f t="shared" si="269"/>
        <v>0</v>
      </c>
      <c r="AH711" s="29">
        <f>SUM($AF$2:AF711)</f>
        <v>300</v>
      </c>
      <c r="AI711" s="55">
        <f>SUM($AG$2:AG711)</f>
        <v>299.99999999999824</v>
      </c>
    </row>
    <row r="712" spans="29:35" x14ac:dyDescent="0.2">
      <c r="AC712" s="50">
        <v>711</v>
      </c>
      <c r="AD712" s="51">
        <f t="shared" si="267"/>
        <v>0</v>
      </c>
      <c r="AE712" s="51">
        <f t="shared" si="269"/>
        <v>33333333.333333332</v>
      </c>
      <c r="AF712" s="51">
        <f t="shared" si="268"/>
        <v>0</v>
      </c>
      <c r="AG712" s="55">
        <f t="shared" si="269"/>
        <v>0</v>
      </c>
      <c r="AH712" s="29">
        <f>SUM($AF$2:AF712)</f>
        <v>300</v>
      </c>
      <c r="AI712" s="55">
        <f>SUM($AG$2:AG712)</f>
        <v>299.99999999999824</v>
      </c>
    </row>
    <row r="713" spans="29:35" x14ac:dyDescent="0.2">
      <c r="AC713" s="50">
        <v>712</v>
      </c>
      <c r="AD713" s="51">
        <f t="shared" si="267"/>
        <v>0</v>
      </c>
      <c r="AE713" s="51">
        <f t="shared" si="269"/>
        <v>33333333.333333332</v>
      </c>
      <c r="AF713" s="51">
        <f t="shared" si="268"/>
        <v>0</v>
      </c>
      <c r="AG713" s="55">
        <f t="shared" si="269"/>
        <v>0</v>
      </c>
      <c r="AH713" s="29">
        <f>SUM($AF$2:AF713)</f>
        <v>300</v>
      </c>
      <c r="AI713" s="55">
        <f>SUM($AG$2:AG713)</f>
        <v>299.99999999999824</v>
      </c>
    </row>
    <row r="714" spans="29:35" x14ac:dyDescent="0.2">
      <c r="AC714" s="50">
        <v>713</v>
      </c>
      <c r="AD714" s="51">
        <f t="shared" si="267"/>
        <v>300000000</v>
      </c>
      <c r="AE714" s="51">
        <f t="shared" si="269"/>
        <v>33333333.333333332</v>
      </c>
      <c r="AF714" s="51">
        <f t="shared" si="268"/>
        <v>0</v>
      </c>
      <c r="AG714" s="55">
        <f t="shared" si="269"/>
        <v>0</v>
      </c>
      <c r="AH714" s="29">
        <f>SUM($AF$2:AF714)</f>
        <v>300</v>
      </c>
      <c r="AI714" s="55">
        <f>SUM($AG$2:AG714)</f>
        <v>299.99999999999824</v>
      </c>
    </row>
    <row r="715" spans="29:35" x14ac:dyDescent="0.2">
      <c r="AC715" s="50">
        <v>714</v>
      </c>
      <c r="AD715" s="51">
        <f t="shared" si="267"/>
        <v>0</v>
      </c>
      <c r="AE715" s="51">
        <f t="shared" si="269"/>
        <v>33333333.333333332</v>
      </c>
      <c r="AF715" s="51">
        <f t="shared" si="268"/>
        <v>0</v>
      </c>
      <c r="AG715" s="55">
        <f t="shared" si="269"/>
        <v>0</v>
      </c>
      <c r="AH715" s="29">
        <f>SUM($AF$2:AF715)</f>
        <v>300</v>
      </c>
      <c r="AI715" s="55">
        <f>SUM($AG$2:AG715)</f>
        <v>299.99999999999824</v>
      </c>
    </row>
    <row r="716" spans="29:35" x14ac:dyDescent="0.2">
      <c r="AC716" s="50">
        <v>715</v>
      </c>
      <c r="AD716" s="51">
        <f t="shared" si="267"/>
        <v>0</v>
      </c>
      <c r="AE716" s="51">
        <f t="shared" si="269"/>
        <v>33333333.333333332</v>
      </c>
      <c r="AF716" s="51">
        <f t="shared" si="268"/>
        <v>0</v>
      </c>
      <c r="AG716" s="55">
        <f t="shared" si="269"/>
        <v>0</v>
      </c>
      <c r="AH716" s="29">
        <f>SUM($AF$2:AF716)</f>
        <v>300</v>
      </c>
      <c r="AI716" s="55">
        <f>SUM($AG$2:AG716)</f>
        <v>299.99999999999824</v>
      </c>
    </row>
    <row r="717" spans="29:35" x14ac:dyDescent="0.2">
      <c r="AC717" s="50">
        <v>716</v>
      </c>
      <c r="AD717" s="51">
        <f t="shared" si="267"/>
        <v>0</v>
      </c>
      <c r="AE717" s="51">
        <f t="shared" si="269"/>
        <v>33333333.333333332</v>
      </c>
      <c r="AF717" s="51">
        <f t="shared" si="268"/>
        <v>0</v>
      </c>
      <c r="AG717" s="55">
        <f t="shared" si="269"/>
        <v>0</v>
      </c>
      <c r="AH717" s="29">
        <f>SUM($AF$2:AF717)</f>
        <v>300</v>
      </c>
      <c r="AI717" s="55">
        <f>SUM($AG$2:AG717)</f>
        <v>299.99999999999824</v>
      </c>
    </row>
    <row r="718" spans="29:35" x14ac:dyDescent="0.2">
      <c r="AC718" s="50">
        <v>717</v>
      </c>
      <c r="AD718" s="51">
        <f t="shared" si="267"/>
        <v>0</v>
      </c>
      <c r="AE718" s="51">
        <f t="shared" si="269"/>
        <v>33333333.333333332</v>
      </c>
      <c r="AF718" s="51">
        <f t="shared" si="268"/>
        <v>0</v>
      </c>
      <c r="AG718" s="55">
        <f t="shared" si="269"/>
        <v>0</v>
      </c>
      <c r="AH718" s="29">
        <f>SUM($AF$2:AF718)</f>
        <v>300</v>
      </c>
      <c r="AI718" s="55">
        <f>SUM($AG$2:AG718)</f>
        <v>299.99999999999824</v>
      </c>
    </row>
    <row r="719" spans="29:35" x14ac:dyDescent="0.2">
      <c r="AC719" s="50">
        <v>718</v>
      </c>
      <c r="AD719" s="51">
        <f t="shared" si="267"/>
        <v>0</v>
      </c>
      <c r="AE719" s="51">
        <f t="shared" si="269"/>
        <v>0</v>
      </c>
      <c r="AF719" s="51">
        <f t="shared" si="268"/>
        <v>0</v>
      </c>
      <c r="AG719" s="55">
        <f t="shared" si="269"/>
        <v>0</v>
      </c>
      <c r="AH719" s="29">
        <f>SUM($AF$2:AF719)</f>
        <v>300</v>
      </c>
      <c r="AI719" s="55">
        <f>SUM($AG$2:AG719)</f>
        <v>299.99999999999824</v>
      </c>
    </row>
    <row r="720" spans="29:35" x14ac:dyDescent="0.2">
      <c r="AC720" s="50">
        <v>719</v>
      </c>
      <c r="AD720" s="51">
        <f t="shared" si="267"/>
        <v>0</v>
      </c>
      <c r="AE720" s="51">
        <f t="shared" si="269"/>
        <v>0</v>
      </c>
      <c r="AF720" s="51">
        <f t="shared" si="268"/>
        <v>0</v>
      </c>
      <c r="AG720" s="55">
        <f t="shared" si="269"/>
        <v>0</v>
      </c>
      <c r="AH720" s="29">
        <f>SUM($AF$2:AF720)</f>
        <v>300</v>
      </c>
      <c r="AI720" s="55">
        <f>SUM($AG$2:AG720)</f>
        <v>299.99999999999824</v>
      </c>
    </row>
    <row r="721" spans="29:35" x14ac:dyDescent="0.2">
      <c r="AC721" s="50">
        <v>720</v>
      </c>
      <c r="AD721" s="51">
        <f t="shared" si="267"/>
        <v>0</v>
      </c>
      <c r="AE721" s="51">
        <f t="shared" si="269"/>
        <v>0</v>
      </c>
      <c r="AF721" s="51">
        <f t="shared" si="268"/>
        <v>0</v>
      </c>
      <c r="AG721" s="55">
        <f t="shared" si="269"/>
        <v>0</v>
      </c>
      <c r="AH721" s="29">
        <f>SUM($AF$2:AF721)</f>
        <v>300</v>
      </c>
      <c r="AI721" s="55">
        <f>SUM($AG$2:AG721)</f>
        <v>299.99999999999824</v>
      </c>
    </row>
    <row r="722" spans="29:35" x14ac:dyDescent="0.2">
      <c r="AC722" s="50">
        <v>721</v>
      </c>
      <c r="AD722" s="51">
        <f t="shared" si="267"/>
        <v>0</v>
      </c>
      <c r="AE722" s="51">
        <f t="shared" si="269"/>
        <v>0</v>
      </c>
      <c r="AF722" s="51">
        <f t="shared" si="268"/>
        <v>0</v>
      </c>
      <c r="AG722" s="55">
        <f t="shared" si="269"/>
        <v>0</v>
      </c>
      <c r="AH722" s="29">
        <f>SUM($AF$2:AF722)</f>
        <v>300</v>
      </c>
      <c r="AI722" s="55">
        <f>SUM($AG$2:AG722)</f>
        <v>299.99999999999824</v>
      </c>
    </row>
    <row r="723" spans="29:35" x14ac:dyDescent="0.2">
      <c r="AC723" s="50">
        <v>722</v>
      </c>
      <c r="AD723" s="51">
        <f t="shared" si="267"/>
        <v>0</v>
      </c>
      <c r="AE723" s="51">
        <f t="shared" si="269"/>
        <v>0</v>
      </c>
      <c r="AF723" s="51">
        <f t="shared" si="268"/>
        <v>0</v>
      </c>
      <c r="AG723" s="55">
        <f t="shared" si="269"/>
        <v>0</v>
      </c>
      <c r="AH723" s="29">
        <f>SUM($AF$2:AF723)</f>
        <v>300</v>
      </c>
      <c r="AI723" s="55">
        <f>SUM($AG$2:AG723)</f>
        <v>299.99999999999824</v>
      </c>
    </row>
    <row r="724" spans="29:35" x14ac:dyDescent="0.2">
      <c r="AC724" s="50">
        <v>723</v>
      </c>
      <c r="AD724" s="51">
        <f t="shared" si="267"/>
        <v>0</v>
      </c>
      <c r="AE724" s="51">
        <f t="shared" si="269"/>
        <v>0</v>
      </c>
      <c r="AF724" s="51">
        <f t="shared" si="268"/>
        <v>0</v>
      </c>
      <c r="AG724" s="55">
        <f t="shared" si="269"/>
        <v>0</v>
      </c>
      <c r="AH724" s="29">
        <f>SUM($AF$2:AF724)</f>
        <v>300</v>
      </c>
      <c r="AI724" s="55">
        <f>SUM($AG$2:AG724)</f>
        <v>299.99999999999824</v>
      </c>
    </row>
    <row r="725" spans="29:35" x14ac:dyDescent="0.2">
      <c r="AC725" s="50">
        <v>724</v>
      </c>
      <c r="AD725" s="51">
        <f t="shared" si="267"/>
        <v>0</v>
      </c>
      <c r="AE725" s="51">
        <f t="shared" si="269"/>
        <v>0</v>
      </c>
      <c r="AF725" s="51">
        <f t="shared" si="268"/>
        <v>0</v>
      </c>
      <c r="AG725" s="55">
        <f t="shared" si="269"/>
        <v>0</v>
      </c>
      <c r="AH725" s="29">
        <f>SUM($AF$2:AF725)</f>
        <v>300</v>
      </c>
      <c r="AI725" s="55">
        <f>SUM($AG$2:AG725)</f>
        <v>299.99999999999824</v>
      </c>
    </row>
    <row r="726" spans="29:35" x14ac:dyDescent="0.2">
      <c r="AC726" s="50">
        <v>725</v>
      </c>
      <c r="AD726" s="51">
        <f t="shared" si="267"/>
        <v>0</v>
      </c>
      <c r="AE726" s="51">
        <f t="shared" si="269"/>
        <v>33333333.333333332</v>
      </c>
      <c r="AF726" s="51">
        <f t="shared" si="268"/>
        <v>0</v>
      </c>
      <c r="AG726" s="55">
        <f t="shared" si="269"/>
        <v>0</v>
      </c>
      <c r="AH726" s="29">
        <f>SUM($AF$2:AF726)</f>
        <v>300</v>
      </c>
      <c r="AI726" s="55">
        <f>SUM($AG$2:AG726)</f>
        <v>299.99999999999824</v>
      </c>
    </row>
    <row r="727" spans="29:35" x14ac:dyDescent="0.2">
      <c r="AC727" s="50">
        <v>726</v>
      </c>
      <c r="AD727" s="51">
        <f t="shared" si="267"/>
        <v>0</v>
      </c>
      <c r="AE727" s="51">
        <f t="shared" si="269"/>
        <v>33333333.333333332</v>
      </c>
      <c r="AF727" s="51">
        <f t="shared" si="268"/>
        <v>0</v>
      </c>
      <c r="AG727" s="55">
        <f t="shared" si="269"/>
        <v>0</v>
      </c>
      <c r="AH727" s="29">
        <f>SUM($AF$2:AF727)</f>
        <v>300</v>
      </c>
      <c r="AI727" s="55">
        <f>SUM($AG$2:AG727)</f>
        <v>299.99999999999824</v>
      </c>
    </row>
    <row r="728" spans="29:35" x14ac:dyDescent="0.2">
      <c r="AC728" s="50">
        <v>727</v>
      </c>
      <c r="AD728" s="51">
        <f t="shared" si="267"/>
        <v>0</v>
      </c>
      <c r="AE728" s="51">
        <f t="shared" si="269"/>
        <v>33333333.333333332</v>
      </c>
      <c r="AF728" s="51">
        <f t="shared" si="268"/>
        <v>0</v>
      </c>
      <c r="AG728" s="55">
        <f t="shared" si="269"/>
        <v>0</v>
      </c>
      <c r="AH728" s="29">
        <f>SUM($AF$2:AF728)</f>
        <v>300</v>
      </c>
      <c r="AI728" s="55">
        <f>SUM($AG$2:AG728)</f>
        <v>299.99999999999824</v>
      </c>
    </row>
    <row r="729" spans="29:35" x14ac:dyDescent="0.2">
      <c r="AC729" s="50">
        <v>728</v>
      </c>
      <c r="AD729" s="51">
        <f t="shared" si="267"/>
        <v>0</v>
      </c>
      <c r="AE729" s="51">
        <f t="shared" si="269"/>
        <v>33333333.333333332</v>
      </c>
      <c r="AF729" s="51">
        <f t="shared" si="268"/>
        <v>0</v>
      </c>
      <c r="AG729" s="55">
        <f t="shared" si="269"/>
        <v>0</v>
      </c>
      <c r="AH729" s="29">
        <f>SUM($AF$2:AF729)</f>
        <v>300</v>
      </c>
      <c r="AI729" s="55">
        <f>SUM($AG$2:AG729)</f>
        <v>299.99999999999824</v>
      </c>
    </row>
    <row r="730" spans="29:35" x14ac:dyDescent="0.2">
      <c r="AC730" s="50">
        <v>729</v>
      </c>
      <c r="AD730" s="51">
        <f t="shared" si="267"/>
        <v>300000000</v>
      </c>
      <c r="AE730" s="51">
        <f t="shared" si="269"/>
        <v>33333333.333333332</v>
      </c>
      <c r="AF730" s="51">
        <f t="shared" si="268"/>
        <v>0</v>
      </c>
      <c r="AG730" s="55">
        <f t="shared" si="269"/>
        <v>0</v>
      </c>
      <c r="AH730" s="29">
        <f>SUM($AF$2:AF730)</f>
        <v>300</v>
      </c>
      <c r="AI730" s="55">
        <f>SUM($AG$2:AG730)</f>
        <v>299.99999999999824</v>
      </c>
    </row>
    <row r="731" spans="29:35" x14ac:dyDescent="0.2">
      <c r="AC731" s="50">
        <v>730</v>
      </c>
      <c r="AD731" s="51">
        <f t="shared" si="267"/>
        <v>0</v>
      </c>
      <c r="AE731" s="51">
        <f t="shared" si="269"/>
        <v>33333333.333333332</v>
      </c>
      <c r="AF731" s="51">
        <f t="shared" si="268"/>
        <v>0</v>
      </c>
      <c r="AG731" s="55">
        <f t="shared" si="269"/>
        <v>0</v>
      </c>
      <c r="AH731" s="29">
        <f>SUM($AF$2:AF731)</f>
        <v>300</v>
      </c>
      <c r="AI731" s="55">
        <f>SUM($AG$2:AG731)</f>
        <v>299.99999999999824</v>
      </c>
    </row>
    <row r="732" spans="29:35" x14ac:dyDescent="0.2">
      <c r="AC732" s="50">
        <v>731</v>
      </c>
      <c r="AD732" s="51">
        <f t="shared" si="267"/>
        <v>0</v>
      </c>
      <c r="AE732" s="51">
        <f t="shared" si="269"/>
        <v>33333333.333333332</v>
      </c>
      <c r="AF732" s="51">
        <f t="shared" si="268"/>
        <v>0</v>
      </c>
      <c r="AG732" s="55">
        <f t="shared" si="269"/>
        <v>0</v>
      </c>
      <c r="AH732" s="29">
        <f>SUM($AF$2:AF732)</f>
        <v>300</v>
      </c>
      <c r="AI732" s="55">
        <f>SUM($AG$2:AG732)</f>
        <v>299.99999999999824</v>
      </c>
    </row>
    <row r="733" spans="29:35" x14ac:dyDescent="0.2">
      <c r="AC733" s="50">
        <v>732</v>
      </c>
      <c r="AD733" s="51">
        <f t="shared" si="267"/>
        <v>0</v>
      </c>
      <c r="AE733" s="51">
        <f t="shared" si="269"/>
        <v>33333333.333333332</v>
      </c>
      <c r="AF733" s="51">
        <f t="shared" si="268"/>
        <v>0</v>
      </c>
      <c r="AG733" s="55">
        <f t="shared" si="269"/>
        <v>0</v>
      </c>
      <c r="AH733" s="29">
        <f>SUM($AF$2:AF733)</f>
        <v>300</v>
      </c>
      <c r="AI733" s="55">
        <f>SUM($AG$2:AG733)</f>
        <v>299.99999999999824</v>
      </c>
    </row>
    <row r="734" spans="29:35" x14ac:dyDescent="0.2">
      <c r="AC734" s="50">
        <v>733</v>
      </c>
      <c r="AD734" s="51">
        <f t="shared" si="267"/>
        <v>0</v>
      </c>
      <c r="AE734" s="51">
        <f t="shared" si="269"/>
        <v>33333333.333333332</v>
      </c>
      <c r="AF734" s="51">
        <f t="shared" si="268"/>
        <v>0</v>
      </c>
      <c r="AG734" s="55">
        <f t="shared" si="269"/>
        <v>0</v>
      </c>
      <c r="AH734" s="29">
        <f>SUM($AF$2:AF734)</f>
        <v>300</v>
      </c>
      <c r="AI734" s="55">
        <f>SUM($AG$2:AG734)</f>
        <v>299.99999999999824</v>
      </c>
    </row>
    <row r="735" spans="29:35" x14ac:dyDescent="0.2">
      <c r="AC735" s="50">
        <v>734</v>
      </c>
      <c r="AD735" s="51">
        <f t="shared" si="267"/>
        <v>0</v>
      </c>
      <c r="AE735" s="51">
        <f t="shared" si="269"/>
        <v>0</v>
      </c>
      <c r="AF735" s="51">
        <f t="shared" si="268"/>
        <v>0</v>
      </c>
      <c r="AG735" s="55">
        <f t="shared" si="269"/>
        <v>0</v>
      </c>
      <c r="AH735" s="29">
        <f>SUM($AF$2:AF735)</f>
        <v>300</v>
      </c>
      <c r="AI735" s="55">
        <f>SUM($AG$2:AG735)</f>
        <v>299.99999999999824</v>
      </c>
    </row>
    <row r="736" spans="29:35" x14ac:dyDescent="0.2">
      <c r="AC736" s="50">
        <v>735</v>
      </c>
      <c r="AD736" s="51">
        <f t="shared" si="267"/>
        <v>0</v>
      </c>
      <c r="AE736" s="51">
        <f t="shared" si="269"/>
        <v>0</v>
      </c>
      <c r="AF736" s="51">
        <f t="shared" si="268"/>
        <v>0</v>
      </c>
      <c r="AG736" s="55">
        <f t="shared" si="269"/>
        <v>0</v>
      </c>
      <c r="AH736" s="29">
        <f>SUM($AF$2:AF736)</f>
        <v>300</v>
      </c>
      <c r="AI736" s="55">
        <f>SUM($AG$2:AG736)</f>
        <v>299.99999999999824</v>
      </c>
    </row>
    <row r="737" spans="29:35" x14ac:dyDescent="0.2">
      <c r="AC737" s="50">
        <v>736</v>
      </c>
      <c r="AD737" s="51">
        <f t="shared" si="267"/>
        <v>0</v>
      </c>
      <c r="AE737" s="51">
        <f t="shared" si="269"/>
        <v>0</v>
      </c>
      <c r="AF737" s="51">
        <f t="shared" si="268"/>
        <v>0</v>
      </c>
      <c r="AG737" s="55">
        <f t="shared" si="269"/>
        <v>0</v>
      </c>
      <c r="AH737" s="29">
        <f>SUM($AF$2:AF737)</f>
        <v>300</v>
      </c>
      <c r="AI737" s="55">
        <f>SUM($AG$2:AG737)</f>
        <v>299.99999999999824</v>
      </c>
    </row>
    <row r="738" spans="29:35" x14ac:dyDescent="0.2">
      <c r="AC738" s="50">
        <v>737</v>
      </c>
      <c r="AD738" s="51">
        <f t="shared" si="267"/>
        <v>0</v>
      </c>
      <c r="AE738" s="51">
        <f t="shared" si="269"/>
        <v>0</v>
      </c>
      <c r="AF738" s="51">
        <f t="shared" si="268"/>
        <v>0</v>
      </c>
      <c r="AG738" s="55">
        <f t="shared" si="269"/>
        <v>0</v>
      </c>
      <c r="AH738" s="29">
        <f>SUM($AF$2:AF738)</f>
        <v>300</v>
      </c>
      <c r="AI738" s="55">
        <f>SUM($AG$2:AG738)</f>
        <v>299.99999999999824</v>
      </c>
    </row>
    <row r="739" spans="29:35" x14ac:dyDescent="0.2">
      <c r="AC739" s="50">
        <v>738</v>
      </c>
      <c r="AD739" s="51">
        <f t="shared" si="267"/>
        <v>0</v>
      </c>
      <c r="AE739" s="51">
        <f t="shared" si="269"/>
        <v>0</v>
      </c>
      <c r="AF739" s="51">
        <f t="shared" si="268"/>
        <v>0</v>
      </c>
      <c r="AG739" s="55">
        <f t="shared" si="269"/>
        <v>0</v>
      </c>
      <c r="AH739" s="29">
        <f>SUM($AF$2:AF739)</f>
        <v>300</v>
      </c>
      <c r="AI739" s="55">
        <f>SUM($AG$2:AG739)</f>
        <v>299.99999999999824</v>
      </c>
    </row>
    <row r="740" spans="29:35" x14ac:dyDescent="0.2">
      <c r="AC740" s="50">
        <v>739</v>
      </c>
      <c r="AD740" s="51">
        <f t="shared" si="267"/>
        <v>0</v>
      </c>
      <c r="AE740" s="51">
        <f t="shared" si="269"/>
        <v>0</v>
      </c>
      <c r="AF740" s="51">
        <f t="shared" si="268"/>
        <v>0</v>
      </c>
      <c r="AG740" s="55">
        <f t="shared" si="269"/>
        <v>0</v>
      </c>
      <c r="AH740" s="29">
        <f>SUM($AF$2:AF740)</f>
        <v>300</v>
      </c>
      <c r="AI740" s="55">
        <f>SUM($AG$2:AG740)</f>
        <v>299.99999999999824</v>
      </c>
    </row>
    <row r="741" spans="29:35" x14ac:dyDescent="0.2">
      <c r="AC741" s="50">
        <v>740</v>
      </c>
      <c r="AD741" s="51">
        <f t="shared" si="267"/>
        <v>0</v>
      </c>
      <c r="AE741" s="51">
        <f t="shared" si="269"/>
        <v>0</v>
      </c>
      <c r="AF741" s="51">
        <f t="shared" si="268"/>
        <v>0</v>
      </c>
      <c r="AG741" s="55">
        <f t="shared" si="269"/>
        <v>0</v>
      </c>
      <c r="AH741" s="29">
        <f>SUM($AF$2:AF741)</f>
        <v>300</v>
      </c>
      <c r="AI741" s="55">
        <f>SUM($AG$2:AG741)</f>
        <v>299.99999999999824</v>
      </c>
    </row>
    <row r="742" spans="29:35" x14ac:dyDescent="0.2">
      <c r="AC742" s="50">
        <v>741</v>
      </c>
      <c r="AD742" s="51">
        <f t="shared" si="267"/>
        <v>0</v>
      </c>
      <c r="AE742" s="51">
        <f t="shared" si="269"/>
        <v>0</v>
      </c>
      <c r="AF742" s="51">
        <f t="shared" si="268"/>
        <v>0</v>
      </c>
      <c r="AG742" s="55">
        <f t="shared" si="269"/>
        <v>0</v>
      </c>
      <c r="AH742" s="29">
        <f>SUM($AF$2:AF742)</f>
        <v>300</v>
      </c>
      <c r="AI742" s="55">
        <f>SUM($AG$2:AG742)</f>
        <v>299.99999999999824</v>
      </c>
    </row>
    <row r="743" spans="29:35" x14ac:dyDescent="0.2">
      <c r="AC743" s="50">
        <v>742</v>
      </c>
      <c r="AD743" s="51">
        <f t="shared" si="267"/>
        <v>0</v>
      </c>
      <c r="AE743" s="51">
        <f t="shared" si="269"/>
        <v>0</v>
      </c>
      <c r="AF743" s="51">
        <f t="shared" si="268"/>
        <v>0</v>
      </c>
      <c r="AG743" s="55">
        <f t="shared" si="269"/>
        <v>0</v>
      </c>
      <c r="AH743" s="29">
        <f>SUM($AF$2:AF743)</f>
        <v>300</v>
      </c>
      <c r="AI743" s="55">
        <f>SUM($AG$2:AG743)</f>
        <v>299.99999999999824</v>
      </c>
    </row>
    <row r="744" spans="29:35" x14ac:dyDescent="0.2">
      <c r="AC744" s="50">
        <v>743</v>
      </c>
      <c r="AD744" s="51">
        <f t="shared" si="267"/>
        <v>0</v>
      </c>
      <c r="AE744" s="51">
        <f t="shared" si="269"/>
        <v>33333333.333333332</v>
      </c>
      <c r="AF744" s="51">
        <f t="shared" si="268"/>
        <v>0</v>
      </c>
      <c r="AG744" s="55">
        <f t="shared" si="269"/>
        <v>0</v>
      </c>
      <c r="AH744" s="29">
        <f>SUM($AF$2:AF744)</f>
        <v>300</v>
      </c>
      <c r="AI744" s="55">
        <f>SUM($AG$2:AG744)</f>
        <v>299.99999999999824</v>
      </c>
    </row>
    <row r="745" spans="29:35" x14ac:dyDescent="0.2">
      <c r="AC745" s="50">
        <v>744</v>
      </c>
      <c r="AD745" s="51">
        <f t="shared" si="267"/>
        <v>0</v>
      </c>
      <c r="AE745" s="51">
        <f t="shared" si="269"/>
        <v>33333333.333333332</v>
      </c>
      <c r="AF745" s="51">
        <f t="shared" si="268"/>
        <v>0</v>
      </c>
      <c r="AG745" s="55">
        <f t="shared" si="269"/>
        <v>0</v>
      </c>
      <c r="AH745" s="29">
        <f>SUM($AF$2:AF745)</f>
        <v>300</v>
      </c>
      <c r="AI745" s="55">
        <f>SUM($AG$2:AG745)</f>
        <v>299.99999999999824</v>
      </c>
    </row>
    <row r="746" spans="29:35" x14ac:dyDescent="0.2">
      <c r="AC746" s="50">
        <v>745</v>
      </c>
      <c r="AD746" s="51">
        <f t="shared" si="267"/>
        <v>0</v>
      </c>
      <c r="AE746" s="51">
        <f t="shared" si="269"/>
        <v>33333333.333333332</v>
      </c>
      <c r="AF746" s="51">
        <f t="shared" si="268"/>
        <v>0</v>
      </c>
      <c r="AG746" s="55">
        <f t="shared" si="269"/>
        <v>0</v>
      </c>
      <c r="AH746" s="29">
        <f>SUM($AF$2:AF746)</f>
        <v>300</v>
      </c>
      <c r="AI746" s="55">
        <f>SUM($AG$2:AG746)</f>
        <v>299.99999999999824</v>
      </c>
    </row>
    <row r="747" spans="29:35" x14ac:dyDescent="0.2">
      <c r="AC747" s="50">
        <v>746</v>
      </c>
      <c r="AD747" s="51">
        <f t="shared" si="267"/>
        <v>0</v>
      </c>
      <c r="AE747" s="51">
        <f t="shared" si="269"/>
        <v>33333333.333333332</v>
      </c>
      <c r="AF747" s="51">
        <f t="shared" si="268"/>
        <v>0</v>
      </c>
      <c r="AG747" s="55">
        <f t="shared" si="269"/>
        <v>0</v>
      </c>
      <c r="AH747" s="29">
        <f>SUM($AF$2:AF747)</f>
        <v>300</v>
      </c>
      <c r="AI747" s="55">
        <f>SUM($AG$2:AG747)</f>
        <v>299.99999999999824</v>
      </c>
    </row>
    <row r="748" spans="29:35" x14ac:dyDescent="0.2">
      <c r="AC748" s="50">
        <v>747</v>
      </c>
      <c r="AD748" s="51">
        <f t="shared" si="267"/>
        <v>300000000</v>
      </c>
      <c r="AE748" s="51">
        <f t="shared" si="269"/>
        <v>33333333.333333332</v>
      </c>
      <c r="AF748" s="51">
        <f t="shared" si="268"/>
        <v>0</v>
      </c>
      <c r="AG748" s="55">
        <f t="shared" si="269"/>
        <v>0</v>
      </c>
      <c r="AH748" s="29">
        <f>SUM($AF$2:AF748)</f>
        <v>300</v>
      </c>
      <c r="AI748" s="55">
        <f>SUM($AG$2:AG748)</f>
        <v>299.99999999999824</v>
      </c>
    </row>
    <row r="749" spans="29:35" x14ac:dyDescent="0.2">
      <c r="AC749" s="50">
        <v>748</v>
      </c>
      <c r="AD749" s="51">
        <f t="shared" si="267"/>
        <v>0</v>
      </c>
      <c r="AE749" s="51">
        <f t="shared" si="269"/>
        <v>33333333.333333332</v>
      </c>
      <c r="AF749" s="51">
        <f t="shared" si="268"/>
        <v>0</v>
      </c>
      <c r="AG749" s="55">
        <f t="shared" si="269"/>
        <v>0</v>
      </c>
      <c r="AH749" s="29">
        <f>SUM($AF$2:AF749)</f>
        <v>300</v>
      </c>
      <c r="AI749" s="55">
        <f>SUM($AG$2:AG749)</f>
        <v>299.99999999999824</v>
      </c>
    </row>
    <row r="750" spans="29:35" x14ac:dyDescent="0.2">
      <c r="AC750" s="50">
        <v>749</v>
      </c>
      <c r="AD750" s="51">
        <f t="shared" si="267"/>
        <v>0</v>
      </c>
      <c r="AE750" s="51">
        <f t="shared" si="269"/>
        <v>33333333.333333332</v>
      </c>
      <c r="AF750" s="51">
        <f t="shared" si="268"/>
        <v>0</v>
      </c>
      <c r="AG750" s="55">
        <f t="shared" si="269"/>
        <v>0</v>
      </c>
      <c r="AH750" s="29">
        <f>SUM($AF$2:AF750)</f>
        <v>300</v>
      </c>
      <c r="AI750" s="55">
        <f>SUM($AG$2:AG750)</f>
        <v>299.99999999999824</v>
      </c>
    </row>
    <row r="751" spans="29:35" x14ac:dyDescent="0.2">
      <c r="AC751" s="50">
        <v>750</v>
      </c>
      <c r="AD751" s="51">
        <f t="shared" si="267"/>
        <v>0</v>
      </c>
      <c r="AE751" s="51">
        <f t="shared" si="269"/>
        <v>33333333.333333332</v>
      </c>
      <c r="AF751" s="51">
        <f t="shared" si="268"/>
        <v>0</v>
      </c>
      <c r="AG751" s="55">
        <f t="shared" si="269"/>
        <v>0</v>
      </c>
      <c r="AH751" s="29">
        <f>SUM($AF$2:AF751)</f>
        <v>300</v>
      </c>
      <c r="AI751" s="55">
        <f>SUM($AG$2:AG751)</f>
        <v>299.99999999999824</v>
      </c>
    </row>
    <row r="752" spans="29:35" x14ac:dyDescent="0.2">
      <c r="AC752" s="50">
        <v>751</v>
      </c>
      <c r="AD752" s="51">
        <f t="shared" si="267"/>
        <v>0</v>
      </c>
      <c r="AE752" s="51">
        <f t="shared" si="269"/>
        <v>33333333.333333332</v>
      </c>
      <c r="AF752" s="51">
        <f t="shared" si="268"/>
        <v>0</v>
      </c>
      <c r="AG752" s="55">
        <f t="shared" si="269"/>
        <v>0</v>
      </c>
      <c r="AH752" s="29">
        <f>SUM($AF$2:AF752)</f>
        <v>300</v>
      </c>
      <c r="AI752" s="55">
        <f>SUM($AG$2:AG752)</f>
        <v>299.99999999999824</v>
      </c>
    </row>
    <row r="753" spans="29:35" x14ac:dyDescent="0.2">
      <c r="AC753" s="50">
        <v>752</v>
      </c>
      <c r="AD753" s="51">
        <f t="shared" si="267"/>
        <v>0</v>
      </c>
      <c r="AE753" s="51">
        <f t="shared" si="269"/>
        <v>0</v>
      </c>
      <c r="AF753" s="51">
        <f t="shared" si="268"/>
        <v>0</v>
      </c>
      <c r="AG753" s="55">
        <f t="shared" si="269"/>
        <v>0</v>
      </c>
      <c r="AH753" s="29">
        <f>SUM($AF$2:AF753)</f>
        <v>300</v>
      </c>
      <c r="AI753" s="55">
        <f>SUM($AG$2:AG753)</f>
        <v>299.99999999999824</v>
      </c>
    </row>
    <row r="754" spans="29:35" x14ac:dyDescent="0.2">
      <c r="AC754" s="50">
        <v>753</v>
      </c>
      <c r="AD754" s="51">
        <f t="shared" si="267"/>
        <v>0</v>
      </c>
      <c r="AE754" s="51">
        <f t="shared" si="269"/>
        <v>0</v>
      </c>
      <c r="AF754" s="51">
        <f t="shared" si="268"/>
        <v>0</v>
      </c>
      <c r="AG754" s="55">
        <f t="shared" si="269"/>
        <v>0</v>
      </c>
      <c r="AH754" s="29">
        <f>SUM($AF$2:AF754)</f>
        <v>300</v>
      </c>
      <c r="AI754" s="55">
        <f>SUM($AG$2:AG754)</f>
        <v>299.99999999999824</v>
      </c>
    </row>
    <row r="755" spans="29:35" x14ac:dyDescent="0.2">
      <c r="AC755" s="50">
        <v>754</v>
      </c>
      <c r="AD755" s="51">
        <f t="shared" si="267"/>
        <v>0</v>
      </c>
      <c r="AE755" s="51">
        <f t="shared" si="269"/>
        <v>0</v>
      </c>
      <c r="AF755" s="51">
        <f t="shared" si="268"/>
        <v>0</v>
      </c>
      <c r="AG755" s="55">
        <f t="shared" si="269"/>
        <v>0</v>
      </c>
      <c r="AH755" s="29">
        <f>SUM($AF$2:AF755)</f>
        <v>300</v>
      </c>
      <c r="AI755" s="55">
        <f>SUM($AG$2:AG755)</f>
        <v>299.99999999999824</v>
      </c>
    </row>
    <row r="756" spans="29:35" x14ac:dyDescent="0.2">
      <c r="AC756" s="50">
        <v>755</v>
      </c>
      <c r="AD756" s="51">
        <f t="shared" si="267"/>
        <v>0</v>
      </c>
      <c r="AE756" s="51">
        <f t="shared" si="269"/>
        <v>0</v>
      </c>
      <c r="AF756" s="51">
        <f t="shared" si="268"/>
        <v>0</v>
      </c>
      <c r="AG756" s="55">
        <f t="shared" si="269"/>
        <v>0</v>
      </c>
      <c r="AH756" s="29">
        <f>SUM($AF$2:AF756)</f>
        <v>300</v>
      </c>
      <c r="AI756" s="55">
        <f>SUM($AG$2:AG756)</f>
        <v>299.99999999999824</v>
      </c>
    </row>
    <row r="757" spans="29:35" x14ac:dyDescent="0.2">
      <c r="AC757" s="50">
        <v>756</v>
      </c>
      <c r="AD757" s="51">
        <f t="shared" si="267"/>
        <v>0</v>
      </c>
      <c r="AE757" s="51">
        <f t="shared" si="269"/>
        <v>33333333.333333332</v>
      </c>
      <c r="AF757" s="51">
        <f t="shared" si="268"/>
        <v>0</v>
      </c>
      <c r="AG757" s="55">
        <f t="shared" si="269"/>
        <v>0</v>
      </c>
      <c r="AH757" s="29">
        <f>SUM($AF$2:AF757)</f>
        <v>300</v>
      </c>
      <c r="AI757" s="55">
        <f>SUM($AG$2:AG757)</f>
        <v>299.99999999999824</v>
      </c>
    </row>
    <row r="758" spans="29:35" x14ac:dyDescent="0.2">
      <c r="AC758" s="50">
        <v>757</v>
      </c>
      <c r="AD758" s="51">
        <f t="shared" si="267"/>
        <v>0</v>
      </c>
      <c r="AE758" s="51">
        <f t="shared" si="269"/>
        <v>33333333.333333332</v>
      </c>
      <c r="AF758" s="51">
        <f t="shared" si="268"/>
        <v>0</v>
      </c>
      <c r="AG758" s="55">
        <f t="shared" si="269"/>
        <v>0</v>
      </c>
      <c r="AH758" s="29">
        <f>SUM($AF$2:AF758)</f>
        <v>300</v>
      </c>
      <c r="AI758" s="55">
        <f>SUM($AG$2:AG758)</f>
        <v>299.99999999999824</v>
      </c>
    </row>
    <row r="759" spans="29:35" x14ac:dyDescent="0.2">
      <c r="AC759" s="50">
        <v>758</v>
      </c>
      <c r="AD759" s="51">
        <f t="shared" si="267"/>
        <v>0</v>
      </c>
      <c r="AE759" s="51">
        <f t="shared" si="269"/>
        <v>33333333.333333332</v>
      </c>
      <c r="AF759" s="51">
        <f t="shared" si="268"/>
        <v>0</v>
      </c>
      <c r="AG759" s="55">
        <f t="shared" si="269"/>
        <v>0</v>
      </c>
      <c r="AH759" s="29">
        <f>SUM($AF$2:AF759)</f>
        <v>300</v>
      </c>
      <c r="AI759" s="55">
        <f>SUM($AG$2:AG759)</f>
        <v>299.99999999999824</v>
      </c>
    </row>
    <row r="760" spans="29:35" x14ac:dyDescent="0.2">
      <c r="AC760" s="50">
        <v>759</v>
      </c>
      <c r="AD760" s="51">
        <f t="shared" si="267"/>
        <v>0</v>
      </c>
      <c r="AE760" s="51">
        <f t="shared" si="269"/>
        <v>33333333.333333332</v>
      </c>
      <c r="AF760" s="51">
        <f t="shared" si="268"/>
        <v>0</v>
      </c>
      <c r="AG760" s="55">
        <f t="shared" si="269"/>
        <v>0</v>
      </c>
      <c r="AH760" s="29">
        <f>SUM($AF$2:AF760)</f>
        <v>300</v>
      </c>
      <c r="AI760" s="55">
        <f>SUM($AG$2:AG760)</f>
        <v>299.99999999999824</v>
      </c>
    </row>
    <row r="761" spans="29:35" x14ac:dyDescent="0.2">
      <c r="AC761" s="50">
        <v>760</v>
      </c>
      <c r="AD761" s="51">
        <f t="shared" si="267"/>
        <v>300000000</v>
      </c>
      <c r="AE761" s="51">
        <f t="shared" si="269"/>
        <v>33333333.333333332</v>
      </c>
      <c r="AF761" s="51">
        <f t="shared" si="268"/>
        <v>0</v>
      </c>
      <c r="AG761" s="55">
        <f t="shared" si="269"/>
        <v>0</v>
      </c>
      <c r="AH761" s="29">
        <f>SUM($AF$2:AF761)</f>
        <v>300</v>
      </c>
      <c r="AI761" s="55">
        <f>SUM($AG$2:AG761)</f>
        <v>299.99999999999824</v>
      </c>
    </row>
    <row r="762" spans="29:35" x14ac:dyDescent="0.2">
      <c r="AC762" s="50">
        <v>761</v>
      </c>
      <c r="AD762" s="51">
        <f t="shared" si="267"/>
        <v>0</v>
      </c>
      <c r="AE762" s="51">
        <f t="shared" si="269"/>
        <v>33333333.333333332</v>
      </c>
      <c r="AF762" s="51">
        <f t="shared" si="268"/>
        <v>0</v>
      </c>
      <c r="AG762" s="55">
        <f t="shared" si="269"/>
        <v>0</v>
      </c>
      <c r="AH762" s="29">
        <f>SUM($AF$2:AF762)</f>
        <v>300</v>
      </c>
      <c r="AI762" s="55">
        <f>SUM($AG$2:AG762)</f>
        <v>299.99999999999824</v>
      </c>
    </row>
    <row r="763" spans="29:35" x14ac:dyDescent="0.2">
      <c r="AC763" s="50">
        <v>762</v>
      </c>
      <c r="AD763" s="51">
        <f t="shared" si="267"/>
        <v>0</v>
      </c>
      <c r="AE763" s="51">
        <f t="shared" si="269"/>
        <v>33333333.333333332</v>
      </c>
      <c r="AF763" s="51">
        <f t="shared" si="268"/>
        <v>0</v>
      </c>
      <c r="AG763" s="55">
        <f t="shared" si="269"/>
        <v>0</v>
      </c>
      <c r="AH763" s="29">
        <f>SUM($AF$2:AF763)</f>
        <v>300</v>
      </c>
      <c r="AI763" s="55">
        <f>SUM($AG$2:AG763)</f>
        <v>299.99999999999824</v>
      </c>
    </row>
    <row r="764" spans="29:35" x14ac:dyDescent="0.2">
      <c r="AC764" s="50">
        <v>763</v>
      </c>
      <c r="AD764" s="51">
        <f t="shared" si="267"/>
        <v>0</v>
      </c>
      <c r="AE764" s="51">
        <f t="shared" si="269"/>
        <v>33333333.333333332</v>
      </c>
      <c r="AF764" s="51">
        <f t="shared" si="268"/>
        <v>0</v>
      </c>
      <c r="AG764" s="55">
        <f t="shared" si="269"/>
        <v>0</v>
      </c>
      <c r="AH764" s="29">
        <f>SUM($AF$2:AF764)</f>
        <v>300</v>
      </c>
      <c r="AI764" s="55">
        <f>SUM($AG$2:AG764)</f>
        <v>299.99999999999824</v>
      </c>
    </row>
    <row r="765" spans="29:35" x14ac:dyDescent="0.2">
      <c r="AC765" s="50">
        <v>764</v>
      </c>
      <c r="AD765" s="51">
        <f t="shared" si="267"/>
        <v>0</v>
      </c>
      <c r="AE765" s="51">
        <f t="shared" si="269"/>
        <v>33333333.333333332</v>
      </c>
      <c r="AF765" s="51">
        <f t="shared" si="268"/>
        <v>0</v>
      </c>
      <c r="AG765" s="55">
        <f t="shared" si="269"/>
        <v>0</v>
      </c>
      <c r="AH765" s="29">
        <f>SUM($AF$2:AF765)</f>
        <v>300</v>
      </c>
      <c r="AI765" s="55">
        <f>SUM($AG$2:AG765)</f>
        <v>299.99999999999824</v>
      </c>
    </row>
    <row r="766" spans="29:35" x14ac:dyDescent="0.2">
      <c r="AC766" s="50">
        <v>765</v>
      </c>
      <c r="AD766" s="51">
        <f t="shared" si="267"/>
        <v>0</v>
      </c>
      <c r="AE766" s="51">
        <f t="shared" si="269"/>
        <v>0</v>
      </c>
      <c r="AF766" s="51">
        <f t="shared" si="268"/>
        <v>0</v>
      </c>
      <c r="AG766" s="55">
        <f t="shared" si="269"/>
        <v>0</v>
      </c>
      <c r="AH766" s="29">
        <f>SUM($AF$2:AF766)</f>
        <v>300</v>
      </c>
      <c r="AI766" s="55">
        <f>SUM($AG$2:AG766)</f>
        <v>299.99999999999824</v>
      </c>
    </row>
    <row r="767" spans="29:35" x14ac:dyDescent="0.2">
      <c r="AC767" s="50">
        <v>766</v>
      </c>
      <c r="AD767" s="51">
        <f t="shared" si="267"/>
        <v>0</v>
      </c>
      <c r="AE767" s="51">
        <f t="shared" si="269"/>
        <v>0</v>
      </c>
      <c r="AF767" s="51">
        <f t="shared" si="268"/>
        <v>0</v>
      </c>
      <c r="AG767" s="55">
        <f t="shared" si="269"/>
        <v>0</v>
      </c>
      <c r="AH767" s="29">
        <f>SUM($AF$2:AF767)</f>
        <v>300</v>
      </c>
      <c r="AI767" s="55">
        <f>SUM($AG$2:AG767)</f>
        <v>299.99999999999824</v>
      </c>
    </row>
    <row r="768" spans="29:35" x14ac:dyDescent="0.2">
      <c r="AC768" s="50">
        <v>767</v>
      </c>
      <c r="AD768" s="51">
        <f t="shared" si="267"/>
        <v>0</v>
      </c>
      <c r="AE768" s="51">
        <f t="shared" si="269"/>
        <v>0</v>
      </c>
      <c r="AF768" s="51">
        <f t="shared" si="268"/>
        <v>0</v>
      </c>
      <c r="AG768" s="55">
        <f t="shared" si="269"/>
        <v>0</v>
      </c>
      <c r="AH768" s="29">
        <f>SUM($AF$2:AF768)</f>
        <v>300</v>
      </c>
      <c r="AI768" s="55">
        <f>SUM($AG$2:AG768)</f>
        <v>299.99999999999824</v>
      </c>
    </row>
    <row r="769" spans="29:35" x14ac:dyDescent="0.2">
      <c r="AC769" s="50">
        <v>768</v>
      </c>
      <c r="AD769" s="51">
        <f t="shared" si="267"/>
        <v>0</v>
      </c>
      <c r="AE769" s="51">
        <f t="shared" si="269"/>
        <v>0</v>
      </c>
      <c r="AF769" s="51">
        <f t="shared" si="268"/>
        <v>0</v>
      </c>
      <c r="AG769" s="55">
        <f t="shared" si="269"/>
        <v>0</v>
      </c>
      <c r="AH769" s="29">
        <f>SUM($AF$2:AF769)</f>
        <v>300</v>
      </c>
      <c r="AI769" s="55">
        <f>SUM($AG$2:AG769)</f>
        <v>299.99999999999824</v>
      </c>
    </row>
    <row r="770" spans="29:35" x14ac:dyDescent="0.2">
      <c r="AC770" s="50">
        <v>769</v>
      </c>
      <c r="AD770" s="51">
        <f t="shared" si="267"/>
        <v>0</v>
      </c>
      <c r="AE770" s="51">
        <f t="shared" si="269"/>
        <v>33333333.333333332</v>
      </c>
      <c r="AF770" s="51">
        <f t="shared" si="268"/>
        <v>0</v>
      </c>
      <c r="AG770" s="55">
        <f t="shared" si="269"/>
        <v>0</v>
      </c>
      <c r="AH770" s="29">
        <f>SUM($AF$2:AF770)</f>
        <v>300</v>
      </c>
      <c r="AI770" s="55">
        <f>SUM($AG$2:AG770)</f>
        <v>299.99999999999824</v>
      </c>
    </row>
    <row r="771" spans="29:35" x14ac:dyDescent="0.2">
      <c r="AC771" s="50">
        <v>770</v>
      </c>
      <c r="AD771" s="51">
        <f t="shared" ref="AD771:AD801" si="270">SUMIF($Y$2:$Y$682, AC771, $Z$2:$Z$682)</f>
        <v>0</v>
      </c>
      <c r="AE771" s="51">
        <f t="shared" si="269"/>
        <v>33333333.333333332</v>
      </c>
      <c r="AF771" s="51">
        <f t="shared" ref="AF771:AF801" si="271">SUMIF($Y$2:$Y$682, AC771, $AA$2:$AA$682)</f>
        <v>0</v>
      </c>
      <c r="AG771" s="55">
        <f t="shared" si="269"/>
        <v>0</v>
      </c>
      <c r="AH771" s="29">
        <f>SUM($AF$2:AF771)</f>
        <v>300</v>
      </c>
      <c r="AI771" s="55">
        <f>SUM($AG$2:AG771)</f>
        <v>299.99999999999824</v>
      </c>
    </row>
    <row r="772" spans="29:35" x14ac:dyDescent="0.2">
      <c r="AC772" s="50">
        <v>771</v>
      </c>
      <c r="AD772" s="51">
        <f t="shared" si="270"/>
        <v>0</v>
      </c>
      <c r="AE772" s="51">
        <f t="shared" si="269"/>
        <v>33333333.333333332</v>
      </c>
      <c r="AF772" s="51">
        <f t="shared" si="271"/>
        <v>0</v>
      </c>
      <c r="AG772" s="55">
        <f t="shared" si="269"/>
        <v>0</v>
      </c>
      <c r="AH772" s="29">
        <f>SUM($AF$2:AF772)</f>
        <v>300</v>
      </c>
      <c r="AI772" s="55">
        <f>SUM($AG$2:AG772)</f>
        <v>299.99999999999824</v>
      </c>
    </row>
    <row r="773" spans="29:35" x14ac:dyDescent="0.2">
      <c r="AC773" s="50">
        <v>772</v>
      </c>
      <c r="AD773" s="51">
        <f t="shared" si="270"/>
        <v>0</v>
      </c>
      <c r="AE773" s="51">
        <f t="shared" si="269"/>
        <v>33333333.333333332</v>
      </c>
      <c r="AF773" s="51">
        <f t="shared" si="271"/>
        <v>0</v>
      </c>
      <c r="AG773" s="55">
        <f t="shared" si="269"/>
        <v>0</v>
      </c>
      <c r="AH773" s="29">
        <f>SUM($AF$2:AF773)</f>
        <v>300</v>
      </c>
      <c r="AI773" s="55">
        <f>SUM($AG$2:AG773)</f>
        <v>299.99999999999824</v>
      </c>
    </row>
    <row r="774" spans="29:35" x14ac:dyDescent="0.2">
      <c r="AC774" s="50">
        <v>773</v>
      </c>
      <c r="AD774" s="51">
        <f t="shared" si="270"/>
        <v>300000000</v>
      </c>
      <c r="AE774" s="51">
        <f t="shared" si="269"/>
        <v>33333333.333333332</v>
      </c>
      <c r="AF774" s="51">
        <f t="shared" si="271"/>
        <v>0</v>
      </c>
      <c r="AG774" s="55">
        <f t="shared" si="269"/>
        <v>0</v>
      </c>
      <c r="AH774" s="29">
        <f>SUM($AF$2:AF774)</f>
        <v>300</v>
      </c>
      <c r="AI774" s="55">
        <f>SUM($AG$2:AG774)</f>
        <v>299.99999999999824</v>
      </c>
    </row>
    <row r="775" spans="29:35" x14ac:dyDescent="0.2">
      <c r="AC775" s="50">
        <v>774</v>
      </c>
      <c r="AD775" s="51">
        <f t="shared" si="270"/>
        <v>0</v>
      </c>
      <c r="AE775" s="51">
        <f t="shared" ref="AE775:AG797" si="272">AVERAGE(AD771:AD779)</f>
        <v>33333333.333333332</v>
      </c>
      <c r="AF775" s="51">
        <f t="shared" si="271"/>
        <v>0</v>
      </c>
      <c r="AG775" s="55">
        <f t="shared" si="272"/>
        <v>0</v>
      </c>
      <c r="AH775" s="29">
        <f>SUM($AF$2:AF775)</f>
        <v>300</v>
      </c>
      <c r="AI775" s="55">
        <f>SUM($AG$2:AG775)</f>
        <v>299.99999999999824</v>
      </c>
    </row>
    <row r="776" spans="29:35" x14ac:dyDescent="0.2">
      <c r="AC776" s="50">
        <v>775</v>
      </c>
      <c r="AD776" s="51">
        <f t="shared" si="270"/>
        <v>0</v>
      </c>
      <c r="AE776" s="51">
        <f t="shared" si="272"/>
        <v>33333333.333333332</v>
      </c>
      <c r="AF776" s="51">
        <f t="shared" si="271"/>
        <v>0</v>
      </c>
      <c r="AG776" s="55">
        <f t="shared" si="272"/>
        <v>0</v>
      </c>
      <c r="AH776" s="29">
        <f>SUM($AF$2:AF776)</f>
        <v>300</v>
      </c>
      <c r="AI776" s="55">
        <f>SUM($AG$2:AG776)</f>
        <v>299.99999999999824</v>
      </c>
    </row>
    <row r="777" spans="29:35" x14ac:dyDescent="0.2">
      <c r="AC777" s="50">
        <v>776</v>
      </c>
      <c r="AD777" s="51">
        <f t="shared" si="270"/>
        <v>0</v>
      </c>
      <c r="AE777" s="51">
        <f t="shared" si="272"/>
        <v>33333333.333333332</v>
      </c>
      <c r="AF777" s="51">
        <f t="shared" si="271"/>
        <v>0</v>
      </c>
      <c r="AG777" s="55">
        <f t="shared" si="272"/>
        <v>0</v>
      </c>
      <c r="AH777" s="29">
        <f>SUM($AF$2:AF777)</f>
        <v>300</v>
      </c>
      <c r="AI777" s="55">
        <f>SUM($AG$2:AG777)</f>
        <v>299.99999999999824</v>
      </c>
    </row>
    <row r="778" spans="29:35" x14ac:dyDescent="0.2">
      <c r="AC778" s="50">
        <v>777</v>
      </c>
      <c r="AD778" s="51">
        <f t="shared" si="270"/>
        <v>0</v>
      </c>
      <c r="AE778" s="51">
        <f t="shared" si="272"/>
        <v>33333333.333333332</v>
      </c>
      <c r="AF778" s="51">
        <f t="shared" si="271"/>
        <v>0</v>
      </c>
      <c r="AG778" s="55">
        <f t="shared" si="272"/>
        <v>0</v>
      </c>
      <c r="AH778" s="29">
        <f>SUM($AF$2:AF778)</f>
        <v>300</v>
      </c>
      <c r="AI778" s="55">
        <f>SUM($AG$2:AG778)</f>
        <v>299.99999999999824</v>
      </c>
    </row>
    <row r="779" spans="29:35" x14ac:dyDescent="0.2">
      <c r="AC779" s="50">
        <v>778</v>
      </c>
      <c r="AD779" s="51">
        <f t="shared" si="270"/>
        <v>0</v>
      </c>
      <c r="AE779" s="51">
        <f t="shared" si="272"/>
        <v>33333333.333333332</v>
      </c>
      <c r="AF779" s="51">
        <f t="shared" si="271"/>
        <v>0</v>
      </c>
      <c r="AG779" s="55">
        <f t="shared" si="272"/>
        <v>0</v>
      </c>
      <c r="AH779" s="29">
        <f>SUM($AF$2:AF779)</f>
        <v>300</v>
      </c>
      <c r="AI779" s="55">
        <f>SUM($AG$2:AG779)</f>
        <v>299.99999999999824</v>
      </c>
    </row>
    <row r="780" spans="29:35" x14ac:dyDescent="0.2">
      <c r="AC780" s="50">
        <v>779</v>
      </c>
      <c r="AD780" s="51">
        <f t="shared" si="270"/>
        <v>0</v>
      </c>
      <c r="AE780" s="51">
        <f t="shared" si="272"/>
        <v>33333333.333333332</v>
      </c>
      <c r="AF780" s="51">
        <f t="shared" si="271"/>
        <v>0</v>
      </c>
      <c r="AG780" s="55">
        <f t="shared" si="272"/>
        <v>0</v>
      </c>
      <c r="AH780" s="29">
        <f>SUM($AF$2:AF780)</f>
        <v>300</v>
      </c>
      <c r="AI780" s="55">
        <f>SUM($AG$2:AG780)</f>
        <v>299.99999999999824</v>
      </c>
    </row>
    <row r="781" spans="29:35" x14ac:dyDescent="0.2">
      <c r="AC781" s="50">
        <v>780</v>
      </c>
      <c r="AD781" s="51">
        <f t="shared" si="270"/>
        <v>0</v>
      </c>
      <c r="AE781" s="51">
        <f t="shared" si="272"/>
        <v>33333333.333333332</v>
      </c>
      <c r="AF781" s="51">
        <f t="shared" si="271"/>
        <v>0</v>
      </c>
      <c r="AG781" s="55">
        <f t="shared" si="272"/>
        <v>0</v>
      </c>
      <c r="AH781" s="29">
        <f>SUM($AF$2:AF781)</f>
        <v>300</v>
      </c>
      <c r="AI781" s="55">
        <f>SUM($AG$2:AG781)</f>
        <v>299.99999999999824</v>
      </c>
    </row>
    <row r="782" spans="29:35" x14ac:dyDescent="0.2">
      <c r="AC782" s="50">
        <v>781</v>
      </c>
      <c r="AD782" s="51">
        <f t="shared" si="270"/>
        <v>0</v>
      </c>
      <c r="AE782" s="51">
        <f t="shared" si="272"/>
        <v>33333333.333333332</v>
      </c>
      <c r="AF782" s="51">
        <f t="shared" si="271"/>
        <v>0</v>
      </c>
      <c r="AG782" s="55">
        <f t="shared" si="272"/>
        <v>0</v>
      </c>
      <c r="AH782" s="29">
        <f>SUM($AF$2:AF782)</f>
        <v>300</v>
      </c>
      <c r="AI782" s="55">
        <f>SUM($AG$2:AG782)</f>
        <v>299.99999999999824</v>
      </c>
    </row>
    <row r="783" spans="29:35" x14ac:dyDescent="0.2">
      <c r="AC783" s="50">
        <v>782</v>
      </c>
      <c r="AD783" s="51">
        <f t="shared" si="270"/>
        <v>300000000</v>
      </c>
      <c r="AE783" s="51">
        <f t="shared" si="272"/>
        <v>33333333.333333332</v>
      </c>
      <c r="AF783" s="51">
        <f t="shared" si="271"/>
        <v>0</v>
      </c>
      <c r="AG783" s="55">
        <f t="shared" si="272"/>
        <v>0</v>
      </c>
      <c r="AH783" s="29">
        <f>SUM($AF$2:AF783)</f>
        <v>300</v>
      </c>
      <c r="AI783" s="55">
        <f>SUM($AG$2:AG783)</f>
        <v>299.99999999999824</v>
      </c>
    </row>
    <row r="784" spans="29:35" x14ac:dyDescent="0.2">
      <c r="AC784" s="50">
        <v>783</v>
      </c>
      <c r="AD784" s="51">
        <f t="shared" si="270"/>
        <v>0</v>
      </c>
      <c r="AE784" s="51">
        <f t="shared" si="272"/>
        <v>33333333.333333332</v>
      </c>
      <c r="AF784" s="51">
        <f t="shared" si="271"/>
        <v>0</v>
      </c>
      <c r="AG784" s="55">
        <f t="shared" si="272"/>
        <v>0</v>
      </c>
      <c r="AH784" s="29">
        <f>SUM($AF$2:AF784)</f>
        <v>300</v>
      </c>
      <c r="AI784" s="55">
        <f>SUM($AG$2:AG784)</f>
        <v>299.99999999999824</v>
      </c>
    </row>
    <row r="785" spans="29:35" x14ac:dyDescent="0.2">
      <c r="AC785" s="50">
        <v>784</v>
      </c>
      <c r="AD785" s="51">
        <f t="shared" si="270"/>
        <v>0</v>
      </c>
      <c r="AE785" s="51">
        <f t="shared" si="272"/>
        <v>33333333.333333332</v>
      </c>
      <c r="AF785" s="51">
        <f t="shared" si="271"/>
        <v>0</v>
      </c>
      <c r="AG785" s="55">
        <f t="shared" si="272"/>
        <v>0</v>
      </c>
      <c r="AH785" s="29">
        <f>SUM($AF$2:AF785)</f>
        <v>300</v>
      </c>
      <c r="AI785" s="55">
        <f>SUM($AG$2:AG785)</f>
        <v>299.99999999999824</v>
      </c>
    </row>
    <row r="786" spans="29:35" x14ac:dyDescent="0.2">
      <c r="AC786" s="50">
        <v>785</v>
      </c>
      <c r="AD786" s="51">
        <f t="shared" si="270"/>
        <v>0</v>
      </c>
      <c r="AE786" s="51">
        <f t="shared" si="272"/>
        <v>33333333.333333332</v>
      </c>
      <c r="AF786" s="51">
        <f t="shared" si="271"/>
        <v>0</v>
      </c>
      <c r="AG786" s="55">
        <f t="shared" si="272"/>
        <v>0</v>
      </c>
      <c r="AH786" s="29">
        <f>SUM($AF$2:AF786)</f>
        <v>300</v>
      </c>
      <c r="AI786" s="55">
        <f>SUM($AG$2:AG786)</f>
        <v>299.99999999999824</v>
      </c>
    </row>
    <row r="787" spans="29:35" x14ac:dyDescent="0.2">
      <c r="AC787" s="50">
        <v>786</v>
      </c>
      <c r="AD787" s="51">
        <f t="shared" si="270"/>
        <v>0</v>
      </c>
      <c r="AE787" s="51">
        <f t="shared" si="272"/>
        <v>33333333.333333332</v>
      </c>
      <c r="AF787" s="51">
        <f t="shared" si="271"/>
        <v>0</v>
      </c>
      <c r="AG787" s="55">
        <f t="shared" si="272"/>
        <v>0</v>
      </c>
      <c r="AH787" s="29">
        <f>SUM($AF$2:AF787)</f>
        <v>300</v>
      </c>
      <c r="AI787" s="55">
        <f>SUM($AG$2:AG787)</f>
        <v>299.99999999999824</v>
      </c>
    </row>
    <row r="788" spans="29:35" x14ac:dyDescent="0.2">
      <c r="AC788" s="50">
        <v>787</v>
      </c>
      <c r="AD788" s="51">
        <f t="shared" si="270"/>
        <v>0</v>
      </c>
      <c r="AE788" s="51">
        <f t="shared" si="272"/>
        <v>0</v>
      </c>
      <c r="AF788" s="51">
        <f t="shared" si="271"/>
        <v>0</v>
      </c>
      <c r="AG788" s="55">
        <f t="shared" si="272"/>
        <v>0</v>
      </c>
      <c r="AH788" s="29">
        <f>SUM($AF$2:AF788)</f>
        <v>300</v>
      </c>
      <c r="AI788" s="55">
        <f>SUM($AG$2:AG788)</f>
        <v>299.99999999999824</v>
      </c>
    </row>
    <row r="789" spans="29:35" x14ac:dyDescent="0.2">
      <c r="AC789" s="50">
        <v>788</v>
      </c>
      <c r="AD789" s="51">
        <f t="shared" si="270"/>
        <v>0</v>
      </c>
      <c r="AE789" s="51">
        <f t="shared" si="272"/>
        <v>0</v>
      </c>
      <c r="AF789" s="51">
        <f t="shared" si="271"/>
        <v>0</v>
      </c>
      <c r="AG789" s="55">
        <f t="shared" si="272"/>
        <v>0</v>
      </c>
      <c r="AH789" s="29">
        <f>SUM($AF$2:AF789)</f>
        <v>300</v>
      </c>
      <c r="AI789" s="55">
        <f>SUM($AG$2:AG789)</f>
        <v>299.99999999999824</v>
      </c>
    </row>
    <row r="790" spans="29:35" x14ac:dyDescent="0.2">
      <c r="AC790" s="50">
        <v>789</v>
      </c>
      <c r="AD790" s="51">
        <f t="shared" si="270"/>
        <v>0</v>
      </c>
      <c r="AE790" s="51">
        <f t="shared" si="272"/>
        <v>0</v>
      </c>
      <c r="AF790" s="51">
        <f t="shared" si="271"/>
        <v>0</v>
      </c>
      <c r="AG790" s="55">
        <f t="shared" si="272"/>
        <v>0</v>
      </c>
      <c r="AH790" s="29">
        <f>SUM($AF$2:AF790)</f>
        <v>300</v>
      </c>
      <c r="AI790" s="55">
        <f>SUM($AG$2:AG790)</f>
        <v>299.99999999999824</v>
      </c>
    </row>
    <row r="791" spans="29:35" x14ac:dyDescent="0.2">
      <c r="AC791" s="50">
        <v>790</v>
      </c>
      <c r="AD791" s="51">
        <f t="shared" si="270"/>
        <v>0</v>
      </c>
      <c r="AE791" s="51">
        <f t="shared" si="272"/>
        <v>0</v>
      </c>
      <c r="AF791" s="51">
        <f t="shared" si="271"/>
        <v>0</v>
      </c>
      <c r="AG791" s="55">
        <f t="shared" si="272"/>
        <v>0</v>
      </c>
      <c r="AH791" s="29">
        <f>SUM($AF$2:AF791)</f>
        <v>300</v>
      </c>
      <c r="AI791" s="55">
        <f>SUM($AG$2:AG791)</f>
        <v>299.99999999999824</v>
      </c>
    </row>
    <row r="792" spans="29:35" x14ac:dyDescent="0.2">
      <c r="AC792" s="50">
        <v>791</v>
      </c>
      <c r="AD792" s="51">
        <f t="shared" si="270"/>
        <v>0</v>
      </c>
      <c r="AE792" s="51">
        <f t="shared" si="272"/>
        <v>0</v>
      </c>
      <c r="AF792" s="51">
        <f t="shared" si="271"/>
        <v>0</v>
      </c>
      <c r="AG792" s="55">
        <f t="shared" si="272"/>
        <v>0</v>
      </c>
      <c r="AH792" s="29">
        <f>SUM($AF$2:AF792)</f>
        <v>300</v>
      </c>
      <c r="AI792" s="55">
        <f>SUM($AG$2:AG792)</f>
        <v>299.99999999999824</v>
      </c>
    </row>
    <row r="793" spans="29:35" x14ac:dyDescent="0.2">
      <c r="AC793" s="50">
        <v>792</v>
      </c>
      <c r="AD793" s="51">
        <f t="shared" si="270"/>
        <v>0</v>
      </c>
      <c r="AE793" s="51">
        <f t="shared" si="272"/>
        <v>0</v>
      </c>
      <c r="AF793" s="51">
        <f t="shared" si="271"/>
        <v>0</v>
      </c>
      <c r="AG793" s="55">
        <f t="shared" si="272"/>
        <v>0</v>
      </c>
      <c r="AH793" s="29">
        <f>SUM($AF$2:AF793)</f>
        <v>300</v>
      </c>
      <c r="AI793" s="55">
        <f>SUM($AG$2:AG793)</f>
        <v>299.99999999999824</v>
      </c>
    </row>
    <row r="794" spans="29:35" x14ac:dyDescent="0.2">
      <c r="AC794" s="50">
        <v>793</v>
      </c>
      <c r="AD794" s="51">
        <f t="shared" si="270"/>
        <v>0</v>
      </c>
      <c r="AE794" s="51">
        <f t="shared" si="272"/>
        <v>0</v>
      </c>
      <c r="AF794" s="51">
        <f t="shared" si="271"/>
        <v>0</v>
      </c>
      <c r="AG794" s="55">
        <f t="shared" si="272"/>
        <v>0</v>
      </c>
      <c r="AH794" s="29">
        <f>SUM($AF$2:AF794)</f>
        <v>300</v>
      </c>
      <c r="AI794" s="55">
        <f>SUM($AG$2:AG794)</f>
        <v>299.99999999999824</v>
      </c>
    </row>
    <row r="795" spans="29:35" x14ac:dyDescent="0.2">
      <c r="AC795" s="50">
        <v>794</v>
      </c>
      <c r="AD795" s="51">
        <f t="shared" si="270"/>
        <v>0</v>
      </c>
      <c r="AE795" s="51">
        <f t="shared" si="272"/>
        <v>0</v>
      </c>
      <c r="AF795" s="51">
        <f t="shared" si="271"/>
        <v>0</v>
      </c>
      <c r="AG795" s="55">
        <f t="shared" si="272"/>
        <v>0</v>
      </c>
      <c r="AH795" s="29">
        <f>SUM($AF$2:AF795)</f>
        <v>300</v>
      </c>
      <c r="AI795" s="55">
        <f>SUM($AG$2:AG795)</f>
        <v>299.99999999999824</v>
      </c>
    </row>
    <row r="796" spans="29:35" x14ac:dyDescent="0.2">
      <c r="AC796" s="50">
        <v>795</v>
      </c>
      <c r="AD796" s="51">
        <f t="shared" si="270"/>
        <v>0</v>
      </c>
      <c r="AE796" s="51">
        <f t="shared" si="272"/>
        <v>0</v>
      </c>
      <c r="AF796" s="51">
        <f t="shared" si="271"/>
        <v>0</v>
      </c>
      <c r="AG796" s="55">
        <f t="shared" si="272"/>
        <v>0</v>
      </c>
      <c r="AH796" s="29">
        <f>SUM($AF$2:AF796)</f>
        <v>300</v>
      </c>
      <c r="AI796" s="55">
        <f>SUM($AG$2:AG796)</f>
        <v>299.99999999999824</v>
      </c>
    </row>
    <row r="797" spans="29:35" x14ac:dyDescent="0.2">
      <c r="AC797" s="50">
        <v>796</v>
      </c>
      <c r="AD797" s="51">
        <f t="shared" si="270"/>
        <v>0</v>
      </c>
      <c r="AE797" s="51">
        <f t="shared" si="272"/>
        <v>0</v>
      </c>
      <c r="AF797" s="51">
        <f t="shared" si="271"/>
        <v>0</v>
      </c>
      <c r="AG797" s="55">
        <f t="shared" si="272"/>
        <v>0</v>
      </c>
      <c r="AH797" s="29">
        <f>SUM($AF$2:AF797)</f>
        <v>300</v>
      </c>
      <c r="AI797" s="55">
        <f>SUM($AG$2:AG797)</f>
        <v>299.99999999999824</v>
      </c>
    </row>
    <row r="798" spans="29:35" x14ac:dyDescent="0.2">
      <c r="AC798" s="50">
        <v>797</v>
      </c>
      <c r="AD798" s="51">
        <f t="shared" si="270"/>
        <v>0</v>
      </c>
      <c r="AE798" s="51">
        <v>0</v>
      </c>
      <c r="AF798" s="51">
        <f t="shared" si="271"/>
        <v>0</v>
      </c>
      <c r="AG798" s="55">
        <v>0</v>
      </c>
      <c r="AH798" s="29">
        <f>SUM($AF$2:AF798)</f>
        <v>300</v>
      </c>
      <c r="AI798" s="55">
        <f>SUM($AG$2:AG798)</f>
        <v>299.99999999999824</v>
      </c>
    </row>
    <row r="799" spans="29:35" x14ac:dyDescent="0.2">
      <c r="AC799" s="50">
        <v>798</v>
      </c>
      <c r="AD799" s="51">
        <f t="shared" si="270"/>
        <v>0</v>
      </c>
      <c r="AE799" s="51">
        <v>0</v>
      </c>
      <c r="AF799" s="51">
        <f t="shared" si="271"/>
        <v>0</v>
      </c>
      <c r="AG799" s="55">
        <v>0</v>
      </c>
      <c r="AH799" s="29">
        <f>SUM($AF$2:AF799)</f>
        <v>300</v>
      </c>
      <c r="AI799" s="55">
        <f>SUM($AG$2:AG799)</f>
        <v>299.99999999999824</v>
      </c>
    </row>
    <row r="800" spans="29:35" x14ac:dyDescent="0.2">
      <c r="AC800" s="50">
        <v>799</v>
      </c>
      <c r="AD800" s="51">
        <f t="shared" si="270"/>
        <v>0</v>
      </c>
      <c r="AE800" s="51">
        <v>0</v>
      </c>
      <c r="AF800" s="51">
        <f t="shared" si="271"/>
        <v>0</v>
      </c>
      <c r="AG800" s="55">
        <v>0</v>
      </c>
      <c r="AH800" s="29">
        <f>SUM($AF$2:AF800)</f>
        <v>300</v>
      </c>
      <c r="AI800" s="55">
        <f>SUM($AG$2:AG800)</f>
        <v>299.99999999999824</v>
      </c>
    </row>
    <row r="801" spans="29:35" ht="13.5" thickBot="1" x14ac:dyDescent="0.25">
      <c r="AC801" s="52">
        <v>800</v>
      </c>
      <c r="AD801" s="57">
        <f t="shared" si="270"/>
        <v>0</v>
      </c>
      <c r="AE801" s="57">
        <v>0</v>
      </c>
      <c r="AF801" s="57">
        <f t="shared" si="271"/>
        <v>0</v>
      </c>
      <c r="AG801" s="58">
        <v>0</v>
      </c>
      <c r="AH801" s="34">
        <f>SUM($AF$2:AF801)</f>
        <v>300</v>
      </c>
      <c r="AI801" s="58">
        <f>SUM($AG$2:AG801)</f>
        <v>299.99999999999824</v>
      </c>
    </row>
    <row r="802" spans="29:35" x14ac:dyDescent="0.2">
      <c r="AD802" s="29">
        <f>SUM(AD2:AD801)</f>
        <v>112773968860</v>
      </c>
      <c r="AE802" s="29">
        <f>SUM(AE2:AE801)</f>
        <v>112773968859.99942</v>
      </c>
      <c r="AF802" s="29">
        <f>SUM(AF2:AF801)</f>
        <v>300</v>
      </c>
      <c r="AG802" s="56">
        <f>SUM(AG2:AG801)</f>
        <v>299.99999999999824</v>
      </c>
    </row>
  </sheetData>
  <sortState xmlns:xlrd2="http://schemas.microsoft.com/office/spreadsheetml/2017/richdata2" ref="A2:AA682">
    <sortCondition ref="Y6:Y682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708A-F951-487A-8225-4221F18EA8C8}">
  <dimension ref="A1:F1000"/>
  <sheetViews>
    <sheetView workbookViewId="0">
      <selection activeCell="F1" sqref="F1:F270"/>
    </sheetView>
  </sheetViews>
  <sheetFormatPr baseColWidth="10" defaultRowHeight="12.75" x14ac:dyDescent="0.2"/>
  <cols>
    <col min="1" max="1" width="6.7109375" style="42" bestFit="1" customWidth="1"/>
    <col min="2" max="2" width="13.85546875" style="42" bestFit="1" customWidth="1"/>
    <col min="4" max="4" width="6.7109375" style="42" bestFit="1" customWidth="1"/>
    <col min="5" max="5" width="11.28515625" style="42" bestFit="1" customWidth="1"/>
    <col min="6" max="6" width="12.28515625" bestFit="1" customWidth="1"/>
  </cols>
  <sheetData>
    <row r="1" spans="1:6" x14ac:dyDescent="0.2">
      <c r="A1" s="42">
        <v>1</v>
      </c>
      <c r="B1" s="42">
        <v>400</v>
      </c>
      <c r="D1" s="42">
        <v>1</v>
      </c>
      <c r="E1" s="42">
        <v>65368</v>
      </c>
    </row>
    <row r="2" spans="1:6" x14ac:dyDescent="0.2">
      <c r="A2" s="42">
        <v>2</v>
      </c>
      <c r="B2" s="42">
        <v>900</v>
      </c>
      <c r="D2" s="42">
        <v>2</v>
      </c>
      <c r="E2" s="42">
        <v>78646</v>
      </c>
    </row>
    <row r="3" spans="1:6" x14ac:dyDescent="0.2">
      <c r="A3" s="42">
        <v>3</v>
      </c>
      <c r="B3" s="42">
        <v>1400</v>
      </c>
      <c r="D3" s="42">
        <v>3</v>
      </c>
      <c r="E3" s="42">
        <v>94079</v>
      </c>
    </row>
    <row r="4" spans="1:6" x14ac:dyDescent="0.2">
      <c r="A4" s="42">
        <v>4</v>
      </c>
      <c r="B4" s="42">
        <v>1800</v>
      </c>
      <c r="D4" s="42">
        <v>4</v>
      </c>
      <c r="E4" s="42">
        <v>111819</v>
      </c>
    </row>
    <row r="5" spans="1:6" x14ac:dyDescent="0.2">
      <c r="A5" s="42">
        <v>5</v>
      </c>
      <c r="B5" s="42">
        <v>2200</v>
      </c>
      <c r="D5" s="42">
        <v>5</v>
      </c>
      <c r="E5" s="42">
        <v>132262</v>
      </c>
    </row>
    <row r="6" spans="1:6" x14ac:dyDescent="0.2">
      <c r="A6" s="42">
        <v>6</v>
      </c>
      <c r="B6" s="42">
        <v>2890</v>
      </c>
      <c r="D6" s="42">
        <v>6</v>
      </c>
      <c r="E6" s="42">
        <v>155508</v>
      </c>
    </row>
    <row r="7" spans="1:6" x14ac:dyDescent="0.2">
      <c r="A7" s="42">
        <v>7</v>
      </c>
      <c r="B7" s="42">
        <v>3580</v>
      </c>
      <c r="D7" s="42">
        <v>7</v>
      </c>
      <c r="E7" s="42">
        <v>182146</v>
      </c>
    </row>
    <row r="8" spans="1:6" x14ac:dyDescent="0.2">
      <c r="A8" s="42">
        <v>8</v>
      </c>
      <c r="B8" s="42">
        <v>4405</v>
      </c>
      <c r="D8" s="42">
        <v>8</v>
      </c>
      <c r="E8" s="42">
        <v>212225</v>
      </c>
    </row>
    <row r="9" spans="1:6" x14ac:dyDescent="0.2">
      <c r="A9" s="42">
        <v>9</v>
      </c>
      <c r="B9" s="42">
        <v>5355</v>
      </c>
      <c r="D9" s="42">
        <v>9</v>
      </c>
      <c r="E9" s="42">
        <v>246371</v>
      </c>
    </row>
    <row r="10" spans="1:6" x14ac:dyDescent="0.2">
      <c r="A10" s="42">
        <v>10</v>
      </c>
      <c r="B10" s="42">
        <v>6435</v>
      </c>
      <c r="D10" s="42">
        <v>10</v>
      </c>
      <c r="E10" s="42">
        <v>284763</v>
      </c>
      <c r="F10" s="43">
        <f>SUM(E1:E10)</f>
        <v>1563187</v>
      </c>
    </row>
    <row r="11" spans="1:6" x14ac:dyDescent="0.2">
      <c r="A11" s="42">
        <v>11</v>
      </c>
      <c r="B11" s="42">
        <v>7515</v>
      </c>
      <c r="D11" s="42">
        <v>11</v>
      </c>
      <c r="E11" s="42">
        <v>328069</v>
      </c>
    </row>
    <row r="12" spans="1:6" x14ac:dyDescent="0.2">
      <c r="A12" s="42">
        <v>12</v>
      </c>
      <c r="B12" s="42">
        <v>8925</v>
      </c>
      <c r="D12" s="42">
        <v>12</v>
      </c>
      <c r="E12" s="42">
        <v>346770</v>
      </c>
    </row>
    <row r="13" spans="1:6" x14ac:dyDescent="0.2">
      <c r="A13" s="42">
        <v>13</v>
      </c>
      <c r="B13" s="42">
        <v>10335</v>
      </c>
      <c r="D13" s="42">
        <v>13</v>
      </c>
      <c r="E13" s="42">
        <v>366397</v>
      </c>
    </row>
    <row r="14" spans="1:6" x14ac:dyDescent="0.2">
      <c r="A14" s="42">
        <v>14</v>
      </c>
      <c r="B14" s="42">
        <v>11975</v>
      </c>
      <c r="D14" s="42">
        <v>14</v>
      </c>
      <c r="E14" s="42">
        <v>386895</v>
      </c>
    </row>
    <row r="15" spans="1:6" x14ac:dyDescent="0.2">
      <c r="A15" s="42">
        <v>15</v>
      </c>
      <c r="B15" s="42">
        <v>13715</v>
      </c>
      <c r="D15" s="42">
        <v>15</v>
      </c>
      <c r="E15" s="42">
        <v>408294</v>
      </c>
    </row>
    <row r="16" spans="1:6" x14ac:dyDescent="0.2">
      <c r="A16" s="42">
        <v>16</v>
      </c>
      <c r="B16" s="42">
        <v>15730</v>
      </c>
      <c r="D16" s="42">
        <v>16</v>
      </c>
      <c r="E16" s="42">
        <v>430720</v>
      </c>
    </row>
    <row r="17" spans="1:6" x14ac:dyDescent="0.2">
      <c r="A17" s="42">
        <v>17</v>
      </c>
      <c r="B17" s="42">
        <v>17745</v>
      </c>
      <c r="D17" s="42">
        <v>17</v>
      </c>
      <c r="E17" s="42">
        <v>454114</v>
      </c>
    </row>
    <row r="18" spans="1:6" x14ac:dyDescent="0.2">
      <c r="A18" s="42">
        <v>18</v>
      </c>
      <c r="B18" s="42">
        <v>20250</v>
      </c>
      <c r="D18" s="42">
        <v>18</v>
      </c>
      <c r="E18" s="42">
        <v>478510</v>
      </c>
    </row>
    <row r="19" spans="1:6" x14ac:dyDescent="0.2">
      <c r="A19" s="42">
        <v>19</v>
      </c>
      <c r="B19" s="42">
        <v>22755</v>
      </c>
      <c r="D19" s="42">
        <v>19</v>
      </c>
      <c r="E19" s="42">
        <v>504046</v>
      </c>
    </row>
    <row r="20" spans="1:6" x14ac:dyDescent="0.2">
      <c r="A20" s="42">
        <v>20</v>
      </c>
      <c r="B20" s="42">
        <v>25620</v>
      </c>
      <c r="D20" s="42">
        <v>20</v>
      </c>
      <c r="E20" s="42">
        <v>530654</v>
      </c>
      <c r="F20" s="43">
        <f t="shared" ref="F20" si="0">SUM(E11:E20)</f>
        <v>4234469</v>
      </c>
    </row>
    <row r="21" spans="1:6" x14ac:dyDescent="0.2">
      <c r="A21" s="42">
        <v>21</v>
      </c>
      <c r="B21" s="42">
        <v>28660</v>
      </c>
      <c r="D21" s="42">
        <v>21</v>
      </c>
      <c r="E21" s="42">
        <v>558370</v>
      </c>
    </row>
    <row r="22" spans="1:6" x14ac:dyDescent="0.2">
      <c r="A22" s="42">
        <v>22</v>
      </c>
      <c r="B22" s="42">
        <v>32060</v>
      </c>
      <c r="D22" s="42">
        <v>22</v>
      </c>
      <c r="E22" s="42">
        <v>587352</v>
      </c>
    </row>
    <row r="23" spans="1:6" x14ac:dyDescent="0.2">
      <c r="A23" s="42">
        <v>23</v>
      </c>
      <c r="B23" s="42">
        <v>35460</v>
      </c>
      <c r="D23" s="42">
        <v>23</v>
      </c>
      <c r="E23" s="42">
        <v>617518</v>
      </c>
    </row>
    <row r="24" spans="1:6" x14ac:dyDescent="0.2">
      <c r="A24" s="42">
        <v>24</v>
      </c>
      <c r="B24" s="42">
        <v>39535</v>
      </c>
      <c r="D24" s="42">
        <v>24</v>
      </c>
      <c r="E24" s="42">
        <v>648910</v>
      </c>
    </row>
    <row r="25" spans="1:6" x14ac:dyDescent="0.2">
      <c r="A25" s="42">
        <v>25</v>
      </c>
      <c r="B25" s="42">
        <v>43610</v>
      </c>
      <c r="D25" s="42">
        <v>25</v>
      </c>
      <c r="E25" s="42">
        <v>681690</v>
      </c>
    </row>
    <row r="26" spans="1:6" x14ac:dyDescent="0.2">
      <c r="A26" s="42">
        <v>26</v>
      </c>
      <c r="B26" s="42">
        <v>48155</v>
      </c>
      <c r="D26" s="42">
        <v>26</v>
      </c>
      <c r="E26" s="42">
        <v>715781</v>
      </c>
    </row>
    <row r="27" spans="1:6" x14ac:dyDescent="0.2">
      <c r="A27" s="42">
        <v>27</v>
      </c>
      <c r="B27" s="42">
        <v>52935</v>
      </c>
      <c r="D27" s="42">
        <v>27</v>
      </c>
      <c r="E27" s="42">
        <v>751224</v>
      </c>
    </row>
    <row r="28" spans="1:6" x14ac:dyDescent="0.2">
      <c r="A28" s="42">
        <v>28</v>
      </c>
      <c r="B28" s="42">
        <v>58260</v>
      </c>
      <c r="D28" s="42">
        <v>28</v>
      </c>
      <c r="E28" s="42">
        <v>788201</v>
      </c>
    </row>
    <row r="29" spans="1:6" x14ac:dyDescent="0.2">
      <c r="A29" s="42">
        <v>29</v>
      </c>
      <c r="B29" s="42">
        <v>63585</v>
      </c>
      <c r="D29" s="42">
        <v>29</v>
      </c>
      <c r="E29" s="42">
        <v>826619</v>
      </c>
    </row>
    <row r="30" spans="1:6" x14ac:dyDescent="0.2">
      <c r="A30" s="42">
        <v>30</v>
      </c>
      <c r="B30" s="42">
        <v>69760</v>
      </c>
      <c r="D30" s="42">
        <v>30</v>
      </c>
      <c r="E30" s="42">
        <v>866521</v>
      </c>
      <c r="F30" s="43">
        <f t="shared" ref="F30" si="1">SUM(E21:E30)</f>
        <v>7042186</v>
      </c>
    </row>
    <row r="31" spans="1:6" x14ac:dyDescent="0.2">
      <c r="A31" s="42">
        <v>31</v>
      </c>
      <c r="B31" s="42">
        <v>75935</v>
      </c>
      <c r="D31" s="42">
        <v>31</v>
      </c>
      <c r="E31" s="42">
        <v>908108</v>
      </c>
    </row>
    <row r="32" spans="1:6" x14ac:dyDescent="0.2">
      <c r="A32" s="42">
        <v>32</v>
      </c>
      <c r="B32" s="42">
        <v>82785</v>
      </c>
      <c r="D32" s="42">
        <v>32</v>
      </c>
      <c r="E32" s="42">
        <v>951278</v>
      </c>
    </row>
    <row r="33" spans="1:6" x14ac:dyDescent="0.2">
      <c r="A33" s="42">
        <v>33</v>
      </c>
      <c r="B33" s="42">
        <v>89905</v>
      </c>
      <c r="D33" s="42">
        <v>33</v>
      </c>
      <c r="E33" s="42">
        <v>996080</v>
      </c>
    </row>
    <row r="34" spans="1:6" x14ac:dyDescent="0.2">
      <c r="A34" s="42">
        <v>34</v>
      </c>
      <c r="B34" s="42">
        <v>97695</v>
      </c>
      <c r="D34" s="42">
        <v>34</v>
      </c>
      <c r="E34" s="42">
        <v>1042727</v>
      </c>
    </row>
    <row r="35" spans="1:6" x14ac:dyDescent="0.2">
      <c r="A35" s="42">
        <v>35</v>
      </c>
      <c r="B35" s="42">
        <v>105485</v>
      </c>
      <c r="D35" s="42">
        <v>35</v>
      </c>
      <c r="E35" s="42">
        <v>1091110</v>
      </c>
    </row>
    <row r="36" spans="1:6" x14ac:dyDescent="0.2">
      <c r="A36" s="42">
        <v>36</v>
      </c>
      <c r="B36" s="42">
        <v>114465</v>
      </c>
      <c r="D36" s="42">
        <v>36</v>
      </c>
      <c r="E36" s="42">
        <v>1141283</v>
      </c>
    </row>
    <row r="37" spans="1:6" x14ac:dyDescent="0.2">
      <c r="A37" s="42">
        <v>37</v>
      </c>
      <c r="B37" s="42">
        <v>123445</v>
      </c>
      <c r="D37" s="42">
        <v>37</v>
      </c>
      <c r="E37" s="42">
        <v>1166970</v>
      </c>
    </row>
    <row r="38" spans="1:6" x14ac:dyDescent="0.2">
      <c r="A38" s="42">
        <v>38</v>
      </c>
      <c r="B38" s="42">
        <v>133260</v>
      </c>
      <c r="D38" s="42">
        <v>38</v>
      </c>
      <c r="E38" s="42">
        <v>1193476</v>
      </c>
    </row>
    <row r="39" spans="1:6" x14ac:dyDescent="0.2">
      <c r="A39" s="42">
        <v>39</v>
      </c>
      <c r="B39" s="42">
        <v>143425</v>
      </c>
      <c r="D39" s="42">
        <v>39</v>
      </c>
      <c r="E39" s="42">
        <v>1219983</v>
      </c>
    </row>
    <row r="40" spans="1:6" x14ac:dyDescent="0.2">
      <c r="A40" s="42">
        <v>40</v>
      </c>
      <c r="B40" s="42">
        <v>154545</v>
      </c>
      <c r="D40" s="42">
        <v>40</v>
      </c>
      <c r="E40" s="42">
        <v>1247568</v>
      </c>
      <c r="F40" s="43">
        <f t="shared" ref="F40" si="2">SUM(E31:E40)</f>
        <v>10958583</v>
      </c>
    </row>
    <row r="41" spans="1:6" x14ac:dyDescent="0.2">
      <c r="A41" s="42">
        <v>41</v>
      </c>
      <c r="B41" s="42">
        <v>165665</v>
      </c>
      <c r="D41" s="42">
        <v>41</v>
      </c>
      <c r="E41" s="42">
        <v>1275153</v>
      </c>
    </row>
    <row r="42" spans="1:6" x14ac:dyDescent="0.2">
      <c r="A42" s="42">
        <v>42</v>
      </c>
      <c r="B42" s="42">
        <v>178210</v>
      </c>
      <c r="D42" s="42">
        <v>42</v>
      </c>
      <c r="E42" s="42">
        <v>1303614</v>
      </c>
    </row>
    <row r="43" spans="1:6" x14ac:dyDescent="0.2">
      <c r="A43" s="42">
        <v>43</v>
      </c>
      <c r="B43" s="42">
        <v>190755</v>
      </c>
      <c r="D43" s="42">
        <v>43</v>
      </c>
      <c r="E43" s="42">
        <v>1332282</v>
      </c>
    </row>
    <row r="44" spans="1:6" x14ac:dyDescent="0.2">
      <c r="A44" s="42">
        <v>44</v>
      </c>
      <c r="B44" s="42">
        <v>204430</v>
      </c>
      <c r="D44" s="42">
        <v>44</v>
      </c>
      <c r="E44" s="42">
        <v>1361870</v>
      </c>
    </row>
    <row r="45" spans="1:6" x14ac:dyDescent="0.2">
      <c r="A45" s="42">
        <v>45</v>
      </c>
      <c r="B45" s="42">
        <v>218540</v>
      </c>
      <c r="D45" s="42">
        <v>45</v>
      </c>
      <c r="E45" s="42">
        <v>1391459</v>
      </c>
    </row>
    <row r="46" spans="1:6" x14ac:dyDescent="0.2">
      <c r="A46" s="42">
        <v>46</v>
      </c>
      <c r="B46" s="42">
        <v>233785</v>
      </c>
      <c r="D46" s="42">
        <v>46</v>
      </c>
      <c r="E46" s="42">
        <v>1422202</v>
      </c>
    </row>
    <row r="47" spans="1:6" x14ac:dyDescent="0.2">
      <c r="A47" s="42">
        <v>47</v>
      </c>
      <c r="B47" s="42">
        <v>249030</v>
      </c>
      <c r="D47" s="42">
        <v>47</v>
      </c>
      <c r="E47" s="42">
        <v>1452944</v>
      </c>
    </row>
    <row r="48" spans="1:6" x14ac:dyDescent="0.2">
      <c r="A48" s="42">
        <v>48</v>
      </c>
      <c r="B48" s="42">
        <v>266140</v>
      </c>
      <c r="D48" s="42">
        <v>48</v>
      </c>
      <c r="E48" s="42">
        <v>1484667</v>
      </c>
    </row>
    <row r="49" spans="1:6" x14ac:dyDescent="0.2">
      <c r="A49" s="42">
        <v>49</v>
      </c>
      <c r="B49" s="42">
        <v>283250</v>
      </c>
      <c r="D49" s="42">
        <v>49</v>
      </c>
      <c r="E49" s="42">
        <v>1516609</v>
      </c>
    </row>
    <row r="50" spans="1:6" x14ac:dyDescent="0.2">
      <c r="A50" s="42">
        <v>50</v>
      </c>
      <c r="B50" s="42">
        <v>301715</v>
      </c>
      <c r="D50" s="42">
        <v>50</v>
      </c>
      <c r="E50" s="42">
        <v>1549531</v>
      </c>
      <c r="F50" s="43">
        <f t="shared" ref="F50" si="3">SUM(E41:E50)</f>
        <v>14090331</v>
      </c>
    </row>
    <row r="51" spans="1:6" x14ac:dyDescent="0.2">
      <c r="A51" s="42">
        <v>51</v>
      </c>
      <c r="B51" s="42">
        <v>320685</v>
      </c>
      <c r="D51" s="42">
        <v>51</v>
      </c>
      <c r="E51" s="42">
        <v>1582452</v>
      </c>
    </row>
    <row r="52" spans="1:6" x14ac:dyDescent="0.2">
      <c r="A52" s="42">
        <v>52</v>
      </c>
      <c r="B52" s="42">
        <v>341170</v>
      </c>
      <c r="D52" s="42">
        <v>52</v>
      </c>
      <c r="E52" s="42">
        <v>1616659</v>
      </c>
    </row>
    <row r="53" spans="1:6" x14ac:dyDescent="0.2">
      <c r="A53" s="42">
        <v>53</v>
      </c>
      <c r="B53" s="42">
        <v>361655</v>
      </c>
      <c r="D53" s="42">
        <v>53</v>
      </c>
      <c r="E53" s="42">
        <v>1650866</v>
      </c>
    </row>
    <row r="54" spans="1:6" x14ac:dyDescent="0.2">
      <c r="A54" s="42">
        <v>54</v>
      </c>
      <c r="B54" s="42">
        <v>384360</v>
      </c>
      <c r="D54" s="42">
        <v>54</v>
      </c>
      <c r="E54" s="42">
        <v>1686118</v>
      </c>
    </row>
    <row r="55" spans="1:6" x14ac:dyDescent="0.2">
      <c r="A55" s="42">
        <v>55</v>
      </c>
      <c r="B55" s="42">
        <v>407065</v>
      </c>
      <c r="D55" s="42">
        <v>55</v>
      </c>
      <c r="E55" s="42">
        <v>1721610</v>
      </c>
    </row>
    <row r="56" spans="1:6" x14ac:dyDescent="0.2">
      <c r="A56" s="42">
        <v>56</v>
      </c>
      <c r="B56" s="42">
        <v>431545</v>
      </c>
      <c r="D56" s="42">
        <v>56</v>
      </c>
      <c r="E56" s="42">
        <v>1758197</v>
      </c>
    </row>
    <row r="57" spans="1:6" x14ac:dyDescent="0.2">
      <c r="A57" s="42">
        <v>57</v>
      </c>
      <c r="B57" s="42">
        <v>456650</v>
      </c>
      <c r="D57" s="42">
        <v>57</v>
      </c>
      <c r="E57" s="42">
        <v>1794784</v>
      </c>
    </row>
    <row r="58" spans="1:6" x14ac:dyDescent="0.2">
      <c r="A58" s="42">
        <v>58</v>
      </c>
      <c r="B58" s="42">
        <v>483530</v>
      </c>
      <c r="D58" s="42">
        <v>58</v>
      </c>
      <c r="E58" s="42">
        <v>1832737</v>
      </c>
    </row>
    <row r="59" spans="1:6" x14ac:dyDescent="0.2">
      <c r="A59" s="42">
        <v>59</v>
      </c>
      <c r="B59" s="42">
        <v>510410</v>
      </c>
      <c r="D59" s="42">
        <v>59</v>
      </c>
      <c r="E59" s="42">
        <v>1870690</v>
      </c>
    </row>
    <row r="60" spans="1:6" x14ac:dyDescent="0.2">
      <c r="A60" s="42">
        <v>60</v>
      </c>
      <c r="B60" s="42">
        <v>540065</v>
      </c>
      <c r="D60" s="42">
        <v>60</v>
      </c>
      <c r="E60" s="42">
        <v>1909807</v>
      </c>
      <c r="F60" s="43">
        <f t="shared" ref="F60" si="4">SUM(E51:E60)</f>
        <v>17423920</v>
      </c>
    </row>
    <row r="61" spans="1:6" x14ac:dyDescent="0.2">
      <c r="A61" s="42">
        <v>61</v>
      </c>
      <c r="B61" s="42">
        <v>569720</v>
      </c>
      <c r="D61" s="42">
        <v>61</v>
      </c>
      <c r="E61" s="42">
        <v>1949185</v>
      </c>
    </row>
    <row r="62" spans="1:6" x14ac:dyDescent="0.2">
      <c r="A62" s="42">
        <v>62</v>
      </c>
      <c r="B62" s="42">
        <v>601435</v>
      </c>
      <c r="D62" s="42">
        <v>62</v>
      </c>
      <c r="E62" s="42">
        <v>1989727</v>
      </c>
    </row>
    <row r="63" spans="1:6" x14ac:dyDescent="0.2">
      <c r="A63" s="42">
        <v>63</v>
      </c>
      <c r="B63" s="42">
        <v>633910</v>
      </c>
      <c r="D63" s="42">
        <v>63</v>
      </c>
      <c r="E63" s="42">
        <v>2030270</v>
      </c>
    </row>
    <row r="64" spans="1:6" x14ac:dyDescent="0.2">
      <c r="A64" s="42">
        <v>64</v>
      </c>
      <c r="B64" s="42">
        <v>668670</v>
      </c>
      <c r="D64" s="42">
        <v>64</v>
      </c>
      <c r="E64" s="42">
        <v>2072325</v>
      </c>
    </row>
    <row r="65" spans="1:6" x14ac:dyDescent="0.2">
      <c r="A65" s="42">
        <v>65</v>
      </c>
      <c r="B65" s="42">
        <v>703430</v>
      </c>
      <c r="D65" s="42">
        <v>65</v>
      </c>
      <c r="E65" s="42">
        <v>2114381</v>
      </c>
    </row>
    <row r="66" spans="1:6" x14ac:dyDescent="0.2">
      <c r="A66" s="42">
        <v>66</v>
      </c>
      <c r="B66" s="42">
        <v>741410</v>
      </c>
      <c r="D66" s="42">
        <v>66</v>
      </c>
      <c r="E66" s="42">
        <v>2157674</v>
      </c>
    </row>
    <row r="67" spans="1:6" x14ac:dyDescent="0.2">
      <c r="A67" s="42">
        <v>67</v>
      </c>
      <c r="B67" s="42">
        <v>779390</v>
      </c>
      <c r="D67" s="42">
        <v>67</v>
      </c>
      <c r="E67" s="42">
        <v>2201243</v>
      </c>
    </row>
    <row r="68" spans="1:6" x14ac:dyDescent="0.2">
      <c r="A68" s="42">
        <v>68</v>
      </c>
      <c r="B68" s="42">
        <v>819970</v>
      </c>
      <c r="D68" s="42">
        <v>68</v>
      </c>
      <c r="E68" s="42">
        <v>2246109</v>
      </c>
    </row>
    <row r="69" spans="1:6" x14ac:dyDescent="0.2">
      <c r="A69" s="42">
        <v>69</v>
      </c>
      <c r="B69" s="42">
        <v>861400</v>
      </c>
      <c r="D69" s="42">
        <v>69</v>
      </c>
      <c r="E69" s="42">
        <v>2290975</v>
      </c>
    </row>
    <row r="70" spans="1:6" x14ac:dyDescent="0.2">
      <c r="A70" s="42">
        <v>70</v>
      </c>
      <c r="B70" s="42">
        <v>905425</v>
      </c>
      <c r="D70" s="42">
        <v>70</v>
      </c>
      <c r="E70" s="42">
        <v>2337454</v>
      </c>
      <c r="F70" s="43">
        <f t="shared" ref="F70" si="5">SUM(E61:E70)</f>
        <v>21389343</v>
      </c>
    </row>
    <row r="71" spans="1:6" x14ac:dyDescent="0.2">
      <c r="A71" s="42">
        <v>71</v>
      </c>
      <c r="B71" s="42">
        <v>949450</v>
      </c>
      <c r="D71" s="42">
        <v>71</v>
      </c>
      <c r="E71" s="42">
        <v>2383932</v>
      </c>
    </row>
    <row r="72" spans="1:6" x14ac:dyDescent="0.2">
      <c r="A72" s="42">
        <v>72</v>
      </c>
      <c r="B72" s="42">
        <v>997485</v>
      </c>
      <c r="D72" s="42">
        <v>72</v>
      </c>
      <c r="E72" s="42">
        <v>2431784</v>
      </c>
    </row>
    <row r="73" spans="1:6" x14ac:dyDescent="0.2">
      <c r="A73" s="42">
        <v>73</v>
      </c>
      <c r="B73" s="42">
        <v>1045520</v>
      </c>
      <c r="D73" s="42">
        <v>73</v>
      </c>
      <c r="E73" s="42">
        <v>2479935</v>
      </c>
    </row>
    <row r="74" spans="1:6" x14ac:dyDescent="0.2">
      <c r="A74" s="42">
        <v>74</v>
      </c>
      <c r="B74" s="42">
        <v>1096550</v>
      </c>
      <c r="D74" s="42">
        <v>74</v>
      </c>
      <c r="E74" s="42">
        <v>2529460</v>
      </c>
    </row>
    <row r="75" spans="1:6" x14ac:dyDescent="0.2">
      <c r="A75" s="42">
        <v>75</v>
      </c>
      <c r="B75" s="42">
        <v>1148600</v>
      </c>
      <c r="D75" s="42">
        <v>75</v>
      </c>
      <c r="E75" s="42">
        <v>2578984</v>
      </c>
    </row>
    <row r="76" spans="1:6" x14ac:dyDescent="0.2">
      <c r="A76" s="42">
        <v>76</v>
      </c>
      <c r="B76" s="42">
        <v>1203920</v>
      </c>
      <c r="D76" s="42">
        <v>76</v>
      </c>
      <c r="E76" s="42">
        <v>2630284</v>
      </c>
    </row>
    <row r="77" spans="1:6" x14ac:dyDescent="0.2">
      <c r="A77" s="42">
        <v>77</v>
      </c>
      <c r="B77" s="42">
        <v>1259240</v>
      </c>
      <c r="D77" s="42">
        <v>77</v>
      </c>
      <c r="E77" s="42">
        <v>2681584</v>
      </c>
    </row>
    <row r="78" spans="1:6" x14ac:dyDescent="0.2">
      <c r="A78" s="42">
        <v>78</v>
      </c>
      <c r="B78" s="42">
        <v>1319085</v>
      </c>
      <c r="D78" s="42">
        <v>78</v>
      </c>
      <c r="E78" s="42">
        <v>2734341</v>
      </c>
    </row>
    <row r="79" spans="1:6" x14ac:dyDescent="0.2">
      <c r="A79" s="42">
        <v>79</v>
      </c>
      <c r="B79" s="42">
        <v>1378930</v>
      </c>
      <c r="D79" s="42">
        <v>79</v>
      </c>
      <c r="E79" s="42">
        <v>2787423</v>
      </c>
    </row>
    <row r="80" spans="1:6" x14ac:dyDescent="0.2">
      <c r="A80" s="42">
        <v>80</v>
      </c>
      <c r="B80" s="42">
        <v>1442480</v>
      </c>
      <c r="D80" s="42">
        <v>80</v>
      </c>
      <c r="E80" s="42">
        <v>2842028</v>
      </c>
      <c r="F80" s="43">
        <f t="shared" ref="F80" si="6">SUM(E71:E80)</f>
        <v>26079755</v>
      </c>
    </row>
    <row r="81" spans="1:6" x14ac:dyDescent="0.2">
      <c r="A81" s="42">
        <v>81</v>
      </c>
      <c r="B81" s="42">
        <v>1507225</v>
      </c>
      <c r="D81" s="42">
        <v>81</v>
      </c>
      <c r="E81" s="42">
        <v>2896632</v>
      </c>
    </row>
    <row r="82" spans="1:6" x14ac:dyDescent="0.2">
      <c r="A82" s="42">
        <v>82</v>
      </c>
      <c r="B82" s="42">
        <v>1575675</v>
      </c>
      <c r="D82" s="42">
        <v>82</v>
      </c>
      <c r="E82" s="42">
        <v>2953122</v>
      </c>
    </row>
    <row r="83" spans="1:6" x14ac:dyDescent="0.2">
      <c r="A83" s="42">
        <v>83</v>
      </c>
      <c r="B83" s="42">
        <v>1644125</v>
      </c>
      <c r="D83" s="42">
        <v>83</v>
      </c>
      <c r="E83" s="42">
        <v>3009611</v>
      </c>
    </row>
    <row r="84" spans="1:6" x14ac:dyDescent="0.2">
      <c r="A84" s="42">
        <v>84</v>
      </c>
      <c r="B84" s="42">
        <v>1718090</v>
      </c>
      <c r="D84" s="42">
        <v>84</v>
      </c>
      <c r="E84" s="42">
        <v>3067713</v>
      </c>
    </row>
    <row r="85" spans="1:6" x14ac:dyDescent="0.2">
      <c r="A85" s="42">
        <v>85</v>
      </c>
      <c r="B85" s="42">
        <v>1792055</v>
      </c>
      <c r="D85" s="42">
        <v>85</v>
      </c>
      <c r="E85" s="42">
        <v>3126157</v>
      </c>
    </row>
    <row r="86" spans="1:6" x14ac:dyDescent="0.2">
      <c r="A86" s="42">
        <v>86</v>
      </c>
      <c r="B86" s="42">
        <v>1870205</v>
      </c>
      <c r="D86" s="42">
        <v>86</v>
      </c>
      <c r="E86" s="42">
        <v>3186213</v>
      </c>
    </row>
    <row r="87" spans="1:6" x14ac:dyDescent="0.2">
      <c r="A87" s="42">
        <v>87</v>
      </c>
      <c r="B87" s="42">
        <v>1949685</v>
      </c>
      <c r="D87" s="42">
        <v>87</v>
      </c>
      <c r="E87" s="42">
        <v>3186213</v>
      </c>
    </row>
    <row r="88" spans="1:6" x14ac:dyDescent="0.2">
      <c r="A88" s="42">
        <v>88</v>
      </c>
      <c r="B88" s="42">
        <v>2033720</v>
      </c>
      <c r="D88" s="42">
        <v>88</v>
      </c>
      <c r="E88" s="42">
        <v>3246270</v>
      </c>
    </row>
    <row r="89" spans="1:6" x14ac:dyDescent="0.2">
      <c r="A89" s="42">
        <v>89</v>
      </c>
      <c r="B89" s="42">
        <v>2117755</v>
      </c>
      <c r="D89" s="42">
        <v>89</v>
      </c>
      <c r="E89" s="42">
        <v>3308402</v>
      </c>
    </row>
    <row r="90" spans="1:6" x14ac:dyDescent="0.2">
      <c r="A90" s="42">
        <v>90</v>
      </c>
      <c r="B90" s="42">
        <v>2208040</v>
      </c>
      <c r="D90" s="42">
        <v>90</v>
      </c>
      <c r="E90" s="42">
        <v>3308402</v>
      </c>
      <c r="F90" s="43">
        <f t="shared" ref="F90" si="7">SUM(E81:E90)</f>
        <v>31288735</v>
      </c>
    </row>
    <row r="91" spans="1:6" x14ac:dyDescent="0.2">
      <c r="A91" s="42">
        <v>91</v>
      </c>
      <c r="B91" s="42">
        <v>2298325</v>
      </c>
      <c r="D91" s="42">
        <v>91</v>
      </c>
      <c r="E91" s="42">
        <v>3308402</v>
      </c>
    </row>
    <row r="92" spans="1:6" x14ac:dyDescent="0.2">
      <c r="A92" s="42">
        <v>92</v>
      </c>
      <c r="B92" s="42">
        <v>2393690</v>
      </c>
      <c r="D92" s="42">
        <v>92</v>
      </c>
      <c r="E92" s="42">
        <v>3370535</v>
      </c>
    </row>
    <row r="93" spans="1:6" x14ac:dyDescent="0.2">
      <c r="A93" s="42">
        <v>93</v>
      </c>
      <c r="B93" s="42">
        <v>2490600</v>
      </c>
      <c r="D93" s="42">
        <v>93</v>
      </c>
      <c r="E93" s="42">
        <v>3434372</v>
      </c>
    </row>
    <row r="94" spans="1:6" x14ac:dyDescent="0.2">
      <c r="A94" s="42">
        <v>94</v>
      </c>
      <c r="B94" s="42">
        <v>2592590</v>
      </c>
      <c r="D94" s="42">
        <v>94</v>
      </c>
      <c r="E94" s="42">
        <v>3434372</v>
      </c>
    </row>
    <row r="95" spans="1:6" x14ac:dyDescent="0.2">
      <c r="A95" s="42">
        <v>95</v>
      </c>
      <c r="B95" s="42">
        <v>2694580</v>
      </c>
      <c r="D95" s="42">
        <v>95</v>
      </c>
      <c r="E95" s="42">
        <v>3434372</v>
      </c>
    </row>
    <row r="96" spans="1:6" x14ac:dyDescent="0.2">
      <c r="A96" s="42">
        <v>96</v>
      </c>
      <c r="B96" s="42">
        <v>2803985</v>
      </c>
      <c r="D96" s="42">
        <v>96</v>
      </c>
      <c r="E96" s="42">
        <v>3498580</v>
      </c>
    </row>
    <row r="97" spans="1:6" x14ac:dyDescent="0.2">
      <c r="A97" s="42">
        <v>97</v>
      </c>
      <c r="B97" s="42">
        <v>2913390</v>
      </c>
      <c r="D97" s="42">
        <v>97</v>
      </c>
      <c r="E97" s="42">
        <v>3564571</v>
      </c>
    </row>
    <row r="98" spans="1:6" x14ac:dyDescent="0.2">
      <c r="A98" s="42">
        <v>98</v>
      </c>
      <c r="B98" s="42">
        <v>3028500</v>
      </c>
      <c r="D98" s="42">
        <v>98</v>
      </c>
      <c r="E98" s="42">
        <v>3564571</v>
      </c>
    </row>
    <row r="99" spans="1:6" x14ac:dyDescent="0.2">
      <c r="A99" s="42">
        <v>99</v>
      </c>
      <c r="B99" s="42">
        <v>3145390</v>
      </c>
      <c r="D99" s="42">
        <v>99</v>
      </c>
      <c r="E99" s="42">
        <v>3564571</v>
      </c>
    </row>
    <row r="100" spans="1:6" x14ac:dyDescent="0.2">
      <c r="A100" s="42">
        <v>100</v>
      </c>
      <c r="B100" s="42">
        <v>3268435</v>
      </c>
      <c r="D100" s="42">
        <v>100</v>
      </c>
      <c r="E100" s="42">
        <v>3630562</v>
      </c>
      <c r="F100" s="43">
        <f t="shared" ref="F100" si="8">SUM(E91:E100)</f>
        <v>34804908</v>
      </c>
    </row>
    <row r="101" spans="1:6" x14ac:dyDescent="0.2">
      <c r="A101" s="42">
        <v>101</v>
      </c>
      <c r="B101" s="42">
        <v>3391480</v>
      </c>
      <c r="D101" s="42">
        <v>101</v>
      </c>
      <c r="E101" s="42">
        <v>3698747</v>
      </c>
    </row>
    <row r="102" spans="1:6" x14ac:dyDescent="0.2">
      <c r="A102" s="42">
        <v>102</v>
      </c>
      <c r="B102" s="42">
        <v>3522795</v>
      </c>
      <c r="D102" s="42">
        <v>102</v>
      </c>
      <c r="E102" s="42">
        <v>3698747</v>
      </c>
    </row>
    <row r="103" spans="1:6" x14ac:dyDescent="0.2">
      <c r="A103" s="42">
        <v>103</v>
      </c>
      <c r="B103" s="42">
        <v>3654110</v>
      </c>
      <c r="D103" s="42">
        <v>103</v>
      </c>
      <c r="E103" s="42">
        <v>3698747</v>
      </c>
    </row>
    <row r="104" spans="1:6" x14ac:dyDescent="0.2">
      <c r="A104" s="42">
        <v>104</v>
      </c>
      <c r="B104" s="42">
        <v>3792255</v>
      </c>
      <c r="D104" s="42">
        <v>104</v>
      </c>
      <c r="E104" s="42">
        <v>3766932</v>
      </c>
    </row>
    <row r="105" spans="1:6" x14ac:dyDescent="0.2">
      <c r="A105" s="42">
        <v>105</v>
      </c>
      <c r="B105" s="42">
        <v>3932345</v>
      </c>
      <c r="D105" s="42">
        <v>105</v>
      </c>
      <c r="E105" s="42">
        <v>3836998</v>
      </c>
    </row>
    <row r="106" spans="1:6" x14ac:dyDescent="0.2">
      <c r="A106" s="42">
        <v>106</v>
      </c>
      <c r="B106" s="42">
        <v>4079265</v>
      </c>
      <c r="D106" s="42">
        <v>106</v>
      </c>
      <c r="E106" s="42">
        <v>3836998</v>
      </c>
    </row>
    <row r="107" spans="1:6" x14ac:dyDescent="0.2">
      <c r="A107" s="42">
        <v>107</v>
      </c>
      <c r="B107" s="42">
        <v>4226185</v>
      </c>
      <c r="D107" s="42">
        <v>107</v>
      </c>
      <c r="E107" s="42">
        <v>3836998</v>
      </c>
    </row>
    <row r="108" spans="1:6" x14ac:dyDescent="0.2">
      <c r="A108" s="42">
        <v>108</v>
      </c>
      <c r="B108" s="42">
        <v>4382920</v>
      </c>
      <c r="D108" s="42">
        <v>108</v>
      </c>
      <c r="E108" s="42">
        <v>3907462</v>
      </c>
    </row>
    <row r="109" spans="1:6" x14ac:dyDescent="0.2">
      <c r="A109" s="42">
        <v>109</v>
      </c>
      <c r="B109" s="42">
        <v>4539655</v>
      </c>
      <c r="D109" s="42">
        <v>109</v>
      </c>
      <c r="E109" s="42">
        <v>3979807</v>
      </c>
    </row>
    <row r="110" spans="1:6" x14ac:dyDescent="0.2">
      <c r="A110" s="42">
        <v>110</v>
      </c>
      <c r="B110" s="42">
        <v>4703955</v>
      </c>
      <c r="D110" s="42">
        <v>110</v>
      </c>
      <c r="E110" s="42">
        <v>3979807</v>
      </c>
      <c r="F110" s="43">
        <f t="shared" ref="F110" si="9">SUM(E101:E110)</f>
        <v>38241243</v>
      </c>
    </row>
    <row r="111" spans="1:6" x14ac:dyDescent="0.2">
      <c r="A111" s="42">
        <v>111</v>
      </c>
      <c r="B111" s="42">
        <v>4870500</v>
      </c>
      <c r="D111" s="42">
        <v>111</v>
      </c>
      <c r="E111" s="42">
        <v>3979807</v>
      </c>
    </row>
    <row r="112" spans="1:6" x14ac:dyDescent="0.2">
      <c r="A112" s="42">
        <v>112</v>
      </c>
      <c r="B112" s="42">
        <v>5045205</v>
      </c>
      <c r="D112" s="42">
        <v>112</v>
      </c>
      <c r="E112" s="42">
        <v>4052152</v>
      </c>
    </row>
    <row r="113" spans="1:6" x14ac:dyDescent="0.2">
      <c r="A113" s="42">
        <v>113</v>
      </c>
      <c r="B113" s="42">
        <v>5219910</v>
      </c>
      <c r="D113" s="42">
        <v>113</v>
      </c>
      <c r="E113" s="42">
        <v>4126905</v>
      </c>
    </row>
    <row r="114" spans="1:6" x14ac:dyDescent="0.2">
      <c r="A114" s="42">
        <v>114</v>
      </c>
      <c r="B114" s="42">
        <v>5405440</v>
      </c>
      <c r="D114" s="42">
        <v>114</v>
      </c>
      <c r="E114" s="42">
        <v>4126905</v>
      </c>
    </row>
    <row r="115" spans="1:6" x14ac:dyDescent="0.2">
      <c r="A115" s="42">
        <v>115</v>
      </c>
      <c r="B115" s="42">
        <v>5590970</v>
      </c>
      <c r="D115" s="42">
        <v>115</v>
      </c>
      <c r="E115" s="42">
        <v>4126905</v>
      </c>
    </row>
    <row r="116" spans="1:6" x14ac:dyDescent="0.2">
      <c r="A116" s="42">
        <v>116</v>
      </c>
      <c r="B116" s="42">
        <v>5785460</v>
      </c>
      <c r="D116" s="42">
        <v>116</v>
      </c>
      <c r="E116" s="42">
        <v>4201658</v>
      </c>
    </row>
    <row r="117" spans="1:6" x14ac:dyDescent="0.2">
      <c r="A117" s="42">
        <v>117</v>
      </c>
      <c r="B117" s="42">
        <v>5982490</v>
      </c>
      <c r="D117" s="42">
        <v>117</v>
      </c>
      <c r="E117" s="42">
        <v>4278400</v>
      </c>
    </row>
    <row r="118" spans="1:6" x14ac:dyDescent="0.2">
      <c r="A118" s="42">
        <v>118</v>
      </c>
      <c r="B118" s="42">
        <v>6188480</v>
      </c>
      <c r="D118" s="42">
        <v>118</v>
      </c>
      <c r="E118" s="42">
        <v>4278400</v>
      </c>
    </row>
    <row r="119" spans="1:6" x14ac:dyDescent="0.2">
      <c r="A119" s="42">
        <v>119</v>
      </c>
      <c r="B119" s="42">
        <v>6394470</v>
      </c>
      <c r="D119" s="42">
        <v>119</v>
      </c>
      <c r="E119" s="42">
        <v>4278400</v>
      </c>
    </row>
    <row r="120" spans="1:6" x14ac:dyDescent="0.2">
      <c r="A120" s="42">
        <v>120</v>
      </c>
      <c r="B120" s="42">
        <v>6613125</v>
      </c>
      <c r="D120" s="42">
        <v>120</v>
      </c>
      <c r="E120" s="42">
        <v>4355562</v>
      </c>
      <c r="F120" s="43">
        <f t="shared" ref="F120" si="10">SUM(E111:E120)</f>
        <v>41805094</v>
      </c>
    </row>
    <row r="121" spans="1:6" x14ac:dyDescent="0.2">
      <c r="A121" s="42">
        <v>121</v>
      </c>
      <c r="B121" s="42">
        <v>6831780</v>
      </c>
      <c r="D121" s="42">
        <v>121</v>
      </c>
      <c r="E121" s="42">
        <v>4434796</v>
      </c>
    </row>
    <row r="122" spans="1:6" x14ac:dyDescent="0.2">
      <c r="A122" s="42">
        <v>122</v>
      </c>
      <c r="B122" s="42">
        <v>7060320</v>
      </c>
      <c r="D122" s="42">
        <v>122</v>
      </c>
      <c r="E122" s="42">
        <v>4434796</v>
      </c>
    </row>
    <row r="123" spans="1:6" x14ac:dyDescent="0.2">
      <c r="A123" s="42">
        <v>123</v>
      </c>
      <c r="B123" s="42">
        <v>7291640</v>
      </c>
      <c r="D123" s="42">
        <v>123</v>
      </c>
      <c r="E123" s="42">
        <v>4434796</v>
      </c>
    </row>
    <row r="124" spans="1:6" x14ac:dyDescent="0.2">
      <c r="A124" s="42">
        <v>124</v>
      </c>
      <c r="B124" s="42">
        <v>7533530</v>
      </c>
      <c r="D124" s="42">
        <v>124</v>
      </c>
      <c r="E124" s="42">
        <v>4514030</v>
      </c>
    </row>
    <row r="125" spans="1:6" x14ac:dyDescent="0.2">
      <c r="A125" s="42">
        <v>125</v>
      </c>
      <c r="B125" s="42">
        <v>7775420</v>
      </c>
      <c r="D125" s="42">
        <v>125</v>
      </c>
      <c r="E125" s="42">
        <v>4595812</v>
      </c>
    </row>
    <row r="126" spans="1:6" x14ac:dyDescent="0.2">
      <c r="A126" s="42">
        <v>126</v>
      </c>
      <c r="B126" s="42">
        <v>8031275</v>
      </c>
      <c r="D126" s="42">
        <v>126</v>
      </c>
      <c r="E126" s="42">
        <v>4595812</v>
      </c>
    </row>
    <row r="127" spans="1:6" x14ac:dyDescent="0.2">
      <c r="A127" s="42">
        <v>127</v>
      </c>
      <c r="B127" s="42">
        <v>8287130</v>
      </c>
      <c r="D127" s="42">
        <v>127</v>
      </c>
      <c r="E127" s="42">
        <v>4595812</v>
      </c>
    </row>
    <row r="128" spans="1:6" x14ac:dyDescent="0.2">
      <c r="A128" s="42">
        <v>128</v>
      </c>
      <c r="B128" s="42">
        <v>8554570</v>
      </c>
      <c r="D128" s="42">
        <v>128</v>
      </c>
      <c r="E128" s="42">
        <v>4677594</v>
      </c>
    </row>
    <row r="129" spans="1:6" x14ac:dyDescent="0.2">
      <c r="A129" s="42">
        <v>129</v>
      </c>
      <c r="B129" s="42">
        <v>8825145</v>
      </c>
      <c r="D129" s="42">
        <v>129</v>
      </c>
      <c r="E129" s="42">
        <v>4761563</v>
      </c>
    </row>
    <row r="130" spans="1:6" x14ac:dyDescent="0.2">
      <c r="A130" s="42">
        <v>130</v>
      </c>
      <c r="B130" s="42">
        <v>9107305</v>
      </c>
      <c r="D130" s="42">
        <v>130</v>
      </c>
      <c r="E130" s="42">
        <v>4761563</v>
      </c>
      <c r="F130" s="43">
        <f t="shared" ref="F130" si="11">SUM(E121:E130)</f>
        <v>45806574</v>
      </c>
    </row>
    <row r="131" spans="1:6" x14ac:dyDescent="0.2">
      <c r="A131" s="42">
        <v>131</v>
      </c>
      <c r="B131" s="42">
        <v>9389465</v>
      </c>
      <c r="D131" s="42">
        <v>131</v>
      </c>
      <c r="E131" s="42">
        <v>4761563</v>
      </c>
    </row>
    <row r="132" spans="1:6" x14ac:dyDescent="0.2">
      <c r="A132" s="42">
        <v>132</v>
      </c>
      <c r="B132" s="42">
        <v>9687705</v>
      </c>
      <c r="D132" s="42">
        <v>132</v>
      </c>
      <c r="E132" s="42">
        <v>4845982</v>
      </c>
    </row>
    <row r="133" spans="1:6" x14ac:dyDescent="0.2">
      <c r="A133" s="42">
        <v>133</v>
      </c>
      <c r="B133" s="42">
        <v>9985945</v>
      </c>
      <c r="D133" s="42">
        <v>133</v>
      </c>
      <c r="E133" s="42">
        <v>4932588</v>
      </c>
    </row>
    <row r="134" spans="1:6" x14ac:dyDescent="0.2">
      <c r="A134" s="42">
        <v>134</v>
      </c>
      <c r="B134" s="42">
        <v>10296845</v>
      </c>
      <c r="D134" s="42">
        <v>134</v>
      </c>
      <c r="E134" s="42">
        <v>4932588</v>
      </c>
    </row>
    <row r="135" spans="1:6" x14ac:dyDescent="0.2">
      <c r="A135" s="42">
        <v>135</v>
      </c>
      <c r="B135" s="42">
        <v>10611275</v>
      </c>
      <c r="D135" s="42">
        <v>135</v>
      </c>
      <c r="E135" s="42">
        <v>4932588</v>
      </c>
    </row>
    <row r="136" spans="1:6" x14ac:dyDescent="0.2">
      <c r="A136" s="42">
        <v>136</v>
      </c>
      <c r="B136" s="42">
        <v>10939230</v>
      </c>
      <c r="D136" s="42">
        <v>136</v>
      </c>
      <c r="E136" s="42">
        <v>5019195</v>
      </c>
    </row>
    <row r="137" spans="1:6" x14ac:dyDescent="0.2">
      <c r="A137" s="42">
        <v>137</v>
      </c>
      <c r="B137" s="42">
        <v>11267185</v>
      </c>
      <c r="D137" s="42">
        <v>137</v>
      </c>
      <c r="E137" s="42">
        <v>5108581</v>
      </c>
    </row>
    <row r="138" spans="1:6" x14ac:dyDescent="0.2">
      <c r="A138" s="42">
        <v>138</v>
      </c>
      <c r="B138" s="42">
        <v>11612760</v>
      </c>
      <c r="D138" s="42">
        <v>138</v>
      </c>
      <c r="E138" s="42">
        <v>5108581</v>
      </c>
    </row>
    <row r="139" spans="1:6" x14ac:dyDescent="0.2">
      <c r="A139" s="42">
        <v>139</v>
      </c>
      <c r="B139" s="42">
        <v>11958335</v>
      </c>
      <c r="D139" s="42">
        <v>139</v>
      </c>
      <c r="E139" s="42">
        <v>5108581</v>
      </c>
    </row>
    <row r="140" spans="1:6" x14ac:dyDescent="0.2">
      <c r="A140" s="42">
        <v>140</v>
      </c>
      <c r="B140" s="42">
        <v>12318585</v>
      </c>
      <c r="D140" s="42">
        <v>140</v>
      </c>
      <c r="E140" s="42">
        <v>5197968</v>
      </c>
      <c r="F140" s="43">
        <f t="shared" ref="F140" si="12">SUM(E131:E140)</f>
        <v>49948215</v>
      </c>
    </row>
    <row r="141" spans="1:6" x14ac:dyDescent="0.2">
      <c r="A141" s="42">
        <v>141</v>
      </c>
      <c r="B141" s="42">
        <v>12682650</v>
      </c>
      <c r="D141" s="42">
        <v>141</v>
      </c>
      <c r="E141" s="42">
        <v>5289659</v>
      </c>
    </row>
    <row r="142" spans="1:6" x14ac:dyDescent="0.2">
      <c r="A142" s="42">
        <v>142</v>
      </c>
      <c r="B142" s="42">
        <v>13061390</v>
      </c>
      <c r="D142" s="42">
        <v>142</v>
      </c>
      <c r="E142" s="42">
        <v>5289659</v>
      </c>
    </row>
    <row r="143" spans="1:6" x14ac:dyDescent="0.2">
      <c r="A143" s="42">
        <v>143</v>
      </c>
      <c r="B143" s="42">
        <v>13440130</v>
      </c>
      <c r="D143" s="42">
        <v>143</v>
      </c>
      <c r="E143" s="42">
        <v>5289659</v>
      </c>
    </row>
    <row r="144" spans="1:6" x14ac:dyDescent="0.2">
      <c r="A144" s="42">
        <v>144</v>
      </c>
      <c r="B144" s="42">
        <v>13839160</v>
      </c>
      <c r="D144" s="42">
        <v>144</v>
      </c>
      <c r="E144" s="42">
        <v>5381834</v>
      </c>
    </row>
    <row r="145" spans="1:6" x14ac:dyDescent="0.2">
      <c r="A145" s="42">
        <v>145</v>
      </c>
      <c r="B145" s="42">
        <v>14238190</v>
      </c>
      <c r="D145" s="42">
        <v>145</v>
      </c>
      <c r="E145" s="42">
        <v>5476411</v>
      </c>
    </row>
    <row r="146" spans="1:6" x14ac:dyDescent="0.2">
      <c r="A146" s="42">
        <v>146</v>
      </c>
      <c r="B146" s="42">
        <v>14653230</v>
      </c>
      <c r="D146" s="42">
        <v>146</v>
      </c>
      <c r="E146" s="42">
        <v>5476411</v>
      </c>
    </row>
    <row r="147" spans="1:6" x14ac:dyDescent="0.2">
      <c r="A147" s="42">
        <v>147</v>
      </c>
      <c r="B147" s="42">
        <v>15072545</v>
      </c>
      <c r="D147" s="42">
        <v>147</v>
      </c>
      <c r="E147" s="42">
        <v>5476411</v>
      </c>
    </row>
    <row r="148" spans="1:6" x14ac:dyDescent="0.2">
      <c r="A148" s="42">
        <v>148</v>
      </c>
      <c r="B148" s="42">
        <v>15508870</v>
      </c>
      <c r="D148" s="42">
        <v>148</v>
      </c>
      <c r="E148" s="42">
        <v>5570988</v>
      </c>
    </row>
    <row r="149" spans="1:6" x14ac:dyDescent="0.2">
      <c r="A149" s="42">
        <v>149</v>
      </c>
      <c r="B149" s="42">
        <v>15945195</v>
      </c>
      <c r="D149" s="42">
        <v>149</v>
      </c>
      <c r="E149" s="42">
        <v>5668502</v>
      </c>
    </row>
    <row r="150" spans="1:6" x14ac:dyDescent="0.2">
      <c r="A150" s="42">
        <v>150</v>
      </c>
      <c r="B150" s="42">
        <v>16403485</v>
      </c>
      <c r="D150" s="42">
        <v>150</v>
      </c>
      <c r="E150" s="42">
        <v>5668502</v>
      </c>
      <c r="F150" s="43">
        <f t="shared" ref="F150" si="13">SUM(E141:E150)</f>
        <v>54588036</v>
      </c>
    </row>
    <row r="151" spans="1:6" x14ac:dyDescent="0.2">
      <c r="A151" s="42">
        <v>151</v>
      </c>
      <c r="B151" s="42">
        <v>16861775</v>
      </c>
      <c r="D151" s="42">
        <v>151</v>
      </c>
      <c r="E151" s="42">
        <v>5668502</v>
      </c>
    </row>
    <row r="152" spans="1:6" x14ac:dyDescent="0.2">
      <c r="A152" s="42">
        <v>152</v>
      </c>
      <c r="B152" s="42">
        <v>17338505</v>
      </c>
      <c r="D152" s="42">
        <v>152</v>
      </c>
      <c r="E152" s="42">
        <v>5766016</v>
      </c>
    </row>
    <row r="153" spans="1:6" x14ac:dyDescent="0.2">
      <c r="A153" s="42">
        <v>153</v>
      </c>
      <c r="B153" s="42">
        <v>17819980</v>
      </c>
      <c r="D153" s="42">
        <v>153</v>
      </c>
      <c r="E153" s="42">
        <v>5866054</v>
      </c>
    </row>
    <row r="154" spans="1:6" x14ac:dyDescent="0.2">
      <c r="A154" s="42">
        <v>154</v>
      </c>
      <c r="B154" s="42">
        <v>18319895</v>
      </c>
      <c r="D154" s="42">
        <v>154</v>
      </c>
      <c r="E154" s="42">
        <v>5866054</v>
      </c>
    </row>
    <row r="155" spans="1:6" x14ac:dyDescent="0.2">
      <c r="A155" s="42">
        <v>155</v>
      </c>
      <c r="B155" s="42">
        <v>18819810</v>
      </c>
      <c r="D155" s="42">
        <v>155</v>
      </c>
      <c r="E155" s="42">
        <v>5866054</v>
      </c>
    </row>
    <row r="156" spans="1:6" x14ac:dyDescent="0.2">
      <c r="A156" s="42">
        <v>156</v>
      </c>
      <c r="B156" s="42">
        <v>19344795</v>
      </c>
      <c r="D156" s="42">
        <v>156</v>
      </c>
      <c r="E156" s="42">
        <v>5966603</v>
      </c>
    </row>
    <row r="157" spans="1:6" x14ac:dyDescent="0.2">
      <c r="A157" s="42">
        <v>157</v>
      </c>
      <c r="B157" s="42">
        <v>19869780</v>
      </c>
      <c r="D157" s="42">
        <v>157</v>
      </c>
      <c r="E157" s="42">
        <v>6069677</v>
      </c>
    </row>
    <row r="158" spans="1:6" x14ac:dyDescent="0.2">
      <c r="A158" s="42">
        <v>158</v>
      </c>
      <c r="B158" s="42">
        <v>20414715</v>
      </c>
      <c r="D158" s="42">
        <v>158</v>
      </c>
      <c r="E158" s="42">
        <v>6069677</v>
      </c>
    </row>
    <row r="159" spans="1:6" x14ac:dyDescent="0.2">
      <c r="A159" s="42">
        <v>159</v>
      </c>
      <c r="B159" s="42">
        <v>20964770</v>
      </c>
      <c r="D159" s="42">
        <v>159</v>
      </c>
      <c r="E159" s="42">
        <v>6069677</v>
      </c>
    </row>
    <row r="160" spans="1:6" x14ac:dyDescent="0.2">
      <c r="A160" s="42">
        <v>160</v>
      </c>
      <c r="B160" s="42">
        <v>21536005</v>
      </c>
      <c r="D160" s="42">
        <v>160</v>
      </c>
      <c r="E160" s="42">
        <v>6172751</v>
      </c>
      <c r="F160" s="43">
        <f t="shared" ref="F160" si="14">SUM(E151:E160)</f>
        <v>59381065</v>
      </c>
    </row>
    <row r="161" spans="1:6" x14ac:dyDescent="0.2">
      <c r="A161" s="42">
        <v>161</v>
      </c>
      <c r="B161" s="42">
        <v>22107240</v>
      </c>
      <c r="D161" s="42">
        <v>161</v>
      </c>
      <c r="E161" s="42">
        <v>6279031</v>
      </c>
    </row>
    <row r="162" spans="1:6" x14ac:dyDescent="0.2">
      <c r="A162" s="42">
        <v>162</v>
      </c>
      <c r="B162" s="42">
        <v>22705735</v>
      </c>
      <c r="D162" s="42">
        <v>162</v>
      </c>
      <c r="E162" s="42">
        <v>6279031</v>
      </c>
    </row>
    <row r="163" spans="1:6" x14ac:dyDescent="0.2">
      <c r="A163" s="42">
        <v>163</v>
      </c>
      <c r="B163" s="42">
        <v>23304230</v>
      </c>
      <c r="D163" s="42">
        <v>163</v>
      </c>
      <c r="E163" s="42">
        <v>6279031</v>
      </c>
    </row>
    <row r="164" spans="1:6" x14ac:dyDescent="0.2">
      <c r="A164" s="42">
        <v>164</v>
      </c>
      <c r="B164" s="42">
        <v>23925545</v>
      </c>
      <c r="D164" s="42">
        <v>164</v>
      </c>
      <c r="E164" s="42">
        <v>6385312</v>
      </c>
    </row>
    <row r="165" spans="1:6" x14ac:dyDescent="0.2">
      <c r="A165" s="42">
        <v>165</v>
      </c>
      <c r="B165" s="42">
        <v>24552535</v>
      </c>
      <c r="D165" s="42">
        <v>165</v>
      </c>
      <c r="E165" s="42">
        <v>6494253</v>
      </c>
    </row>
    <row r="166" spans="1:6" x14ac:dyDescent="0.2">
      <c r="A166" s="42">
        <v>166</v>
      </c>
      <c r="B166" s="42">
        <v>25202340</v>
      </c>
      <c r="D166" s="42">
        <v>166</v>
      </c>
      <c r="E166" s="42">
        <v>6494253</v>
      </c>
    </row>
    <row r="167" spans="1:6" x14ac:dyDescent="0.2">
      <c r="A167" s="42">
        <v>167</v>
      </c>
      <c r="B167" s="42">
        <v>25852145</v>
      </c>
      <c r="D167" s="42">
        <v>167</v>
      </c>
      <c r="E167" s="42">
        <v>6494253</v>
      </c>
    </row>
    <row r="168" spans="1:6" x14ac:dyDescent="0.2">
      <c r="A168" s="42">
        <v>168</v>
      </c>
      <c r="B168" s="42">
        <v>26532725</v>
      </c>
      <c r="D168" s="42">
        <v>168</v>
      </c>
      <c r="E168" s="42">
        <v>6603742</v>
      </c>
    </row>
    <row r="169" spans="1:6" x14ac:dyDescent="0.2">
      <c r="A169" s="42">
        <v>169</v>
      </c>
      <c r="B169" s="42">
        <v>27213305</v>
      </c>
      <c r="D169" s="42">
        <v>169</v>
      </c>
      <c r="E169" s="42">
        <v>6715997</v>
      </c>
    </row>
    <row r="170" spans="1:6" x14ac:dyDescent="0.2">
      <c r="A170" s="42">
        <v>170</v>
      </c>
      <c r="B170" s="42">
        <v>27918540</v>
      </c>
      <c r="D170" s="42">
        <v>170</v>
      </c>
      <c r="E170" s="42">
        <v>6715997</v>
      </c>
      <c r="F170" s="43">
        <f t="shared" ref="F170" si="15">SUM(E161:E170)</f>
        <v>64740900</v>
      </c>
    </row>
    <row r="171" spans="1:6" x14ac:dyDescent="0.2">
      <c r="A171" s="42">
        <v>171</v>
      </c>
      <c r="B171" s="42">
        <v>28630050</v>
      </c>
      <c r="D171" s="42">
        <v>171</v>
      </c>
      <c r="E171" s="42">
        <v>6715997</v>
      </c>
    </row>
    <row r="172" spans="1:6" x14ac:dyDescent="0.2">
      <c r="A172" s="42">
        <v>172</v>
      </c>
      <c r="B172" s="42">
        <v>29367610</v>
      </c>
      <c r="D172" s="42">
        <v>172</v>
      </c>
      <c r="E172" s="42">
        <v>6828252</v>
      </c>
    </row>
    <row r="173" spans="1:6" x14ac:dyDescent="0.2">
      <c r="A173" s="42">
        <v>173</v>
      </c>
      <c r="B173" s="42">
        <v>30105170</v>
      </c>
      <c r="D173" s="42">
        <v>173</v>
      </c>
      <c r="E173" s="42">
        <v>6943878</v>
      </c>
    </row>
    <row r="174" spans="1:6" x14ac:dyDescent="0.2">
      <c r="A174" s="42">
        <v>174</v>
      </c>
      <c r="B174" s="42">
        <v>30875945</v>
      </c>
      <c r="D174" s="42">
        <v>174</v>
      </c>
      <c r="E174" s="42">
        <v>6943878</v>
      </c>
    </row>
    <row r="175" spans="1:6" x14ac:dyDescent="0.2">
      <c r="A175" s="42">
        <v>175</v>
      </c>
      <c r="B175" s="42">
        <v>31646720</v>
      </c>
      <c r="D175" s="42">
        <v>175</v>
      </c>
      <c r="E175" s="42">
        <v>6943878</v>
      </c>
    </row>
    <row r="176" spans="1:6" x14ac:dyDescent="0.2">
      <c r="A176" s="42">
        <v>176</v>
      </c>
      <c r="B176" s="42">
        <v>32445505</v>
      </c>
      <c r="D176" s="42">
        <v>176</v>
      </c>
      <c r="E176" s="42">
        <v>7059504</v>
      </c>
    </row>
    <row r="177" spans="1:6" x14ac:dyDescent="0.2">
      <c r="A177" s="42">
        <v>177</v>
      </c>
      <c r="B177" s="42">
        <v>33251010</v>
      </c>
      <c r="D177" s="42">
        <v>177</v>
      </c>
      <c r="E177" s="42">
        <v>7178039</v>
      </c>
    </row>
    <row r="178" spans="1:6" x14ac:dyDescent="0.2">
      <c r="A178" s="42">
        <v>178</v>
      </c>
      <c r="B178" s="42">
        <v>34084530</v>
      </c>
      <c r="D178" s="42">
        <v>178</v>
      </c>
      <c r="E178" s="42">
        <v>7178039</v>
      </c>
    </row>
    <row r="179" spans="1:6" x14ac:dyDescent="0.2">
      <c r="A179" s="42">
        <v>179</v>
      </c>
      <c r="B179" s="42">
        <v>34918050</v>
      </c>
      <c r="D179" s="42">
        <v>179</v>
      </c>
      <c r="E179" s="42">
        <v>7178039</v>
      </c>
    </row>
    <row r="180" spans="1:6" x14ac:dyDescent="0.2">
      <c r="A180" s="42">
        <v>180</v>
      </c>
      <c r="B180" s="42">
        <v>35789075</v>
      </c>
      <c r="D180" s="42">
        <v>180</v>
      </c>
      <c r="E180" s="42">
        <v>7297158</v>
      </c>
      <c r="F180" s="43">
        <f t="shared" ref="F180" si="16">SUM(E171:E180)</f>
        <v>70266662</v>
      </c>
    </row>
    <row r="181" spans="1:6" x14ac:dyDescent="0.2">
      <c r="A181" s="42">
        <v>181</v>
      </c>
      <c r="B181" s="42">
        <v>36660100</v>
      </c>
      <c r="D181" s="42">
        <v>181</v>
      </c>
      <c r="E181" s="42">
        <v>7419187</v>
      </c>
    </row>
    <row r="182" spans="1:6" x14ac:dyDescent="0.2">
      <c r="A182" s="42">
        <v>182</v>
      </c>
      <c r="B182" s="42">
        <v>37561220</v>
      </c>
      <c r="D182" s="42">
        <v>182</v>
      </c>
      <c r="E182" s="42">
        <v>7419187</v>
      </c>
    </row>
    <row r="183" spans="1:6" x14ac:dyDescent="0.2">
      <c r="A183" s="42">
        <v>183</v>
      </c>
      <c r="B183" s="42">
        <v>38469755</v>
      </c>
      <c r="D183" s="42">
        <v>183</v>
      </c>
      <c r="E183" s="42">
        <v>7419187</v>
      </c>
    </row>
    <row r="184" spans="1:6" x14ac:dyDescent="0.2">
      <c r="A184" s="42">
        <v>184</v>
      </c>
      <c r="B184" s="42">
        <v>39410080</v>
      </c>
      <c r="D184" s="42">
        <v>184</v>
      </c>
      <c r="E184" s="42">
        <v>7541215</v>
      </c>
    </row>
    <row r="185" spans="1:6" x14ac:dyDescent="0.2">
      <c r="A185" s="42">
        <v>185</v>
      </c>
      <c r="B185" s="42">
        <v>40350405</v>
      </c>
      <c r="D185" s="42">
        <v>185</v>
      </c>
      <c r="E185" s="42">
        <v>7666913</v>
      </c>
    </row>
    <row r="186" spans="1:6" x14ac:dyDescent="0.2">
      <c r="A186" s="42">
        <v>186</v>
      </c>
      <c r="B186" s="42">
        <v>41330960</v>
      </c>
      <c r="D186" s="42">
        <v>186</v>
      </c>
      <c r="E186" s="42">
        <v>7666913</v>
      </c>
    </row>
    <row r="187" spans="1:6" x14ac:dyDescent="0.2">
      <c r="A187" s="42">
        <v>187</v>
      </c>
      <c r="B187" s="42">
        <v>42311515</v>
      </c>
      <c r="D187" s="42">
        <v>187</v>
      </c>
      <c r="E187" s="42">
        <v>7666913</v>
      </c>
    </row>
    <row r="188" spans="1:6" x14ac:dyDescent="0.2">
      <c r="A188" s="42">
        <v>188</v>
      </c>
      <c r="B188" s="42">
        <v>43326065</v>
      </c>
      <c r="D188" s="42">
        <v>188</v>
      </c>
      <c r="E188" s="42">
        <v>7792612</v>
      </c>
    </row>
    <row r="189" spans="1:6" x14ac:dyDescent="0.2">
      <c r="A189" s="42">
        <v>189</v>
      </c>
      <c r="B189" s="42">
        <v>44348735</v>
      </c>
      <c r="D189" s="42">
        <v>189</v>
      </c>
      <c r="E189" s="42">
        <v>7792612</v>
      </c>
    </row>
    <row r="190" spans="1:6" x14ac:dyDescent="0.2">
      <c r="A190" s="42">
        <v>190</v>
      </c>
      <c r="B190" s="42">
        <v>45405405</v>
      </c>
      <c r="D190" s="42">
        <v>190</v>
      </c>
      <c r="E190" s="42">
        <v>7792612</v>
      </c>
      <c r="F190" s="43">
        <f t="shared" ref="F190" si="17">SUM(E181:E190)</f>
        <v>76177351</v>
      </c>
    </row>
    <row r="191" spans="1:6" x14ac:dyDescent="0.2">
      <c r="A191" s="42">
        <v>191</v>
      </c>
      <c r="B191" s="42">
        <v>46462075</v>
      </c>
      <c r="D191" s="42">
        <v>191</v>
      </c>
      <c r="E191" s="42">
        <v>7921366</v>
      </c>
    </row>
    <row r="192" spans="1:6" x14ac:dyDescent="0.2">
      <c r="A192" s="42">
        <v>192</v>
      </c>
      <c r="B192" s="42">
        <v>47563900</v>
      </c>
      <c r="D192" s="42">
        <v>192</v>
      </c>
      <c r="E192" s="42">
        <v>7921366</v>
      </c>
    </row>
    <row r="193" spans="1:6" x14ac:dyDescent="0.2">
      <c r="A193" s="42">
        <v>193</v>
      </c>
      <c r="B193" s="42">
        <v>48665725</v>
      </c>
      <c r="D193" s="42">
        <v>193</v>
      </c>
      <c r="E193" s="42">
        <v>7921366</v>
      </c>
    </row>
    <row r="194" spans="1:6" x14ac:dyDescent="0.2">
      <c r="A194" s="42">
        <v>194</v>
      </c>
      <c r="B194" s="42">
        <v>49804020</v>
      </c>
      <c r="D194" s="42">
        <v>194</v>
      </c>
      <c r="E194" s="42">
        <v>8050735</v>
      </c>
    </row>
    <row r="195" spans="1:6" x14ac:dyDescent="0.2">
      <c r="A195" s="42">
        <v>195</v>
      </c>
      <c r="B195" s="42">
        <v>50951005</v>
      </c>
      <c r="D195" s="42">
        <v>195</v>
      </c>
      <c r="E195" s="42">
        <v>8050735</v>
      </c>
    </row>
    <row r="196" spans="1:6" x14ac:dyDescent="0.2">
      <c r="A196" s="42">
        <v>196</v>
      </c>
      <c r="B196" s="42">
        <v>52136360</v>
      </c>
      <c r="D196" s="42">
        <v>196</v>
      </c>
      <c r="E196" s="42">
        <v>8050735</v>
      </c>
    </row>
    <row r="197" spans="1:6" x14ac:dyDescent="0.2">
      <c r="A197" s="42">
        <v>197</v>
      </c>
      <c r="B197" s="42">
        <v>53321715</v>
      </c>
      <c r="D197" s="42">
        <v>197</v>
      </c>
      <c r="E197" s="42">
        <v>8183283</v>
      </c>
    </row>
    <row r="198" spans="1:6" x14ac:dyDescent="0.2">
      <c r="A198" s="42">
        <v>198</v>
      </c>
      <c r="B198" s="42">
        <v>54555530</v>
      </c>
      <c r="D198" s="42">
        <v>198</v>
      </c>
      <c r="E198" s="42">
        <v>8183283</v>
      </c>
    </row>
    <row r="199" spans="1:6" x14ac:dyDescent="0.2">
      <c r="A199" s="42">
        <v>199</v>
      </c>
      <c r="B199" s="42">
        <v>55789345</v>
      </c>
      <c r="D199" s="42">
        <v>199</v>
      </c>
      <c r="E199" s="42">
        <v>8183283</v>
      </c>
    </row>
    <row r="200" spans="1:6" x14ac:dyDescent="0.2">
      <c r="A200" s="42">
        <v>200</v>
      </c>
      <c r="B200" s="42">
        <v>57064175</v>
      </c>
      <c r="D200" s="42">
        <v>200</v>
      </c>
      <c r="E200" s="42">
        <v>8315830</v>
      </c>
      <c r="F200" s="43">
        <f t="shared" ref="F200" si="18">SUM(E191:E200)</f>
        <v>80781982</v>
      </c>
    </row>
    <row r="201" spans="1:6" x14ac:dyDescent="0.2">
      <c r="A201" s="42">
        <v>201</v>
      </c>
      <c r="B201" s="42">
        <v>58348500</v>
      </c>
      <c r="D201" s="42">
        <v>201</v>
      </c>
      <c r="E201" s="42">
        <v>8315830</v>
      </c>
    </row>
    <row r="202" spans="1:6" x14ac:dyDescent="0.2">
      <c r="A202" s="42">
        <v>202</v>
      </c>
      <c r="B202" s="42">
        <v>59673840</v>
      </c>
      <c r="D202" s="42">
        <v>202</v>
      </c>
      <c r="E202" s="42">
        <v>8315830</v>
      </c>
    </row>
    <row r="203" spans="1:6" x14ac:dyDescent="0.2">
      <c r="A203" s="42">
        <v>203</v>
      </c>
      <c r="B203" s="42">
        <v>60999180</v>
      </c>
      <c r="D203" s="42">
        <v>203</v>
      </c>
      <c r="E203" s="42">
        <v>8452244</v>
      </c>
    </row>
    <row r="204" spans="1:6" x14ac:dyDescent="0.2">
      <c r="A204" s="42">
        <v>204</v>
      </c>
      <c r="B204" s="42">
        <v>62378435</v>
      </c>
      <c r="D204" s="42">
        <v>204</v>
      </c>
      <c r="E204" s="42">
        <v>8452244</v>
      </c>
    </row>
    <row r="205" spans="1:6" x14ac:dyDescent="0.2">
      <c r="A205" s="42">
        <v>205</v>
      </c>
      <c r="B205" s="42">
        <v>63757690</v>
      </c>
      <c r="D205" s="42">
        <v>205</v>
      </c>
      <c r="E205" s="42">
        <v>8452244</v>
      </c>
    </row>
    <row r="206" spans="1:6" x14ac:dyDescent="0.2">
      <c r="A206" s="42">
        <v>206</v>
      </c>
      <c r="B206" s="42">
        <v>65180715</v>
      </c>
      <c r="D206" s="42">
        <v>206</v>
      </c>
      <c r="E206" s="42">
        <v>8588658</v>
      </c>
    </row>
    <row r="207" spans="1:6" x14ac:dyDescent="0.2">
      <c r="A207" s="42">
        <v>207</v>
      </c>
      <c r="B207" s="42">
        <v>66614100</v>
      </c>
      <c r="D207" s="42">
        <v>207</v>
      </c>
      <c r="E207" s="42">
        <v>8588658</v>
      </c>
    </row>
    <row r="208" spans="1:6" x14ac:dyDescent="0.2">
      <c r="A208" s="42">
        <v>208</v>
      </c>
      <c r="B208" s="42">
        <v>68093535</v>
      </c>
      <c r="D208" s="42">
        <v>208</v>
      </c>
      <c r="E208" s="42">
        <v>8588658</v>
      </c>
    </row>
    <row r="209" spans="1:6" x14ac:dyDescent="0.2">
      <c r="A209" s="42">
        <v>209</v>
      </c>
      <c r="B209" s="42">
        <v>69572970</v>
      </c>
      <c r="D209" s="42">
        <v>209</v>
      </c>
      <c r="E209" s="42">
        <v>8728404</v>
      </c>
    </row>
    <row r="210" spans="1:6" x14ac:dyDescent="0.2">
      <c r="A210" s="42">
        <v>210</v>
      </c>
      <c r="B210" s="42">
        <v>71110105</v>
      </c>
      <c r="D210" s="42">
        <v>210</v>
      </c>
      <c r="E210" s="42">
        <v>8728404</v>
      </c>
      <c r="F210" s="43">
        <f t="shared" ref="F210" si="19">SUM(E201:E210)</f>
        <v>85211174</v>
      </c>
    </row>
    <row r="211" spans="1:6" x14ac:dyDescent="0.2">
      <c r="A211" s="42">
        <v>211</v>
      </c>
      <c r="B211" s="42">
        <v>72647240</v>
      </c>
      <c r="D211" s="42">
        <v>211</v>
      </c>
      <c r="E211" s="42">
        <v>8728404</v>
      </c>
    </row>
    <row r="212" spans="1:6" x14ac:dyDescent="0.2">
      <c r="A212" s="42">
        <v>212</v>
      </c>
      <c r="B212" s="42">
        <v>74233350</v>
      </c>
      <c r="D212" s="42">
        <v>212</v>
      </c>
      <c r="E212" s="42">
        <v>8868807</v>
      </c>
    </row>
    <row r="213" spans="1:6" x14ac:dyDescent="0.2">
      <c r="A213" s="42">
        <v>213</v>
      </c>
      <c r="B213" s="42">
        <v>75830465</v>
      </c>
      <c r="D213" s="42">
        <v>213</v>
      </c>
      <c r="E213" s="42">
        <v>8868807</v>
      </c>
    </row>
    <row r="214" spans="1:6" x14ac:dyDescent="0.2">
      <c r="A214" s="42">
        <v>214</v>
      </c>
      <c r="B214" s="42">
        <v>77476555</v>
      </c>
      <c r="D214" s="42">
        <v>214</v>
      </c>
      <c r="E214" s="42">
        <v>8868807</v>
      </c>
    </row>
    <row r="215" spans="1:6" x14ac:dyDescent="0.2">
      <c r="A215" s="42">
        <v>215</v>
      </c>
      <c r="B215" s="42">
        <v>79122645</v>
      </c>
      <c r="D215" s="42">
        <v>215</v>
      </c>
      <c r="E215" s="42">
        <v>9012543</v>
      </c>
    </row>
    <row r="216" spans="1:6" x14ac:dyDescent="0.2">
      <c r="A216" s="42">
        <v>216</v>
      </c>
      <c r="B216" s="42">
        <v>80832985</v>
      </c>
      <c r="D216" s="42">
        <v>216</v>
      </c>
      <c r="E216" s="42">
        <v>9012543</v>
      </c>
    </row>
    <row r="217" spans="1:6" x14ac:dyDescent="0.2">
      <c r="A217" s="42">
        <v>217</v>
      </c>
      <c r="B217" s="42">
        <v>82543325</v>
      </c>
      <c r="D217" s="42">
        <v>217</v>
      </c>
      <c r="E217" s="42">
        <v>9012543</v>
      </c>
    </row>
    <row r="218" spans="1:6" x14ac:dyDescent="0.2">
      <c r="A218" s="42">
        <v>218</v>
      </c>
      <c r="B218" s="42">
        <v>84305910</v>
      </c>
      <c r="D218" s="42">
        <v>218</v>
      </c>
      <c r="E218" s="42">
        <v>9156279</v>
      </c>
    </row>
    <row r="219" spans="1:6" x14ac:dyDescent="0.2">
      <c r="A219" s="42">
        <v>219</v>
      </c>
      <c r="B219" s="42">
        <v>86080505</v>
      </c>
      <c r="D219" s="42">
        <v>219</v>
      </c>
      <c r="E219" s="42">
        <v>9156279</v>
      </c>
    </row>
    <row r="220" spans="1:6" x14ac:dyDescent="0.2">
      <c r="A220" s="42">
        <v>220</v>
      </c>
      <c r="B220" s="42">
        <v>87909870</v>
      </c>
      <c r="D220" s="42">
        <v>220</v>
      </c>
      <c r="E220" s="42">
        <v>9156279</v>
      </c>
      <c r="F220" s="43">
        <f t="shared" ref="F220" si="20">SUM(E211:E220)</f>
        <v>89841291</v>
      </c>
    </row>
    <row r="221" spans="1:6" x14ac:dyDescent="0.2">
      <c r="A221" s="42">
        <v>221</v>
      </c>
      <c r="B221" s="42">
        <v>89739235</v>
      </c>
      <c r="D221" s="42">
        <v>221</v>
      </c>
      <c r="E221" s="42">
        <v>9304206</v>
      </c>
    </row>
    <row r="222" spans="1:6" x14ac:dyDescent="0.2">
      <c r="A222" s="42">
        <v>222</v>
      </c>
      <c r="B222" s="42">
        <v>91636870</v>
      </c>
      <c r="D222" s="42">
        <v>222</v>
      </c>
      <c r="E222" s="42">
        <v>9304206</v>
      </c>
    </row>
    <row r="223" spans="1:6" x14ac:dyDescent="0.2">
      <c r="A223" s="42">
        <v>223</v>
      </c>
      <c r="B223" s="42">
        <v>93534505</v>
      </c>
      <c r="D223" s="42">
        <v>223</v>
      </c>
      <c r="E223" s="42">
        <v>9304206</v>
      </c>
    </row>
    <row r="224" spans="1:6" x14ac:dyDescent="0.2">
      <c r="A224" s="42">
        <v>224</v>
      </c>
      <c r="B224" s="42">
        <v>95490375</v>
      </c>
      <c r="D224" s="42">
        <v>224</v>
      </c>
      <c r="E224" s="42">
        <v>9452132</v>
      </c>
    </row>
    <row r="225" spans="1:6" x14ac:dyDescent="0.2">
      <c r="A225" s="42">
        <v>225</v>
      </c>
      <c r="B225" s="42">
        <v>97459260</v>
      </c>
      <c r="D225" s="42">
        <v>225</v>
      </c>
      <c r="E225" s="42">
        <v>9452132</v>
      </c>
    </row>
    <row r="226" spans="1:6" x14ac:dyDescent="0.2">
      <c r="A226" s="42">
        <v>226</v>
      </c>
      <c r="B226" s="42">
        <v>99486380</v>
      </c>
      <c r="D226" s="42">
        <v>226</v>
      </c>
      <c r="E226" s="42">
        <v>9452132</v>
      </c>
    </row>
    <row r="227" spans="1:6" x14ac:dyDescent="0.2">
      <c r="A227" s="42">
        <v>227</v>
      </c>
      <c r="B227" s="42">
        <v>101513500</v>
      </c>
      <c r="D227" s="42">
        <v>227</v>
      </c>
      <c r="E227" s="42">
        <v>9603558</v>
      </c>
    </row>
    <row r="228" spans="1:6" x14ac:dyDescent="0.2">
      <c r="A228" s="42">
        <v>228</v>
      </c>
      <c r="B228" s="42">
        <v>103616290</v>
      </c>
      <c r="D228" s="42">
        <v>228</v>
      </c>
      <c r="E228" s="42">
        <v>9603558</v>
      </c>
    </row>
    <row r="229" spans="1:6" x14ac:dyDescent="0.2">
      <c r="A229" s="42">
        <v>229</v>
      </c>
      <c r="B229" s="42">
        <v>105719080</v>
      </c>
      <c r="D229" s="42">
        <v>229</v>
      </c>
      <c r="E229" s="42">
        <v>9603558</v>
      </c>
    </row>
    <row r="230" spans="1:6" x14ac:dyDescent="0.2">
      <c r="A230" s="42">
        <v>230</v>
      </c>
      <c r="B230" s="42">
        <v>107883715</v>
      </c>
      <c r="D230" s="42">
        <v>230</v>
      </c>
      <c r="E230" s="42">
        <v>9755685</v>
      </c>
      <c r="F230" s="43">
        <f t="shared" ref="F230" si="21">SUM(E221:E230)</f>
        <v>94835373</v>
      </c>
    </row>
    <row r="231" spans="1:6" x14ac:dyDescent="0.2">
      <c r="A231" s="42">
        <v>231</v>
      </c>
      <c r="B231" s="42">
        <v>110062180</v>
      </c>
      <c r="D231" s="42">
        <v>231</v>
      </c>
      <c r="E231" s="42">
        <v>9755685</v>
      </c>
    </row>
    <row r="232" spans="1:6" x14ac:dyDescent="0.2">
      <c r="A232" s="42">
        <v>232</v>
      </c>
      <c r="B232" s="42">
        <v>112305475</v>
      </c>
      <c r="D232" s="42">
        <v>232</v>
      </c>
      <c r="E232" s="42">
        <v>9755685</v>
      </c>
    </row>
    <row r="233" spans="1:6" x14ac:dyDescent="0.2">
      <c r="A233" s="42">
        <v>233</v>
      </c>
      <c r="B233" s="42">
        <v>114548770</v>
      </c>
      <c r="D233" s="42">
        <v>233</v>
      </c>
      <c r="E233" s="42">
        <v>9911445</v>
      </c>
    </row>
    <row r="234" spans="1:6" x14ac:dyDescent="0.2">
      <c r="A234" s="42">
        <v>234</v>
      </c>
      <c r="B234" s="42">
        <v>116872700</v>
      </c>
      <c r="D234" s="42">
        <v>234</v>
      </c>
      <c r="E234" s="42">
        <v>9911445</v>
      </c>
    </row>
    <row r="235" spans="1:6" x14ac:dyDescent="0.2">
      <c r="A235" s="42">
        <v>235</v>
      </c>
      <c r="B235" s="42">
        <v>119196630</v>
      </c>
      <c r="D235" s="42">
        <v>235</v>
      </c>
      <c r="E235" s="42">
        <v>9911445</v>
      </c>
    </row>
    <row r="236" spans="1:6" x14ac:dyDescent="0.2">
      <c r="A236" s="42">
        <v>236</v>
      </c>
      <c r="B236" s="42">
        <v>121589225</v>
      </c>
      <c r="D236" s="42">
        <v>236</v>
      </c>
      <c r="E236" s="42">
        <v>9911445</v>
      </c>
    </row>
    <row r="237" spans="1:6" x14ac:dyDescent="0.2">
      <c r="A237" s="42">
        <v>237</v>
      </c>
      <c r="B237" s="42">
        <v>123996780</v>
      </c>
      <c r="D237" s="42">
        <v>237</v>
      </c>
      <c r="E237" s="42">
        <v>10067205</v>
      </c>
    </row>
    <row r="238" spans="1:6" x14ac:dyDescent="0.2">
      <c r="A238" s="42">
        <v>238</v>
      </c>
      <c r="B238" s="42">
        <v>126473000</v>
      </c>
      <c r="D238" s="42">
        <v>238</v>
      </c>
      <c r="E238" s="42">
        <v>10067205</v>
      </c>
    </row>
    <row r="239" spans="1:6" x14ac:dyDescent="0.2">
      <c r="A239" s="42">
        <v>239</v>
      </c>
      <c r="B239" s="42">
        <v>128949220</v>
      </c>
      <c r="D239" s="42">
        <v>239</v>
      </c>
      <c r="E239" s="42">
        <v>10067205</v>
      </c>
    </row>
    <row r="240" spans="1:6" x14ac:dyDescent="0.2">
      <c r="A240" s="42">
        <v>240</v>
      </c>
      <c r="B240" s="42">
        <v>131514215</v>
      </c>
      <c r="D240" s="42">
        <v>240</v>
      </c>
      <c r="E240" s="42">
        <v>10227366</v>
      </c>
      <c r="F240" s="43">
        <f t="shared" ref="F240" si="22">SUM(E231:E240)</f>
        <v>99586131</v>
      </c>
    </row>
    <row r="241" spans="1:6" x14ac:dyDescent="0.2">
      <c r="A241" s="42">
        <v>241</v>
      </c>
      <c r="B241" s="42">
        <v>134079210</v>
      </c>
      <c r="D241" s="42">
        <v>241</v>
      </c>
      <c r="E241" s="42">
        <v>10227366</v>
      </c>
    </row>
    <row r="242" spans="1:6" x14ac:dyDescent="0.2">
      <c r="A242" s="42">
        <v>242</v>
      </c>
      <c r="B242" s="42">
        <v>136717090</v>
      </c>
      <c r="D242" s="42">
        <v>242</v>
      </c>
      <c r="E242" s="42">
        <v>10227366</v>
      </c>
    </row>
    <row r="243" spans="1:6" x14ac:dyDescent="0.2">
      <c r="A243" s="42">
        <v>243</v>
      </c>
      <c r="B243" s="42">
        <v>139371155</v>
      </c>
      <c r="D243" s="42">
        <v>243</v>
      </c>
      <c r="E243" s="42">
        <v>10387528</v>
      </c>
    </row>
    <row r="244" spans="1:6" x14ac:dyDescent="0.2">
      <c r="A244" s="42">
        <v>244</v>
      </c>
      <c r="B244" s="42">
        <v>142101400</v>
      </c>
      <c r="D244" s="42">
        <v>244</v>
      </c>
      <c r="E244" s="42">
        <v>10387528</v>
      </c>
    </row>
    <row r="245" spans="1:6" x14ac:dyDescent="0.2">
      <c r="A245" s="42">
        <v>245</v>
      </c>
      <c r="B245" s="42">
        <v>144831645</v>
      </c>
      <c r="D245" s="42">
        <v>245</v>
      </c>
      <c r="E245" s="42">
        <v>10387528</v>
      </c>
    </row>
    <row r="246" spans="1:6" x14ac:dyDescent="0.2">
      <c r="A246" s="42">
        <v>246</v>
      </c>
      <c r="B246" s="42">
        <v>147656105</v>
      </c>
      <c r="D246" s="42">
        <v>246</v>
      </c>
      <c r="E246" s="42">
        <v>10551497</v>
      </c>
    </row>
    <row r="247" spans="1:6" x14ac:dyDescent="0.2">
      <c r="A247" s="42">
        <v>247</v>
      </c>
      <c r="B247" s="42">
        <v>150480565</v>
      </c>
      <c r="D247" s="42">
        <v>247</v>
      </c>
      <c r="E247" s="42">
        <v>10551497</v>
      </c>
    </row>
    <row r="248" spans="1:6" x14ac:dyDescent="0.2">
      <c r="A248" s="42">
        <v>248</v>
      </c>
      <c r="B248" s="42">
        <v>153385655</v>
      </c>
      <c r="D248" s="42">
        <v>248</v>
      </c>
      <c r="E248" s="42">
        <v>10551497</v>
      </c>
    </row>
    <row r="249" spans="1:6" x14ac:dyDescent="0.2">
      <c r="A249" s="42">
        <v>249</v>
      </c>
      <c r="B249" s="42">
        <v>156307860</v>
      </c>
      <c r="D249" s="42">
        <v>249</v>
      </c>
      <c r="E249" s="42">
        <v>10716202</v>
      </c>
    </row>
    <row r="250" spans="1:6" x14ac:dyDescent="0.2">
      <c r="A250" s="42">
        <v>250</v>
      </c>
      <c r="B250" s="42">
        <v>159310695</v>
      </c>
      <c r="D250" s="42">
        <v>250</v>
      </c>
      <c r="E250" s="42">
        <v>10716202</v>
      </c>
      <c r="F250" s="43">
        <f t="shared" ref="F250" si="23">SUM(E241:E250)</f>
        <v>104704211</v>
      </c>
    </row>
    <row r="251" spans="1:6" x14ac:dyDescent="0.2">
      <c r="A251" s="42">
        <v>251</v>
      </c>
      <c r="B251" s="42">
        <v>162313530</v>
      </c>
      <c r="D251" s="42">
        <v>251</v>
      </c>
      <c r="E251" s="42">
        <v>10716202</v>
      </c>
    </row>
    <row r="252" spans="1:6" x14ac:dyDescent="0.2">
      <c r="A252" s="42">
        <v>252</v>
      </c>
      <c r="B252" s="42">
        <v>165420140</v>
      </c>
      <c r="D252" s="42">
        <v>252</v>
      </c>
      <c r="E252" s="42">
        <v>10884714</v>
      </c>
    </row>
    <row r="253" spans="1:6" x14ac:dyDescent="0.2">
      <c r="A253" s="42">
        <v>253</v>
      </c>
      <c r="B253" s="42">
        <v>168526750</v>
      </c>
      <c r="D253" s="42">
        <v>253</v>
      </c>
      <c r="E253" s="42">
        <v>10884714</v>
      </c>
    </row>
    <row r="254" spans="1:6" x14ac:dyDescent="0.2">
      <c r="A254" s="42">
        <v>254</v>
      </c>
      <c r="B254" s="42">
        <v>171718645</v>
      </c>
      <c r="D254" s="42">
        <v>254</v>
      </c>
      <c r="E254" s="42">
        <v>10884714</v>
      </c>
    </row>
    <row r="255" spans="1:6" x14ac:dyDescent="0.2">
      <c r="A255" s="42">
        <v>255</v>
      </c>
      <c r="B255" s="42">
        <v>174929030</v>
      </c>
      <c r="D255" s="42">
        <v>255</v>
      </c>
      <c r="E255" s="42">
        <v>11053227</v>
      </c>
    </row>
    <row r="256" spans="1:6" x14ac:dyDescent="0.2">
      <c r="A256" s="42">
        <v>256</v>
      </c>
      <c r="B256" s="42">
        <v>178228565</v>
      </c>
      <c r="D256" s="42">
        <v>256</v>
      </c>
      <c r="E256" s="42">
        <v>11053227</v>
      </c>
    </row>
    <row r="257" spans="1:6" x14ac:dyDescent="0.2">
      <c r="A257" s="42">
        <v>257</v>
      </c>
      <c r="B257" s="42">
        <v>181528100</v>
      </c>
      <c r="D257" s="42">
        <v>257</v>
      </c>
      <c r="E257" s="42">
        <v>11053227</v>
      </c>
    </row>
    <row r="258" spans="1:6" x14ac:dyDescent="0.2">
      <c r="A258" s="42">
        <v>258</v>
      </c>
      <c r="B258" s="42">
        <v>184937365</v>
      </c>
      <c r="D258" s="42">
        <v>258</v>
      </c>
      <c r="E258" s="42">
        <v>11226513</v>
      </c>
    </row>
    <row r="259" spans="1:6" x14ac:dyDescent="0.2">
      <c r="A259" s="42">
        <v>259</v>
      </c>
      <c r="B259" s="42">
        <v>188346630</v>
      </c>
      <c r="D259" s="42">
        <v>259</v>
      </c>
      <c r="E259" s="42">
        <v>11226513</v>
      </c>
    </row>
    <row r="260" spans="1:6" x14ac:dyDescent="0.2">
      <c r="A260" s="42">
        <v>260</v>
      </c>
      <c r="B260" s="42">
        <v>191849945</v>
      </c>
      <c r="D260" s="42">
        <v>260</v>
      </c>
      <c r="E260" s="42">
        <v>11226513</v>
      </c>
      <c r="F260" s="43">
        <f t="shared" ref="F260" si="24">SUM(E251:E260)</f>
        <v>110209564</v>
      </c>
    </row>
    <row r="261" spans="1:6" x14ac:dyDescent="0.2">
      <c r="A261" s="42">
        <v>261</v>
      </c>
      <c r="B261" s="42">
        <v>195373130</v>
      </c>
      <c r="D261" s="42">
        <v>261</v>
      </c>
      <c r="E261" s="42">
        <v>11399799</v>
      </c>
    </row>
    <row r="262" spans="1:6" x14ac:dyDescent="0.2">
      <c r="A262" s="42">
        <v>262</v>
      </c>
      <c r="B262" s="42">
        <v>198990370</v>
      </c>
      <c r="D262" s="42">
        <v>262</v>
      </c>
      <c r="E262" s="42">
        <v>11399799</v>
      </c>
    </row>
    <row r="263" spans="1:6" x14ac:dyDescent="0.2">
      <c r="A263" s="42">
        <v>263</v>
      </c>
      <c r="B263" s="42">
        <v>202607610</v>
      </c>
      <c r="D263" s="42">
        <v>263</v>
      </c>
      <c r="E263" s="42">
        <v>11399799</v>
      </c>
    </row>
    <row r="264" spans="1:6" x14ac:dyDescent="0.2">
      <c r="A264" s="42">
        <v>264</v>
      </c>
      <c r="B264" s="42">
        <v>206345275</v>
      </c>
      <c r="D264" s="42">
        <v>264</v>
      </c>
      <c r="E264" s="42">
        <v>11577075</v>
      </c>
    </row>
    <row r="265" spans="1:6" x14ac:dyDescent="0.2">
      <c r="A265" s="42">
        <v>265</v>
      </c>
      <c r="B265" s="42">
        <v>210082940</v>
      </c>
      <c r="D265" s="42">
        <v>265</v>
      </c>
      <c r="E265" s="42">
        <v>11577075</v>
      </c>
    </row>
    <row r="266" spans="1:6" x14ac:dyDescent="0.2">
      <c r="A266" s="42">
        <v>266</v>
      </c>
      <c r="B266" s="42">
        <v>213920015</v>
      </c>
      <c r="D266" s="42">
        <v>266</v>
      </c>
      <c r="E266" s="42">
        <v>11577075</v>
      </c>
    </row>
    <row r="267" spans="1:6" x14ac:dyDescent="0.2">
      <c r="A267" s="42">
        <v>267</v>
      </c>
      <c r="B267" s="42">
        <v>217778100</v>
      </c>
      <c r="D267" s="42">
        <v>267</v>
      </c>
      <c r="E267" s="42">
        <v>11755135</v>
      </c>
    </row>
    <row r="268" spans="1:6" x14ac:dyDescent="0.2">
      <c r="A268" s="42">
        <v>268</v>
      </c>
      <c r="B268" s="42">
        <v>221739815</v>
      </c>
      <c r="D268" s="42">
        <v>268</v>
      </c>
      <c r="E268" s="42">
        <v>11755135</v>
      </c>
    </row>
    <row r="269" spans="1:6" x14ac:dyDescent="0.2">
      <c r="A269" s="42">
        <v>269</v>
      </c>
      <c r="B269" s="42">
        <v>225701530</v>
      </c>
      <c r="D269" s="42">
        <v>269</v>
      </c>
      <c r="E269" s="42">
        <v>11755135</v>
      </c>
    </row>
    <row r="270" spans="1:6" x14ac:dyDescent="0.2">
      <c r="A270" s="42">
        <v>270</v>
      </c>
      <c r="B270" s="42">
        <v>229790630</v>
      </c>
      <c r="D270" s="42">
        <v>270</v>
      </c>
      <c r="E270" s="42">
        <v>11937336</v>
      </c>
      <c r="F270" s="43">
        <f t="shared" ref="F270" si="25">SUM(E261:E270)</f>
        <v>116133363</v>
      </c>
    </row>
    <row r="271" spans="1:6" x14ac:dyDescent="0.2">
      <c r="A271" s="42">
        <v>271</v>
      </c>
      <c r="B271" s="42">
        <v>233879730</v>
      </c>
      <c r="D271" s="42">
        <v>271</v>
      </c>
      <c r="E271" s="42">
        <v>11937336</v>
      </c>
    </row>
    <row r="272" spans="1:6" x14ac:dyDescent="0.2">
      <c r="A272" s="42">
        <v>272</v>
      </c>
      <c r="B272" s="42">
        <v>238078150</v>
      </c>
      <c r="D272" s="42">
        <v>272</v>
      </c>
      <c r="E272" s="42">
        <v>11937336</v>
      </c>
    </row>
    <row r="273" spans="1:6" x14ac:dyDescent="0.2">
      <c r="A273" s="42">
        <v>273</v>
      </c>
      <c r="B273" s="42">
        <v>242299140</v>
      </c>
      <c r="D273" s="42">
        <v>273</v>
      </c>
      <c r="E273" s="42">
        <v>12119538</v>
      </c>
    </row>
    <row r="274" spans="1:6" x14ac:dyDescent="0.2">
      <c r="A274" s="42">
        <v>274</v>
      </c>
      <c r="B274" s="42">
        <v>246629445</v>
      </c>
      <c r="D274" s="42">
        <v>274</v>
      </c>
      <c r="E274" s="42">
        <v>12119538</v>
      </c>
    </row>
    <row r="275" spans="1:6" x14ac:dyDescent="0.2">
      <c r="A275" s="42">
        <v>275</v>
      </c>
      <c r="B275" s="42">
        <v>250959750</v>
      </c>
      <c r="D275" s="42">
        <v>275</v>
      </c>
      <c r="E275" s="42">
        <v>12119538</v>
      </c>
    </row>
    <row r="276" spans="1:6" x14ac:dyDescent="0.2">
      <c r="A276" s="42">
        <v>276</v>
      </c>
      <c r="B276" s="42">
        <v>255429090</v>
      </c>
      <c r="D276" s="42">
        <v>276</v>
      </c>
      <c r="E276" s="42">
        <v>12306741</v>
      </c>
    </row>
    <row r="277" spans="1:6" x14ac:dyDescent="0.2">
      <c r="A277" s="42">
        <v>277</v>
      </c>
      <c r="B277" s="42">
        <v>259898430</v>
      </c>
      <c r="D277" s="42">
        <v>277</v>
      </c>
      <c r="E277" s="42">
        <v>12306741</v>
      </c>
    </row>
    <row r="278" spans="1:6" x14ac:dyDescent="0.2">
      <c r="A278" s="42">
        <v>278</v>
      </c>
      <c r="B278" s="42">
        <v>264482960</v>
      </c>
      <c r="D278" s="42">
        <v>278</v>
      </c>
      <c r="E278" s="42">
        <v>12306741</v>
      </c>
    </row>
    <row r="279" spans="1:6" x14ac:dyDescent="0.2">
      <c r="A279" s="42">
        <v>279</v>
      </c>
      <c r="B279" s="42">
        <v>269091720</v>
      </c>
      <c r="D279" s="42">
        <v>279</v>
      </c>
      <c r="E279" s="42">
        <v>12493945</v>
      </c>
    </row>
    <row r="280" spans="1:6" x14ac:dyDescent="0.2">
      <c r="A280" s="42">
        <v>280</v>
      </c>
      <c r="B280" s="42">
        <v>273820565</v>
      </c>
      <c r="D280" s="42">
        <v>280</v>
      </c>
      <c r="E280" s="42">
        <v>12493945</v>
      </c>
      <c r="F280" s="43">
        <f t="shared" ref="F280:F320" si="26">SUM(E271:E280)</f>
        <v>122141399</v>
      </c>
    </row>
    <row r="281" spans="1:6" x14ac:dyDescent="0.2">
      <c r="A281" s="42">
        <v>281</v>
      </c>
      <c r="B281" s="42">
        <v>278549410</v>
      </c>
      <c r="D281" s="42">
        <v>281</v>
      </c>
      <c r="E281" s="42">
        <v>12493945</v>
      </c>
    </row>
    <row r="282" spans="1:6" x14ac:dyDescent="0.2">
      <c r="A282" s="42">
        <v>282</v>
      </c>
      <c r="B282" s="42">
        <v>283425105</v>
      </c>
      <c r="D282" s="42">
        <v>282</v>
      </c>
      <c r="E282" s="42">
        <v>12685480</v>
      </c>
    </row>
    <row r="283" spans="1:6" x14ac:dyDescent="0.2">
      <c r="A283" s="42">
        <v>283</v>
      </c>
      <c r="B283" s="42">
        <v>288300800</v>
      </c>
      <c r="D283" s="42">
        <v>283</v>
      </c>
      <c r="E283" s="42">
        <v>12685480</v>
      </c>
    </row>
    <row r="284" spans="1:6" x14ac:dyDescent="0.2">
      <c r="A284" s="42">
        <v>284</v>
      </c>
      <c r="B284" s="42">
        <v>293302740</v>
      </c>
      <c r="D284" s="42">
        <v>284</v>
      </c>
      <c r="E284" s="42">
        <v>12685480</v>
      </c>
    </row>
    <row r="285" spans="1:6" x14ac:dyDescent="0.2">
      <c r="A285" s="42">
        <v>285</v>
      </c>
      <c r="B285" s="42">
        <v>298330180</v>
      </c>
      <c r="D285" s="42">
        <v>285</v>
      </c>
      <c r="E285" s="42">
        <v>12877848</v>
      </c>
    </row>
    <row r="286" spans="1:6" x14ac:dyDescent="0.2">
      <c r="A286" s="42">
        <v>286</v>
      </c>
      <c r="B286" s="42">
        <v>303483865</v>
      </c>
      <c r="D286" s="42">
        <v>286</v>
      </c>
      <c r="E286" s="42">
        <v>12877848</v>
      </c>
    </row>
    <row r="287" spans="1:6" x14ac:dyDescent="0.2">
      <c r="A287" s="42">
        <v>287</v>
      </c>
      <c r="B287" s="42">
        <v>308637550</v>
      </c>
      <c r="D287" s="42">
        <v>287</v>
      </c>
      <c r="E287" s="42">
        <v>12877848</v>
      </c>
    </row>
    <row r="288" spans="1:6" x14ac:dyDescent="0.2">
      <c r="A288" s="42">
        <v>288</v>
      </c>
      <c r="B288" s="42">
        <v>313951595</v>
      </c>
      <c r="D288" s="42">
        <v>288</v>
      </c>
      <c r="E288" s="42">
        <v>13074548</v>
      </c>
    </row>
    <row r="289" spans="1:6" x14ac:dyDescent="0.2">
      <c r="A289" s="42">
        <v>289</v>
      </c>
      <c r="B289" s="42">
        <v>319265640</v>
      </c>
      <c r="D289" s="42">
        <v>289</v>
      </c>
      <c r="E289" s="42">
        <v>13074548</v>
      </c>
    </row>
    <row r="290" spans="1:6" x14ac:dyDescent="0.2">
      <c r="A290" s="42">
        <v>290</v>
      </c>
      <c r="B290" s="42">
        <v>324712695</v>
      </c>
      <c r="D290" s="42">
        <v>290</v>
      </c>
      <c r="E290" s="42">
        <v>13074548</v>
      </c>
      <c r="F290" s="43">
        <f t="shared" si="26"/>
        <v>128407573</v>
      </c>
    </row>
    <row r="291" spans="1:6" x14ac:dyDescent="0.2">
      <c r="A291" s="42">
        <v>291</v>
      </c>
      <c r="B291" s="42">
        <v>330187105</v>
      </c>
      <c r="D291" s="42">
        <v>291</v>
      </c>
      <c r="E291" s="42">
        <v>13271248</v>
      </c>
    </row>
    <row r="292" spans="1:6" x14ac:dyDescent="0.2">
      <c r="A292" s="42">
        <v>292</v>
      </c>
      <c r="B292" s="42">
        <v>335799860</v>
      </c>
      <c r="D292" s="42">
        <v>292</v>
      </c>
      <c r="E292" s="42">
        <v>13271248</v>
      </c>
    </row>
    <row r="293" spans="1:6" x14ac:dyDescent="0.2">
      <c r="A293" s="42">
        <v>293</v>
      </c>
      <c r="B293" s="42">
        <v>341412615</v>
      </c>
      <c r="D293" s="42">
        <v>293</v>
      </c>
      <c r="E293" s="42">
        <v>13271248</v>
      </c>
    </row>
    <row r="294" spans="1:6" x14ac:dyDescent="0.2">
      <c r="A294" s="42">
        <v>294</v>
      </c>
      <c r="B294" s="42">
        <v>347193920</v>
      </c>
      <c r="D294" s="42">
        <v>294</v>
      </c>
      <c r="E294" s="42">
        <v>13473359</v>
      </c>
    </row>
    <row r="295" spans="1:6" x14ac:dyDescent="0.2">
      <c r="A295" s="42">
        <v>295</v>
      </c>
      <c r="B295" s="42">
        <v>352975225</v>
      </c>
      <c r="D295" s="42">
        <v>295</v>
      </c>
      <c r="E295" s="42">
        <v>13473359</v>
      </c>
    </row>
    <row r="296" spans="1:6" x14ac:dyDescent="0.2">
      <c r="A296" s="42">
        <v>296</v>
      </c>
      <c r="B296" s="42">
        <v>358901970</v>
      </c>
      <c r="D296" s="42">
        <v>296</v>
      </c>
      <c r="E296" s="42">
        <v>13473359</v>
      </c>
    </row>
    <row r="297" spans="1:6" x14ac:dyDescent="0.2">
      <c r="A297" s="42">
        <v>297</v>
      </c>
      <c r="B297" s="42">
        <v>364857940</v>
      </c>
      <c r="D297" s="42">
        <v>297</v>
      </c>
      <c r="E297" s="42">
        <v>13675470</v>
      </c>
    </row>
    <row r="298" spans="1:6" x14ac:dyDescent="0.2">
      <c r="A298" s="42">
        <v>298</v>
      </c>
      <c r="B298" s="42">
        <v>370959350</v>
      </c>
      <c r="D298" s="42">
        <v>298</v>
      </c>
      <c r="E298" s="42">
        <v>13675470</v>
      </c>
    </row>
    <row r="299" spans="1:6" x14ac:dyDescent="0.2">
      <c r="A299" s="42">
        <v>299</v>
      </c>
      <c r="B299" s="42">
        <v>377060760</v>
      </c>
      <c r="D299" s="42">
        <v>299</v>
      </c>
      <c r="E299" s="42">
        <v>13675470</v>
      </c>
    </row>
    <row r="300" spans="1:6" x14ac:dyDescent="0.2">
      <c r="A300" s="42">
        <v>300</v>
      </c>
      <c r="B300" s="42">
        <v>383345695</v>
      </c>
      <c r="D300" s="42">
        <v>300</v>
      </c>
      <c r="E300" s="42">
        <v>13882118</v>
      </c>
      <c r="F300" s="43">
        <f t="shared" si="26"/>
        <v>135142349</v>
      </c>
    </row>
    <row r="301" spans="1:6" x14ac:dyDescent="0.2">
      <c r="A301" s="42">
        <v>301</v>
      </c>
      <c r="B301" s="42">
        <v>389630630</v>
      </c>
      <c r="D301" s="42">
        <v>301</v>
      </c>
      <c r="E301" s="42">
        <v>13882118</v>
      </c>
    </row>
    <row r="302" spans="1:6" x14ac:dyDescent="0.2">
      <c r="A302" s="42">
        <v>302</v>
      </c>
      <c r="B302" s="42">
        <v>396068325</v>
      </c>
      <c r="D302" s="42">
        <v>302</v>
      </c>
      <c r="E302" s="42">
        <v>13882118</v>
      </c>
    </row>
    <row r="303" spans="1:6" x14ac:dyDescent="0.2">
      <c r="A303" s="42">
        <v>303</v>
      </c>
      <c r="B303" s="42">
        <v>402536785</v>
      </c>
      <c r="D303" s="42">
        <v>303</v>
      </c>
      <c r="E303" s="42">
        <v>14089639</v>
      </c>
    </row>
    <row r="304" spans="1:6" x14ac:dyDescent="0.2">
      <c r="A304" s="42">
        <v>304</v>
      </c>
      <c r="B304" s="42">
        <v>409164155</v>
      </c>
      <c r="D304" s="42">
        <v>304</v>
      </c>
      <c r="E304" s="42">
        <v>14089639</v>
      </c>
    </row>
    <row r="305" spans="1:6" x14ac:dyDescent="0.2">
      <c r="A305" s="42">
        <v>305</v>
      </c>
      <c r="B305" s="42">
        <v>415791525</v>
      </c>
      <c r="D305" s="42">
        <v>305</v>
      </c>
      <c r="E305" s="42">
        <v>14089639</v>
      </c>
    </row>
    <row r="306" spans="1:6" x14ac:dyDescent="0.2">
      <c r="A306" s="42">
        <v>306</v>
      </c>
      <c r="B306" s="42">
        <v>422612215</v>
      </c>
      <c r="D306" s="42">
        <v>306</v>
      </c>
      <c r="E306" s="42">
        <v>14301863</v>
      </c>
    </row>
    <row r="307" spans="1:6" x14ac:dyDescent="0.2">
      <c r="A307" s="42">
        <v>307</v>
      </c>
      <c r="B307" s="42">
        <v>429432905</v>
      </c>
      <c r="D307" s="42">
        <v>307</v>
      </c>
      <c r="E307" s="42">
        <v>14301863</v>
      </c>
    </row>
    <row r="308" spans="1:6" x14ac:dyDescent="0.2">
      <c r="A308" s="42">
        <v>308</v>
      </c>
      <c r="B308" s="42">
        <v>436420230</v>
      </c>
      <c r="D308" s="42">
        <v>308</v>
      </c>
      <c r="E308" s="42">
        <v>14301863</v>
      </c>
    </row>
    <row r="309" spans="1:6" x14ac:dyDescent="0.2">
      <c r="A309" s="42">
        <v>309</v>
      </c>
      <c r="B309" s="42">
        <v>443440385</v>
      </c>
      <c r="D309" s="42">
        <v>309</v>
      </c>
      <c r="E309" s="42">
        <v>14514086</v>
      </c>
    </row>
    <row r="310" spans="1:6" x14ac:dyDescent="0.2">
      <c r="A310" s="42">
        <v>310</v>
      </c>
      <c r="B310" s="42">
        <v>450627180</v>
      </c>
      <c r="D310" s="42">
        <v>310</v>
      </c>
      <c r="E310" s="42">
        <v>14514086</v>
      </c>
      <c r="F310" s="43">
        <f t="shared" si="26"/>
        <v>141966914</v>
      </c>
    </row>
    <row r="311" spans="1:6" x14ac:dyDescent="0.2">
      <c r="A311" s="42">
        <v>311</v>
      </c>
      <c r="B311" s="42">
        <v>457813975</v>
      </c>
      <c r="D311" s="42">
        <v>311</v>
      </c>
      <c r="E311" s="42">
        <v>14514086</v>
      </c>
    </row>
    <row r="312" spans="1:6" x14ac:dyDescent="0.2">
      <c r="A312" s="42">
        <v>312</v>
      </c>
      <c r="B312" s="42">
        <v>465210300</v>
      </c>
      <c r="D312" s="42">
        <v>312</v>
      </c>
      <c r="E312" s="42">
        <v>14514086</v>
      </c>
    </row>
    <row r="313" spans="1:6" x14ac:dyDescent="0.2">
      <c r="A313" s="42">
        <v>313</v>
      </c>
      <c r="B313" s="42">
        <v>472606625</v>
      </c>
      <c r="D313" s="42">
        <v>313</v>
      </c>
      <c r="E313" s="42">
        <v>14731980</v>
      </c>
    </row>
    <row r="314" spans="1:6" x14ac:dyDescent="0.2">
      <c r="A314" s="42">
        <v>314</v>
      </c>
      <c r="B314" s="42">
        <v>480177945</v>
      </c>
      <c r="D314" s="42">
        <v>314</v>
      </c>
      <c r="E314" s="42">
        <v>14731980</v>
      </c>
    </row>
    <row r="315" spans="1:6" x14ac:dyDescent="0.2">
      <c r="A315" s="42">
        <v>315</v>
      </c>
      <c r="B315" s="42">
        <v>487784290</v>
      </c>
      <c r="D315" s="42">
        <v>315</v>
      </c>
      <c r="E315" s="42">
        <v>14731980</v>
      </c>
    </row>
    <row r="316" spans="1:6" x14ac:dyDescent="0.2">
      <c r="A316" s="42">
        <v>316</v>
      </c>
      <c r="B316" s="42">
        <v>495572280</v>
      </c>
      <c r="D316" s="42">
        <v>316</v>
      </c>
      <c r="E316" s="42">
        <v>14731980</v>
      </c>
    </row>
    <row r="317" spans="1:6" x14ac:dyDescent="0.2">
      <c r="A317" s="42">
        <v>317</v>
      </c>
      <c r="B317" s="42">
        <v>503360270</v>
      </c>
      <c r="D317" s="42">
        <v>317</v>
      </c>
      <c r="E317" s="42">
        <v>14949874</v>
      </c>
    </row>
    <row r="318" spans="1:6" x14ac:dyDescent="0.2">
      <c r="A318" s="42">
        <v>318</v>
      </c>
      <c r="B318" s="42">
        <v>511368340</v>
      </c>
      <c r="D318" s="42">
        <v>318</v>
      </c>
      <c r="E318" s="42">
        <v>14949874</v>
      </c>
    </row>
    <row r="319" spans="1:6" x14ac:dyDescent="0.2">
      <c r="A319" s="42">
        <v>319</v>
      </c>
      <c r="B319" s="42">
        <v>519376410</v>
      </c>
      <c r="D319" s="42">
        <v>319</v>
      </c>
      <c r="E319" s="42">
        <v>14949874</v>
      </c>
    </row>
    <row r="320" spans="1:6" x14ac:dyDescent="0.2">
      <c r="A320" s="42">
        <v>320</v>
      </c>
      <c r="B320" s="42">
        <v>527574890</v>
      </c>
      <c r="D320" s="42">
        <v>320</v>
      </c>
      <c r="E320" s="42">
        <v>14949874</v>
      </c>
      <c r="F320" s="43">
        <f t="shared" si="26"/>
        <v>147755588</v>
      </c>
    </row>
    <row r="321" spans="1:6" x14ac:dyDescent="0.2">
      <c r="A321" s="42">
        <v>321</v>
      </c>
      <c r="B321" s="42">
        <v>535810100</v>
      </c>
      <c r="D321" s="42">
        <v>321</v>
      </c>
      <c r="E321" s="42">
        <v>15172685</v>
      </c>
    </row>
    <row r="322" spans="1:6" x14ac:dyDescent="0.2">
      <c r="A322" s="42">
        <v>322</v>
      </c>
      <c r="B322" s="42">
        <v>544235725</v>
      </c>
      <c r="D322" s="42">
        <v>322</v>
      </c>
      <c r="E322" s="42">
        <v>15172685</v>
      </c>
    </row>
    <row r="323" spans="1:6" x14ac:dyDescent="0.2">
      <c r="A323" s="42">
        <v>323</v>
      </c>
      <c r="B323" s="42">
        <v>552661350</v>
      </c>
      <c r="D323" s="42">
        <v>323</v>
      </c>
      <c r="E323" s="42">
        <v>15172685</v>
      </c>
    </row>
    <row r="324" spans="1:6" x14ac:dyDescent="0.2">
      <c r="A324" s="42">
        <v>324</v>
      </c>
      <c r="B324" s="42">
        <v>561325655</v>
      </c>
      <c r="D324" s="42">
        <v>324</v>
      </c>
      <c r="E324" s="42">
        <v>15172685</v>
      </c>
    </row>
    <row r="325" spans="1:6" x14ac:dyDescent="0.2">
      <c r="A325" s="42">
        <v>325</v>
      </c>
      <c r="B325" s="42">
        <v>569989960</v>
      </c>
      <c r="D325" s="42">
        <v>325</v>
      </c>
      <c r="E325" s="42">
        <v>15396424</v>
      </c>
    </row>
    <row r="326" spans="1:6" x14ac:dyDescent="0.2">
      <c r="A326" s="42">
        <v>326</v>
      </c>
      <c r="B326" s="42">
        <v>578853765</v>
      </c>
      <c r="D326" s="42">
        <v>326</v>
      </c>
      <c r="E326" s="42">
        <v>15396424</v>
      </c>
    </row>
    <row r="327" spans="1:6" x14ac:dyDescent="0.2">
      <c r="A327" s="42">
        <v>327</v>
      </c>
      <c r="B327" s="42">
        <v>587756750</v>
      </c>
      <c r="D327" s="42">
        <v>327</v>
      </c>
      <c r="E327" s="42">
        <v>15396424</v>
      </c>
    </row>
    <row r="328" spans="1:6" x14ac:dyDescent="0.2">
      <c r="A328" s="42">
        <v>328</v>
      </c>
      <c r="B328" s="42">
        <v>596866840</v>
      </c>
      <c r="D328" s="42">
        <v>328</v>
      </c>
      <c r="E328" s="42">
        <v>15396424</v>
      </c>
    </row>
    <row r="329" spans="1:6" x14ac:dyDescent="0.2">
      <c r="A329" s="42">
        <v>329</v>
      </c>
      <c r="B329" s="42">
        <v>605976930</v>
      </c>
      <c r="D329" s="42">
        <v>329</v>
      </c>
      <c r="E329" s="42">
        <v>15625080</v>
      </c>
    </row>
    <row r="330" spans="1:6" x14ac:dyDescent="0.2">
      <c r="A330" s="42">
        <v>330</v>
      </c>
      <c r="B330" s="42">
        <v>615337095</v>
      </c>
      <c r="D330" s="42">
        <v>330</v>
      </c>
      <c r="E330" s="42">
        <v>15625080</v>
      </c>
      <c r="F330" s="43">
        <f t="shared" ref="F330:F390" si="27">SUM(E321:E330)</f>
        <v>153526596</v>
      </c>
    </row>
    <row r="331" spans="1:6" x14ac:dyDescent="0.2">
      <c r="A331" s="42">
        <v>331</v>
      </c>
      <c r="B331" s="42">
        <v>624697260</v>
      </c>
      <c r="D331" s="42">
        <v>331</v>
      </c>
      <c r="E331" s="42">
        <v>15625080</v>
      </c>
    </row>
    <row r="332" spans="1:6" x14ac:dyDescent="0.2">
      <c r="A332" s="42">
        <v>332</v>
      </c>
      <c r="B332" s="42">
        <v>634274025</v>
      </c>
      <c r="D332" s="42">
        <v>332</v>
      </c>
      <c r="E332" s="42">
        <v>15625080</v>
      </c>
    </row>
    <row r="333" spans="1:6" x14ac:dyDescent="0.2">
      <c r="A333" s="42">
        <v>333</v>
      </c>
      <c r="B333" s="42">
        <v>643892430</v>
      </c>
      <c r="D333" s="42">
        <v>333</v>
      </c>
      <c r="E333" s="42">
        <v>15853736</v>
      </c>
    </row>
    <row r="334" spans="1:6" x14ac:dyDescent="0.2">
      <c r="A334" s="42">
        <v>334</v>
      </c>
      <c r="B334" s="42">
        <v>653727435</v>
      </c>
      <c r="D334" s="42">
        <v>334</v>
      </c>
      <c r="E334" s="42">
        <v>15853736</v>
      </c>
    </row>
    <row r="335" spans="1:6" x14ac:dyDescent="0.2">
      <c r="A335" s="42">
        <v>335</v>
      </c>
      <c r="B335" s="42">
        <v>663562440</v>
      </c>
      <c r="D335" s="42">
        <v>335</v>
      </c>
      <c r="E335" s="42">
        <v>15853736</v>
      </c>
    </row>
    <row r="336" spans="1:6" x14ac:dyDescent="0.2">
      <c r="A336" s="42">
        <v>336</v>
      </c>
      <c r="B336" s="42">
        <v>673667980</v>
      </c>
      <c r="D336" s="42">
        <v>336</v>
      </c>
      <c r="E336" s="42">
        <v>15853736</v>
      </c>
    </row>
    <row r="337" spans="1:6" x14ac:dyDescent="0.2">
      <c r="A337" s="42">
        <v>337</v>
      </c>
      <c r="B337" s="42">
        <v>683773520</v>
      </c>
      <c r="D337" s="42">
        <v>337</v>
      </c>
      <c r="E337" s="42">
        <v>16088503</v>
      </c>
    </row>
    <row r="338" spans="1:6" x14ac:dyDescent="0.2">
      <c r="A338" s="42">
        <v>338</v>
      </c>
      <c r="B338" s="42">
        <v>694105920</v>
      </c>
      <c r="D338" s="42">
        <v>338</v>
      </c>
      <c r="E338" s="42">
        <v>16088503</v>
      </c>
    </row>
    <row r="339" spans="1:6" x14ac:dyDescent="0.2">
      <c r="A339" s="42">
        <v>339</v>
      </c>
      <c r="B339" s="42">
        <v>704481995</v>
      </c>
      <c r="D339" s="42">
        <v>339</v>
      </c>
      <c r="E339" s="42">
        <v>16088503</v>
      </c>
    </row>
    <row r="340" spans="1:6" x14ac:dyDescent="0.2">
      <c r="A340" s="42">
        <v>340</v>
      </c>
      <c r="B340" s="42">
        <v>715093150</v>
      </c>
      <c r="D340" s="42">
        <v>340</v>
      </c>
      <c r="E340" s="42">
        <v>16088503</v>
      </c>
      <c r="F340" s="43">
        <f t="shared" si="27"/>
        <v>159019116</v>
      </c>
    </row>
    <row r="341" spans="1:6" x14ac:dyDescent="0.2">
      <c r="A341" s="42">
        <v>341</v>
      </c>
      <c r="B341" s="42">
        <v>725704305</v>
      </c>
      <c r="D341" s="42">
        <v>341</v>
      </c>
      <c r="E341" s="42">
        <v>16323270</v>
      </c>
    </row>
    <row r="342" spans="1:6" x14ac:dyDescent="0.2">
      <c r="A342" s="42">
        <v>342</v>
      </c>
      <c r="B342" s="42">
        <v>736599015</v>
      </c>
      <c r="D342" s="42">
        <v>342</v>
      </c>
      <c r="E342" s="42">
        <v>16323270</v>
      </c>
    </row>
    <row r="343" spans="1:6" x14ac:dyDescent="0.2">
      <c r="A343" s="42">
        <v>343</v>
      </c>
      <c r="B343" s="42">
        <v>747493725</v>
      </c>
      <c r="D343" s="42">
        <v>343</v>
      </c>
      <c r="E343" s="42">
        <v>16323270</v>
      </c>
    </row>
    <row r="344" spans="1:6" x14ac:dyDescent="0.2">
      <c r="A344" s="42">
        <v>344</v>
      </c>
      <c r="B344" s="42">
        <v>758634285</v>
      </c>
      <c r="D344" s="42">
        <v>344</v>
      </c>
      <c r="E344" s="42">
        <v>16323270</v>
      </c>
    </row>
    <row r="345" spans="1:6" x14ac:dyDescent="0.2">
      <c r="A345" s="42">
        <v>345</v>
      </c>
      <c r="B345" s="42">
        <v>769821230</v>
      </c>
      <c r="D345" s="42">
        <v>345</v>
      </c>
      <c r="E345" s="42">
        <v>16563175</v>
      </c>
    </row>
    <row r="346" spans="1:6" x14ac:dyDescent="0.2">
      <c r="A346" s="42">
        <v>346</v>
      </c>
      <c r="B346" s="42">
        <v>781254025</v>
      </c>
      <c r="D346" s="42">
        <v>346</v>
      </c>
      <c r="E346" s="42">
        <v>16563175</v>
      </c>
    </row>
    <row r="347" spans="1:6" x14ac:dyDescent="0.2">
      <c r="A347" s="42">
        <v>347</v>
      </c>
      <c r="B347" s="42">
        <v>792686820</v>
      </c>
      <c r="D347" s="42">
        <v>347</v>
      </c>
      <c r="E347" s="42">
        <v>16563175</v>
      </c>
    </row>
    <row r="348" spans="1:6" x14ac:dyDescent="0.2">
      <c r="A348" s="42">
        <v>348</v>
      </c>
      <c r="B348" s="42">
        <v>804425165</v>
      </c>
      <c r="D348" s="42">
        <v>348</v>
      </c>
      <c r="E348" s="42">
        <v>16563175</v>
      </c>
    </row>
    <row r="349" spans="1:6" x14ac:dyDescent="0.2">
      <c r="A349" s="42">
        <v>349</v>
      </c>
      <c r="B349" s="42">
        <v>816163510</v>
      </c>
      <c r="D349" s="42">
        <v>349</v>
      </c>
      <c r="E349" s="42">
        <v>16804066</v>
      </c>
    </row>
    <row r="350" spans="1:6" x14ac:dyDescent="0.2">
      <c r="A350" s="42">
        <v>350</v>
      </c>
      <c r="B350" s="42">
        <v>828158780</v>
      </c>
      <c r="D350" s="42">
        <v>350</v>
      </c>
      <c r="E350" s="42">
        <v>16804066</v>
      </c>
      <c r="F350" s="43">
        <f t="shared" si="27"/>
        <v>165153912</v>
      </c>
    </row>
    <row r="351" spans="1:6" x14ac:dyDescent="0.2">
      <c r="A351" s="42">
        <v>351</v>
      </c>
      <c r="B351" s="42">
        <v>840203305</v>
      </c>
      <c r="D351" s="42">
        <v>351</v>
      </c>
      <c r="E351" s="42">
        <v>16804066</v>
      </c>
    </row>
    <row r="352" spans="1:6" x14ac:dyDescent="0.2">
      <c r="A352" s="42">
        <v>352</v>
      </c>
      <c r="B352" s="42">
        <v>852514095</v>
      </c>
      <c r="D352" s="42">
        <v>352</v>
      </c>
      <c r="E352" s="42">
        <v>16804066</v>
      </c>
    </row>
    <row r="353" spans="1:6" x14ac:dyDescent="0.2">
      <c r="A353" s="42">
        <v>353</v>
      </c>
      <c r="B353" s="42">
        <v>864824885</v>
      </c>
      <c r="D353" s="42">
        <v>353</v>
      </c>
      <c r="E353" s="42">
        <v>17050281</v>
      </c>
    </row>
    <row r="354" spans="1:6" x14ac:dyDescent="0.2">
      <c r="A354" s="42">
        <v>354</v>
      </c>
      <c r="B354" s="42">
        <v>877455675</v>
      </c>
      <c r="D354" s="42">
        <v>354</v>
      </c>
      <c r="E354" s="42">
        <v>17050281</v>
      </c>
    </row>
    <row r="355" spans="1:6" x14ac:dyDescent="0.2">
      <c r="A355" s="42">
        <v>355</v>
      </c>
      <c r="B355" s="42">
        <v>890086465</v>
      </c>
      <c r="D355" s="42">
        <v>355</v>
      </c>
      <c r="E355" s="42">
        <v>17050281</v>
      </c>
    </row>
    <row r="356" spans="1:6" x14ac:dyDescent="0.2">
      <c r="A356" s="42">
        <v>356</v>
      </c>
      <c r="B356" s="42">
        <v>902995095</v>
      </c>
      <c r="D356" s="42">
        <v>356</v>
      </c>
      <c r="E356" s="42">
        <v>17050281</v>
      </c>
    </row>
    <row r="357" spans="1:6" x14ac:dyDescent="0.2">
      <c r="A357" s="42">
        <v>357</v>
      </c>
      <c r="B357" s="42">
        <v>915955220</v>
      </c>
      <c r="D357" s="42">
        <v>357</v>
      </c>
      <c r="E357" s="42">
        <v>17296497</v>
      </c>
    </row>
    <row r="358" spans="1:6" x14ac:dyDescent="0.2">
      <c r="A358" s="42">
        <v>358</v>
      </c>
      <c r="B358" s="42">
        <v>929193185</v>
      </c>
      <c r="D358" s="42">
        <v>358</v>
      </c>
      <c r="E358" s="42">
        <v>17296497</v>
      </c>
    </row>
    <row r="359" spans="1:6" x14ac:dyDescent="0.2">
      <c r="A359" s="42">
        <v>359</v>
      </c>
      <c r="B359" s="42">
        <v>942431150</v>
      </c>
      <c r="D359" s="42">
        <v>359</v>
      </c>
      <c r="E359" s="42">
        <v>17296497</v>
      </c>
    </row>
    <row r="360" spans="1:6" x14ac:dyDescent="0.2">
      <c r="A360" s="42">
        <v>360</v>
      </c>
      <c r="B360" s="42">
        <v>956014120</v>
      </c>
      <c r="D360" s="42">
        <v>360</v>
      </c>
      <c r="E360" s="42">
        <v>17296497</v>
      </c>
      <c r="F360" s="43">
        <f t="shared" si="27"/>
        <v>170995244</v>
      </c>
    </row>
    <row r="361" spans="1:6" x14ac:dyDescent="0.2">
      <c r="A361" s="42">
        <v>361</v>
      </c>
      <c r="B361" s="42">
        <v>969597090</v>
      </c>
      <c r="D361" s="42">
        <v>361</v>
      </c>
      <c r="E361" s="42">
        <v>17549113</v>
      </c>
    </row>
    <row r="362" spans="1:6" x14ac:dyDescent="0.2">
      <c r="A362" s="42">
        <v>362</v>
      </c>
      <c r="B362" s="42">
        <v>983470400</v>
      </c>
      <c r="D362" s="42">
        <v>362</v>
      </c>
      <c r="E362" s="42">
        <v>17549113</v>
      </c>
    </row>
    <row r="363" spans="1:6" x14ac:dyDescent="0.2">
      <c r="A363" s="42">
        <v>363</v>
      </c>
      <c r="B363" s="42">
        <v>997398375</v>
      </c>
      <c r="D363" s="42">
        <v>363</v>
      </c>
      <c r="E363" s="42">
        <v>17549113</v>
      </c>
    </row>
    <row r="364" spans="1:6" x14ac:dyDescent="0.2">
      <c r="A364" s="42">
        <v>364</v>
      </c>
      <c r="B364" s="42">
        <v>1011626725</v>
      </c>
      <c r="D364" s="42">
        <v>364</v>
      </c>
      <c r="E364" s="42">
        <v>17549113</v>
      </c>
    </row>
    <row r="365" spans="1:6" x14ac:dyDescent="0.2">
      <c r="A365" s="42">
        <v>365</v>
      </c>
      <c r="B365" s="42">
        <v>1025855075</v>
      </c>
      <c r="D365" s="42">
        <v>365</v>
      </c>
      <c r="E365" s="42">
        <v>17801729</v>
      </c>
    </row>
    <row r="366" spans="1:6" x14ac:dyDescent="0.2">
      <c r="A366" s="42">
        <v>366</v>
      </c>
      <c r="B366" s="42">
        <v>1040443405</v>
      </c>
      <c r="D366" s="42">
        <v>366</v>
      </c>
      <c r="E366" s="42">
        <v>17801729</v>
      </c>
    </row>
    <row r="367" spans="1:6" x14ac:dyDescent="0.2">
      <c r="A367" s="42">
        <v>367</v>
      </c>
      <c r="B367" s="42">
        <v>1055031735</v>
      </c>
      <c r="D367" s="42">
        <v>367</v>
      </c>
      <c r="E367" s="42">
        <v>17801729</v>
      </c>
    </row>
    <row r="368" spans="1:6" x14ac:dyDescent="0.2">
      <c r="A368" s="42">
        <v>368</v>
      </c>
      <c r="B368" s="42">
        <v>1069933505</v>
      </c>
      <c r="D368" s="42">
        <v>368</v>
      </c>
      <c r="E368" s="42">
        <v>17801729</v>
      </c>
    </row>
    <row r="369" spans="1:6" x14ac:dyDescent="0.2">
      <c r="A369" s="42">
        <v>369</v>
      </c>
      <c r="B369" s="42">
        <v>1084893105</v>
      </c>
      <c r="D369" s="42">
        <v>369</v>
      </c>
      <c r="E369" s="42">
        <v>18059901</v>
      </c>
    </row>
    <row r="370" spans="1:6" x14ac:dyDescent="0.2">
      <c r="A370" s="42">
        <v>370</v>
      </c>
      <c r="B370" s="42">
        <v>1100166150</v>
      </c>
      <c r="D370" s="42">
        <v>370</v>
      </c>
      <c r="E370" s="42">
        <v>18059901</v>
      </c>
      <c r="F370" s="43">
        <f t="shared" si="27"/>
        <v>177523170</v>
      </c>
    </row>
    <row r="371" spans="1:6" x14ac:dyDescent="0.2">
      <c r="A371" s="42">
        <v>371</v>
      </c>
      <c r="B371" s="42">
        <v>1115439195</v>
      </c>
      <c r="D371" s="42">
        <v>371</v>
      </c>
      <c r="E371" s="42">
        <v>18059901</v>
      </c>
    </row>
    <row r="372" spans="1:6" x14ac:dyDescent="0.2">
      <c r="A372" s="42">
        <v>372</v>
      </c>
      <c r="B372" s="42">
        <v>1131099560</v>
      </c>
      <c r="D372" s="42">
        <v>372</v>
      </c>
      <c r="E372" s="42">
        <v>18059901</v>
      </c>
    </row>
    <row r="373" spans="1:6" x14ac:dyDescent="0.2">
      <c r="A373" s="42">
        <v>373</v>
      </c>
      <c r="B373" s="42">
        <v>1146759925</v>
      </c>
      <c r="D373" s="42">
        <v>373</v>
      </c>
      <c r="E373" s="42">
        <v>18319104</v>
      </c>
    </row>
    <row r="374" spans="1:6" x14ac:dyDescent="0.2">
      <c r="A374" s="42">
        <v>374</v>
      </c>
      <c r="B374" s="42">
        <v>1162747145</v>
      </c>
      <c r="D374" s="42">
        <v>374</v>
      </c>
      <c r="E374" s="42">
        <v>18319104</v>
      </c>
    </row>
    <row r="375" spans="1:6" x14ac:dyDescent="0.2">
      <c r="A375" s="42">
        <v>375</v>
      </c>
      <c r="B375" s="42">
        <v>1178794835</v>
      </c>
      <c r="D375" s="42">
        <v>375</v>
      </c>
      <c r="E375" s="42">
        <v>18319104</v>
      </c>
    </row>
    <row r="376" spans="1:6" x14ac:dyDescent="0.2">
      <c r="A376" s="42">
        <v>376</v>
      </c>
      <c r="B376" s="42">
        <v>1195180710</v>
      </c>
      <c r="D376" s="42">
        <v>376</v>
      </c>
      <c r="E376" s="42">
        <v>18319104</v>
      </c>
    </row>
    <row r="377" spans="1:6" x14ac:dyDescent="0.2">
      <c r="A377" s="42">
        <v>377</v>
      </c>
      <c r="B377" s="42">
        <v>1211566585</v>
      </c>
      <c r="D377" s="42">
        <v>377</v>
      </c>
      <c r="E377" s="42">
        <v>18583863</v>
      </c>
    </row>
    <row r="378" spans="1:6" x14ac:dyDescent="0.2">
      <c r="A378" s="42">
        <v>378</v>
      </c>
      <c r="B378" s="42">
        <v>1228357310</v>
      </c>
      <c r="D378" s="42">
        <v>378</v>
      </c>
      <c r="E378" s="42">
        <v>15583863</v>
      </c>
    </row>
    <row r="379" spans="1:6" x14ac:dyDescent="0.2">
      <c r="A379" s="42">
        <v>379</v>
      </c>
      <c r="B379" s="42">
        <v>1245148035</v>
      </c>
      <c r="D379" s="42">
        <v>379</v>
      </c>
      <c r="E379" s="42">
        <v>18583863</v>
      </c>
    </row>
    <row r="380" spans="1:6" x14ac:dyDescent="0.2">
      <c r="A380" s="42">
        <v>380</v>
      </c>
      <c r="B380" s="42">
        <v>1262290985</v>
      </c>
      <c r="D380" s="42">
        <v>380</v>
      </c>
      <c r="E380" s="42">
        <v>18583863</v>
      </c>
      <c r="F380" s="43">
        <f t="shared" si="27"/>
        <v>180731670</v>
      </c>
    </row>
    <row r="381" spans="1:6" x14ac:dyDescent="0.2">
      <c r="A381" s="42">
        <v>381</v>
      </c>
      <c r="B381" s="42">
        <v>1279497900</v>
      </c>
      <c r="D381" s="42">
        <v>381</v>
      </c>
      <c r="E381" s="42">
        <v>18848623</v>
      </c>
    </row>
    <row r="382" spans="1:6" x14ac:dyDescent="0.2">
      <c r="A382" s="42">
        <v>382</v>
      </c>
      <c r="B382" s="42">
        <v>1297057040</v>
      </c>
      <c r="D382" s="42">
        <v>382</v>
      </c>
      <c r="E382" s="42">
        <v>18848623</v>
      </c>
    </row>
    <row r="383" spans="1:6" x14ac:dyDescent="0.2">
      <c r="A383" s="42">
        <v>383</v>
      </c>
      <c r="B383" s="42">
        <v>1314616180</v>
      </c>
      <c r="D383" s="42">
        <v>383</v>
      </c>
      <c r="E383" s="42">
        <v>18848623</v>
      </c>
    </row>
    <row r="384" spans="1:6" x14ac:dyDescent="0.2">
      <c r="A384" s="42">
        <v>384</v>
      </c>
      <c r="B384" s="42">
        <v>1332609455</v>
      </c>
      <c r="D384" s="42">
        <v>384</v>
      </c>
      <c r="E384" s="42">
        <v>18848623</v>
      </c>
    </row>
    <row r="385" spans="1:6" x14ac:dyDescent="0.2">
      <c r="A385" s="42">
        <v>385</v>
      </c>
      <c r="B385" s="42">
        <v>1350602730</v>
      </c>
      <c r="D385" s="42">
        <v>385</v>
      </c>
      <c r="E385" s="42">
        <v>19120282</v>
      </c>
    </row>
    <row r="386" spans="1:6" x14ac:dyDescent="0.2">
      <c r="A386" s="42">
        <v>386</v>
      </c>
      <c r="B386" s="42">
        <v>1368963280</v>
      </c>
      <c r="D386" s="42">
        <v>386</v>
      </c>
      <c r="E386" s="42">
        <v>19120282</v>
      </c>
    </row>
    <row r="387" spans="1:6" x14ac:dyDescent="0.2">
      <c r="A387" s="42">
        <v>387</v>
      </c>
      <c r="B387" s="42">
        <v>1387391470</v>
      </c>
      <c r="D387" s="42">
        <v>387</v>
      </c>
      <c r="E387" s="42">
        <v>19120282</v>
      </c>
    </row>
    <row r="388" spans="1:6" x14ac:dyDescent="0.2">
      <c r="A388" s="42">
        <v>388</v>
      </c>
      <c r="B388" s="42">
        <v>1406199095</v>
      </c>
      <c r="D388" s="42">
        <v>388</v>
      </c>
      <c r="E388" s="42">
        <v>19120282</v>
      </c>
    </row>
    <row r="389" spans="1:6" x14ac:dyDescent="0.2">
      <c r="A389" s="42">
        <v>389</v>
      </c>
      <c r="B389" s="42">
        <v>1425006720</v>
      </c>
      <c r="D389" s="42">
        <v>389</v>
      </c>
      <c r="E389" s="42">
        <v>19391941</v>
      </c>
    </row>
    <row r="390" spans="1:6" x14ac:dyDescent="0.2">
      <c r="A390" s="42">
        <v>390</v>
      </c>
      <c r="B390" s="42">
        <v>1444267210</v>
      </c>
      <c r="D390" s="42">
        <v>390</v>
      </c>
      <c r="E390" s="42">
        <v>19391941</v>
      </c>
      <c r="F390" s="43">
        <f t="shared" si="27"/>
        <v>190659502</v>
      </c>
    </row>
    <row r="391" spans="1:6" x14ac:dyDescent="0.2">
      <c r="A391" s="42">
        <v>391</v>
      </c>
      <c r="B391" s="42">
        <v>1463527700</v>
      </c>
      <c r="D391" s="42">
        <v>391</v>
      </c>
      <c r="E391" s="42">
        <v>19391941</v>
      </c>
    </row>
    <row r="392" spans="1:6" x14ac:dyDescent="0.2">
      <c r="A392" s="42">
        <v>392</v>
      </c>
      <c r="B392" s="42">
        <v>1483183310</v>
      </c>
      <c r="D392" s="42">
        <v>392</v>
      </c>
      <c r="E392" s="42">
        <v>19391941</v>
      </c>
    </row>
    <row r="393" spans="1:6" x14ac:dyDescent="0.2">
      <c r="A393" s="42">
        <v>393</v>
      </c>
      <c r="B393" s="42">
        <v>1500000000</v>
      </c>
      <c r="D393" s="42">
        <v>393</v>
      </c>
      <c r="E393" s="42">
        <v>19669408</v>
      </c>
    </row>
    <row r="394" spans="1:6" x14ac:dyDescent="0.2">
      <c r="A394" s="42">
        <v>394</v>
      </c>
      <c r="B394" s="42">
        <v>1500000000</v>
      </c>
      <c r="D394" s="42">
        <v>394</v>
      </c>
      <c r="E394" s="42">
        <v>19669408</v>
      </c>
    </row>
    <row r="395" spans="1:6" x14ac:dyDescent="0.2">
      <c r="A395" s="42">
        <v>395</v>
      </c>
      <c r="B395" s="42">
        <v>1500000000</v>
      </c>
      <c r="D395" s="42">
        <v>395</v>
      </c>
      <c r="E395" s="42">
        <v>19669408</v>
      </c>
    </row>
    <row r="396" spans="1:6" x14ac:dyDescent="0.2">
      <c r="A396" s="42">
        <v>396</v>
      </c>
      <c r="B396" s="42">
        <v>1500000000</v>
      </c>
      <c r="D396" s="42">
        <v>396</v>
      </c>
      <c r="E396" s="42">
        <v>19669408</v>
      </c>
    </row>
    <row r="397" spans="1:6" x14ac:dyDescent="0.2">
      <c r="A397" s="42">
        <v>397</v>
      </c>
      <c r="B397" s="42">
        <v>1500000000</v>
      </c>
      <c r="D397" s="42">
        <v>397</v>
      </c>
      <c r="E397" s="42">
        <v>19947967</v>
      </c>
    </row>
    <row r="398" spans="1:6" x14ac:dyDescent="0.2">
      <c r="A398" s="42">
        <v>398</v>
      </c>
      <c r="B398" s="42">
        <v>1500000000</v>
      </c>
      <c r="D398" s="42">
        <v>398</v>
      </c>
      <c r="E398" s="42">
        <v>19947967</v>
      </c>
    </row>
    <row r="399" spans="1:6" x14ac:dyDescent="0.2">
      <c r="A399" s="42">
        <v>399</v>
      </c>
      <c r="B399" s="42">
        <v>1500000000</v>
      </c>
      <c r="D399" s="42">
        <v>399</v>
      </c>
      <c r="E399" s="42">
        <v>19947967</v>
      </c>
    </row>
    <row r="400" spans="1:6" x14ac:dyDescent="0.2">
      <c r="A400" s="42">
        <v>400</v>
      </c>
      <c r="B400" s="42">
        <v>1500000000</v>
      </c>
      <c r="D400" s="42">
        <v>400</v>
      </c>
      <c r="E400" s="42">
        <v>19947967</v>
      </c>
      <c r="F400" s="43">
        <f t="shared" ref="F400:F460" si="28">SUM(E391:E400)</f>
        <v>197253382</v>
      </c>
    </row>
    <row r="401" spans="1:6" x14ac:dyDescent="0.2">
      <c r="A401" s="42">
        <v>401</v>
      </c>
      <c r="B401" s="42">
        <v>1500000000</v>
      </c>
      <c r="D401" s="42">
        <v>401</v>
      </c>
      <c r="E401" s="42">
        <v>20232534</v>
      </c>
    </row>
    <row r="402" spans="1:6" x14ac:dyDescent="0.2">
      <c r="A402" s="42">
        <v>402</v>
      </c>
      <c r="B402" s="42">
        <v>1500000000</v>
      </c>
      <c r="D402" s="42">
        <v>402</v>
      </c>
      <c r="E402" s="42">
        <v>20232534</v>
      </c>
    </row>
    <row r="403" spans="1:6" x14ac:dyDescent="0.2">
      <c r="A403" s="42">
        <v>403</v>
      </c>
      <c r="B403" s="42">
        <v>1500000000</v>
      </c>
      <c r="D403" s="42">
        <v>403</v>
      </c>
      <c r="E403" s="42">
        <v>20232534</v>
      </c>
    </row>
    <row r="404" spans="1:6" x14ac:dyDescent="0.2">
      <c r="A404" s="42">
        <v>404</v>
      </c>
      <c r="B404" s="42">
        <v>1500000000</v>
      </c>
      <c r="D404" s="42">
        <v>404</v>
      </c>
      <c r="E404" s="42">
        <v>20232534</v>
      </c>
    </row>
    <row r="405" spans="1:6" x14ac:dyDescent="0.2">
      <c r="A405" s="42">
        <v>405</v>
      </c>
      <c r="B405" s="42">
        <v>1500000000</v>
      </c>
      <c r="D405" s="42">
        <v>405</v>
      </c>
      <c r="E405" s="42">
        <v>20517101</v>
      </c>
    </row>
    <row r="406" spans="1:6" x14ac:dyDescent="0.2">
      <c r="A406" s="42">
        <v>406</v>
      </c>
      <c r="B406" s="42">
        <v>1500000000</v>
      </c>
      <c r="D406" s="42">
        <v>406</v>
      </c>
      <c r="E406" s="42">
        <v>20517101</v>
      </c>
    </row>
    <row r="407" spans="1:6" x14ac:dyDescent="0.2">
      <c r="A407" s="42">
        <v>407</v>
      </c>
      <c r="B407" s="42">
        <v>1500000000</v>
      </c>
      <c r="D407" s="42">
        <v>407</v>
      </c>
      <c r="E407" s="42">
        <v>20517101</v>
      </c>
    </row>
    <row r="408" spans="1:6" x14ac:dyDescent="0.2">
      <c r="A408" s="42">
        <v>408</v>
      </c>
      <c r="B408" s="42">
        <v>1500000000</v>
      </c>
      <c r="D408" s="42">
        <v>408</v>
      </c>
      <c r="E408" s="42">
        <v>20517101</v>
      </c>
    </row>
    <row r="409" spans="1:6" x14ac:dyDescent="0.2">
      <c r="A409" s="42">
        <v>409</v>
      </c>
      <c r="B409" s="42">
        <v>1500000000</v>
      </c>
      <c r="D409" s="42">
        <v>409</v>
      </c>
      <c r="E409" s="42">
        <v>20808868</v>
      </c>
    </row>
    <row r="410" spans="1:6" x14ac:dyDescent="0.2">
      <c r="A410" s="42">
        <v>410</v>
      </c>
      <c r="B410" s="42">
        <v>1500000000</v>
      </c>
      <c r="D410" s="42">
        <v>410</v>
      </c>
      <c r="E410" s="42">
        <v>20808868</v>
      </c>
      <c r="F410" s="43">
        <f t="shared" si="28"/>
        <v>204616276</v>
      </c>
    </row>
    <row r="411" spans="1:6" x14ac:dyDescent="0.2">
      <c r="A411" s="42">
        <v>411</v>
      </c>
      <c r="B411" s="42">
        <v>1500000000</v>
      </c>
      <c r="D411" s="42">
        <v>411</v>
      </c>
      <c r="E411" s="42">
        <v>20808868</v>
      </c>
    </row>
    <row r="412" spans="1:6" x14ac:dyDescent="0.2">
      <c r="A412" s="42">
        <v>412</v>
      </c>
      <c r="B412" s="42">
        <v>1500000000</v>
      </c>
      <c r="D412" s="42">
        <v>412</v>
      </c>
      <c r="E412" s="42">
        <v>20808868</v>
      </c>
    </row>
    <row r="413" spans="1:6" x14ac:dyDescent="0.2">
      <c r="A413" s="42">
        <v>413</v>
      </c>
      <c r="B413" s="42">
        <v>1500000000</v>
      </c>
      <c r="D413" s="42">
        <v>413</v>
      </c>
      <c r="E413" s="42">
        <v>21100634</v>
      </c>
    </row>
    <row r="414" spans="1:6" x14ac:dyDescent="0.2">
      <c r="A414" s="42">
        <v>414</v>
      </c>
      <c r="B414" s="42">
        <v>1500000000</v>
      </c>
      <c r="D414" s="42">
        <v>414</v>
      </c>
      <c r="E414" s="42">
        <v>21100634</v>
      </c>
    </row>
    <row r="415" spans="1:6" x14ac:dyDescent="0.2">
      <c r="A415" s="42">
        <v>415</v>
      </c>
      <c r="B415" s="42">
        <v>1500000000</v>
      </c>
      <c r="D415" s="42">
        <v>415</v>
      </c>
      <c r="E415" s="42">
        <v>21100634</v>
      </c>
    </row>
    <row r="416" spans="1:6" x14ac:dyDescent="0.2">
      <c r="A416" s="42">
        <v>416</v>
      </c>
      <c r="B416" s="42">
        <v>1500000000</v>
      </c>
      <c r="D416" s="42">
        <v>416</v>
      </c>
      <c r="E416" s="42">
        <v>21100634</v>
      </c>
    </row>
    <row r="417" spans="1:6" x14ac:dyDescent="0.2">
      <c r="A417" s="42">
        <v>417</v>
      </c>
      <c r="B417" s="42">
        <v>1500000000</v>
      </c>
      <c r="D417" s="42">
        <v>417</v>
      </c>
      <c r="E417" s="42">
        <v>21398670</v>
      </c>
    </row>
    <row r="418" spans="1:6" x14ac:dyDescent="0.2">
      <c r="A418" s="42">
        <v>418</v>
      </c>
      <c r="B418" s="42">
        <v>1500000000</v>
      </c>
      <c r="D418" s="42">
        <v>418</v>
      </c>
      <c r="E418" s="42">
        <v>21398670</v>
      </c>
    </row>
    <row r="419" spans="1:6" x14ac:dyDescent="0.2">
      <c r="A419" s="42">
        <v>419</v>
      </c>
      <c r="B419" s="42">
        <v>1500000000</v>
      </c>
      <c r="D419" s="42">
        <v>419</v>
      </c>
      <c r="E419" s="42">
        <v>21398670</v>
      </c>
    </row>
    <row r="420" spans="1:6" x14ac:dyDescent="0.2">
      <c r="A420" s="42">
        <v>420</v>
      </c>
      <c r="B420" s="42">
        <v>1500000000</v>
      </c>
      <c r="D420" s="42">
        <v>420</v>
      </c>
      <c r="E420" s="42">
        <v>21398670</v>
      </c>
      <c r="F420" s="43">
        <f t="shared" si="28"/>
        <v>211614952</v>
      </c>
    </row>
    <row r="421" spans="1:6" x14ac:dyDescent="0.2">
      <c r="A421" s="42">
        <v>421</v>
      </c>
      <c r="B421" s="42">
        <v>1500000000</v>
      </c>
      <c r="D421" s="42">
        <v>421</v>
      </c>
      <c r="E421" s="42">
        <v>21697862</v>
      </c>
    </row>
    <row r="422" spans="1:6" x14ac:dyDescent="0.2">
      <c r="A422" s="42">
        <v>422</v>
      </c>
      <c r="B422" s="42">
        <v>1500000000</v>
      </c>
      <c r="D422" s="42">
        <v>422</v>
      </c>
      <c r="E422" s="42">
        <v>21697862</v>
      </c>
    </row>
    <row r="423" spans="1:6" x14ac:dyDescent="0.2">
      <c r="A423" s="42">
        <v>423</v>
      </c>
      <c r="B423" s="42">
        <v>1500000000</v>
      </c>
      <c r="D423" s="42">
        <v>423</v>
      </c>
      <c r="E423" s="42">
        <v>21697862</v>
      </c>
    </row>
    <row r="424" spans="1:6" x14ac:dyDescent="0.2">
      <c r="A424" s="42">
        <v>424</v>
      </c>
      <c r="B424" s="42">
        <v>1500000000</v>
      </c>
      <c r="D424" s="42">
        <v>424</v>
      </c>
      <c r="E424" s="42">
        <v>21697862</v>
      </c>
    </row>
    <row r="425" spans="1:6" x14ac:dyDescent="0.2">
      <c r="A425" s="42">
        <v>425</v>
      </c>
      <c r="B425" s="42">
        <v>1500000000</v>
      </c>
      <c r="D425" s="42">
        <v>425</v>
      </c>
      <c r="E425" s="42">
        <v>22003323</v>
      </c>
    </row>
    <row r="426" spans="1:6" x14ac:dyDescent="0.2">
      <c r="A426" s="42">
        <v>426</v>
      </c>
      <c r="B426" s="42">
        <v>1500000000</v>
      </c>
      <c r="D426" s="42">
        <v>426</v>
      </c>
      <c r="E426" s="42">
        <v>22003323</v>
      </c>
    </row>
    <row r="427" spans="1:6" x14ac:dyDescent="0.2">
      <c r="A427" s="42">
        <v>427</v>
      </c>
      <c r="B427" s="42">
        <v>1500000000</v>
      </c>
      <c r="D427" s="42">
        <v>427</v>
      </c>
      <c r="E427" s="42">
        <v>22003323</v>
      </c>
    </row>
    <row r="428" spans="1:6" x14ac:dyDescent="0.2">
      <c r="A428" s="42">
        <v>428</v>
      </c>
      <c r="B428" s="42">
        <v>1500000000</v>
      </c>
      <c r="D428" s="42">
        <v>428</v>
      </c>
      <c r="E428" s="42">
        <v>22003323</v>
      </c>
    </row>
    <row r="429" spans="1:6" x14ac:dyDescent="0.2">
      <c r="A429" s="42">
        <v>429</v>
      </c>
      <c r="B429" s="42">
        <v>1500000000</v>
      </c>
      <c r="D429" s="42">
        <v>429</v>
      </c>
      <c r="E429" s="42">
        <v>22308783</v>
      </c>
    </row>
    <row r="430" spans="1:6" x14ac:dyDescent="0.2">
      <c r="A430" s="42">
        <v>430</v>
      </c>
      <c r="B430" s="42">
        <v>1500000000</v>
      </c>
      <c r="D430" s="42">
        <v>430</v>
      </c>
      <c r="E430" s="42">
        <v>22308783</v>
      </c>
      <c r="F430" s="43">
        <f t="shared" si="28"/>
        <v>219422306</v>
      </c>
    </row>
    <row r="431" spans="1:6" x14ac:dyDescent="0.2">
      <c r="A431" s="42">
        <v>431</v>
      </c>
      <c r="B431" s="42">
        <v>1500000000</v>
      </c>
      <c r="D431" s="42">
        <v>431</v>
      </c>
      <c r="E431" s="42">
        <v>22308783</v>
      </c>
    </row>
    <row r="432" spans="1:6" x14ac:dyDescent="0.2">
      <c r="A432" s="42">
        <v>432</v>
      </c>
      <c r="B432" s="42">
        <v>1500000000</v>
      </c>
      <c r="D432" s="42">
        <v>432</v>
      </c>
      <c r="E432" s="42">
        <v>22308783</v>
      </c>
    </row>
    <row r="433" spans="1:6" x14ac:dyDescent="0.2">
      <c r="A433" s="42">
        <v>433</v>
      </c>
      <c r="B433" s="42">
        <v>1500000000</v>
      </c>
      <c r="D433" s="42">
        <v>433</v>
      </c>
      <c r="E433" s="42">
        <v>22621991</v>
      </c>
    </row>
    <row r="434" spans="1:6" x14ac:dyDescent="0.2">
      <c r="A434" s="42">
        <v>434</v>
      </c>
      <c r="B434" s="42">
        <v>1500000000</v>
      </c>
      <c r="D434" s="42">
        <v>434</v>
      </c>
      <c r="E434" s="42">
        <v>22621991</v>
      </c>
    </row>
    <row r="435" spans="1:6" x14ac:dyDescent="0.2">
      <c r="A435" s="42">
        <v>435</v>
      </c>
      <c r="B435" s="42">
        <v>1500000000</v>
      </c>
      <c r="D435" s="42">
        <v>435</v>
      </c>
      <c r="E435" s="42">
        <v>22621991</v>
      </c>
    </row>
    <row r="436" spans="1:6" x14ac:dyDescent="0.2">
      <c r="A436" s="42">
        <v>436</v>
      </c>
      <c r="B436" s="42">
        <v>1500000000</v>
      </c>
      <c r="D436" s="42">
        <v>436</v>
      </c>
      <c r="E436" s="42">
        <v>22621991</v>
      </c>
    </row>
    <row r="437" spans="1:6" x14ac:dyDescent="0.2">
      <c r="A437" s="42">
        <v>437</v>
      </c>
      <c r="B437" s="42">
        <v>1500000000</v>
      </c>
      <c r="D437" s="42">
        <v>437</v>
      </c>
      <c r="E437" s="42">
        <v>22935198</v>
      </c>
    </row>
    <row r="438" spans="1:6" x14ac:dyDescent="0.2">
      <c r="A438" s="42">
        <v>438</v>
      </c>
      <c r="B438" s="42">
        <v>1500000000</v>
      </c>
      <c r="D438" s="42">
        <v>438</v>
      </c>
      <c r="E438" s="42">
        <v>22935198</v>
      </c>
    </row>
    <row r="439" spans="1:6" x14ac:dyDescent="0.2">
      <c r="A439" s="42">
        <v>439</v>
      </c>
      <c r="B439" s="42">
        <v>1500000000</v>
      </c>
      <c r="D439" s="42">
        <v>439</v>
      </c>
      <c r="E439" s="42">
        <v>22935198</v>
      </c>
    </row>
    <row r="440" spans="1:6" x14ac:dyDescent="0.2">
      <c r="A440" s="42">
        <v>440</v>
      </c>
      <c r="B440" s="42">
        <v>1500000000</v>
      </c>
      <c r="D440" s="42">
        <v>440</v>
      </c>
      <c r="E440" s="42">
        <v>22935198</v>
      </c>
      <c r="F440" s="43">
        <f t="shared" si="28"/>
        <v>226846322</v>
      </c>
    </row>
    <row r="441" spans="1:6" x14ac:dyDescent="0.2">
      <c r="A441" s="42">
        <v>441</v>
      </c>
      <c r="B441" s="42">
        <v>1500000000</v>
      </c>
      <c r="D441" s="42">
        <v>441</v>
      </c>
      <c r="E441" s="42">
        <v>23254942</v>
      </c>
    </row>
    <row r="442" spans="1:6" x14ac:dyDescent="0.2">
      <c r="A442" s="42">
        <v>442</v>
      </c>
      <c r="B442" s="42">
        <v>1500000000</v>
      </c>
      <c r="D442" s="42">
        <v>442</v>
      </c>
      <c r="E442" s="42">
        <v>23254942</v>
      </c>
    </row>
    <row r="443" spans="1:6" x14ac:dyDescent="0.2">
      <c r="A443" s="42">
        <v>443</v>
      </c>
      <c r="B443" s="42">
        <v>1500000000</v>
      </c>
      <c r="D443" s="42">
        <v>443</v>
      </c>
      <c r="E443" s="42">
        <v>23254942</v>
      </c>
    </row>
    <row r="444" spans="1:6" x14ac:dyDescent="0.2">
      <c r="A444" s="42">
        <v>444</v>
      </c>
      <c r="B444" s="42">
        <v>1500000000</v>
      </c>
      <c r="D444" s="42">
        <v>444</v>
      </c>
      <c r="E444" s="42">
        <v>23254942</v>
      </c>
    </row>
    <row r="445" spans="1:6" x14ac:dyDescent="0.2">
      <c r="A445" s="42">
        <v>445</v>
      </c>
      <c r="B445" s="42">
        <v>1500000000</v>
      </c>
      <c r="D445" s="42">
        <v>445</v>
      </c>
      <c r="E445" s="42">
        <v>23575896</v>
      </c>
    </row>
    <row r="446" spans="1:6" x14ac:dyDescent="0.2">
      <c r="A446" s="42">
        <v>446</v>
      </c>
      <c r="B446" s="42">
        <v>1500000000</v>
      </c>
      <c r="D446" s="42">
        <v>446</v>
      </c>
      <c r="E446" s="42">
        <v>23575896</v>
      </c>
    </row>
    <row r="447" spans="1:6" x14ac:dyDescent="0.2">
      <c r="A447" s="42">
        <v>447</v>
      </c>
      <c r="B447" s="42">
        <v>1500000000</v>
      </c>
      <c r="D447" s="42">
        <v>447</v>
      </c>
      <c r="E447" s="42">
        <v>23575896</v>
      </c>
    </row>
    <row r="448" spans="1:6" x14ac:dyDescent="0.2">
      <c r="A448" s="42">
        <v>448</v>
      </c>
      <c r="B448" s="42">
        <v>1500000000</v>
      </c>
      <c r="D448" s="42">
        <v>448</v>
      </c>
      <c r="E448" s="42">
        <v>23575896</v>
      </c>
    </row>
    <row r="449" spans="1:6" x14ac:dyDescent="0.2">
      <c r="A449" s="42">
        <v>449</v>
      </c>
      <c r="B449" s="42">
        <v>1500000000</v>
      </c>
      <c r="D449" s="42">
        <v>449</v>
      </c>
      <c r="E449" s="42">
        <v>23903614</v>
      </c>
    </row>
    <row r="450" spans="1:6" x14ac:dyDescent="0.2">
      <c r="A450" s="42">
        <v>450</v>
      </c>
      <c r="B450" s="42">
        <v>1500000000</v>
      </c>
      <c r="D450" s="42">
        <v>450</v>
      </c>
      <c r="E450" s="42">
        <v>23903614</v>
      </c>
      <c r="F450" s="43">
        <f t="shared" si="28"/>
        <v>235130580</v>
      </c>
    </row>
    <row r="451" spans="1:6" x14ac:dyDescent="0.2">
      <c r="A451" s="42">
        <v>451</v>
      </c>
      <c r="B451" s="42">
        <v>1500000000</v>
      </c>
      <c r="D451" s="42">
        <v>451</v>
      </c>
      <c r="E451" s="42">
        <v>23903614</v>
      </c>
    </row>
    <row r="452" spans="1:6" x14ac:dyDescent="0.2">
      <c r="A452" s="42">
        <v>452</v>
      </c>
      <c r="B452" s="42">
        <v>1500000000</v>
      </c>
      <c r="D452" s="42">
        <v>452</v>
      </c>
      <c r="E452" s="42">
        <v>23903614</v>
      </c>
    </row>
    <row r="453" spans="1:6" x14ac:dyDescent="0.2">
      <c r="A453" s="42">
        <v>453</v>
      </c>
      <c r="B453" s="42">
        <v>1500000000</v>
      </c>
      <c r="D453" s="42">
        <v>453</v>
      </c>
      <c r="E453" s="42">
        <v>24231331</v>
      </c>
    </row>
    <row r="454" spans="1:6" x14ac:dyDescent="0.2">
      <c r="A454" s="42">
        <v>454</v>
      </c>
      <c r="B454" s="42">
        <v>1500000000</v>
      </c>
      <c r="D454" s="42">
        <v>454</v>
      </c>
      <c r="E454" s="42">
        <v>24231331</v>
      </c>
    </row>
    <row r="455" spans="1:6" x14ac:dyDescent="0.2">
      <c r="A455" s="42">
        <v>455</v>
      </c>
      <c r="B455" s="42">
        <v>1500000000</v>
      </c>
      <c r="D455" s="42">
        <v>455</v>
      </c>
      <c r="E455" s="42">
        <v>24231331</v>
      </c>
    </row>
    <row r="456" spans="1:6" x14ac:dyDescent="0.2">
      <c r="A456" s="42">
        <v>456</v>
      </c>
      <c r="B456" s="42">
        <v>1500000000</v>
      </c>
      <c r="D456" s="42">
        <v>456</v>
      </c>
      <c r="E456" s="42">
        <v>24231331</v>
      </c>
    </row>
    <row r="457" spans="1:6" x14ac:dyDescent="0.2">
      <c r="A457" s="42">
        <v>457</v>
      </c>
      <c r="B457" s="42">
        <v>1500000000</v>
      </c>
      <c r="D457" s="42">
        <v>457</v>
      </c>
      <c r="E457" s="42">
        <v>24567146</v>
      </c>
    </row>
    <row r="458" spans="1:6" x14ac:dyDescent="0.2">
      <c r="A458" s="42">
        <v>458</v>
      </c>
      <c r="B458" s="42">
        <v>1500000000</v>
      </c>
      <c r="D458" s="42">
        <v>458</v>
      </c>
      <c r="E458" s="42">
        <v>24567146</v>
      </c>
    </row>
    <row r="459" spans="1:6" x14ac:dyDescent="0.2">
      <c r="A459" s="42">
        <v>459</v>
      </c>
      <c r="B459" s="42">
        <v>1500000000</v>
      </c>
      <c r="D459" s="42">
        <v>459</v>
      </c>
      <c r="E459" s="42">
        <v>24567146</v>
      </c>
    </row>
    <row r="460" spans="1:6" x14ac:dyDescent="0.2">
      <c r="A460" s="42">
        <v>460</v>
      </c>
      <c r="B460" s="42">
        <v>1500000000</v>
      </c>
      <c r="D460" s="42">
        <v>460</v>
      </c>
      <c r="E460" s="42">
        <v>24567146</v>
      </c>
      <c r="F460" s="43">
        <f t="shared" si="28"/>
        <v>243001136</v>
      </c>
    </row>
    <row r="461" spans="1:6" x14ac:dyDescent="0.2">
      <c r="A461" s="42">
        <v>461</v>
      </c>
      <c r="B461" s="42">
        <v>1500000000</v>
      </c>
      <c r="D461" s="42">
        <v>461</v>
      </c>
      <c r="E461" s="42">
        <v>24902960</v>
      </c>
    </row>
    <row r="462" spans="1:6" x14ac:dyDescent="0.2">
      <c r="A462" s="42">
        <v>462</v>
      </c>
      <c r="B462" s="42">
        <v>1500000000</v>
      </c>
      <c r="D462" s="42">
        <v>462</v>
      </c>
      <c r="E462" s="42">
        <v>24902960</v>
      </c>
    </row>
    <row r="463" spans="1:6" x14ac:dyDescent="0.2">
      <c r="A463" s="42">
        <v>463</v>
      </c>
      <c r="B463" s="42">
        <v>1500000000</v>
      </c>
      <c r="D463" s="42">
        <v>463</v>
      </c>
      <c r="E463" s="42">
        <v>24902960</v>
      </c>
    </row>
    <row r="464" spans="1:6" x14ac:dyDescent="0.2">
      <c r="A464" s="42">
        <v>464</v>
      </c>
      <c r="B464" s="42">
        <v>1500000000</v>
      </c>
      <c r="D464" s="42">
        <v>464</v>
      </c>
      <c r="E464" s="42">
        <v>24902960</v>
      </c>
    </row>
    <row r="465" spans="1:6" x14ac:dyDescent="0.2">
      <c r="A465" s="42">
        <v>465</v>
      </c>
      <c r="B465" s="42">
        <v>1500000000</v>
      </c>
      <c r="D465" s="42">
        <v>465</v>
      </c>
      <c r="E465" s="42">
        <v>25245819</v>
      </c>
    </row>
    <row r="466" spans="1:6" x14ac:dyDescent="0.2">
      <c r="A466" s="42">
        <v>466</v>
      </c>
      <c r="B466" s="42">
        <v>1500000000</v>
      </c>
      <c r="D466" s="42">
        <v>466</v>
      </c>
      <c r="E466" s="42">
        <v>25245819</v>
      </c>
    </row>
    <row r="467" spans="1:6" x14ac:dyDescent="0.2">
      <c r="A467" s="42">
        <v>467</v>
      </c>
      <c r="B467" s="42">
        <v>1500000000</v>
      </c>
      <c r="D467" s="42">
        <v>467</v>
      </c>
      <c r="E467" s="42">
        <v>25245819</v>
      </c>
    </row>
    <row r="468" spans="1:6" x14ac:dyDescent="0.2">
      <c r="A468" s="42">
        <v>468</v>
      </c>
      <c r="B468" s="42">
        <v>1500000000</v>
      </c>
      <c r="D468" s="42">
        <v>468</v>
      </c>
      <c r="E468" s="42">
        <v>25245819</v>
      </c>
    </row>
    <row r="469" spans="1:6" x14ac:dyDescent="0.2">
      <c r="A469" s="42">
        <v>469</v>
      </c>
      <c r="B469" s="42">
        <v>1500000000</v>
      </c>
      <c r="D469" s="42">
        <v>469</v>
      </c>
      <c r="E469" s="42">
        <v>25589958</v>
      </c>
    </row>
    <row r="470" spans="1:6" x14ac:dyDescent="0.2">
      <c r="A470" s="42">
        <v>470</v>
      </c>
      <c r="B470" s="42">
        <v>1500000000</v>
      </c>
      <c r="D470" s="42">
        <v>470</v>
      </c>
      <c r="E470" s="42">
        <v>25589958</v>
      </c>
      <c r="F470" s="43">
        <f t="shared" ref="F470:F530" si="29">SUM(E461:E470)</f>
        <v>251775032</v>
      </c>
    </row>
    <row r="471" spans="1:6" x14ac:dyDescent="0.2">
      <c r="A471" s="42">
        <v>471</v>
      </c>
      <c r="B471" s="42">
        <v>1500000000</v>
      </c>
      <c r="D471" s="42">
        <v>471</v>
      </c>
      <c r="E471" s="42">
        <v>25589958</v>
      </c>
    </row>
    <row r="472" spans="1:6" x14ac:dyDescent="0.2">
      <c r="A472" s="42">
        <v>472</v>
      </c>
      <c r="B472" s="42">
        <v>1500000000</v>
      </c>
      <c r="D472" s="42">
        <v>472</v>
      </c>
      <c r="E472" s="42">
        <v>25589958</v>
      </c>
    </row>
    <row r="473" spans="1:6" x14ac:dyDescent="0.2">
      <c r="A473" s="42">
        <v>473</v>
      </c>
      <c r="B473" s="42">
        <v>1500000000</v>
      </c>
      <c r="D473" s="42">
        <v>473</v>
      </c>
      <c r="E473" s="42">
        <v>25941140</v>
      </c>
    </row>
    <row r="474" spans="1:6" x14ac:dyDescent="0.2">
      <c r="A474" s="42">
        <v>474</v>
      </c>
      <c r="B474" s="42">
        <v>1500000000</v>
      </c>
      <c r="D474" s="42">
        <v>474</v>
      </c>
      <c r="E474" s="42">
        <v>25941140</v>
      </c>
    </row>
    <row r="475" spans="1:6" x14ac:dyDescent="0.2">
      <c r="A475" s="42">
        <v>475</v>
      </c>
      <c r="B475" s="42">
        <v>1500000000</v>
      </c>
      <c r="D475" s="42">
        <v>475</v>
      </c>
      <c r="E475" s="42">
        <v>25941140</v>
      </c>
    </row>
    <row r="476" spans="1:6" x14ac:dyDescent="0.2">
      <c r="A476" s="42">
        <v>476</v>
      </c>
      <c r="B476" s="42">
        <v>1500000000</v>
      </c>
      <c r="D476" s="42">
        <v>476</v>
      </c>
      <c r="E476" s="42">
        <v>25941140</v>
      </c>
    </row>
    <row r="477" spans="1:6" x14ac:dyDescent="0.2">
      <c r="A477" s="42">
        <v>477</v>
      </c>
      <c r="B477" s="42">
        <v>1500000000</v>
      </c>
      <c r="D477" s="42">
        <v>477</v>
      </c>
      <c r="E477" s="42">
        <v>26292323</v>
      </c>
    </row>
    <row r="478" spans="1:6" x14ac:dyDescent="0.2">
      <c r="A478" s="42">
        <v>478</v>
      </c>
      <c r="B478" s="42">
        <v>1500000000</v>
      </c>
      <c r="D478" s="42">
        <v>478</v>
      </c>
      <c r="E478" s="42">
        <v>26292323</v>
      </c>
    </row>
    <row r="479" spans="1:6" x14ac:dyDescent="0.2">
      <c r="A479" s="42">
        <v>479</v>
      </c>
      <c r="B479" s="42">
        <v>1500000000</v>
      </c>
      <c r="D479" s="42">
        <v>479</v>
      </c>
      <c r="E479" s="42">
        <v>26292323</v>
      </c>
    </row>
    <row r="480" spans="1:6" x14ac:dyDescent="0.2">
      <c r="A480" s="42">
        <v>480</v>
      </c>
      <c r="B480" s="42">
        <v>1500000000</v>
      </c>
      <c r="D480" s="42">
        <v>480</v>
      </c>
      <c r="E480" s="42">
        <v>26292323</v>
      </c>
      <c r="F480" s="43">
        <f t="shared" si="29"/>
        <v>260113768</v>
      </c>
    </row>
    <row r="481" spans="1:6" x14ac:dyDescent="0.2">
      <c r="A481" s="42">
        <v>481</v>
      </c>
      <c r="B481" s="42">
        <v>1500000000</v>
      </c>
      <c r="D481" s="42">
        <v>481</v>
      </c>
      <c r="E481" s="42">
        <v>26652189</v>
      </c>
    </row>
    <row r="482" spans="1:6" x14ac:dyDescent="0.2">
      <c r="A482" s="42">
        <v>482</v>
      </c>
      <c r="B482" s="42">
        <v>1500000000</v>
      </c>
      <c r="D482" s="42">
        <v>482</v>
      </c>
      <c r="E482" s="42">
        <v>26652189</v>
      </c>
    </row>
    <row r="483" spans="1:6" x14ac:dyDescent="0.2">
      <c r="A483" s="42">
        <v>483</v>
      </c>
      <c r="B483" s="42">
        <v>1500000000</v>
      </c>
      <c r="D483" s="42">
        <v>483</v>
      </c>
      <c r="E483" s="42">
        <v>26652189</v>
      </c>
    </row>
    <row r="484" spans="1:6" x14ac:dyDescent="0.2">
      <c r="A484" s="42">
        <v>484</v>
      </c>
      <c r="B484" s="42">
        <v>1500000000</v>
      </c>
      <c r="D484" s="42">
        <v>484</v>
      </c>
      <c r="E484" s="42">
        <v>26652189</v>
      </c>
    </row>
    <row r="485" spans="1:6" x14ac:dyDescent="0.2">
      <c r="A485" s="42">
        <v>485</v>
      </c>
      <c r="B485" s="42">
        <v>1500000000</v>
      </c>
      <c r="D485" s="42">
        <v>485</v>
      </c>
      <c r="E485" s="42">
        <v>27012054</v>
      </c>
    </row>
    <row r="486" spans="1:6" x14ac:dyDescent="0.2">
      <c r="A486" s="42">
        <v>486</v>
      </c>
      <c r="B486" s="42">
        <v>1500000000</v>
      </c>
      <c r="D486" s="42">
        <v>486</v>
      </c>
      <c r="E486" s="42">
        <v>27012054</v>
      </c>
    </row>
    <row r="487" spans="1:6" x14ac:dyDescent="0.2">
      <c r="A487" s="42">
        <v>487</v>
      </c>
      <c r="B487" s="42">
        <v>1500000000</v>
      </c>
      <c r="D487" s="42">
        <v>487</v>
      </c>
      <c r="E487" s="42">
        <v>27012054</v>
      </c>
    </row>
    <row r="488" spans="1:6" x14ac:dyDescent="0.2">
      <c r="A488" s="42">
        <v>488</v>
      </c>
      <c r="B488" s="42">
        <v>1500000000</v>
      </c>
      <c r="D488" s="42">
        <v>488</v>
      </c>
      <c r="E488" s="42">
        <v>27012054</v>
      </c>
    </row>
    <row r="489" spans="1:6" x14ac:dyDescent="0.2">
      <c r="A489" s="42">
        <v>489</v>
      </c>
      <c r="B489" s="42">
        <v>1500000000</v>
      </c>
      <c r="D489" s="42">
        <v>489</v>
      </c>
      <c r="E489" s="42">
        <v>27379265</v>
      </c>
    </row>
    <row r="490" spans="1:6" x14ac:dyDescent="0.2">
      <c r="A490" s="42">
        <v>490</v>
      </c>
      <c r="B490" s="42">
        <v>1500000000</v>
      </c>
      <c r="D490" s="42">
        <v>490</v>
      </c>
      <c r="E490" s="42">
        <v>27379265</v>
      </c>
      <c r="F490" s="43">
        <f t="shared" si="29"/>
        <v>269415502</v>
      </c>
    </row>
    <row r="491" spans="1:6" x14ac:dyDescent="0.2">
      <c r="A491" s="42">
        <v>491</v>
      </c>
      <c r="B491" s="42">
        <v>1500000000</v>
      </c>
      <c r="D491" s="42">
        <v>491</v>
      </c>
      <c r="E491" s="42">
        <v>27379265</v>
      </c>
    </row>
    <row r="492" spans="1:6" x14ac:dyDescent="0.2">
      <c r="A492" s="42">
        <v>492</v>
      </c>
      <c r="B492" s="42">
        <v>1500000000</v>
      </c>
      <c r="D492" s="42">
        <v>492</v>
      </c>
      <c r="E492" s="42">
        <v>27379265</v>
      </c>
    </row>
    <row r="493" spans="1:6" x14ac:dyDescent="0.2">
      <c r="A493" s="42">
        <v>493</v>
      </c>
      <c r="B493" s="42">
        <v>1500000000</v>
      </c>
      <c r="D493" s="42">
        <v>493</v>
      </c>
      <c r="E493" s="42">
        <v>27747829</v>
      </c>
    </row>
    <row r="494" spans="1:6" x14ac:dyDescent="0.2">
      <c r="A494" s="42">
        <v>494</v>
      </c>
      <c r="B494" s="42">
        <v>1500000000</v>
      </c>
      <c r="D494" s="42">
        <v>494</v>
      </c>
      <c r="E494" s="42">
        <v>27747829</v>
      </c>
    </row>
    <row r="495" spans="1:6" x14ac:dyDescent="0.2">
      <c r="A495" s="42">
        <v>495</v>
      </c>
      <c r="B495" s="42">
        <v>1500000000</v>
      </c>
      <c r="D495" s="42">
        <v>495</v>
      </c>
      <c r="E495" s="42">
        <v>27747829</v>
      </c>
    </row>
    <row r="496" spans="1:6" x14ac:dyDescent="0.2">
      <c r="A496" s="42">
        <v>496</v>
      </c>
      <c r="B496" s="42">
        <v>1500000000</v>
      </c>
      <c r="D496" s="42">
        <v>496</v>
      </c>
      <c r="E496" s="42">
        <v>27747829</v>
      </c>
    </row>
    <row r="497" spans="1:6" x14ac:dyDescent="0.2">
      <c r="A497" s="42">
        <v>497</v>
      </c>
      <c r="B497" s="42">
        <v>1500000000</v>
      </c>
      <c r="D497" s="42">
        <v>497</v>
      </c>
      <c r="E497" s="42">
        <v>28123981</v>
      </c>
    </row>
    <row r="498" spans="1:6" x14ac:dyDescent="0.2">
      <c r="A498" s="42">
        <v>498</v>
      </c>
      <c r="B498" s="42">
        <v>1500000000</v>
      </c>
      <c r="D498" s="42">
        <v>498</v>
      </c>
      <c r="E498" s="42">
        <v>28123981</v>
      </c>
    </row>
    <row r="499" spans="1:6" x14ac:dyDescent="0.2">
      <c r="A499" s="42">
        <v>499</v>
      </c>
      <c r="B499" s="42">
        <v>1500000000</v>
      </c>
      <c r="D499" s="42">
        <v>499</v>
      </c>
      <c r="E499" s="42">
        <v>28123981</v>
      </c>
    </row>
    <row r="500" spans="1:6" x14ac:dyDescent="0.2">
      <c r="A500" s="42">
        <v>500</v>
      </c>
      <c r="B500" s="42">
        <v>1500000000</v>
      </c>
      <c r="D500" s="42">
        <v>500</v>
      </c>
      <c r="E500" s="42">
        <v>28123981</v>
      </c>
      <c r="F500" s="43">
        <f t="shared" si="29"/>
        <v>278245770</v>
      </c>
    </row>
    <row r="501" spans="1:6" x14ac:dyDescent="0.2">
      <c r="A501" s="42">
        <v>501</v>
      </c>
      <c r="B501" s="42">
        <v>1500000000</v>
      </c>
      <c r="D501" s="42">
        <v>501</v>
      </c>
      <c r="E501" s="42">
        <v>28500134</v>
      </c>
    </row>
    <row r="502" spans="1:6" x14ac:dyDescent="0.2">
      <c r="A502" s="42">
        <v>502</v>
      </c>
      <c r="B502" s="42">
        <v>1500000000</v>
      </c>
      <c r="D502" s="42">
        <v>502</v>
      </c>
      <c r="E502" s="42">
        <v>28500134</v>
      </c>
    </row>
    <row r="503" spans="1:6" x14ac:dyDescent="0.2">
      <c r="A503" s="42">
        <v>503</v>
      </c>
      <c r="B503" s="42">
        <v>1500000000</v>
      </c>
      <c r="D503" s="42">
        <v>503</v>
      </c>
      <c r="E503" s="42">
        <v>28500134</v>
      </c>
    </row>
    <row r="504" spans="1:6" x14ac:dyDescent="0.2">
      <c r="A504" s="42">
        <v>504</v>
      </c>
      <c r="B504" s="42">
        <v>1500000000</v>
      </c>
      <c r="D504" s="42">
        <v>504</v>
      </c>
      <c r="E504" s="42">
        <v>28500134</v>
      </c>
    </row>
    <row r="505" spans="1:6" x14ac:dyDescent="0.2">
      <c r="A505" s="42">
        <v>505</v>
      </c>
      <c r="B505" s="42">
        <v>1500000000</v>
      </c>
      <c r="D505" s="42">
        <v>505</v>
      </c>
      <c r="E505" s="42">
        <v>28885344</v>
      </c>
    </row>
    <row r="506" spans="1:6" x14ac:dyDescent="0.2">
      <c r="A506" s="42">
        <v>506</v>
      </c>
      <c r="B506" s="42">
        <v>1500000000</v>
      </c>
      <c r="D506" s="42">
        <v>506</v>
      </c>
      <c r="E506" s="42">
        <v>28885344</v>
      </c>
    </row>
    <row r="507" spans="1:6" x14ac:dyDescent="0.2">
      <c r="A507" s="42">
        <v>507</v>
      </c>
      <c r="B507" s="42">
        <v>1500000000</v>
      </c>
      <c r="D507" s="42">
        <v>507</v>
      </c>
      <c r="E507" s="42">
        <v>28885344</v>
      </c>
    </row>
    <row r="508" spans="1:6" x14ac:dyDescent="0.2">
      <c r="A508" s="42">
        <v>508</v>
      </c>
      <c r="B508" s="42">
        <v>1500000000</v>
      </c>
      <c r="D508" s="42">
        <v>508</v>
      </c>
      <c r="E508" s="42">
        <v>28885344</v>
      </c>
    </row>
    <row r="509" spans="1:6" x14ac:dyDescent="0.2">
      <c r="A509" s="42">
        <v>509</v>
      </c>
      <c r="B509" s="42">
        <v>1500000000</v>
      </c>
      <c r="D509" s="42">
        <v>509</v>
      </c>
      <c r="E509" s="42">
        <v>29270554</v>
      </c>
    </row>
    <row r="510" spans="1:6" x14ac:dyDescent="0.2">
      <c r="A510" s="42">
        <v>510</v>
      </c>
      <c r="B510" s="42">
        <v>1500000000</v>
      </c>
      <c r="D510" s="42">
        <v>510</v>
      </c>
      <c r="E510" s="42">
        <v>29270554</v>
      </c>
      <c r="F510" s="43">
        <f t="shared" si="29"/>
        <v>288083020</v>
      </c>
    </row>
    <row r="511" spans="1:6" x14ac:dyDescent="0.2">
      <c r="A511" s="42">
        <v>511</v>
      </c>
      <c r="B511" s="42">
        <v>1500000000</v>
      </c>
      <c r="D511" s="42">
        <v>511</v>
      </c>
      <c r="E511" s="42">
        <v>29270554</v>
      </c>
    </row>
    <row r="512" spans="1:6" x14ac:dyDescent="0.2">
      <c r="A512" s="42">
        <v>512</v>
      </c>
      <c r="B512" s="42">
        <v>1500000000</v>
      </c>
      <c r="D512" s="42">
        <v>512</v>
      </c>
      <c r="E512" s="42">
        <v>29270554</v>
      </c>
    </row>
    <row r="513" spans="1:6" x14ac:dyDescent="0.2">
      <c r="A513" s="42">
        <v>513</v>
      </c>
      <c r="B513" s="42">
        <v>1500000000</v>
      </c>
      <c r="D513" s="42">
        <v>513</v>
      </c>
      <c r="E513" s="42">
        <v>29663666</v>
      </c>
    </row>
    <row r="514" spans="1:6" x14ac:dyDescent="0.2">
      <c r="A514" s="42">
        <v>514</v>
      </c>
      <c r="B514" s="42">
        <v>1500000000</v>
      </c>
      <c r="D514" s="42">
        <v>514</v>
      </c>
      <c r="E514" s="42">
        <v>29663666</v>
      </c>
    </row>
    <row r="515" spans="1:6" x14ac:dyDescent="0.2">
      <c r="A515" s="42">
        <v>515</v>
      </c>
      <c r="B515" s="42">
        <v>1500000000</v>
      </c>
      <c r="D515" s="42">
        <v>515</v>
      </c>
      <c r="E515" s="42">
        <v>29663666</v>
      </c>
    </row>
    <row r="516" spans="1:6" x14ac:dyDescent="0.2">
      <c r="A516" s="42">
        <v>516</v>
      </c>
      <c r="B516" s="42">
        <v>1500000000</v>
      </c>
      <c r="D516" s="42">
        <v>516</v>
      </c>
      <c r="E516" s="42">
        <v>29663666</v>
      </c>
    </row>
    <row r="517" spans="1:6" x14ac:dyDescent="0.2">
      <c r="A517" s="42">
        <v>517</v>
      </c>
      <c r="B517" s="42">
        <v>1500000000</v>
      </c>
      <c r="D517" s="42">
        <v>517</v>
      </c>
      <c r="E517" s="42">
        <v>30000000</v>
      </c>
    </row>
    <row r="518" spans="1:6" x14ac:dyDescent="0.2">
      <c r="A518" s="42">
        <v>518</v>
      </c>
      <c r="B518" s="42">
        <v>1500000000</v>
      </c>
      <c r="D518" s="42">
        <v>518</v>
      </c>
      <c r="E518" s="42">
        <v>30000000</v>
      </c>
    </row>
    <row r="519" spans="1:6" x14ac:dyDescent="0.2">
      <c r="A519" s="42">
        <v>519</v>
      </c>
      <c r="B519" s="42">
        <v>1500000000</v>
      </c>
      <c r="D519" s="42">
        <v>519</v>
      </c>
      <c r="E519" s="42">
        <v>30000000</v>
      </c>
    </row>
    <row r="520" spans="1:6" x14ac:dyDescent="0.2">
      <c r="A520" s="42">
        <v>520</v>
      </c>
      <c r="B520" s="42">
        <v>1500000000</v>
      </c>
      <c r="D520" s="42">
        <v>520</v>
      </c>
      <c r="E520" s="42">
        <v>30000000</v>
      </c>
      <c r="F520" s="43">
        <f t="shared" si="29"/>
        <v>297195772</v>
      </c>
    </row>
    <row r="521" spans="1:6" x14ac:dyDescent="0.2">
      <c r="A521" s="42">
        <v>521</v>
      </c>
      <c r="B521" s="42">
        <v>1500000000</v>
      </c>
      <c r="D521" s="42">
        <v>521</v>
      </c>
      <c r="E521" s="42">
        <v>30000000</v>
      </c>
    </row>
    <row r="522" spans="1:6" x14ac:dyDescent="0.2">
      <c r="A522" s="42">
        <v>522</v>
      </c>
      <c r="B522" s="42">
        <v>1500000000</v>
      </c>
      <c r="D522" s="42">
        <v>522</v>
      </c>
      <c r="E522" s="42">
        <v>30000000</v>
      </c>
    </row>
    <row r="523" spans="1:6" x14ac:dyDescent="0.2">
      <c r="A523" s="42">
        <v>523</v>
      </c>
      <c r="B523" s="42">
        <v>1500000000</v>
      </c>
      <c r="D523" s="42">
        <v>523</v>
      </c>
      <c r="E523" s="42">
        <v>30000000</v>
      </c>
    </row>
    <row r="524" spans="1:6" x14ac:dyDescent="0.2">
      <c r="A524" s="42">
        <v>524</v>
      </c>
      <c r="B524" s="42">
        <v>1500000000</v>
      </c>
      <c r="D524" s="42">
        <v>524</v>
      </c>
      <c r="E524" s="42">
        <v>30000000</v>
      </c>
    </row>
    <row r="525" spans="1:6" x14ac:dyDescent="0.2">
      <c r="A525" s="42">
        <v>525</v>
      </c>
      <c r="B525" s="42">
        <v>1500000000</v>
      </c>
      <c r="D525" s="42">
        <v>525</v>
      </c>
      <c r="E525" s="42">
        <v>30000000</v>
      </c>
    </row>
    <row r="526" spans="1:6" x14ac:dyDescent="0.2">
      <c r="A526" s="42">
        <v>526</v>
      </c>
      <c r="B526" s="42">
        <v>1500000000</v>
      </c>
      <c r="D526" s="42">
        <v>526</v>
      </c>
      <c r="E526" s="42">
        <v>30000000</v>
      </c>
    </row>
    <row r="527" spans="1:6" x14ac:dyDescent="0.2">
      <c r="A527" s="42">
        <v>527</v>
      </c>
      <c r="B527" s="42">
        <v>1500000000</v>
      </c>
      <c r="D527" s="42">
        <v>527</v>
      </c>
      <c r="E527" s="42">
        <v>30000000</v>
      </c>
    </row>
    <row r="528" spans="1:6" x14ac:dyDescent="0.2">
      <c r="A528" s="42">
        <v>528</v>
      </c>
      <c r="B528" s="42">
        <v>1500000000</v>
      </c>
      <c r="D528" s="42">
        <v>528</v>
      </c>
      <c r="E528" s="42">
        <v>30000000</v>
      </c>
    </row>
    <row r="529" spans="1:6" x14ac:dyDescent="0.2">
      <c r="A529" s="42">
        <v>529</v>
      </c>
      <c r="B529" s="42">
        <v>1500000000</v>
      </c>
      <c r="D529" s="42">
        <v>529</v>
      </c>
      <c r="E529" s="42">
        <v>30000000</v>
      </c>
    </row>
    <row r="530" spans="1:6" x14ac:dyDescent="0.2">
      <c r="A530" s="42">
        <v>530</v>
      </c>
      <c r="B530" s="42">
        <v>1500000000</v>
      </c>
      <c r="D530" s="42">
        <v>530</v>
      </c>
      <c r="E530" s="42">
        <v>30000000</v>
      </c>
      <c r="F530" s="43">
        <f t="shared" si="29"/>
        <v>300000000</v>
      </c>
    </row>
    <row r="531" spans="1:6" x14ac:dyDescent="0.2">
      <c r="A531" s="42">
        <v>531</v>
      </c>
      <c r="B531" s="42">
        <v>1500000000</v>
      </c>
      <c r="D531" s="42">
        <v>531</v>
      </c>
      <c r="E531" s="42">
        <v>30000000</v>
      </c>
    </row>
    <row r="532" spans="1:6" x14ac:dyDescent="0.2">
      <c r="A532" s="42">
        <v>532</v>
      </c>
      <c r="B532" s="42">
        <v>1500000000</v>
      </c>
      <c r="D532" s="42">
        <v>532</v>
      </c>
      <c r="E532" s="42">
        <v>30000000</v>
      </c>
    </row>
    <row r="533" spans="1:6" x14ac:dyDescent="0.2">
      <c r="A533" s="42">
        <v>533</v>
      </c>
      <c r="B533" s="42">
        <v>1500000000</v>
      </c>
      <c r="D533" s="42">
        <v>533</v>
      </c>
      <c r="E533" s="42">
        <v>30000000</v>
      </c>
    </row>
    <row r="534" spans="1:6" x14ac:dyDescent="0.2">
      <c r="A534" s="42">
        <v>534</v>
      </c>
      <c r="B534" s="42">
        <v>1500000000</v>
      </c>
      <c r="D534" s="42">
        <v>534</v>
      </c>
      <c r="E534" s="42">
        <v>30000000</v>
      </c>
    </row>
    <row r="535" spans="1:6" x14ac:dyDescent="0.2">
      <c r="A535" s="42">
        <v>535</v>
      </c>
      <c r="B535" s="42">
        <v>1500000000</v>
      </c>
      <c r="D535" s="42">
        <v>535</v>
      </c>
      <c r="E535" s="42">
        <v>30000000</v>
      </c>
    </row>
    <row r="536" spans="1:6" x14ac:dyDescent="0.2">
      <c r="A536" s="42">
        <v>536</v>
      </c>
      <c r="B536" s="42">
        <v>1500000000</v>
      </c>
      <c r="D536" s="42">
        <v>536</v>
      </c>
      <c r="E536" s="42">
        <v>30000000</v>
      </c>
    </row>
    <row r="537" spans="1:6" x14ac:dyDescent="0.2">
      <c r="A537" s="42">
        <v>537</v>
      </c>
      <c r="B537" s="42">
        <v>1500000000</v>
      </c>
      <c r="D537" s="42">
        <v>537</v>
      </c>
      <c r="E537" s="42">
        <v>30000000</v>
      </c>
    </row>
    <row r="538" spans="1:6" x14ac:dyDescent="0.2">
      <c r="A538" s="42">
        <v>538</v>
      </c>
      <c r="B538" s="42">
        <v>1500000000</v>
      </c>
      <c r="D538" s="42">
        <v>538</v>
      </c>
      <c r="E538" s="42">
        <v>30000000</v>
      </c>
    </row>
    <row r="539" spans="1:6" x14ac:dyDescent="0.2">
      <c r="A539" s="42">
        <v>539</v>
      </c>
      <c r="B539" s="42">
        <v>1500000000</v>
      </c>
      <c r="D539" s="42">
        <v>539</v>
      </c>
      <c r="E539" s="42">
        <v>30000000</v>
      </c>
    </row>
    <row r="540" spans="1:6" x14ac:dyDescent="0.2">
      <c r="A540" s="42">
        <v>540</v>
      </c>
      <c r="B540" s="42">
        <v>1500000000</v>
      </c>
      <c r="D540" s="42">
        <v>540</v>
      </c>
      <c r="E540" s="42">
        <v>30000000</v>
      </c>
      <c r="F540" s="43">
        <f t="shared" ref="F540:F600" si="30">SUM(E531:E540)</f>
        <v>300000000</v>
      </c>
    </row>
    <row r="541" spans="1:6" x14ac:dyDescent="0.2">
      <c r="A541" s="42">
        <v>541</v>
      </c>
      <c r="B541" s="42">
        <v>1500000000</v>
      </c>
      <c r="D541" s="42">
        <v>541</v>
      </c>
      <c r="E541" s="42">
        <v>30000000</v>
      </c>
    </row>
    <row r="542" spans="1:6" x14ac:dyDescent="0.2">
      <c r="A542" s="42">
        <v>542</v>
      </c>
      <c r="B542" s="42">
        <v>1500000000</v>
      </c>
      <c r="D542" s="42">
        <v>542</v>
      </c>
      <c r="E542" s="42">
        <v>30000000</v>
      </c>
    </row>
    <row r="543" spans="1:6" x14ac:dyDescent="0.2">
      <c r="A543" s="42">
        <v>543</v>
      </c>
      <c r="B543" s="42">
        <v>1500000000</v>
      </c>
      <c r="D543" s="42">
        <v>543</v>
      </c>
      <c r="E543" s="42">
        <v>30000000</v>
      </c>
    </row>
    <row r="544" spans="1:6" x14ac:dyDescent="0.2">
      <c r="A544" s="42">
        <v>544</v>
      </c>
      <c r="B544" s="42">
        <v>1500000000</v>
      </c>
      <c r="D544" s="42">
        <v>544</v>
      </c>
      <c r="E544" s="42">
        <v>30000000</v>
      </c>
    </row>
    <row r="545" spans="1:6" x14ac:dyDescent="0.2">
      <c r="A545" s="42">
        <v>545</v>
      </c>
      <c r="B545" s="42">
        <v>1500000000</v>
      </c>
      <c r="D545" s="42">
        <v>545</v>
      </c>
      <c r="E545" s="42">
        <v>30000000</v>
      </c>
    </row>
    <row r="546" spans="1:6" x14ac:dyDescent="0.2">
      <c r="A546" s="42">
        <v>546</v>
      </c>
      <c r="B546" s="42">
        <v>1500000000</v>
      </c>
      <c r="D546" s="42">
        <v>546</v>
      </c>
      <c r="E546" s="42">
        <v>30000000</v>
      </c>
    </row>
    <row r="547" spans="1:6" x14ac:dyDescent="0.2">
      <c r="A547" s="42">
        <v>547</v>
      </c>
      <c r="B547" s="42">
        <v>1500000000</v>
      </c>
      <c r="D547" s="42">
        <v>547</v>
      </c>
      <c r="E547" s="42">
        <v>30000000</v>
      </c>
    </row>
    <row r="548" spans="1:6" x14ac:dyDescent="0.2">
      <c r="A548" s="42">
        <v>548</v>
      </c>
      <c r="B548" s="42">
        <v>1500000000</v>
      </c>
      <c r="D548" s="42">
        <v>548</v>
      </c>
      <c r="E548" s="42">
        <v>30000000</v>
      </c>
    </row>
    <row r="549" spans="1:6" x14ac:dyDescent="0.2">
      <c r="A549" s="42">
        <v>549</v>
      </c>
      <c r="B549" s="42">
        <v>1500000000</v>
      </c>
      <c r="D549" s="42">
        <v>549</v>
      </c>
      <c r="E549" s="42">
        <v>30000000</v>
      </c>
    </row>
    <row r="550" spans="1:6" x14ac:dyDescent="0.2">
      <c r="A550" s="42">
        <v>550</v>
      </c>
      <c r="B550" s="42">
        <v>1500000000</v>
      </c>
      <c r="D550" s="42">
        <v>550</v>
      </c>
      <c r="E550" s="42">
        <v>30000000</v>
      </c>
      <c r="F550" s="43">
        <f t="shared" si="30"/>
        <v>300000000</v>
      </c>
    </row>
    <row r="551" spans="1:6" x14ac:dyDescent="0.2">
      <c r="A551" s="42">
        <v>551</v>
      </c>
      <c r="B551" s="42">
        <v>1500000000</v>
      </c>
      <c r="D551" s="42">
        <v>551</v>
      </c>
      <c r="E551" s="42">
        <v>30000000</v>
      </c>
    </row>
    <row r="552" spans="1:6" x14ac:dyDescent="0.2">
      <c r="A552" s="42">
        <v>552</v>
      </c>
      <c r="B552" s="42">
        <v>1500000000</v>
      </c>
      <c r="D552" s="42">
        <v>552</v>
      </c>
      <c r="E552" s="42">
        <v>30000000</v>
      </c>
    </row>
    <row r="553" spans="1:6" x14ac:dyDescent="0.2">
      <c r="A553" s="42">
        <v>553</v>
      </c>
      <c r="B553" s="42">
        <v>1500000000</v>
      </c>
      <c r="D553" s="42">
        <v>553</v>
      </c>
      <c r="E553" s="42">
        <v>30000000</v>
      </c>
    </row>
    <row r="554" spans="1:6" x14ac:dyDescent="0.2">
      <c r="A554" s="42">
        <v>554</v>
      </c>
      <c r="B554" s="42">
        <v>1500000000</v>
      </c>
      <c r="D554" s="42">
        <v>554</v>
      </c>
      <c r="E554" s="42">
        <v>30000000</v>
      </c>
    </row>
    <row r="555" spans="1:6" x14ac:dyDescent="0.2">
      <c r="A555" s="42">
        <v>555</v>
      </c>
      <c r="B555" s="42">
        <v>1500000000</v>
      </c>
      <c r="D555" s="42">
        <v>555</v>
      </c>
      <c r="E555" s="42">
        <v>30000000</v>
      </c>
    </row>
    <row r="556" spans="1:6" x14ac:dyDescent="0.2">
      <c r="A556" s="42">
        <v>556</v>
      </c>
      <c r="B556" s="42">
        <v>1500000000</v>
      </c>
      <c r="D556" s="42">
        <v>556</v>
      </c>
      <c r="E556" s="42">
        <v>30000000</v>
      </c>
    </row>
    <row r="557" spans="1:6" x14ac:dyDescent="0.2">
      <c r="A557" s="42">
        <v>557</v>
      </c>
      <c r="B557" s="42">
        <v>1500000000</v>
      </c>
      <c r="D557" s="42">
        <v>557</v>
      </c>
      <c r="E557" s="42">
        <v>30000000</v>
      </c>
    </row>
    <row r="558" spans="1:6" x14ac:dyDescent="0.2">
      <c r="A558" s="42">
        <v>558</v>
      </c>
      <c r="B558" s="42">
        <v>1500000000</v>
      </c>
      <c r="D558" s="42">
        <v>558</v>
      </c>
      <c r="E558" s="42">
        <v>30000000</v>
      </c>
    </row>
    <row r="559" spans="1:6" x14ac:dyDescent="0.2">
      <c r="A559" s="42">
        <v>559</v>
      </c>
      <c r="B559" s="42">
        <v>1500000000</v>
      </c>
      <c r="D559" s="42">
        <v>559</v>
      </c>
      <c r="E559" s="42">
        <v>30000000</v>
      </c>
    </row>
    <row r="560" spans="1:6" x14ac:dyDescent="0.2">
      <c r="A560" s="42">
        <v>560</v>
      </c>
      <c r="B560" s="42">
        <v>1500000000</v>
      </c>
      <c r="D560" s="42">
        <v>560</v>
      </c>
      <c r="E560" s="42">
        <v>30000000</v>
      </c>
      <c r="F560" s="43">
        <f t="shared" si="30"/>
        <v>300000000</v>
      </c>
    </row>
    <row r="561" spans="1:6" x14ac:dyDescent="0.2">
      <c r="A561" s="42">
        <v>561</v>
      </c>
      <c r="B561" s="42">
        <v>1500000000</v>
      </c>
      <c r="D561" s="42">
        <v>561</v>
      </c>
      <c r="E561" s="42">
        <v>30000000</v>
      </c>
    </row>
    <row r="562" spans="1:6" x14ac:dyDescent="0.2">
      <c r="A562" s="42">
        <v>562</v>
      </c>
      <c r="B562" s="42">
        <v>1500000000</v>
      </c>
      <c r="D562" s="42">
        <v>562</v>
      </c>
      <c r="E562" s="42">
        <v>30000000</v>
      </c>
    </row>
    <row r="563" spans="1:6" x14ac:dyDescent="0.2">
      <c r="A563" s="42">
        <v>563</v>
      </c>
      <c r="B563" s="42">
        <v>1500000000</v>
      </c>
      <c r="D563" s="42">
        <v>563</v>
      </c>
      <c r="E563" s="42">
        <v>30000000</v>
      </c>
    </row>
    <row r="564" spans="1:6" x14ac:dyDescent="0.2">
      <c r="A564" s="42">
        <v>564</v>
      </c>
      <c r="B564" s="42">
        <v>1500000000</v>
      </c>
      <c r="D564" s="42">
        <v>564</v>
      </c>
      <c r="E564" s="42">
        <v>30000000</v>
      </c>
    </row>
    <row r="565" spans="1:6" x14ac:dyDescent="0.2">
      <c r="A565" s="42">
        <v>565</v>
      </c>
      <c r="B565" s="42">
        <v>1500000000</v>
      </c>
      <c r="D565" s="42">
        <v>565</v>
      </c>
      <c r="E565" s="42">
        <v>30000000</v>
      </c>
    </row>
    <row r="566" spans="1:6" x14ac:dyDescent="0.2">
      <c r="A566" s="42">
        <v>566</v>
      </c>
      <c r="B566" s="42">
        <v>1500000000</v>
      </c>
      <c r="D566" s="42">
        <v>566</v>
      </c>
      <c r="E566" s="42">
        <v>30000000</v>
      </c>
    </row>
    <row r="567" spans="1:6" x14ac:dyDescent="0.2">
      <c r="A567" s="42">
        <v>567</v>
      </c>
      <c r="B567" s="42">
        <v>1500000000</v>
      </c>
      <c r="D567" s="42">
        <v>567</v>
      </c>
      <c r="E567" s="42">
        <v>30000000</v>
      </c>
    </row>
    <row r="568" spans="1:6" x14ac:dyDescent="0.2">
      <c r="A568" s="42">
        <v>568</v>
      </c>
      <c r="B568" s="42">
        <v>1500000000</v>
      </c>
      <c r="D568" s="42">
        <v>568</v>
      </c>
      <c r="E568" s="42">
        <v>30000000</v>
      </c>
    </row>
    <row r="569" spans="1:6" x14ac:dyDescent="0.2">
      <c r="A569" s="42">
        <v>569</v>
      </c>
      <c r="B569" s="42">
        <v>1500000000</v>
      </c>
      <c r="D569" s="42">
        <v>569</v>
      </c>
      <c r="E569" s="42">
        <v>30000000</v>
      </c>
    </row>
    <row r="570" spans="1:6" x14ac:dyDescent="0.2">
      <c r="A570" s="42">
        <v>570</v>
      </c>
      <c r="B570" s="42">
        <v>1500000000</v>
      </c>
      <c r="D570" s="42">
        <v>570</v>
      </c>
      <c r="E570" s="42">
        <v>30000000</v>
      </c>
      <c r="F570" s="43">
        <f t="shared" si="30"/>
        <v>300000000</v>
      </c>
    </row>
    <row r="571" spans="1:6" x14ac:dyDescent="0.2">
      <c r="A571" s="42">
        <v>571</v>
      </c>
      <c r="B571" s="42">
        <v>1500000000</v>
      </c>
      <c r="D571" s="42">
        <v>571</v>
      </c>
      <c r="E571" s="42">
        <v>30000000</v>
      </c>
    </row>
    <row r="572" spans="1:6" x14ac:dyDescent="0.2">
      <c r="A572" s="42">
        <v>572</v>
      </c>
      <c r="B572" s="42">
        <v>1500000000</v>
      </c>
      <c r="D572" s="42">
        <v>572</v>
      </c>
      <c r="E572" s="42">
        <v>30000000</v>
      </c>
    </row>
    <row r="573" spans="1:6" x14ac:dyDescent="0.2">
      <c r="A573" s="42">
        <v>573</v>
      </c>
      <c r="B573" s="42">
        <v>1500000000</v>
      </c>
      <c r="D573" s="42">
        <v>573</v>
      </c>
      <c r="E573" s="42">
        <v>30000000</v>
      </c>
    </row>
    <row r="574" spans="1:6" x14ac:dyDescent="0.2">
      <c r="A574" s="42">
        <v>574</v>
      </c>
      <c r="B574" s="42">
        <v>1500000000</v>
      </c>
      <c r="D574" s="42">
        <v>574</v>
      </c>
      <c r="E574" s="42">
        <v>30000000</v>
      </c>
    </row>
    <row r="575" spans="1:6" x14ac:dyDescent="0.2">
      <c r="A575" s="42">
        <v>575</v>
      </c>
      <c r="B575" s="42">
        <v>1500000000</v>
      </c>
      <c r="D575" s="42">
        <v>575</v>
      </c>
      <c r="E575" s="42">
        <v>30000000</v>
      </c>
    </row>
    <row r="576" spans="1:6" x14ac:dyDescent="0.2">
      <c r="A576" s="42">
        <v>576</v>
      </c>
      <c r="B576" s="42">
        <v>1500000000</v>
      </c>
      <c r="D576" s="42">
        <v>576</v>
      </c>
      <c r="E576" s="42">
        <v>30000000</v>
      </c>
    </row>
    <row r="577" spans="1:6" x14ac:dyDescent="0.2">
      <c r="A577" s="42">
        <v>577</v>
      </c>
      <c r="B577" s="42">
        <v>1500000000</v>
      </c>
      <c r="D577" s="42">
        <v>577</v>
      </c>
      <c r="E577" s="42">
        <v>30000000</v>
      </c>
    </row>
    <row r="578" spans="1:6" x14ac:dyDescent="0.2">
      <c r="A578" s="42">
        <v>578</v>
      </c>
      <c r="B578" s="42">
        <v>1500000000</v>
      </c>
      <c r="D578" s="42">
        <v>578</v>
      </c>
      <c r="E578" s="42">
        <v>30000000</v>
      </c>
    </row>
    <row r="579" spans="1:6" x14ac:dyDescent="0.2">
      <c r="A579" s="42">
        <v>579</v>
      </c>
      <c r="B579" s="42">
        <v>1500000000</v>
      </c>
      <c r="D579" s="42">
        <v>579</v>
      </c>
      <c r="E579" s="42">
        <v>30000000</v>
      </c>
    </row>
    <row r="580" spans="1:6" x14ac:dyDescent="0.2">
      <c r="A580" s="42">
        <v>580</v>
      </c>
      <c r="B580" s="42">
        <v>1500000000</v>
      </c>
      <c r="D580" s="42">
        <v>580</v>
      </c>
      <c r="E580" s="42">
        <v>30000000</v>
      </c>
      <c r="F580" s="43">
        <f t="shared" si="30"/>
        <v>300000000</v>
      </c>
    </row>
    <row r="581" spans="1:6" x14ac:dyDescent="0.2">
      <c r="A581" s="42">
        <v>581</v>
      </c>
      <c r="B581" s="42">
        <v>1500000000</v>
      </c>
      <c r="D581" s="42">
        <v>581</v>
      </c>
      <c r="E581" s="42">
        <v>30000000</v>
      </c>
    </row>
    <row r="582" spans="1:6" x14ac:dyDescent="0.2">
      <c r="A582" s="42">
        <v>582</v>
      </c>
      <c r="B582" s="42">
        <v>1500000000</v>
      </c>
      <c r="D582" s="42">
        <v>582</v>
      </c>
      <c r="E582" s="42">
        <v>30000000</v>
      </c>
    </row>
    <row r="583" spans="1:6" x14ac:dyDescent="0.2">
      <c r="A583" s="42">
        <v>583</v>
      </c>
      <c r="B583" s="42">
        <v>1500000000</v>
      </c>
      <c r="D583" s="42">
        <v>583</v>
      </c>
      <c r="E583" s="42">
        <v>30000000</v>
      </c>
    </row>
    <row r="584" spans="1:6" x14ac:dyDescent="0.2">
      <c r="A584" s="42">
        <v>584</v>
      </c>
      <c r="B584" s="42">
        <v>1500000000</v>
      </c>
      <c r="D584" s="42">
        <v>584</v>
      </c>
      <c r="E584" s="42">
        <v>30000000</v>
      </c>
    </row>
    <row r="585" spans="1:6" x14ac:dyDescent="0.2">
      <c r="A585" s="42">
        <v>585</v>
      </c>
      <c r="B585" s="42">
        <v>1500000000</v>
      </c>
      <c r="D585" s="42">
        <v>585</v>
      </c>
      <c r="E585" s="42">
        <v>30000000</v>
      </c>
    </row>
    <row r="586" spans="1:6" x14ac:dyDescent="0.2">
      <c r="A586" s="42">
        <v>586</v>
      </c>
      <c r="B586" s="42">
        <v>1500000000</v>
      </c>
      <c r="D586" s="42">
        <v>586</v>
      </c>
      <c r="E586" s="42">
        <v>30000000</v>
      </c>
    </row>
    <row r="587" spans="1:6" x14ac:dyDescent="0.2">
      <c r="A587" s="42">
        <v>587</v>
      </c>
      <c r="B587" s="42">
        <v>1500000000</v>
      </c>
      <c r="D587" s="42">
        <v>587</v>
      </c>
      <c r="E587" s="42">
        <v>30000000</v>
      </c>
    </row>
    <row r="588" spans="1:6" x14ac:dyDescent="0.2">
      <c r="A588" s="42">
        <v>588</v>
      </c>
      <c r="B588" s="42">
        <v>1500000000</v>
      </c>
      <c r="D588" s="42">
        <v>588</v>
      </c>
      <c r="E588" s="42">
        <v>30000000</v>
      </c>
    </row>
    <row r="589" spans="1:6" x14ac:dyDescent="0.2">
      <c r="A589" s="42">
        <v>589</v>
      </c>
      <c r="B589" s="42">
        <v>1500000000</v>
      </c>
      <c r="D589" s="42">
        <v>589</v>
      </c>
      <c r="E589" s="42">
        <v>30000000</v>
      </c>
    </row>
    <row r="590" spans="1:6" x14ac:dyDescent="0.2">
      <c r="A590" s="42">
        <v>590</v>
      </c>
      <c r="B590" s="42">
        <v>1500000000</v>
      </c>
      <c r="D590" s="42">
        <v>590</v>
      </c>
      <c r="E590" s="42">
        <v>30000000</v>
      </c>
      <c r="F590" s="43">
        <f t="shared" si="30"/>
        <v>300000000</v>
      </c>
    </row>
    <row r="591" spans="1:6" x14ac:dyDescent="0.2">
      <c r="A591" s="42">
        <v>591</v>
      </c>
      <c r="B591" s="42">
        <v>1500000000</v>
      </c>
      <c r="D591" s="42">
        <v>591</v>
      </c>
      <c r="E591" s="42">
        <v>30000000</v>
      </c>
    </row>
    <row r="592" spans="1:6" x14ac:dyDescent="0.2">
      <c r="A592" s="42">
        <v>592</v>
      </c>
      <c r="B592" s="42">
        <v>1500000000</v>
      </c>
      <c r="D592" s="42">
        <v>592</v>
      </c>
      <c r="E592" s="42">
        <v>30000000</v>
      </c>
    </row>
    <row r="593" spans="1:6" x14ac:dyDescent="0.2">
      <c r="A593" s="42">
        <v>593</v>
      </c>
      <c r="B593" s="42">
        <v>1500000000</v>
      </c>
      <c r="D593" s="42">
        <v>593</v>
      </c>
      <c r="E593" s="42">
        <v>30000000</v>
      </c>
    </row>
    <row r="594" spans="1:6" x14ac:dyDescent="0.2">
      <c r="A594" s="42">
        <v>594</v>
      </c>
      <c r="B594" s="42">
        <v>1500000000</v>
      </c>
      <c r="D594" s="42">
        <v>594</v>
      </c>
      <c r="E594" s="42">
        <v>30000000</v>
      </c>
    </row>
    <row r="595" spans="1:6" x14ac:dyDescent="0.2">
      <c r="A595" s="42">
        <v>595</v>
      </c>
      <c r="B595" s="42">
        <v>1500000000</v>
      </c>
      <c r="D595" s="42">
        <v>595</v>
      </c>
      <c r="E595" s="42">
        <v>30000000</v>
      </c>
    </row>
    <row r="596" spans="1:6" x14ac:dyDescent="0.2">
      <c r="A596" s="42">
        <v>596</v>
      </c>
      <c r="B596" s="42">
        <v>1500000000</v>
      </c>
      <c r="D596" s="42">
        <v>596</v>
      </c>
      <c r="E596" s="42">
        <v>30000000</v>
      </c>
    </row>
    <row r="597" spans="1:6" x14ac:dyDescent="0.2">
      <c r="A597" s="42">
        <v>597</v>
      </c>
      <c r="B597" s="42">
        <v>1500000000</v>
      </c>
      <c r="D597" s="42">
        <v>597</v>
      </c>
      <c r="E597" s="42">
        <v>30000000</v>
      </c>
    </row>
    <row r="598" spans="1:6" x14ac:dyDescent="0.2">
      <c r="A598" s="42">
        <v>598</v>
      </c>
      <c r="B598" s="42">
        <v>1500000000</v>
      </c>
      <c r="D598" s="42">
        <v>598</v>
      </c>
      <c r="E598" s="42">
        <v>30000000</v>
      </c>
    </row>
    <row r="599" spans="1:6" x14ac:dyDescent="0.2">
      <c r="A599" s="42">
        <v>599</v>
      </c>
      <c r="B599" s="42">
        <v>1500000000</v>
      </c>
      <c r="D599" s="42">
        <v>599</v>
      </c>
      <c r="E599" s="42">
        <v>30000000</v>
      </c>
    </row>
    <row r="600" spans="1:6" x14ac:dyDescent="0.2">
      <c r="A600" s="42">
        <v>600</v>
      </c>
      <c r="B600" s="42">
        <v>1500000000</v>
      </c>
      <c r="D600" s="42">
        <v>600</v>
      </c>
      <c r="E600" s="42">
        <v>30000000</v>
      </c>
      <c r="F600" s="43">
        <f t="shared" si="30"/>
        <v>300000000</v>
      </c>
    </row>
    <row r="601" spans="1:6" x14ac:dyDescent="0.2">
      <c r="A601" s="42">
        <v>601</v>
      </c>
      <c r="B601" s="42">
        <v>1500000000</v>
      </c>
      <c r="D601" s="42">
        <v>601</v>
      </c>
      <c r="E601" s="42">
        <v>30000000</v>
      </c>
    </row>
    <row r="602" spans="1:6" x14ac:dyDescent="0.2">
      <c r="A602" s="42">
        <v>602</v>
      </c>
      <c r="B602" s="42">
        <v>1500000000</v>
      </c>
      <c r="D602" s="42">
        <v>602</v>
      </c>
      <c r="E602" s="42">
        <v>30000000</v>
      </c>
    </row>
    <row r="603" spans="1:6" x14ac:dyDescent="0.2">
      <c r="A603" s="42">
        <v>603</v>
      </c>
      <c r="B603" s="42">
        <v>1500000000</v>
      </c>
      <c r="D603" s="42">
        <v>603</v>
      </c>
      <c r="E603" s="42">
        <v>30000000</v>
      </c>
    </row>
    <row r="604" spans="1:6" x14ac:dyDescent="0.2">
      <c r="A604" s="42">
        <v>604</v>
      </c>
      <c r="B604" s="42">
        <v>1500000000</v>
      </c>
      <c r="D604" s="42">
        <v>604</v>
      </c>
      <c r="E604" s="42">
        <v>30000000</v>
      </c>
    </row>
    <row r="605" spans="1:6" x14ac:dyDescent="0.2">
      <c r="A605" s="42">
        <v>605</v>
      </c>
      <c r="B605" s="42">
        <v>1500000000</v>
      </c>
      <c r="D605" s="42">
        <v>605</v>
      </c>
      <c r="E605" s="42">
        <v>30000000</v>
      </c>
    </row>
    <row r="606" spans="1:6" x14ac:dyDescent="0.2">
      <c r="A606" s="42">
        <v>606</v>
      </c>
      <c r="B606" s="42">
        <v>1500000000</v>
      </c>
      <c r="D606" s="42">
        <v>606</v>
      </c>
      <c r="E606" s="42">
        <v>30000000</v>
      </c>
    </row>
    <row r="607" spans="1:6" x14ac:dyDescent="0.2">
      <c r="A607" s="42">
        <v>607</v>
      </c>
      <c r="B607" s="42">
        <v>1500000000</v>
      </c>
      <c r="D607" s="42">
        <v>607</v>
      </c>
      <c r="E607" s="42">
        <v>30000000</v>
      </c>
    </row>
    <row r="608" spans="1:6" x14ac:dyDescent="0.2">
      <c r="A608" s="42">
        <v>608</v>
      </c>
      <c r="B608" s="42">
        <v>1500000000</v>
      </c>
      <c r="D608" s="42">
        <v>608</v>
      </c>
      <c r="E608" s="42">
        <v>30000000</v>
      </c>
    </row>
    <row r="609" spans="1:6" x14ac:dyDescent="0.2">
      <c r="A609" s="42">
        <v>609</v>
      </c>
      <c r="B609" s="42">
        <v>1500000000</v>
      </c>
      <c r="D609" s="42">
        <v>609</v>
      </c>
      <c r="E609" s="42">
        <v>30000000</v>
      </c>
    </row>
    <row r="610" spans="1:6" x14ac:dyDescent="0.2">
      <c r="A610" s="42">
        <v>610</v>
      </c>
      <c r="B610" s="42">
        <v>1500000000</v>
      </c>
      <c r="D610" s="42">
        <v>610</v>
      </c>
      <c r="E610" s="42">
        <v>30000000</v>
      </c>
      <c r="F610" s="43">
        <f t="shared" ref="F610:F670" si="31">SUM(E601:E610)</f>
        <v>300000000</v>
      </c>
    </row>
    <row r="611" spans="1:6" x14ac:dyDescent="0.2">
      <c r="A611" s="42">
        <v>611</v>
      </c>
      <c r="B611" s="42">
        <v>1500000000</v>
      </c>
      <c r="D611" s="42">
        <v>611</v>
      </c>
      <c r="E611" s="42">
        <v>30000000</v>
      </c>
    </row>
    <row r="612" spans="1:6" x14ac:dyDescent="0.2">
      <c r="A612" s="42">
        <v>612</v>
      </c>
      <c r="B612" s="42">
        <v>1500000000</v>
      </c>
      <c r="D612" s="42">
        <v>612</v>
      </c>
      <c r="E612" s="42">
        <v>30000000</v>
      </c>
    </row>
    <row r="613" spans="1:6" x14ac:dyDescent="0.2">
      <c r="A613" s="42">
        <v>613</v>
      </c>
      <c r="B613" s="42">
        <v>1500000000</v>
      </c>
      <c r="D613" s="42">
        <v>613</v>
      </c>
      <c r="E613" s="42">
        <v>30000000</v>
      </c>
    </row>
    <row r="614" spans="1:6" x14ac:dyDescent="0.2">
      <c r="A614" s="42">
        <v>614</v>
      </c>
      <c r="B614" s="42">
        <v>1500000000</v>
      </c>
      <c r="D614" s="42">
        <v>614</v>
      </c>
      <c r="E614" s="42">
        <v>30000000</v>
      </c>
    </row>
    <row r="615" spans="1:6" x14ac:dyDescent="0.2">
      <c r="A615" s="42">
        <v>615</v>
      </c>
      <c r="B615" s="42">
        <v>1500000000</v>
      </c>
      <c r="D615" s="42">
        <v>615</v>
      </c>
      <c r="E615" s="42">
        <v>30000000</v>
      </c>
    </row>
    <row r="616" spans="1:6" x14ac:dyDescent="0.2">
      <c r="A616" s="42">
        <v>616</v>
      </c>
      <c r="B616" s="42">
        <v>1500000000</v>
      </c>
      <c r="D616" s="42">
        <v>616</v>
      </c>
      <c r="E616" s="42">
        <v>30000000</v>
      </c>
    </row>
    <row r="617" spans="1:6" x14ac:dyDescent="0.2">
      <c r="A617" s="42">
        <v>617</v>
      </c>
      <c r="B617" s="42">
        <v>1500000000</v>
      </c>
      <c r="D617" s="42">
        <v>617</v>
      </c>
      <c r="E617" s="42">
        <v>30000000</v>
      </c>
    </row>
    <row r="618" spans="1:6" x14ac:dyDescent="0.2">
      <c r="A618" s="42">
        <v>618</v>
      </c>
      <c r="B618" s="42">
        <v>1500000000</v>
      </c>
      <c r="D618" s="42">
        <v>618</v>
      </c>
      <c r="E618" s="42">
        <v>30000000</v>
      </c>
    </row>
    <row r="619" spans="1:6" x14ac:dyDescent="0.2">
      <c r="A619" s="42">
        <v>619</v>
      </c>
      <c r="B619" s="42">
        <v>1500000000</v>
      </c>
      <c r="D619" s="42">
        <v>619</v>
      </c>
      <c r="E619" s="42">
        <v>30000000</v>
      </c>
    </row>
    <row r="620" spans="1:6" x14ac:dyDescent="0.2">
      <c r="A620" s="42">
        <v>620</v>
      </c>
      <c r="B620" s="42">
        <v>1500000000</v>
      </c>
      <c r="D620" s="42">
        <v>620</v>
      </c>
      <c r="E620" s="42">
        <v>30000000</v>
      </c>
      <c r="F620" s="43">
        <f t="shared" si="31"/>
        <v>300000000</v>
      </c>
    </row>
    <row r="621" spans="1:6" x14ac:dyDescent="0.2">
      <c r="A621" s="42">
        <v>621</v>
      </c>
      <c r="B621" s="42">
        <v>1500000000</v>
      </c>
      <c r="D621" s="42">
        <v>621</v>
      </c>
      <c r="E621" s="42">
        <v>30000000</v>
      </c>
    </row>
    <row r="622" spans="1:6" x14ac:dyDescent="0.2">
      <c r="A622" s="42">
        <v>622</v>
      </c>
      <c r="B622" s="42">
        <v>1500000000</v>
      </c>
      <c r="D622" s="42">
        <v>622</v>
      </c>
      <c r="E622" s="42">
        <v>30000000</v>
      </c>
    </row>
    <row r="623" spans="1:6" x14ac:dyDescent="0.2">
      <c r="A623" s="42">
        <v>623</v>
      </c>
      <c r="B623" s="42">
        <v>1500000000</v>
      </c>
      <c r="D623" s="42">
        <v>623</v>
      </c>
      <c r="E623" s="42">
        <v>30000000</v>
      </c>
    </row>
    <row r="624" spans="1:6" x14ac:dyDescent="0.2">
      <c r="A624" s="42">
        <v>624</v>
      </c>
      <c r="B624" s="42">
        <v>1500000000</v>
      </c>
      <c r="D624" s="42">
        <v>624</v>
      </c>
      <c r="E624" s="42">
        <v>30000000</v>
      </c>
    </row>
    <row r="625" spans="1:6" x14ac:dyDescent="0.2">
      <c r="A625" s="42">
        <v>625</v>
      </c>
      <c r="B625" s="42">
        <v>1500000000</v>
      </c>
      <c r="D625" s="42">
        <v>625</v>
      </c>
      <c r="E625" s="42">
        <v>30000000</v>
      </c>
    </row>
    <row r="626" spans="1:6" x14ac:dyDescent="0.2">
      <c r="A626" s="42">
        <v>626</v>
      </c>
      <c r="B626" s="42">
        <v>1500000000</v>
      </c>
      <c r="D626" s="42">
        <v>626</v>
      </c>
      <c r="E626" s="42">
        <v>30000000</v>
      </c>
    </row>
    <row r="627" spans="1:6" x14ac:dyDescent="0.2">
      <c r="A627" s="42">
        <v>627</v>
      </c>
      <c r="B627" s="42">
        <v>1500000000</v>
      </c>
      <c r="D627" s="42">
        <v>627</v>
      </c>
      <c r="E627" s="42">
        <v>30000000</v>
      </c>
    </row>
    <row r="628" spans="1:6" x14ac:dyDescent="0.2">
      <c r="A628" s="42">
        <v>628</v>
      </c>
      <c r="B628" s="42">
        <v>1500000000</v>
      </c>
      <c r="D628" s="42">
        <v>628</v>
      </c>
      <c r="E628" s="42">
        <v>30000000</v>
      </c>
    </row>
    <row r="629" spans="1:6" x14ac:dyDescent="0.2">
      <c r="A629" s="42">
        <v>629</v>
      </c>
      <c r="B629" s="42">
        <v>1500000000</v>
      </c>
      <c r="D629" s="42">
        <v>629</v>
      </c>
      <c r="E629" s="42">
        <v>30000000</v>
      </c>
    </row>
    <row r="630" spans="1:6" x14ac:dyDescent="0.2">
      <c r="A630" s="42">
        <v>630</v>
      </c>
      <c r="B630" s="42">
        <v>1500000000</v>
      </c>
      <c r="D630" s="42">
        <v>630</v>
      </c>
      <c r="E630" s="42">
        <v>30000000</v>
      </c>
      <c r="F630" s="43">
        <f t="shared" si="31"/>
        <v>300000000</v>
      </c>
    </row>
    <row r="631" spans="1:6" x14ac:dyDescent="0.2">
      <c r="A631" s="42">
        <v>631</v>
      </c>
      <c r="B631" s="42">
        <v>1500000000</v>
      </c>
      <c r="D631" s="42">
        <v>631</v>
      </c>
      <c r="E631" s="42">
        <v>30000000</v>
      </c>
    </row>
    <row r="632" spans="1:6" x14ac:dyDescent="0.2">
      <c r="A632" s="42">
        <v>632</v>
      </c>
      <c r="B632" s="42">
        <v>1500000000</v>
      </c>
      <c r="D632" s="42">
        <v>632</v>
      </c>
      <c r="E632" s="42">
        <v>30000000</v>
      </c>
    </row>
    <row r="633" spans="1:6" x14ac:dyDescent="0.2">
      <c r="A633" s="42">
        <v>633</v>
      </c>
      <c r="B633" s="42">
        <v>1500000000</v>
      </c>
      <c r="D633" s="42">
        <v>633</v>
      </c>
      <c r="E633" s="42">
        <v>30000000</v>
      </c>
    </row>
    <row r="634" spans="1:6" x14ac:dyDescent="0.2">
      <c r="A634" s="42">
        <v>634</v>
      </c>
      <c r="B634" s="42">
        <v>1500000000</v>
      </c>
      <c r="D634" s="42">
        <v>634</v>
      </c>
      <c r="E634" s="42">
        <v>30000000</v>
      </c>
    </row>
    <row r="635" spans="1:6" x14ac:dyDescent="0.2">
      <c r="A635" s="42">
        <v>635</v>
      </c>
      <c r="B635" s="42">
        <v>1500000000</v>
      </c>
      <c r="D635" s="42">
        <v>635</v>
      </c>
      <c r="E635" s="42">
        <v>30000000</v>
      </c>
    </row>
    <row r="636" spans="1:6" x14ac:dyDescent="0.2">
      <c r="A636" s="42">
        <v>636</v>
      </c>
      <c r="B636" s="42">
        <v>1500000000</v>
      </c>
      <c r="D636" s="42">
        <v>636</v>
      </c>
      <c r="E636" s="42">
        <v>30000000</v>
      </c>
    </row>
    <row r="637" spans="1:6" x14ac:dyDescent="0.2">
      <c r="A637" s="42">
        <v>637</v>
      </c>
      <c r="B637" s="42">
        <v>1500000000</v>
      </c>
      <c r="D637" s="42">
        <v>637</v>
      </c>
      <c r="E637" s="42">
        <v>30000000</v>
      </c>
    </row>
    <row r="638" spans="1:6" x14ac:dyDescent="0.2">
      <c r="A638" s="42">
        <v>638</v>
      </c>
      <c r="B638" s="42">
        <v>1500000000</v>
      </c>
      <c r="D638" s="42">
        <v>638</v>
      </c>
      <c r="E638" s="42">
        <v>30000000</v>
      </c>
    </row>
    <row r="639" spans="1:6" x14ac:dyDescent="0.2">
      <c r="A639" s="42">
        <v>639</v>
      </c>
      <c r="B639" s="42">
        <v>1500000000</v>
      </c>
      <c r="D639" s="42">
        <v>639</v>
      </c>
      <c r="E639" s="42">
        <v>30000000</v>
      </c>
    </row>
    <row r="640" spans="1:6" x14ac:dyDescent="0.2">
      <c r="A640" s="42">
        <v>640</v>
      </c>
      <c r="B640" s="42">
        <v>1500000000</v>
      </c>
      <c r="D640" s="42">
        <v>640</v>
      </c>
      <c r="E640" s="42">
        <v>30000000</v>
      </c>
      <c r="F640" s="43">
        <f t="shared" si="31"/>
        <v>300000000</v>
      </c>
    </row>
    <row r="641" spans="1:6" x14ac:dyDescent="0.2">
      <c r="A641" s="42">
        <v>641</v>
      </c>
      <c r="B641" s="42">
        <v>1500000000</v>
      </c>
      <c r="D641" s="42">
        <v>641</v>
      </c>
      <c r="E641" s="42">
        <v>30000000</v>
      </c>
    </row>
    <row r="642" spans="1:6" x14ac:dyDescent="0.2">
      <c r="A642" s="42">
        <v>642</v>
      </c>
      <c r="B642" s="42">
        <v>1500000000</v>
      </c>
      <c r="D642" s="42">
        <v>642</v>
      </c>
      <c r="E642" s="42">
        <v>30000000</v>
      </c>
    </row>
    <row r="643" spans="1:6" x14ac:dyDescent="0.2">
      <c r="A643" s="42">
        <v>643</v>
      </c>
      <c r="B643" s="42">
        <v>1500000000</v>
      </c>
      <c r="D643" s="42">
        <v>643</v>
      </c>
      <c r="E643" s="42">
        <v>30000000</v>
      </c>
    </row>
    <row r="644" spans="1:6" x14ac:dyDescent="0.2">
      <c r="A644" s="42">
        <v>644</v>
      </c>
      <c r="B644" s="42">
        <v>1500000000</v>
      </c>
      <c r="D644" s="42">
        <v>644</v>
      </c>
      <c r="E644" s="42">
        <v>30000000</v>
      </c>
    </row>
    <row r="645" spans="1:6" x14ac:dyDescent="0.2">
      <c r="A645" s="42">
        <v>645</v>
      </c>
      <c r="B645" s="42">
        <v>1500000000</v>
      </c>
      <c r="D645" s="42">
        <v>645</v>
      </c>
      <c r="E645" s="42">
        <v>30000000</v>
      </c>
    </row>
    <row r="646" spans="1:6" x14ac:dyDescent="0.2">
      <c r="A646" s="42">
        <v>646</v>
      </c>
      <c r="B646" s="42">
        <v>1500000000</v>
      </c>
      <c r="D646" s="42">
        <v>646</v>
      </c>
      <c r="E646" s="42">
        <v>30000000</v>
      </c>
    </row>
    <row r="647" spans="1:6" x14ac:dyDescent="0.2">
      <c r="A647" s="42">
        <v>647</v>
      </c>
      <c r="B647" s="42">
        <v>1500000000</v>
      </c>
      <c r="D647" s="42">
        <v>647</v>
      </c>
      <c r="E647" s="42">
        <v>30000000</v>
      </c>
    </row>
    <row r="648" spans="1:6" x14ac:dyDescent="0.2">
      <c r="A648" s="42">
        <v>648</v>
      </c>
      <c r="B648" s="42">
        <v>1500000000</v>
      </c>
      <c r="D648" s="42">
        <v>648</v>
      </c>
      <c r="E648" s="42">
        <v>30000000</v>
      </c>
    </row>
    <row r="649" spans="1:6" x14ac:dyDescent="0.2">
      <c r="A649" s="42">
        <v>649</v>
      </c>
      <c r="B649" s="42">
        <v>1500000000</v>
      </c>
      <c r="D649" s="42">
        <v>649</v>
      </c>
      <c r="E649" s="42">
        <v>30000000</v>
      </c>
    </row>
    <row r="650" spans="1:6" x14ac:dyDescent="0.2">
      <c r="A650" s="42">
        <v>650</v>
      </c>
      <c r="B650" s="42">
        <v>1500000000</v>
      </c>
      <c r="D650" s="42">
        <v>650</v>
      </c>
      <c r="E650" s="42">
        <v>30000000</v>
      </c>
      <c r="F650" s="43">
        <f t="shared" si="31"/>
        <v>300000000</v>
      </c>
    </row>
    <row r="651" spans="1:6" x14ac:dyDescent="0.2">
      <c r="A651" s="42">
        <v>651</v>
      </c>
      <c r="B651" s="42">
        <v>1500000000</v>
      </c>
      <c r="D651" s="42">
        <v>651</v>
      </c>
      <c r="E651" s="42">
        <v>30000000</v>
      </c>
    </row>
    <row r="652" spans="1:6" x14ac:dyDescent="0.2">
      <c r="A652" s="42">
        <v>652</v>
      </c>
      <c r="B652" s="42">
        <v>1500000000</v>
      </c>
      <c r="D652" s="42">
        <v>652</v>
      </c>
      <c r="E652" s="42">
        <v>30000000</v>
      </c>
    </row>
    <row r="653" spans="1:6" x14ac:dyDescent="0.2">
      <c r="A653" s="42">
        <v>653</v>
      </c>
      <c r="B653" s="42">
        <v>1500000000</v>
      </c>
      <c r="D653" s="42">
        <v>653</v>
      </c>
      <c r="E653" s="42">
        <v>30000000</v>
      </c>
    </row>
    <row r="654" spans="1:6" x14ac:dyDescent="0.2">
      <c r="A654" s="42">
        <v>654</v>
      </c>
      <c r="B654" s="42">
        <v>1500000000</v>
      </c>
      <c r="D654" s="42">
        <v>654</v>
      </c>
      <c r="E654" s="42">
        <v>30000000</v>
      </c>
    </row>
    <row r="655" spans="1:6" x14ac:dyDescent="0.2">
      <c r="A655" s="42">
        <v>655</v>
      </c>
      <c r="B655" s="42">
        <v>1500000000</v>
      </c>
      <c r="D655" s="42">
        <v>655</v>
      </c>
      <c r="E655" s="42">
        <v>30000000</v>
      </c>
    </row>
    <row r="656" spans="1:6" x14ac:dyDescent="0.2">
      <c r="A656" s="42">
        <v>656</v>
      </c>
      <c r="B656" s="42">
        <v>1500000000</v>
      </c>
      <c r="D656" s="42">
        <v>656</v>
      </c>
      <c r="E656" s="42">
        <v>30000000</v>
      </c>
    </row>
    <row r="657" spans="1:6" x14ac:dyDescent="0.2">
      <c r="A657" s="42">
        <v>657</v>
      </c>
      <c r="B657" s="42">
        <v>1500000000</v>
      </c>
      <c r="D657" s="42">
        <v>657</v>
      </c>
      <c r="E657" s="42">
        <v>30000000</v>
      </c>
    </row>
    <row r="658" spans="1:6" x14ac:dyDescent="0.2">
      <c r="A658" s="42">
        <v>658</v>
      </c>
      <c r="B658" s="42">
        <v>1500000000</v>
      </c>
      <c r="D658" s="42">
        <v>658</v>
      </c>
      <c r="E658" s="42">
        <v>30000000</v>
      </c>
    </row>
    <row r="659" spans="1:6" x14ac:dyDescent="0.2">
      <c r="A659" s="42">
        <v>659</v>
      </c>
      <c r="B659" s="42">
        <v>1500000000</v>
      </c>
      <c r="D659" s="42">
        <v>659</v>
      </c>
      <c r="E659" s="42">
        <v>30000000</v>
      </c>
    </row>
    <row r="660" spans="1:6" x14ac:dyDescent="0.2">
      <c r="A660" s="42">
        <v>660</v>
      </c>
      <c r="B660" s="42">
        <v>1500000000</v>
      </c>
      <c r="D660" s="42">
        <v>660</v>
      </c>
      <c r="E660" s="42">
        <v>30000000</v>
      </c>
      <c r="F660" s="43">
        <f t="shared" si="31"/>
        <v>300000000</v>
      </c>
    </row>
    <row r="661" spans="1:6" x14ac:dyDescent="0.2">
      <c r="A661" s="42">
        <v>661</v>
      </c>
      <c r="B661" s="42">
        <v>1500000000</v>
      </c>
      <c r="D661" s="42">
        <v>661</v>
      </c>
      <c r="E661" s="42">
        <v>30000000</v>
      </c>
    </row>
    <row r="662" spans="1:6" x14ac:dyDescent="0.2">
      <c r="A662" s="42">
        <v>662</v>
      </c>
      <c r="B662" s="42">
        <v>1500000000</v>
      </c>
      <c r="D662" s="42">
        <v>662</v>
      </c>
      <c r="E662" s="42">
        <v>30000000</v>
      </c>
    </row>
    <row r="663" spans="1:6" x14ac:dyDescent="0.2">
      <c r="A663" s="42">
        <v>663</v>
      </c>
      <c r="B663" s="42">
        <v>1500000000</v>
      </c>
      <c r="D663" s="42">
        <v>663</v>
      </c>
      <c r="E663" s="42">
        <v>30000000</v>
      </c>
    </row>
    <row r="664" spans="1:6" x14ac:dyDescent="0.2">
      <c r="A664" s="42">
        <v>664</v>
      </c>
      <c r="B664" s="42">
        <v>1500000000</v>
      </c>
      <c r="D664" s="42">
        <v>664</v>
      </c>
      <c r="E664" s="42">
        <v>30000000</v>
      </c>
    </row>
    <row r="665" spans="1:6" x14ac:dyDescent="0.2">
      <c r="A665" s="42">
        <v>665</v>
      </c>
      <c r="B665" s="42">
        <v>1500000000</v>
      </c>
      <c r="D665" s="42">
        <v>665</v>
      </c>
      <c r="E665" s="42">
        <v>30000000</v>
      </c>
    </row>
    <row r="666" spans="1:6" x14ac:dyDescent="0.2">
      <c r="A666" s="42">
        <v>666</v>
      </c>
      <c r="B666" s="42">
        <v>1500000000</v>
      </c>
      <c r="D666" s="42">
        <v>666</v>
      </c>
      <c r="E666" s="42">
        <v>30000000</v>
      </c>
    </row>
    <row r="667" spans="1:6" x14ac:dyDescent="0.2">
      <c r="A667" s="42">
        <v>667</v>
      </c>
      <c r="B667" s="42">
        <v>1500000000</v>
      </c>
      <c r="D667" s="42">
        <v>667</v>
      </c>
      <c r="E667" s="42">
        <v>30000000</v>
      </c>
    </row>
    <row r="668" spans="1:6" x14ac:dyDescent="0.2">
      <c r="A668" s="42">
        <v>668</v>
      </c>
      <c r="B668" s="42">
        <v>1500000000</v>
      </c>
      <c r="D668" s="42">
        <v>668</v>
      </c>
      <c r="E668" s="42">
        <v>30000000</v>
      </c>
    </row>
    <row r="669" spans="1:6" x14ac:dyDescent="0.2">
      <c r="A669" s="42">
        <v>669</v>
      </c>
      <c r="B669" s="42">
        <v>1500000000</v>
      </c>
      <c r="D669" s="42">
        <v>669</v>
      </c>
      <c r="E669" s="42">
        <v>30000000</v>
      </c>
    </row>
    <row r="670" spans="1:6" x14ac:dyDescent="0.2">
      <c r="A670" s="42">
        <v>670</v>
      </c>
      <c r="B670" s="42">
        <v>1500000000</v>
      </c>
      <c r="D670" s="42">
        <v>670</v>
      </c>
      <c r="E670" s="42">
        <v>30000000</v>
      </c>
      <c r="F670" s="43">
        <f t="shared" si="31"/>
        <v>300000000</v>
      </c>
    </row>
    <row r="671" spans="1:6" x14ac:dyDescent="0.2">
      <c r="A671" s="42">
        <v>671</v>
      </c>
      <c r="B671" s="42">
        <v>1500000000</v>
      </c>
      <c r="D671" s="42">
        <v>671</v>
      </c>
      <c r="E671" s="42">
        <v>30000000</v>
      </c>
    </row>
    <row r="672" spans="1:6" x14ac:dyDescent="0.2">
      <c r="A672" s="42">
        <v>672</v>
      </c>
      <c r="B672" s="42">
        <v>1500000000</v>
      </c>
      <c r="D672" s="42">
        <v>672</v>
      </c>
      <c r="E672" s="42">
        <v>30000000</v>
      </c>
    </row>
    <row r="673" spans="1:6" x14ac:dyDescent="0.2">
      <c r="A673" s="42">
        <v>673</v>
      </c>
      <c r="B673" s="42">
        <v>1500000000</v>
      </c>
      <c r="D673" s="42">
        <v>673</v>
      </c>
      <c r="E673" s="42">
        <v>30000000</v>
      </c>
    </row>
    <row r="674" spans="1:6" x14ac:dyDescent="0.2">
      <c r="A674" s="42">
        <v>674</v>
      </c>
      <c r="B674" s="42">
        <v>1500000000</v>
      </c>
      <c r="D674" s="42">
        <v>674</v>
      </c>
      <c r="E674" s="42">
        <v>30000000</v>
      </c>
    </row>
    <row r="675" spans="1:6" x14ac:dyDescent="0.2">
      <c r="A675" s="42">
        <v>675</v>
      </c>
      <c r="B675" s="42">
        <v>1500000000</v>
      </c>
      <c r="D675" s="42">
        <v>675</v>
      </c>
      <c r="E675" s="42">
        <v>30000000</v>
      </c>
    </row>
    <row r="676" spans="1:6" x14ac:dyDescent="0.2">
      <c r="A676" s="42">
        <v>676</v>
      </c>
      <c r="B676" s="42">
        <v>1500000000</v>
      </c>
      <c r="D676" s="42">
        <v>676</v>
      </c>
      <c r="E676" s="42">
        <v>30000000</v>
      </c>
    </row>
    <row r="677" spans="1:6" x14ac:dyDescent="0.2">
      <c r="A677" s="42">
        <v>677</v>
      </c>
      <c r="B677" s="42">
        <v>1500000000</v>
      </c>
      <c r="D677" s="42">
        <v>677</v>
      </c>
      <c r="E677" s="42">
        <v>30000000</v>
      </c>
    </row>
    <row r="678" spans="1:6" x14ac:dyDescent="0.2">
      <c r="A678" s="42">
        <v>678</v>
      </c>
      <c r="B678" s="42">
        <v>1500000000</v>
      </c>
      <c r="D678" s="42">
        <v>678</v>
      </c>
      <c r="E678" s="42">
        <v>30000000</v>
      </c>
    </row>
    <row r="679" spans="1:6" x14ac:dyDescent="0.2">
      <c r="A679" s="42">
        <v>679</v>
      </c>
      <c r="B679" s="42">
        <v>1500000000</v>
      </c>
      <c r="D679" s="42">
        <v>679</v>
      </c>
      <c r="E679" s="42">
        <v>30000000</v>
      </c>
    </row>
    <row r="680" spans="1:6" x14ac:dyDescent="0.2">
      <c r="A680" s="42">
        <v>680</v>
      </c>
      <c r="B680" s="42">
        <v>1500000000</v>
      </c>
      <c r="D680" s="42">
        <v>680</v>
      </c>
      <c r="E680" s="42">
        <v>30000000</v>
      </c>
      <c r="F680" s="43">
        <f t="shared" ref="F680:F740" si="32">SUM(E671:E680)</f>
        <v>300000000</v>
      </c>
    </row>
    <row r="681" spans="1:6" x14ac:dyDescent="0.2">
      <c r="A681" s="42">
        <v>681</v>
      </c>
      <c r="B681" s="42">
        <v>1500000000</v>
      </c>
      <c r="D681" s="42">
        <v>681</v>
      </c>
      <c r="E681" s="42">
        <v>30000000</v>
      </c>
    </row>
    <row r="682" spans="1:6" x14ac:dyDescent="0.2">
      <c r="A682" s="42">
        <v>682</v>
      </c>
      <c r="B682" s="42">
        <v>1500000000</v>
      </c>
      <c r="D682" s="42">
        <v>682</v>
      </c>
      <c r="E682" s="42">
        <v>30000000</v>
      </c>
    </row>
    <row r="683" spans="1:6" x14ac:dyDescent="0.2">
      <c r="A683" s="42">
        <v>683</v>
      </c>
      <c r="B683" s="42">
        <v>1500000000</v>
      </c>
      <c r="D683" s="42">
        <v>683</v>
      </c>
      <c r="E683" s="42">
        <v>30000000</v>
      </c>
    </row>
    <row r="684" spans="1:6" x14ac:dyDescent="0.2">
      <c r="A684" s="42">
        <v>684</v>
      </c>
      <c r="B684" s="42">
        <v>1500000000</v>
      </c>
      <c r="D684" s="42">
        <v>684</v>
      </c>
      <c r="E684" s="42">
        <v>30000000</v>
      </c>
    </row>
    <row r="685" spans="1:6" x14ac:dyDescent="0.2">
      <c r="A685" s="42">
        <v>685</v>
      </c>
      <c r="B685" s="42">
        <v>1500000000</v>
      </c>
      <c r="D685" s="42">
        <v>685</v>
      </c>
      <c r="E685" s="42">
        <v>30000000</v>
      </c>
    </row>
    <row r="686" spans="1:6" x14ac:dyDescent="0.2">
      <c r="A686" s="42">
        <v>686</v>
      </c>
      <c r="B686" s="42">
        <v>1500000000</v>
      </c>
      <c r="D686" s="42">
        <v>686</v>
      </c>
      <c r="E686" s="42">
        <v>30000000</v>
      </c>
    </row>
    <row r="687" spans="1:6" x14ac:dyDescent="0.2">
      <c r="A687" s="42">
        <v>687</v>
      </c>
      <c r="B687" s="42">
        <v>1500000000</v>
      </c>
      <c r="D687" s="42">
        <v>687</v>
      </c>
      <c r="E687" s="42">
        <v>30000000</v>
      </c>
    </row>
    <row r="688" spans="1:6" x14ac:dyDescent="0.2">
      <c r="A688" s="42">
        <v>688</v>
      </c>
      <c r="B688" s="42">
        <v>1500000000</v>
      </c>
      <c r="D688" s="42">
        <v>688</v>
      </c>
      <c r="E688" s="42">
        <v>30000000</v>
      </c>
    </row>
    <row r="689" spans="1:6" x14ac:dyDescent="0.2">
      <c r="A689" s="42">
        <v>689</v>
      </c>
      <c r="B689" s="42">
        <v>1500000000</v>
      </c>
      <c r="D689" s="42">
        <v>689</v>
      </c>
      <c r="E689" s="42">
        <v>30000000</v>
      </c>
    </row>
    <row r="690" spans="1:6" x14ac:dyDescent="0.2">
      <c r="A690" s="42">
        <v>690</v>
      </c>
      <c r="B690" s="42">
        <v>1500000000</v>
      </c>
      <c r="D690" s="42">
        <v>690</v>
      </c>
      <c r="E690" s="42">
        <v>30000000</v>
      </c>
      <c r="F690" s="43">
        <f t="shared" si="32"/>
        <v>300000000</v>
      </c>
    </row>
    <row r="691" spans="1:6" x14ac:dyDescent="0.2">
      <c r="A691" s="42">
        <v>691</v>
      </c>
      <c r="B691" s="42">
        <v>1500000000</v>
      </c>
      <c r="D691" s="42">
        <v>691</v>
      </c>
      <c r="E691" s="42">
        <v>30000000</v>
      </c>
    </row>
    <row r="692" spans="1:6" x14ac:dyDescent="0.2">
      <c r="A692" s="42">
        <v>692</v>
      </c>
      <c r="B692" s="42">
        <v>1500000000</v>
      </c>
      <c r="D692" s="42">
        <v>692</v>
      </c>
      <c r="E692" s="42">
        <v>30000000</v>
      </c>
    </row>
    <row r="693" spans="1:6" x14ac:dyDescent="0.2">
      <c r="A693" s="42">
        <v>693</v>
      </c>
      <c r="B693" s="42">
        <v>1500000000</v>
      </c>
      <c r="D693" s="42">
        <v>693</v>
      </c>
      <c r="E693" s="42">
        <v>30000000</v>
      </c>
    </row>
    <row r="694" spans="1:6" x14ac:dyDescent="0.2">
      <c r="A694" s="42">
        <v>694</v>
      </c>
      <c r="B694" s="42">
        <v>1500000000</v>
      </c>
      <c r="D694" s="42">
        <v>694</v>
      </c>
      <c r="E694" s="42">
        <v>30000000</v>
      </c>
    </row>
    <row r="695" spans="1:6" x14ac:dyDescent="0.2">
      <c r="A695" s="42">
        <v>695</v>
      </c>
      <c r="B695" s="42">
        <v>1500000000</v>
      </c>
      <c r="D695" s="42">
        <v>695</v>
      </c>
      <c r="E695" s="42">
        <v>30000000</v>
      </c>
    </row>
    <row r="696" spans="1:6" x14ac:dyDescent="0.2">
      <c r="A696" s="42">
        <v>696</v>
      </c>
      <c r="B696" s="42">
        <v>1500000000</v>
      </c>
      <c r="D696" s="42">
        <v>696</v>
      </c>
      <c r="E696" s="42">
        <v>30000000</v>
      </c>
    </row>
    <row r="697" spans="1:6" x14ac:dyDescent="0.2">
      <c r="A697" s="42">
        <v>697</v>
      </c>
      <c r="B697" s="42">
        <v>1500000000</v>
      </c>
      <c r="D697" s="42">
        <v>697</v>
      </c>
      <c r="E697" s="42">
        <v>30000000</v>
      </c>
    </row>
    <row r="698" spans="1:6" x14ac:dyDescent="0.2">
      <c r="A698" s="42">
        <v>698</v>
      </c>
      <c r="B698" s="42">
        <v>1500000000</v>
      </c>
      <c r="D698" s="42">
        <v>698</v>
      </c>
      <c r="E698" s="42">
        <v>30000000</v>
      </c>
    </row>
    <row r="699" spans="1:6" x14ac:dyDescent="0.2">
      <c r="A699" s="42">
        <v>699</v>
      </c>
      <c r="B699" s="42">
        <v>1500000000</v>
      </c>
      <c r="D699" s="42">
        <v>699</v>
      </c>
      <c r="E699" s="42">
        <v>30000000</v>
      </c>
    </row>
    <row r="700" spans="1:6" x14ac:dyDescent="0.2">
      <c r="A700" s="42">
        <v>700</v>
      </c>
      <c r="B700" s="42">
        <v>1500000000</v>
      </c>
      <c r="D700" s="42">
        <v>700</v>
      </c>
      <c r="E700" s="42">
        <v>30000000</v>
      </c>
      <c r="F700" s="43">
        <f t="shared" si="32"/>
        <v>300000000</v>
      </c>
    </row>
    <row r="701" spans="1:6" x14ac:dyDescent="0.2">
      <c r="A701" s="42">
        <v>701</v>
      </c>
      <c r="B701" s="42">
        <v>1500000000</v>
      </c>
      <c r="D701" s="42">
        <v>701</v>
      </c>
      <c r="E701" s="42">
        <v>30000000</v>
      </c>
    </row>
    <row r="702" spans="1:6" x14ac:dyDescent="0.2">
      <c r="A702" s="42">
        <v>702</v>
      </c>
      <c r="B702" s="42">
        <v>1500000000</v>
      </c>
      <c r="D702" s="42">
        <v>702</v>
      </c>
      <c r="E702" s="42">
        <v>30000000</v>
      </c>
    </row>
    <row r="703" spans="1:6" x14ac:dyDescent="0.2">
      <c r="A703" s="42">
        <v>703</v>
      </c>
      <c r="B703" s="42">
        <v>1500000000</v>
      </c>
      <c r="D703" s="42">
        <v>703</v>
      </c>
      <c r="E703" s="42">
        <v>30000000</v>
      </c>
    </row>
    <row r="704" spans="1:6" x14ac:dyDescent="0.2">
      <c r="A704" s="42">
        <v>704</v>
      </c>
      <c r="B704" s="42">
        <v>1500000000</v>
      </c>
      <c r="D704" s="42">
        <v>704</v>
      </c>
      <c r="E704" s="42">
        <v>30000000</v>
      </c>
    </row>
    <row r="705" spans="1:6" x14ac:dyDescent="0.2">
      <c r="A705" s="42">
        <v>705</v>
      </c>
      <c r="B705" s="42">
        <v>1500000000</v>
      </c>
      <c r="D705" s="42">
        <v>705</v>
      </c>
      <c r="E705" s="42">
        <v>30000000</v>
      </c>
    </row>
    <row r="706" spans="1:6" x14ac:dyDescent="0.2">
      <c r="A706" s="42">
        <v>706</v>
      </c>
      <c r="B706" s="42">
        <v>1500000000</v>
      </c>
      <c r="D706" s="42">
        <v>706</v>
      </c>
      <c r="E706" s="42">
        <v>30000000</v>
      </c>
    </row>
    <row r="707" spans="1:6" x14ac:dyDescent="0.2">
      <c r="A707" s="42">
        <v>707</v>
      </c>
      <c r="B707" s="42">
        <v>1500000000</v>
      </c>
      <c r="D707" s="42">
        <v>707</v>
      </c>
      <c r="E707" s="42">
        <v>30000000</v>
      </c>
    </row>
    <row r="708" spans="1:6" x14ac:dyDescent="0.2">
      <c r="A708" s="42">
        <v>708</v>
      </c>
      <c r="B708" s="42">
        <v>1500000000</v>
      </c>
      <c r="D708" s="42">
        <v>708</v>
      </c>
      <c r="E708" s="42">
        <v>30000000</v>
      </c>
    </row>
    <row r="709" spans="1:6" x14ac:dyDescent="0.2">
      <c r="A709" s="42">
        <v>709</v>
      </c>
      <c r="B709" s="42">
        <v>1500000000</v>
      </c>
      <c r="D709" s="42">
        <v>709</v>
      </c>
      <c r="E709" s="42">
        <v>30000000</v>
      </c>
    </row>
    <row r="710" spans="1:6" x14ac:dyDescent="0.2">
      <c r="A710" s="42">
        <v>710</v>
      </c>
      <c r="B710" s="42">
        <v>1500000000</v>
      </c>
      <c r="D710" s="42">
        <v>710</v>
      </c>
      <c r="E710" s="42">
        <v>30000000</v>
      </c>
      <c r="F710" s="43">
        <f t="shared" si="32"/>
        <v>300000000</v>
      </c>
    </row>
    <row r="711" spans="1:6" x14ac:dyDescent="0.2">
      <c r="A711" s="42">
        <v>711</v>
      </c>
      <c r="B711" s="42">
        <v>1500000000</v>
      </c>
      <c r="D711" s="42">
        <v>711</v>
      </c>
      <c r="E711" s="42">
        <v>30000000</v>
      </c>
    </row>
    <row r="712" spans="1:6" x14ac:dyDescent="0.2">
      <c r="A712" s="42">
        <v>712</v>
      </c>
      <c r="B712" s="42">
        <v>1500000000</v>
      </c>
      <c r="D712" s="42">
        <v>712</v>
      </c>
      <c r="E712" s="42">
        <v>30000000</v>
      </c>
    </row>
    <row r="713" spans="1:6" x14ac:dyDescent="0.2">
      <c r="A713" s="42">
        <v>713</v>
      </c>
      <c r="B713" s="42">
        <v>1500000000</v>
      </c>
      <c r="D713" s="42">
        <v>713</v>
      </c>
      <c r="E713" s="42">
        <v>30000000</v>
      </c>
    </row>
    <row r="714" spans="1:6" x14ac:dyDescent="0.2">
      <c r="A714" s="42">
        <v>714</v>
      </c>
      <c r="B714" s="42">
        <v>1500000000</v>
      </c>
      <c r="D714" s="42">
        <v>714</v>
      </c>
      <c r="E714" s="42">
        <v>30000000</v>
      </c>
    </row>
    <row r="715" spans="1:6" x14ac:dyDescent="0.2">
      <c r="A715" s="42">
        <v>715</v>
      </c>
      <c r="B715" s="42">
        <v>1500000000</v>
      </c>
      <c r="D715" s="42">
        <v>715</v>
      </c>
      <c r="E715" s="42">
        <v>30000000</v>
      </c>
    </row>
    <row r="716" spans="1:6" x14ac:dyDescent="0.2">
      <c r="A716" s="42">
        <v>716</v>
      </c>
      <c r="B716" s="42">
        <v>1500000000</v>
      </c>
      <c r="D716" s="42">
        <v>716</v>
      </c>
      <c r="E716" s="42">
        <v>30000000</v>
      </c>
    </row>
    <row r="717" spans="1:6" x14ac:dyDescent="0.2">
      <c r="A717" s="42">
        <v>717</v>
      </c>
      <c r="B717" s="42">
        <v>1500000000</v>
      </c>
      <c r="D717" s="42">
        <v>717</v>
      </c>
      <c r="E717" s="42">
        <v>30000000</v>
      </c>
    </row>
    <row r="718" spans="1:6" x14ac:dyDescent="0.2">
      <c r="A718" s="42">
        <v>718</v>
      </c>
      <c r="B718" s="42">
        <v>1500000000</v>
      </c>
      <c r="D718" s="42">
        <v>718</v>
      </c>
      <c r="E718" s="42">
        <v>30000000</v>
      </c>
    </row>
    <row r="719" spans="1:6" x14ac:dyDescent="0.2">
      <c r="A719" s="42">
        <v>719</v>
      </c>
      <c r="B719" s="42">
        <v>1500000000</v>
      </c>
      <c r="D719" s="42">
        <v>719</v>
      </c>
      <c r="E719" s="42">
        <v>30000000</v>
      </c>
    </row>
    <row r="720" spans="1:6" x14ac:dyDescent="0.2">
      <c r="A720" s="42">
        <v>720</v>
      </c>
      <c r="B720" s="42">
        <v>1500000000</v>
      </c>
      <c r="D720" s="42">
        <v>720</v>
      </c>
      <c r="E720" s="42">
        <v>30000000</v>
      </c>
      <c r="F720" s="43">
        <f t="shared" si="32"/>
        <v>300000000</v>
      </c>
    </row>
    <row r="721" spans="1:6" x14ac:dyDescent="0.2">
      <c r="A721" s="42">
        <v>721</v>
      </c>
      <c r="B721" s="42">
        <v>1500000000</v>
      </c>
      <c r="D721" s="42">
        <v>721</v>
      </c>
      <c r="E721" s="42">
        <v>30000000</v>
      </c>
    </row>
    <row r="722" spans="1:6" x14ac:dyDescent="0.2">
      <c r="A722" s="42">
        <v>722</v>
      </c>
      <c r="B722" s="42">
        <v>1500000000</v>
      </c>
      <c r="D722" s="42">
        <v>722</v>
      </c>
      <c r="E722" s="42">
        <v>30000000</v>
      </c>
    </row>
    <row r="723" spans="1:6" x14ac:dyDescent="0.2">
      <c r="A723" s="42">
        <v>723</v>
      </c>
      <c r="B723" s="42">
        <v>1500000000</v>
      </c>
      <c r="D723" s="42">
        <v>723</v>
      </c>
      <c r="E723" s="42">
        <v>30000000</v>
      </c>
    </row>
    <row r="724" spans="1:6" x14ac:dyDescent="0.2">
      <c r="A724" s="42">
        <v>724</v>
      </c>
      <c r="B724" s="42">
        <v>1500000000</v>
      </c>
      <c r="D724" s="42">
        <v>724</v>
      </c>
      <c r="E724" s="42">
        <v>30000000</v>
      </c>
    </row>
    <row r="725" spans="1:6" x14ac:dyDescent="0.2">
      <c r="A725" s="42">
        <v>725</v>
      </c>
      <c r="B725" s="42">
        <v>1500000000</v>
      </c>
      <c r="D725" s="42">
        <v>725</v>
      </c>
      <c r="E725" s="42">
        <v>30000000</v>
      </c>
    </row>
    <row r="726" spans="1:6" x14ac:dyDescent="0.2">
      <c r="A726" s="42">
        <v>726</v>
      </c>
      <c r="B726" s="42">
        <v>1500000000</v>
      </c>
      <c r="D726" s="42">
        <v>726</v>
      </c>
      <c r="E726" s="42">
        <v>30000000</v>
      </c>
    </row>
    <row r="727" spans="1:6" x14ac:dyDescent="0.2">
      <c r="A727" s="42">
        <v>727</v>
      </c>
      <c r="B727" s="42">
        <v>1500000000</v>
      </c>
      <c r="D727" s="42">
        <v>727</v>
      </c>
      <c r="E727" s="42">
        <v>30000000</v>
      </c>
    </row>
    <row r="728" spans="1:6" x14ac:dyDescent="0.2">
      <c r="A728" s="42">
        <v>728</v>
      </c>
      <c r="B728" s="42">
        <v>1500000000</v>
      </c>
      <c r="D728" s="42">
        <v>728</v>
      </c>
      <c r="E728" s="42">
        <v>30000000</v>
      </c>
    </row>
    <row r="729" spans="1:6" x14ac:dyDescent="0.2">
      <c r="A729" s="42">
        <v>729</v>
      </c>
      <c r="B729" s="42">
        <v>1500000000</v>
      </c>
      <c r="D729" s="42">
        <v>729</v>
      </c>
      <c r="E729" s="42">
        <v>30000000</v>
      </c>
    </row>
    <row r="730" spans="1:6" x14ac:dyDescent="0.2">
      <c r="A730" s="42">
        <v>730</v>
      </c>
      <c r="B730" s="42">
        <v>1500000000</v>
      </c>
      <c r="D730" s="42">
        <v>730</v>
      </c>
      <c r="E730" s="42">
        <v>30000000</v>
      </c>
      <c r="F730" s="43">
        <f t="shared" si="32"/>
        <v>300000000</v>
      </c>
    </row>
    <row r="731" spans="1:6" x14ac:dyDescent="0.2">
      <c r="A731" s="42">
        <v>731</v>
      </c>
      <c r="B731" s="42">
        <v>1500000000</v>
      </c>
      <c r="D731" s="42">
        <v>731</v>
      </c>
      <c r="E731" s="42">
        <v>30000000</v>
      </c>
    </row>
    <row r="732" spans="1:6" x14ac:dyDescent="0.2">
      <c r="A732" s="42">
        <v>732</v>
      </c>
      <c r="B732" s="42">
        <v>1500000000</v>
      </c>
      <c r="D732" s="42">
        <v>732</v>
      </c>
      <c r="E732" s="42">
        <v>30000000</v>
      </c>
    </row>
    <row r="733" spans="1:6" x14ac:dyDescent="0.2">
      <c r="A733" s="42">
        <v>733</v>
      </c>
      <c r="B733" s="42">
        <v>1500000000</v>
      </c>
      <c r="D733" s="42">
        <v>733</v>
      </c>
      <c r="E733" s="42">
        <v>30000000</v>
      </c>
    </row>
    <row r="734" spans="1:6" x14ac:dyDescent="0.2">
      <c r="A734" s="42">
        <v>734</v>
      </c>
      <c r="B734" s="42">
        <v>1500000000</v>
      </c>
      <c r="D734" s="42">
        <v>734</v>
      </c>
      <c r="E734" s="42">
        <v>30000000</v>
      </c>
    </row>
    <row r="735" spans="1:6" x14ac:dyDescent="0.2">
      <c r="A735" s="42">
        <v>735</v>
      </c>
      <c r="B735" s="42">
        <v>1500000000</v>
      </c>
      <c r="D735" s="42">
        <v>735</v>
      </c>
      <c r="E735" s="42">
        <v>30000000</v>
      </c>
    </row>
    <row r="736" spans="1:6" x14ac:dyDescent="0.2">
      <c r="A736" s="42">
        <v>736</v>
      </c>
      <c r="B736" s="42">
        <v>1500000000</v>
      </c>
      <c r="D736" s="42">
        <v>736</v>
      </c>
      <c r="E736" s="42">
        <v>30000000</v>
      </c>
    </row>
    <row r="737" spans="1:6" x14ac:dyDescent="0.2">
      <c r="A737" s="42">
        <v>737</v>
      </c>
      <c r="B737" s="42">
        <v>1500000000</v>
      </c>
      <c r="D737" s="42">
        <v>737</v>
      </c>
      <c r="E737" s="42">
        <v>30000000</v>
      </c>
    </row>
    <row r="738" spans="1:6" x14ac:dyDescent="0.2">
      <c r="A738" s="42">
        <v>738</v>
      </c>
      <c r="B738" s="42">
        <v>1500000000</v>
      </c>
      <c r="D738" s="42">
        <v>738</v>
      </c>
      <c r="E738" s="42">
        <v>30000000</v>
      </c>
    </row>
    <row r="739" spans="1:6" x14ac:dyDescent="0.2">
      <c r="A739" s="42">
        <v>739</v>
      </c>
      <c r="B739" s="42">
        <v>1500000000</v>
      </c>
      <c r="D739" s="42">
        <v>739</v>
      </c>
      <c r="E739" s="42">
        <v>30000000</v>
      </c>
    </row>
    <row r="740" spans="1:6" x14ac:dyDescent="0.2">
      <c r="A740" s="42">
        <v>740</v>
      </c>
      <c r="B740" s="42">
        <v>1500000000</v>
      </c>
      <c r="D740" s="42">
        <v>740</v>
      </c>
      <c r="E740" s="42">
        <v>30000000</v>
      </c>
      <c r="F740" s="43">
        <f t="shared" si="32"/>
        <v>300000000</v>
      </c>
    </row>
    <row r="741" spans="1:6" x14ac:dyDescent="0.2">
      <c r="A741" s="42">
        <v>741</v>
      </c>
      <c r="B741" s="42">
        <v>1500000000</v>
      </c>
      <c r="D741" s="42">
        <v>741</v>
      </c>
      <c r="E741" s="42">
        <v>30000000</v>
      </c>
    </row>
    <row r="742" spans="1:6" x14ac:dyDescent="0.2">
      <c r="A742" s="42">
        <v>742</v>
      </c>
      <c r="B742" s="42">
        <v>1500000000</v>
      </c>
      <c r="D742" s="42">
        <v>742</v>
      </c>
      <c r="E742" s="42">
        <v>30000000</v>
      </c>
    </row>
    <row r="743" spans="1:6" x14ac:dyDescent="0.2">
      <c r="A743" s="42">
        <v>743</v>
      </c>
      <c r="B743" s="42">
        <v>1500000000</v>
      </c>
      <c r="D743" s="42">
        <v>743</v>
      </c>
      <c r="E743" s="42">
        <v>30000000</v>
      </c>
    </row>
    <row r="744" spans="1:6" x14ac:dyDescent="0.2">
      <c r="A744" s="42">
        <v>744</v>
      </c>
      <c r="B744" s="42">
        <v>1500000000</v>
      </c>
      <c r="D744" s="42">
        <v>744</v>
      </c>
      <c r="E744" s="42">
        <v>30000000</v>
      </c>
    </row>
    <row r="745" spans="1:6" x14ac:dyDescent="0.2">
      <c r="A745" s="42">
        <v>745</v>
      </c>
      <c r="B745" s="42">
        <v>1500000000</v>
      </c>
      <c r="D745" s="42">
        <v>745</v>
      </c>
      <c r="E745" s="42">
        <v>30000000</v>
      </c>
    </row>
    <row r="746" spans="1:6" x14ac:dyDescent="0.2">
      <c r="A746" s="42">
        <v>746</v>
      </c>
      <c r="B746" s="42">
        <v>1500000000</v>
      </c>
      <c r="D746" s="42">
        <v>746</v>
      </c>
      <c r="E746" s="42">
        <v>30000000</v>
      </c>
    </row>
    <row r="747" spans="1:6" x14ac:dyDescent="0.2">
      <c r="A747" s="42">
        <v>747</v>
      </c>
      <c r="B747" s="42">
        <v>1500000000</v>
      </c>
      <c r="D747" s="42">
        <v>747</v>
      </c>
      <c r="E747" s="42">
        <v>30000000</v>
      </c>
    </row>
    <row r="748" spans="1:6" x14ac:dyDescent="0.2">
      <c r="A748" s="42">
        <v>748</v>
      </c>
      <c r="B748" s="42">
        <v>1500000000</v>
      </c>
      <c r="D748" s="42">
        <v>748</v>
      </c>
      <c r="E748" s="42">
        <v>30000000</v>
      </c>
    </row>
    <row r="749" spans="1:6" x14ac:dyDescent="0.2">
      <c r="A749" s="42">
        <v>749</v>
      </c>
      <c r="B749" s="42">
        <v>1500000000</v>
      </c>
      <c r="D749" s="42">
        <v>749</v>
      </c>
      <c r="E749" s="42">
        <v>30000000</v>
      </c>
    </row>
    <row r="750" spans="1:6" x14ac:dyDescent="0.2">
      <c r="A750" s="42">
        <v>750</v>
      </c>
      <c r="B750" s="42">
        <v>1500000000</v>
      </c>
      <c r="D750" s="42">
        <v>750</v>
      </c>
      <c r="E750" s="42">
        <v>30000000</v>
      </c>
      <c r="F750" s="43">
        <f t="shared" ref="F750:F810" si="33">SUM(E741:E750)</f>
        <v>300000000</v>
      </c>
    </row>
    <row r="751" spans="1:6" x14ac:dyDescent="0.2">
      <c r="A751" s="42">
        <v>751</v>
      </c>
      <c r="B751" s="42">
        <v>1500000000</v>
      </c>
      <c r="D751" s="42">
        <v>751</v>
      </c>
      <c r="E751" s="42">
        <v>30000000</v>
      </c>
    </row>
    <row r="752" spans="1:6" x14ac:dyDescent="0.2">
      <c r="A752" s="42">
        <v>752</v>
      </c>
      <c r="B752" s="42">
        <v>1500000000</v>
      </c>
      <c r="D752" s="42">
        <v>752</v>
      </c>
      <c r="E752" s="42">
        <v>30000000</v>
      </c>
    </row>
    <row r="753" spans="1:6" x14ac:dyDescent="0.2">
      <c r="A753" s="42">
        <v>753</v>
      </c>
      <c r="B753" s="42">
        <v>1500000000</v>
      </c>
      <c r="D753" s="42">
        <v>753</v>
      </c>
      <c r="E753" s="42">
        <v>30000000</v>
      </c>
    </row>
    <row r="754" spans="1:6" x14ac:dyDescent="0.2">
      <c r="A754" s="42">
        <v>754</v>
      </c>
      <c r="B754" s="42">
        <v>1500000000</v>
      </c>
      <c r="D754" s="42">
        <v>754</v>
      </c>
      <c r="E754" s="42">
        <v>30000000</v>
      </c>
    </row>
    <row r="755" spans="1:6" x14ac:dyDescent="0.2">
      <c r="A755" s="42">
        <v>755</v>
      </c>
      <c r="B755" s="42">
        <v>1500000000</v>
      </c>
      <c r="D755" s="42">
        <v>755</v>
      </c>
      <c r="E755" s="42">
        <v>30000000</v>
      </c>
    </row>
    <row r="756" spans="1:6" x14ac:dyDescent="0.2">
      <c r="A756" s="42">
        <v>756</v>
      </c>
      <c r="B756" s="42">
        <v>1500000000</v>
      </c>
      <c r="D756" s="42">
        <v>756</v>
      </c>
      <c r="E756" s="42">
        <v>30000000</v>
      </c>
    </row>
    <row r="757" spans="1:6" x14ac:dyDescent="0.2">
      <c r="A757" s="42">
        <v>757</v>
      </c>
      <c r="B757" s="42">
        <v>1500000000</v>
      </c>
      <c r="D757" s="42">
        <v>757</v>
      </c>
      <c r="E757" s="42">
        <v>30000000</v>
      </c>
    </row>
    <row r="758" spans="1:6" x14ac:dyDescent="0.2">
      <c r="A758" s="42">
        <v>758</v>
      </c>
      <c r="B758" s="42">
        <v>1500000000</v>
      </c>
      <c r="D758" s="42">
        <v>758</v>
      </c>
      <c r="E758" s="42">
        <v>30000000</v>
      </c>
    </row>
    <row r="759" spans="1:6" x14ac:dyDescent="0.2">
      <c r="A759" s="42">
        <v>759</v>
      </c>
      <c r="B759" s="42">
        <v>1500000000</v>
      </c>
      <c r="D759" s="42">
        <v>759</v>
      </c>
      <c r="E759" s="42">
        <v>30000000</v>
      </c>
    </row>
    <row r="760" spans="1:6" x14ac:dyDescent="0.2">
      <c r="A760" s="42">
        <v>760</v>
      </c>
      <c r="B760" s="42">
        <v>1500000000</v>
      </c>
      <c r="D760" s="42">
        <v>760</v>
      </c>
      <c r="E760" s="42">
        <v>30000000</v>
      </c>
      <c r="F760" s="43">
        <f t="shared" si="33"/>
        <v>300000000</v>
      </c>
    </row>
    <row r="761" spans="1:6" x14ac:dyDescent="0.2">
      <c r="A761" s="42">
        <v>761</v>
      </c>
      <c r="B761" s="42">
        <v>1500000000</v>
      </c>
      <c r="D761" s="42">
        <v>761</v>
      </c>
      <c r="E761" s="42">
        <v>30000000</v>
      </c>
    </row>
    <row r="762" spans="1:6" x14ac:dyDescent="0.2">
      <c r="A762" s="42">
        <v>762</v>
      </c>
      <c r="B762" s="42">
        <v>1500000000</v>
      </c>
      <c r="D762" s="42">
        <v>762</v>
      </c>
      <c r="E762" s="42">
        <v>30000000</v>
      </c>
    </row>
    <row r="763" spans="1:6" x14ac:dyDescent="0.2">
      <c r="A763" s="42">
        <v>763</v>
      </c>
      <c r="B763" s="42">
        <v>1500000000</v>
      </c>
      <c r="D763" s="42">
        <v>763</v>
      </c>
      <c r="E763" s="42">
        <v>30000000</v>
      </c>
    </row>
    <row r="764" spans="1:6" x14ac:dyDescent="0.2">
      <c r="A764" s="42">
        <v>764</v>
      </c>
      <c r="B764" s="42">
        <v>1500000000</v>
      </c>
      <c r="D764" s="42">
        <v>764</v>
      </c>
      <c r="E764" s="42">
        <v>30000000</v>
      </c>
    </row>
    <row r="765" spans="1:6" x14ac:dyDescent="0.2">
      <c r="A765" s="42">
        <v>765</v>
      </c>
      <c r="B765" s="42">
        <v>1500000000</v>
      </c>
      <c r="D765" s="42">
        <v>765</v>
      </c>
      <c r="E765" s="42">
        <v>30000000</v>
      </c>
    </row>
    <row r="766" spans="1:6" x14ac:dyDescent="0.2">
      <c r="A766" s="42">
        <v>766</v>
      </c>
      <c r="B766" s="42">
        <v>1500000000</v>
      </c>
      <c r="D766" s="42">
        <v>766</v>
      </c>
      <c r="E766" s="42">
        <v>30000000</v>
      </c>
    </row>
    <row r="767" spans="1:6" x14ac:dyDescent="0.2">
      <c r="A767" s="42">
        <v>767</v>
      </c>
      <c r="B767" s="42">
        <v>1500000000</v>
      </c>
      <c r="D767" s="42">
        <v>767</v>
      </c>
      <c r="E767" s="42">
        <v>30000000</v>
      </c>
    </row>
    <row r="768" spans="1:6" x14ac:dyDescent="0.2">
      <c r="A768" s="42">
        <v>768</v>
      </c>
      <c r="B768" s="42">
        <v>1500000000</v>
      </c>
      <c r="D768" s="42">
        <v>768</v>
      </c>
      <c r="E768" s="42">
        <v>30000000</v>
      </c>
    </row>
    <row r="769" spans="1:6" x14ac:dyDescent="0.2">
      <c r="A769" s="42">
        <v>769</v>
      </c>
      <c r="B769" s="42">
        <v>1500000000</v>
      </c>
      <c r="D769" s="42">
        <v>769</v>
      </c>
      <c r="E769" s="42">
        <v>30000000</v>
      </c>
    </row>
    <row r="770" spans="1:6" x14ac:dyDescent="0.2">
      <c r="A770" s="42">
        <v>770</v>
      </c>
      <c r="B770" s="42">
        <v>1500000000</v>
      </c>
      <c r="D770" s="42">
        <v>770</v>
      </c>
      <c r="E770" s="42">
        <v>30000000</v>
      </c>
      <c r="F770" s="43">
        <f t="shared" si="33"/>
        <v>300000000</v>
      </c>
    </row>
    <row r="771" spans="1:6" x14ac:dyDescent="0.2">
      <c r="A771" s="42">
        <v>771</v>
      </c>
      <c r="B771" s="42">
        <v>1500000000</v>
      </c>
      <c r="D771" s="42">
        <v>771</v>
      </c>
      <c r="E771" s="42">
        <v>30000000</v>
      </c>
    </row>
    <row r="772" spans="1:6" x14ac:dyDescent="0.2">
      <c r="A772" s="42">
        <v>772</v>
      </c>
      <c r="B772" s="42">
        <v>1500000000</v>
      </c>
      <c r="D772" s="42">
        <v>772</v>
      </c>
      <c r="E772" s="42">
        <v>30000000</v>
      </c>
    </row>
    <row r="773" spans="1:6" x14ac:dyDescent="0.2">
      <c r="A773" s="42">
        <v>773</v>
      </c>
      <c r="B773" s="42">
        <v>1500000000</v>
      </c>
      <c r="D773" s="42">
        <v>773</v>
      </c>
      <c r="E773" s="42">
        <v>30000000</v>
      </c>
    </row>
    <row r="774" spans="1:6" x14ac:dyDescent="0.2">
      <c r="A774" s="42">
        <v>774</v>
      </c>
      <c r="B774" s="42">
        <v>1500000000</v>
      </c>
      <c r="D774" s="42">
        <v>774</v>
      </c>
      <c r="E774" s="42">
        <v>30000000</v>
      </c>
    </row>
    <row r="775" spans="1:6" x14ac:dyDescent="0.2">
      <c r="A775" s="42">
        <v>775</v>
      </c>
      <c r="B775" s="42">
        <v>1500000000</v>
      </c>
      <c r="D775" s="42">
        <v>775</v>
      </c>
      <c r="E775" s="42">
        <v>30000000</v>
      </c>
    </row>
    <row r="776" spans="1:6" x14ac:dyDescent="0.2">
      <c r="A776" s="42">
        <v>776</v>
      </c>
      <c r="B776" s="42">
        <v>1500000000</v>
      </c>
      <c r="D776" s="42">
        <v>776</v>
      </c>
      <c r="E776" s="42">
        <v>30000000</v>
      </c>
    </row>
    <row r="777" spans="1:6" x14ac:dyDescent="0.2">
      <c r="A777" s="42">
        <v>777</v>
      </c>
      <c r="B777" s="42">
        <v>1500000000</v>
      </c>
      <c r="D777" s="42">
        <v>777</v>
      </c>
      <c r="E777" s="42">
        <v>30000000</v>
      </c>
    </row>
    <row r="778" spans="1:6" x14ac:dyDescent="0.2">
      <c r="A778" s="42">
        <v>778</v>
      </c>
      <c r="B778" s="42">
        <v>1500000000</v>
      </c>
      <c r="D778" s="42">
        <v>778</v>
      </c>
      <c r="E778" s="42">
        <v>30000000</v>
      </c>
    </row>
    <row r="779" spans="1:6" x14ac:dyDescent="0.2">
      <c r="A779" s="42">
        <v>779</v>
      </c>
      <c r="B779" s="42">
        <v>1500000000</v>
      </c>
      <c r="D779" s="42">
        <v>779</v>
      </c>
      <c r="E779" s="42">
        <v>30000000</v>
      </c>
    </row>
    <row r="780" spans="1:6" x14ac:dyDescent="0.2">
      <c r="A780" s="42">
        <v>780</v>
      </c>
      <c r="B780" s="42">
        <v>1500000000</v>
      </c>
      <c r="D780" s="42">
        <v>780</v>
      </c>
      <c r="E780" s="42">
        <v>30000000</v>
      </c>
      <c r="F780" s="43">
        <f t="shared" si="33"/>
        <v>300000000</v>
      </c>
    </row>
    <row r="781" spans="1:6" x14ac:dyDescent="0.2">
      <c r="A781" s="42">
        <v>781</v>
      </c>
      <c r="B781" s="42">
        <v>1500000000</v>
      </c>
      <c r="D781" s="42">
        <v>781</v>
      </c>
      <c r="E781" s="42">
        <v>30000000</v>
      </c>
    </row>
    <row r="782" spans="1:6" x14ac:dyDescent="0.2">
      <c r="A782" s="42">
        <v>782</v>
      </c>
      <c r="B782" s="42">
        <v>1500000000</v>
      </c>
      <c r="D782" s="42">
        <v>782</v>
      </c>
      <c r="E782" s="42">
        <v>30000000</v>
      </c>
    </row>
    <row r="783" spans="1:6" x14ac:dyDescent="0.2">
      <c r="A783" s="42">
        <v>783</v>
      </c>
      <c r="B783" s="42">
        <v>1500000000</v>
      </c>
      <c r="D783" s="42">
        <v>783</v>
      </c>
      <c r="E783" s="42">
        <v>30000000</v>
      </c>
    </row>
    <row r="784" spans="1:6" x14ac:dyDescent="0.2">
      <c r="A784" s="42">
        <v>784</v>
      </c>
      <c r="B784" s="42">
        <v>1500000000</v>
      </c>
      <c r="D784" s="42">
        <v>784</v>
      </c>
      <c r="E784" s="42">
        <v>30000000</v>
      </c>
    </row>
    <row r="785" spans="1:6" x14ac:dyDescent="0.2">
      <c r="A785" s="42">
        <v>785</v>
      </c>
      <c r="B785" s="42">
        <v>1500000000</v>
      </c>
      <c r="D785" s="42">
        <v>785</v>
      </c>
      <c r="E785" s="42">
        <v>30000000</v>
      </c>
    </row>
    <row r="786" spans="1:6" x14ac:dyDescent="0.2">
      <c r="A786" s="42">
        <v>786</v>
      </c>
      <c r="B786" s="42">
        <v>1500000000</v>
      </c>
      <c r="D786" s="42">
        <v>786</v>
      </c>
      <c r="E786" s="42">
        <v>30000000</v>
      </c>
    </row>
    <row r="787" spans="1:6" x14ac:dyDescent="0.2">
      <c r="A787" s="42">
        <v>787</v>
      </c>
      <c r="B787" s="42">
        <v>1500000000</v>
      </c>
      <c r="D787" s="42">
        <v>787</v>
      </c>
      <c r="E787" s="42">
        <v>30000000</v>
      </c>
    </row>
    <row r="788" spans="1:6" x14ac:dyDescent="0.2">
      <c r="A788" s="42">
        <v>788</v>
      </c>
      <c r="B788" s="42">
        <v>1500000000</v>
      </c>
      <c r="D788" s="42">
        <v>788</v>
      </c>
      <c r="E788" s="42">
        <v>30000000</v>
      </c>
    </row>
    <row r="789" spans="1:6" x14ac:dyDescent="0.2">
      <c r="A789" s="42">
        <v>789</v>
      </c>
      <c r="B789" s="42">
        <v>1500000000</v>
      </c>
      <c r="D789" s="42">
        <v>789</v>
      </c>
      <c r="E789" s="42">
        <v>30000000</v>
      </c>
    </row>
    <row r="790" spans="1:6" x14ac:dyDescent="0.2">
      <c r="A790" s="42">
        <v>790</v>
      </c>
      <c r="B790" s="42">
        <v>1500000000</v>
      </c>
      <c r="D790" s="42">
        <v>790</v>
      </c>
      <c r="E790" s="42">
        <v>30000000</v>
      </c>
      <c r="F790" s="43">
        <f t="shared" si="33"/>
        <v>300000000</v>
      </c>
    </row>
    <row r="791" spans="1:6" x14ac:dyDescent="0.2">
      <c r="A791" s="42">
        <v>791</v>
      </c>
      <c r="B791" s="42">
        <v>1500000000</v>
      </c>
      <c r="D791" s="42">
        <v>791</v>
      </c>
      <c r="E791" s="42">
        <v>30000000</v>
      </c>
    </row>
    <row r="792" spans="1:6" x14ac:dyDescent="0.2">
      <c r="A792" s="42">
        <v>792</v>
      </c>
      <c r="B792" s="42">
        <v>1500000000</v>
      </c>
      <c r="D792" s="42">
        <v>792</v>
      </c>
      <c r="E792" s="42">
        <v>30000000</v>
      </c>
    </row>
    <row r="793" spans="1:6" x14ac:dyDescent="0.2">
      <c r="A793" s="42">
        <v>793</v>
      </c>
      <c r="B793" s="42">
        <v>1500000000</v>
      </c>
      <c r="D793" s="42">
        <v>793</v>
      </c>
      <c r="E793" s="42">
        <v>30000000</v>
      </c>
    </row>
    <row r="794" spans="1:6" x14ac:dyDescent="0.2">
      <c r="A794" s="42">
        <v>794</v>
      </c>
      <c r="B794" s="42">
        <v>1500000000</v>
      </c>
      <c r="D794" s="42">
        <v>794</v>
      </c>
      <c r="E794" s="42">
        <v>30000000</v>
      </c>
    </row>
    <row r="795" spans="1:6" x14ac:dyDescent="0.2">
      <c r="A795" s="42">
        <v>795</v>
      </c>
      <c r="B795" s="42">
        <v>1500000000</v>
      </c>
      <c r="D795" s="42">
        <v>795</v>
      </c>
      <c r="E795" s="42">
        <v>30000000</v>
      </c>
    </row>
    <row r="796" spans="1:6" x14ac:dyDescent="0.2">
      <c r="A796" s="42">
        <v>796</v>
      </c>
      <c r="B796" s="42">
        <v>1500000000</v>
      </c>
      <c r="D796" s="42">
        <v>796</v>
      </c>
      <c r="E796" s="42">
        <v>30000000</v>
      </c>
    </row>
    <row r="797" spans="1:6" x14ac:dyDescent="0.2">
      <c r="A797" s="42">
        <v>797</v>
      </c>
      <c r="B797" s="42">
        <v>1500000000</v>
      </c>
      <c r="D797" s="42">
        <v>797</v>
      </c>
      <c r="E797" s="42">
        <v>30000000</v>
      </c>
    </row>
    <row r="798" spans="1:6" x14ac:dyDescent="0.2">
      <c r="A798" s="42">
        <v>798</v>
      </c>
      <c r="B798" s="42">
        <v>1500000000</v>
      </c>
      <c r="D798" s="42">
        <v>798</v>
      </c>
      <c r="E798" s="42">
        <v>30000000</v>
      </c>
    </row>
    <row r="799" spans="1:6" x14ac:dyDescent="0.2">
      <c r="A799" s="42">
        <v>799</v>
      </c>
      <c r="B799" s="42">
        <v>1500000000</v>
      </c>
      <c r="D799" s="42">
        <v>799</v>
      </c>
      <c r="E799" s="42">
        <v>30000000</v>
      </c>
    </row>
    <row r="800" spans="1:6" x14ac:dyDescent="0.2">
      <c r="A800" s="42">
        <v>800</v>
      </c>
      <c r="B800" s="42">
        <v>1500000000</v>
      </c>
      <c r="D800" s="42">
        <v>800</v>
      </c>
      <c r="E800" s="42">
        <v>30000000</v>
      </c>
      <c r="F800" s="43">
        <f t="shared" si="33"/>
        <v>300000000</v>
      </c>
    </row>
    <row r="801" spans="1:6" x14ac:dyDescent="0.2">
      <c r="A801" s="42">
        <v>801</v>
      </c>
      <c r="B801" s="42">
        <v>1500000000</v>
      </c>
      <c r="D801" s="42">
        <v>801</v>
      </c>
      <c r="E801" s="42">
        <v>30000000</v>
      </c>
    </row>
    <row r="802" spans="1:6" x14ac:dyDescent="0.2">
      <c r="A802" s="42">
        <v>802</v>
      </c>
      <c r="B802" s="42">
        <v>1500000000</v>
      </c>
      <c r="D802" s="42">
        <v>802</v>
      </c>
      <c r="E802" s="42">
        <v>30000000</v>
      </c>
    </row>
    <row r="803" spans="1:6" x14ac:dyDescent="0.2">
      <c r="A803" s="42">
        <v>803</v>
      </c>
      <c r="B803" s="42">
        <v>1500000000</v>
      </c>
      <c r="D803" s="42">
        <v>803</v>
      </c>
      <c r="E803" s="42">
        <v>30000000</v>
      </c>
    </row>
    <row r="804" spans="1:6" x14ac:dyDescent="0.2">
      <c r="A804" s="42">
        <v>804</v>
      </c>
      <c r="B804" s="42">
        <v>1500000000</v>
      </c>
      <c r="D804" s="42">
        <v>804</v>
      </c>
      <c r="E804" s="42">
        <v>30000000</v>
      </c>
    </row>
    <row r="805" spans="1:6" x14ac:dyDescent="0.2">
      <c r="A805" s="42">
        <v>805</v>
      </c>
      <c r="B805" s="42">
        <v>1500000000</v>
      </c>
      <c r="D805" s="42">
        <v>805</v>
      </c>
      <c r="E805" s="42">
        <v>30000000</v>
      </c>
    </row>
    <row r="806" spans="1:6" x14ac:dyDescent="0.2">
      <c r="A806" s="42">
        <v>806</v>
      </c>
      <c r="B806" s="42">
        <v>1500000000</v>
      </c>
      <c r="D806" s="42">
        <v>806</v>
      </c>
      <c r="E806" s="42">
        <v>30000000</v>
      </c>
    </row>
    <row r="807" spans="1:6" x14ac:dyDescent="0.2">
      <c r="A807" s="42">
        <v>807</v>
      </c>
      <c r="B807" s="42">
        <v>1500000000</v>
      </c>
      <c r="D807" s="42">
        <v>807</v>
      </c>
      <c r="E807" s="42">
        <v>30000000</v>
      </c>
    </row>
    <row r="808" spans="1:6" x14ac:dyDescent="0.2">
      <c r="A808" s="42">
        <v>808</v>
      </c>
      <c r="B808" s="42">
        <v>1500000000</v>
      </c>
      <c r="D808" s="42">
        <v>808</v>
      </c>
      <c r="E808" s="42">
        <v>30000000</v>
      </c>
    </row>
    <row r="809" spans="1:6" x14ac:dyDescent="0.2">
      <c r="A809" s="42">
        <v>809</v>
      </c>
      <c r="B809" s="42">
        <v>1500000000</v>
      </c>
      <c r="D809" s="42">
        <v>809</v>
      </c>
      <c r="E809" s="42">
        <v>30000000</v>
      </c>
    </row>
    <row r="810" spans="1:6" x14ac:dyDescent="0.2">
      <c r="A810" s="42">
        <v>810</v>
      </c>
      <c r="B810" s="42">
        <v>1500000000</v>
      </c>
      <c r="D810" s="42">
        <v>810</v>
      </c>
      <c r="E810" s="42">
        <v>30000000</v>
      </c>
      <c r="F810" s="43">
        <f t="shared" si="33"/>
        <v>300000000</v>
      </c>
    </row>
    <row r="811" spans="1:6" x14ac:dyDescent="0.2">
      <c r="A811" s="42">
        <v>811</v>
      </c>
      <c r="B811" s="42">
        <v>1500000000</v>
      </c>
      <c r="D811" s="42">
        <v>811</v>
      </c>
      <c r="E811" s="42">
        <v>30000000</v>
      </c>
    </row>
    <row r="812" spans="1:6" x14ac:dyDescent="0.2">
      <c r="A812" s="42">
        <v>812</v>
      </c>
      <c r="B812" s="42">
        <v>1500000000</v>
      </c>
      <c r="D812" s="42">
        <v>812</v>
      </c>
      <c r="E812" s="42">
        <v>30000000</v>
      </c>
    </row>
    <row r="813" spans="1:6" x14ac:dyDescent="0.2">
      <c r="A813" s="42">
        <v>813</v>
      </c>
      <c r="B813" s="42">
        <v>1500000000</v>
      </c>
      <c r="D813" s="42">
        <v>813</v>
      </c>
      <c r="E813" s="42">
        <v>30000000</v>
      </c>
    </row>
    <row r="814" spans="1:6" x14ac:dyDescent="0.2">
      <c r="A814" s="42">
        <v>814</v>
      </c>
      <c r="B814" s="42">
        <v>1500000000</v>
      </c>
      <c r="D814" s="42">
        <v>814</v>
      </c>
      <c r="E814" s="42">
        <v>30000000</v>
      </c>
    </row>
    <row r="815" spans="1:6" x14ac:dyDescent="0.2">
      <c r="A815" s="42">
        <v>815</v>
      </c>
      <c r="B815" s="42">
        <v>1500000000</v>
      </c>
      <c r="D815" s="42">
        <v>815</v>
      </c>
      <c r="E815" s="42">
        <v>30000000</v>
      </c>
    </row>
    <row r="816" spans="1:6" x14ac:dyDescent="0.2">
      <c r="A816" s="42">
        <v>816</v>
      </c>
      <c r="B816" s="42">
        <v>1500000000</v>
      </c>
      <c r="D816" s="42">
        <v>816</v>
      </c>
      <c r="E816" s="42">
        <v>30000000</v>
      </c>
    </row>
    <row r="817" spans="1:6" x14ac:dyDescent="0.2">
      <c r="A817" s="42">
        <v>817</v>
      </c>
      <c r="B817" s="42">
        <v>1500000000</v>
      </c>
      <c r="D817" s="42">
        <v>817</v>
      </c>
      <c r="E817" s="42">
        <v>30000000</v>
      </c>
    </row>
    <row r="818" spans="1:6" x14ac:dyDescent="0.2">
      <c r="A818" s="42">
        <v>818</v>
      </c>
      <c r="B818" s="42">
        <v>1500000000</v>
      </c>
      <c r="D818" s="42">
        <v>818</v>
      </c>
      <c r="E818" s="42">
        <v>30000000</v>
      </c>
    </row>
    <row r="819" spans="1:6" x14ac:dyDescent="0.2">
      <c r="A819" s="42">
        <v>819</v>
      </c>
      <c r="B819" s="42">
        <v>1500000000</v>
      </c>
      <c r="D819" s="42">
        <v>819</v>
      </c>
      <c r="E819" s="42">
        <v>30000000</v>
      </c>
    </row>
    <row r="820" spans="1:6" x14ac:dyDescent="0.2">
      <c r="A820" s="42">
        <v>820</v>
      </c>
      <c r="B820" s="42">
        <v>1500000000</v>
      </c>
      <c r="D820" s="42">
        <v>820</v>
      </c>
      <c r="E820" s="42">
        <v>30000000</v>
      </c>
      <c r="F820" s="43">
        <f t="shared" ref="F820:F880" si="34">SUM(E811:E820)</f>
        <v>300000000</v>
      </c>
    </row>
    <row r="821" spans="1:6" x14ac:dyDescent="0.2">
      <c r="A821" s="42">
        <v>821</v>
      </c>
      <c r="B821" s="42">
        <v>1500000000</v>
      </c>
      <c r="D821" s="42">
        <v>821</v>
      </c>
      <c r="E821" s="42">
        <v>30000000</v>
      </c>
    </row>
    <row r="822" spans="1:6" x14ac:dyDescent="0.2">
      <c r="A822" s="42">
        <v>822</v>
      </c>
      <c r="B822" s="42">
        <v>1500000000</v>
      </c>
      <c r="D822" s="42">
        <v>822</v>
      </c>
      <c r="E822" s="42">
        <v>30000000</v>
      </c>
    </row>
    <row r="823" spans="1:6" x14ac:dyDescent="0.2">
      <c r="A823" s="42">
        <v>823</v>
      </c>
      <c r="B823" s="42">
        <v>1500000000</v>
      </c>
      <c r="D823" s="42">
        <v>823</v>
      </c>
      <c r="E823" s="42">
        <v>30000000</v>
      </c>
    </row>
    <row r="824" spans="1:6" x14ac:dyDescent="0.2">
      <c r="A824" s="42">
        <v>824</v>
      </c>
      <c r="B824" s="42">
        <v>1500000000</v>
      </c>
      <c r="D824" s="42">
        <v>824</v>
      </c>
      <c r="E824" s="42">
        <v>30000000</v>
      </c>
    </row>
    <row r="825" spans="1:6" x14ac:dyDescent="0.2">
      <c r="A825" s="42">
        <v>825</v>
      </c>
      <c r="B825" s="42">
        <v>1500000000</v>
      </c>
      <c r="D825" s="42">
        <v>825</v>
      </c>
      <c r="E825" s="42">
        <v>30000000</v>
      </c>
    </row>
    <row r="826" spans="1:6" x14ac:dyDescent="0.2">
      <c r="A826" s="42">
        <v>826</v>
      </c>
      <c r="B826" s="42">
        <v>1500000000</v>
      </c>
      <c r="D826" s="42">
        <v>826</v>
      </c>
      <c r="E826" s="42">
        <v>30000000</v>
      </c>
    </row>
    <row r="827" spans="1:6" x14ac:dyDescent="0.2">
      <c r="A827" s="42">
        <v>827</v>
      </c>
      <c r="B827" s="42">
        <v>1500000000</v>
      </c>
      <c r="D827" s="42">
        <v>827</v>
      </c>
      <c r="E827" s="42">
        <v>30000000</v>
      </c>
    </row>
    <row r="828" spans="1:6" x14ac:dyDescent="0.2">
      <c r="A828" s="42">
        <v>828</v>
      </c>
      <c r="B828" s="42">
        <v>1500000000</v>
      </c>
      <c r="D828" s="42">
        <v>828</v>
      </c>
      <c r="E828" s="42">
        <v>30000000</v>
      </c>
    </row>
    <row r="829" spans="1:6" x14ac:dyDescent="0.2">
      <c r="A829" s="42">
        <v>829</v>
      </c>
      <c r="B829" s="42">
        <v>1500000000</v>
      </c>
      <c r="D829" s="42">
        <v>829</v>
      </c>
      <c r="E829" s="42">
        <v>30000000</v>
      </c>
    </row>
    <row r="830" spans="1:6" x14ac:dyDescent="0.2">
      <c r="A830" s="42">
        <v>830</v>
      </c>
      <c r="B830" s="42">
        <v>1500000000</v>
      </c>
      <c r="D830" s="42">
        <v>830</v>
      </c>
      <c r="E830" s="42">
        <v>30000000</v>
      </c>
      <c r="F830" s="43">
        <f t="shared" si="34"/>
        <v>300000000</v>
      </c>
    </row>
    <row r="831" spans="1:6" x14ac:dyDescent="0.2">
      <c r="A831" s="42">
        <v>831</v>
      </c>
      <c r="B831" s="42">
        <v>1500000000</v>
      </c>
      <c r="D831" s="42">
        <v>831</v>
      </c>
      <c r="E831" s="42">
        <v>30000000</v>
      </c>
    </row>
    <row r="832" spans="1:6" x14ac:dyDescent="0.2">
      <c r="A832" s="42">
        <v>832</v>
      </c>
      <c r="B832" s="42">
        <v>1500000000</v>
      </c>
      <c r="D832" s="42">
        <v>832</v>
      </c>
      <c r="E832" s="42">
        <v>30000000</v>
      </c>
    </row>
    <row r="833" spans="1:6" x14ac:dyDescent="0.2">
      <c r="A833" s="42">
        <v>833</v>
      </c>
      <c r="B833" s="42">
        <v>1500000000</v>
      </c>
      <c r="D833" s="42">
        <v>833</v>
      </c>
      <c r="E833" s="42">
        <v>30000000</v>
      </c>
    </row>
    <row r="834" spans="1:6" x14ac:dyDescent="0.2">
      <c r="A834" s="42">
        <v>834</v>
      </c>
      <c r="B834" s="42">
        <v>1500000000</v>
      </c>
      <c r="D834" s="42">
        <v>834</v>
      </c>
      <c r="E834" s="42">
        <v>30000000</v>
      </c>
    </row>
    <row r="835" spans="1:6" x14ac:dyDescent="0.2">
      <c r="A835" s="42">
        <v>835</v>
      </c>
      <c r="B835" s="42">
        <v>1500000000</v>
      </c>
      <c r="D835" s="42">
        <v>835</v>
      </c>
      <c r="E835" s="42">
        <v>30000000</v>
      </c>
    </row>
    <row r="836" spans="1:6" x14ac:dyDescent="0.2">
      <c r="A836" s="42">
        <v>836</v>
      </c>
      <c r="B836" s="42">
        <v>1500000000</v>
      </c>
      <c r="D836" s="42">
        <v>836</v>
      </c>
      <c r="E836" s="42">
        <v>30000000</v>
      </c>
    </row>
    <row r="837" spans="1:6" x14ac:dyDescent="0.2">
      <c r="A837" s="42">
        <v>837</v>
      </c>
      <c r="B837" s="42">
        <v>1500000000</v>
      </c>
      <c r="D837" s="42">
        <v>837</v>
      </c>
      <c r="E837" s="42">
        <v>30000000</v>
      </c>
    </row>
    <row r="838" spans="1:6" x14ac:dyDescent="0.2">
      <c r="A838" s="42">
        <v>838</v>
      </c>
      <c r="B838" s="42">
        <v>1500000000</v>
      </c>
      <c r="D838" s="42">
        <v>838</v>
      </c>
      <c r="E838" s="42">
        <v>30000000</v>
      </c>
    </row>
    <row r="839" spans="1:6" x14ac:dyDescent="0.2">
      <c r="A839" s="42">
        <v>839</v>
      </c>
      <c r="B839" s="42">
        <v>1500000000</v>
      </c>
      <c r="D839" s="42">
        <v>839</v>
      </c>
      <c r="E839" s="42">
        <v>30000000</v>
      </c>
    </row>
    <row r="840" spans="1:6" x14ac:dyDescent="0.2">
      <c r="A840" s="42">
        <v>840</v>
      </c>
      <c r="B840" s="42">
        <v>1500000000</v>
      </c>
      <c r="D840" s="42">
        <v>840</v>
      </c>
      <c r="E840" s="42">
        <v>30000000</v>
      </c>
      <c r="F840" s="43">
        <f t="shared" si="34"/>
        <v>300000000</v>
      </c>
    </row>
    <row r="841" spans="1:6" x14ac:dyDescent="0.2">
      <c r="A841" s="42">
        <v>841</v>
      </c>
      <c r="B841" s="42">
        <v>1500000000</v>
      </c>
      <c r="D841" s="42">
        <v>841</v>
      </c>
      <c r="E841" s="42">
        <v>30000000</v>
      </c>
    </row>
    <row r="842" spans="1:6" x14ac:dyDescent="0.2">
      <c r="A842" s="42">
        <v>842</v>
      </c>
      <c r="B842" s="42">
        <v>1500000000</v>
      </c>
      <c r="D842" s="42">
        <v>842</v>
      </c>
      <c r="E842" s="42">
        <v>30000000</v>
      </c>
    </row>
    <row r="843" spans="1:6" x14ac:dyDescent="0.2">
      <c r="A843" s="42">
        <v>843</v>
      </c>
      <c r="B843" s="42">
        <v>1500000000</v>
      </c>
      <c r="D843" s="42">
        <v>843</v>
      </c>
      <c r="E843" s="42">
        <v>30000000</v>
      </c>
    </row>
    <row r="844" spans="1:6" x14ac:dyDescent="0.2">
      <c r="A844" s="42">
        <v>844</v>
      </c>
      <c r="B844" s="42">
        <v>1500000000</v>
      </c>
      <c r="D844" s="42">
        <v>844</v>
      </c>
      <c r="E844" s="42">
        <v>30000000</v>
      </c>
    </row>
    <row r="845" spans="1:6" x14ac:dyDescent="0.2">
      <c r="A845" s="42">
        <v>845</v>
      </c>
      <c r="B845" s="42">
        <v>1500000000</v>
      </c>
      <c r="D845" s="42">
        <v>845</v>
      </c>
      <c r="E845" s="42">
        <v>30000000</v>
      </c>
    </row>
    <row r="846" spans="1:6" x14ac:dyDescent="0.2">
      <c r="A846" s="42">
        <v>846</v>
      </c>
      <c r="B846" s="42">
        <v>1500000000</v>
      </c>
      <c r="D846" s="42">
        <v>846</v>
      </c>
      <c r="E846" s="42">
        <v>30000000</v>
      </c>
    </row>
    <row r="847" spans="1:6" x14ac:dyDescent="0.2">
      <c r="A847" s="42">
        <v>847</v>
      </c>
      <c r="B847" s="42">
        <v>1500000000</v>
      </c>
      <c r="D847" s="42">
        <v>847</v>
      </c>
      <c r="E847" s="42">
        <v>30000000</v>
      </c>
    </row>
    <row r="848" spans="1:6" x14ac:dyDescent="0.2">
      <c r="A848" s="42">
        <v>848</v>
      </c>
      <c r="B848" s="42">
        <v>1500000000</v>
      </c>
      <c r="D848" s="42">
        <v>848</v>
      </c>
      <c r="E848" s="42">
        <v>30000000</v>
      </c>
    </row>
    <row r="849" spans="1:6" x14ac:dyDescent="0.2">
      <c r="A849" s="42">
        <v>849</v>
      </c>
      <c r="B849" s="42">
        <v>1500000000</v>
      </c>
      <c r="D849" s="42">
        <v>849</v>
      </c>
      <c r="E849" s="42">
        <v>30000000</v>
      </c>
    </row>
    <row r="850" spans="1:6" x14ac:dyDescent="0.2">
      <c r="A850" s="42">
        <v>850</v>
      </c>
      <c r="B850" s="42">
        <v>1500000000</v>
      </c>
      <c r="D850" s="42">
        <v>850</v>
      </c>
      <c r="E850" s="42">
        <v>30000000</v>
      </c>
      <c r="F850" s="43">
        <f t="shared" si="34"/>
        <v>300000000</v>
      </c>
    </row>
    <row r="851" spans="1:6" x14ac:dyDescent="0.2">
      <c r="A851" s="42">
        <v>851</v>
      </c>
      <c r="B851" s="42">
        <v>1500000000</v>
      </c>
      <c r="D851" s="42">
        <v>851</v>
      </c>
      <c r="E851" s="42">
        <v>30000000</v>
      </c>
    </row>
    <row r="852" spans="1:6" x14ac:dyDescent="0.2">
      <c r="A852" s="42">
        <v>852</v>
      </c>
      <c r="B852" s="42">
        <v>1500000000</v>
      </c>
      <c r="D852" s="42">
        <v>852</v>
      </c>
      <c r="E852" s="42">
        <v>30000000</v>
      </c>
    </row>
    <row r="853" spans="1:6" x14ac:dyDescent="0.2">
      <c r="A853" s="42">
        <v>853</v>
      </c>
      <c r="B853" s="42">
        <v>1500000000</v>
      </c>
      <c r="D853" s="42">
        <v>853</v>
      </c>
      <c r="E853" s="42">
        <v>30000000</v>
      </c>
    </row>
    <row r="854" spans="1:6" x14ac:dyDescent="0.2">
      <c r="A854" s="42">
        <v>854</v>
      </c>
      <c r="B854" s="42">
        <v>1500000000</v>
      </c>
      <c r="D854" s="42">
        <v>854</v>
      </c>
      <c r="E854" s="42">
        <v>30000000</v>
      </c>
    </row>
    <row r="855" spans="1:6" x14ac:dyDescent="0.2">
      <c r="A855" s="42">
        <v>855</v>
      </c>
      <c r="B855" s="42">
        <v>1500000000</v>
      </c>
      <c r="D855" s="42">
        <v>855</v>
      </c>
      <c r="E855" s="42">
        <v>30000000</v>
      </c>
    </row>
    <row r="856" spans="1:6" x14ac:dyDescent="0.2">
      <c r="A856" s="42">
        <v>856</v>
      </c>
      <c r="B856" s="42">
        <v>1500000000</v>
      </c>
      <c r="D856" s="42">
        <v>856</v>
      </c>
      <c r="E856" s="42">
        <v>30000000</v>
      </c>
    </row>
    <row r="857" spans="1:6" x14ac:dyDescent="0.2">
      <c r="A857" s="42">
        <v>857</v>
      </c>
      <c r="B857" s="42">
        <v>1500000000</v>
      </c>
      <c r="D857" s="42">
        <v>857</v>
      </c>
      <c r="E857" s="42">
        <v>30000000</v>
      </c>
    </row>
    <row r="858" spans="1:6" x14ac:dyDescent="0.2">
      <c r="A858" s="42">
        <v>858</v>
      </c>
      <c r="B858" s="42">
        <v>1500000000</v>
      </c>
      <c r="D858" s="42">
        <v>858</v>
      </c>
      <c r="E858" s="42">
        <v>30000000</v>
      </c>
    </row>
    <row r="859" spans="1:6" x14ac:dyDescent="0.2">
      <c r="A859" s="42">
        <v>859</v>
      </c>
      <c r="B859" s="42">
        <v>1500000000</v>
      </c>
      <c r="D859" s="42">
        <v>859</v>
      </c>
      <c r="E859" s="42">
        <v>30000000</v>
      </c>
    </row>
    <row r="860" spans="1:6" x14ac:dyDescent="0.2">
      <c r="A860" s="42">
        <v>860</v>
      </c>
      <c r="B860" s="42">
        <v>1500000000</v>
      </c>
      <c r="D860" s="42">
        <v>860</v>
      </c>
      <c r="E860" s="42">
        <v>30000000</v>
      </c>
      <c r="F860" s="43">
        <f t="shared" si="34"/>
        <v>300000000</v>
      </c>
    </row>
    <row r="861" spans="1:6" x14ac:dyDescent="0.2">
      <c r="A861" s="42">
        <v>861</v>
      </c>
      <c r="B861" s="42">
        <v>1500000000</v>
      </c>
      <c r="D861" s="42">
        <v>861</v>
      </c>
      <c r="E861" s="42">
        <v>30000000</v>
      </c>
    </row>
    <row r="862" spans="1:6" x14ac:dyDescent="0.2">
      <c r="A862" s="42">
        <v>862</v>
      </c>
      <c r="B862" s="42">
        <v>1500000000</v>
      </c>
      <c r="D862" s="42">
        <v>862</v>
      </c>
      <c r="E862" s="42">
        <v>30000000</v>
      </c>
    </row>
    <row r="863" spans="1:6" x14ac:dyDescent="0.2">
      <c r="A863" s="42">
        <v>863</v>
      </c>
      <c r="B863" s="42">
        <v>1500000000</v>
      </c>
      <c r="D863" s="42">
        <v>863</v>
      </c>
      <c r="E863" s="42">
        <v>30000000</v>
      </c>
    </row>
    <row r="864" spans="1:6" x14ac:dyDescent="0.2">
      <c r="A864" s="42">
        <v>864</v>
      </c>
      <c r="B864" s="42">
        <v>1500000000</v>
      </c>
      <c r="D864" s="42">
        <v>864</v>
      </c>
      <c r="E864" s="42">
        <v>30000000</v>
      </c>
    </row>
    <row r="865" spans="1:6" x14ac:dyDescent="0.2">
      <c r="A865" s="42">
        <v>865</v>
      </c>
      <c r="B865" s="42">
        <v>1500000000</v>
      </c>
      <c r="D865" s="42">
        <v>865</v>
      </c>
      <c r="E865" s="42">
        <v>30000000</v>
      </c>
    </row>
    <row r="866" spans="1:6" x14ac:dyDescent="0.2">
      <c r="A866" s="42">
        <v>866</v>
      </c>
      <c r="B866" s="42">
        <v>1500000000</v>
      </c>
      <c r="D866" s="42">
        <v>866</v>
      </c>
      <c r="E866" s="42">
        <v>30000000</v>
      </c>
    </row>
    <row r="867" spans="1:6" x14ac:dyDescent="0.2">
      <c r="A867" s="42">
        <v>867</v>
      </c>
      <c r="B867" s="42">
        <v>1500000000</v>
      </c>
      <c r="D867" s="42">
        <v>867</v>
      </c>
      <c r="E867" s="42">
        <v>30000000</v>
      </c>
    </row>
    <row r="868" spans="1:6" x14ac:dyDescent="0.2">
      <c r="A868" s="42">
        <v>868</v>
      </c>
      <c r="B868" s="42">
        <v>1500000000</v>
      </c>
      <c r="D868" s="42">
        <v>868</v>
      </c>
      <c r="E868" s="42">
        <v>30000000</v>
      </c>
    </row>
    <row r="869" spans="1:6" x14ac:dyDescent="0.2">
      <c r="A869" s="42">
        <v>869</v>
      </c>
      <c r="B869" s="42">
        <v>1500000000</v>
      </c>
      <c r="D869" s="42">
        <v>869</v>
      </c>
      <c r="E869" s="42">
        <v>30000000</v>
      </c>
    </row>
    <row r="870" spans="1:6" x14ac:dyDescent="0.2">
      <c r="A870" s="42">
        <v>870</v>
      </c>
      <c r="B870" s="42">
        <v>1500000000</v>
      </c>
      <c r="D870" s="42">
        <v>870</v>
      </c>
      <c r="E870" s="42">
        <v>30000000</v>
      </c>
      <c r="F870" s="43">
        <f t="shared" si="34"/>
        <v>300000000</v>
      </c>
    </row>
    <row r="871" spans="1:6" x14ac:dyDescent="0.2">
      <c r="A871" s="42">
        <v>871</v>
      </c>
      <c r="B871" s="42">
        <v>1500000000</v>
      </c>
      <c r="D871" s="42">
        <v>871</v>
      </c>
      <c r="E871" s="42">
        <v>30000000</v>
      </c>
    </row>
    <row r="872" spans="1:6" x14ac:dyDescent="0.2">
      <c r="A872" s="42">
        <v>872</v>
      </c>
      <c r="B872" s="42">
        <v>1500000000</v>
      </c>
      <c r="D872" s="42">
        <v>872</v>
      </c>
      <c r="E872" s="42">
        <v>30000000</v>
      </c>
    </row>
    <row r="873" spans="1:6" x14ac:dyDescent="0.2">
      <c r="A873" s="42">
        <v>873</v>
      </c>
      <c r="B873" s="42">
        <v>1500000000</v>
      </c>
      <c r="D873" s="42">
        <v>873</v>
      </c>
      <c r="E873" s="42">
        <v>30000000</v>
      </c>
    </row>
    <row r="874" spans="1:6" x14ac:dyDescent="0.2">
      <c r="A874" s="42">
        <v>874</v>
      </c>
      <c r="B874" s="42">
        <v>1500000000</v>
      </c>
      <c r="D874" s="42">
        <v>874</v>
      </c>
      <c r="E874" s="42">
        <v>30000000</v>
      </c>
    </row>
    <row r="875" spans="1:6" x14ac:dyDescent="0.2">
      <c r="A875" s="42">
        <v>875</v>
      </c>
      <c r="B875" s="42">
        <v>1500000000</v>
      </c>
      <c r="D875" s="42">
        <v>875</v>
      </c>
      <c r="E875" s="42">
        <v>30000000</v>
      </c>
    </row>
    <row r="876" spans="1:6" x14ac:dyDescent="0.2">
      <c r="A876" s="42">
        <v>876</v>
      </c>
      <c r="B876" s="42">
        <v>1500000000</v>
      </c>
      <c r="D876" s="42">
        <v>876</v>
      </c>
      <c r="E876" s="42">
        <v>30000000</v>
      </c>
    </row>
    <row r="877" spans="1:6" x14ac:dyDescent="0.2">
      <c r="A877" s="42">
        <v>877</v>
      </c>
      <c r="B877" s="42">
        <v>1500000000</v>
      </c>
      <c r="D877" s="42">
        <v>877</v>
      </c>
      <c r="E877" s="42">
        <v>30000000</v>
      </c>
    </row>
    <row r="878" spans="1:6" x14ac:dyDescent="0.2">
      <c r="A878" s="42">
        <v>878</v>
      </c>
      <c r="B878" s="42">
        <v>1500000000</v>
      </c>
      <c r="D878" s="42">
        <v>878</v>
      </c>
      <c r="E878" s="42">
        <v>30000000</v>
      </c>
    </row>
    <row r="879" spans="1:6" x14ac:dyDescent="0.2">
      <c r="A879" s="42">
        <v>879</v>
      </c>
      <c r="B879" s="42">
        <v>1500000000</v>
      </c>
      <c r="D879" s="42">
        <v>879</v>
      </c>
      <c r="E879" s="42">
        <v>30000000</v>
      </c>
    </row>
    <row r="880" spans="1:6" x14ac:dyDescent="0.2">
      <c r="A880" s="42">
        <v>880</v>
      </c>
      <c r="B880" s="42">
        <v>1500000000</v>
      </c>
      <c r="D880" s="42">
        <v>880</v>
      </c>
      <c r="E880" s="42">
        <v>30000000</v>
      </c>
      <c r="F880" s="43">
        <f t="shared" si="34"/>
        <v>300000000</v>
      </c>
    </row>
    <row r="881" spans="1:6" x14ac:dyDescent="0.2">
      <c r="A881" s="42">
        <v>881</v>
      </c>
      <c r="B881" s="42">
        <v>1500000000</v>
      </c>
      <c r="D881" s="42">
        <v>881</v>
      </c>
      <c r="E881" s="42">
        <v>30000000</v>
      </c>
    </row>
    <row r="882" spans="1:6" x14ac:dyDescent="0.2">
      <c r="A882" s="42">
        <v>882</v>
      </c>
      <c r="B882" s="42">
        <v>1500000000</v>
      </c>
      <c r="D882" s="42">
        <v>882</v>
      </c>
      <c r="E882" s="42">
        <v>30000000</v>
      </c>
    </row>
    <row r="883" spans="1:6" x14ac:dyDescent="0.2">
      <c r="A883" s="42">
        <v>883</v>
      </c>
      <c r="B883" s="42">
        <v>1500000000</v>
      </c>
      <c r="D883" s="42">
        <v>883</v>
      </c>
      <c r="E883" s="42">
        <v>30000000</v>
      </c>
    </row>
    <row r="884" spans="1:6" x14ac:dyDescent="0.2">
      <c r="A884" s="42">
        <v>884</v>
      </c>
      <c r="B884" s="42">
        <v>1500000000</v>
      </c>
      <c r="D884" s="42">
        <v>884</v>
      </c>
      <c r="E884" s="42">
        <v>30000000</v>
      </c>
    </row>
    <row r="885" spans="1:6" x14ac:dyDescent="0.2">
      <c r="A885" s="42">
        <v>885</v>
      </c>
      <c r="B885" s="42">
        <v>1500000000</v>
      </c>
      <c r="D885" s="42">
        <v>885</v>
      </c>
      <c r="E885" s="42">
        <v>30000000</v>
      </c>
    </row>
    <row r="886" spans="1:6" x14ac:dyDescent="0.2">
      <c r="A886" s="42">
        <v>886</v>
      </c>
      <c r="B886" s="42">
        <v>1500000000</v>
      </c>
      <c r="D886" s="42">
        <v>886</v>
      </c>
      <c r="E886" s="42">
        <v>30000000</v>
      </c>
    </row>
    <row r="887" spans="1:6" x14ac:dyDescent="0.2">
      <c r="A887" s="42">
        <v>887</v>
      </c>
      <c r="B887" s="42">
        <v>1500000000</v>
      </c>
      <c r="D887" s="42">
        <v>887</v>
      </c>
      <c r="E887" s="42">
        <v>30000000</v>
      </c>
    </row>
    <row r="888" spans="1:6" x14ac:dyDescent="0.2">
      <c r="A888" s="42">
        <v>888</v>
      </c>
      <c r="B888" s="42">
        <v>1500000000</v>
      </c>
      <c r="D888" s="42">
        <v>888</v>
      </c>
      <c r="E888" s="42">
        <v>30000000</v>
      </c>
    </row>
    <row r="889" spans="1:6" x14ac:dyDescent="0.2">
      <c r="A889" s="42">
        <v>889</v>
      </c>
      <c r="B889" s="42">
        <v>1500000000</v>
      </c>
      <c r="D889" s="42">
        <v>889</v>
      </c>
      <c r="E889" s="42">
        <v>30000000</v>
      </c>
    </row>
    <row r="890" spans="1:6" x14ac:dyDescent="0.2">
      <c r="A890" s="42">
        <v>890</v>
      </c>
      <c r="B890" s="42">
        <v>1500000000</v>
      </c>
      <c r="D890" s="42">
        <v>890</v>
      </c>
      <c r="E890" s="42">
        <v>30000000</v>
      </c>
      <c r="F890" s="43">
        <f t="shared" ref="F890:F950" si="35">SUM(E881:E890)</f>
        <v>300000000</v>
      </c>
    </row>
    <row r="891" spans="1:6" x14ac:dyDescent="0.2">
      <c r="A891" s="42">
        <v>891</v>
      </c>
      <c r="B891" s="42">
        <v>1500000000</v>
      </c>
      <c r="D891" s="42">
        <v>891</v>
      </c>
      <c r="E891" s="42">
        <v>30000000</v>
      </c>
    </row>
    <row r="892" spans="1:6" x14ac:dyDescent="0.2">
      <c r="A892" s="42">
        <v>892</v>
      </c>
      <c r="B892" s="42">
        <v>1500000000</v>
      </c>
      <c r="D892" s="42">
        <v>892</v>
      </c>
      <c r="E892" s="42">
        <v>30000000</v>
      </c>
    </row>
    <row r="893" spans="1:6" x14ac:dyDescent="0.2">
      <c r="A893" s="42">
        <v>893</v>
      </c>
      <c r="B893" s="42">
        <v>1500000000</v>
      </c>
      <c r="D893" s="42">
        <v>893</v>
      </c>
      <c r="E893" s="42">
        <v>30000000</v>
      </c>
    </row>
    <row r="894" spans="1:6" x14ac:dyDescent="0.2">
      <c r="A894" s="42">
        <v>894</v>
      </c>
      <c r="B894" s="42">
        <v>1500000000</v>
      </c>
      <c r="D894" s="42">
        <v>894</v>
      </c>
      <c r="E894" s="42">
        <v>30000000</v>
      </c>
    </row>
    <row r="895" spans="1:6" x14ac:dyDescent="0.2">
      <c r="A895" s="42">
        <v>895</v>
      </c>
      <c r="B895" s="42">
        <v>1500000000</v>
      </c>
      <c r="D895" s="42">
        <v>895</v>
      </c>
      <c r="E895" s="42">
        <v>30000000</v>
      </c>
    </row>
    <row r="896" spans="1:6" x14ac:dyDescent="0.2">
      <c r="A896" s="42">
        <v>896</v>
      </c>
      <c r="B896" s="42">
        <v>1500000000</v>
      </c>
      <c r="D896" s="42">
        <v>896</v>
      </c>
      <c r="E896" s="42">
        <v>30000000</v>
      </c>
    </row>
    <row r="897" spans="1:6" x14ac:dyDescent="0.2">
      <c r="A897" s="42">
        <v>897</v>
      </c>
      <c r="B897" s="42">
        <v>1500000000</v>
      </c>
      <c r="D897" s="42">
        <v>897</v>
      </c>
      <c r="E897" s="42">
        <v>30000000</v>
      </c>
    </row>
    <row r="898" spans="1:6" x14ac:dyDescent="0.2">
      <c r="A898" s="42">
        <v>898</v>
      </c>
      <c r="B898" s="42">
        <v>1500000000</v>
      </c>
      <c r="D898" s="42">
        <v>898</v>
      </c>
      <c r="E898" s="42">
        <v>30000000</v>
      </c>
    </row>
    <row r="899" spans="1:6" x14ac:dyDescent="0.2">
      <c r="A899" s="42">
        <v>899</v>
      </c>
      <c r="B899" s="42">
        <v>1500000000</v>
      </c>
      <c r="D899" s="42">
        <v>899</v>
      </c>
      <c r="E899" s="42">
        <v>30000000</v>
      </c>
    </row>
    <row r="900" spans="1:6" x14ac:dyDescent="0.2">
      <c r="A900" s="42">
        <v>900</v>
      </c>
      <c r="B900" s="42">
        <v>1500000000</v>
      </c>
      <c r="D900" s="42">
        <v>900</v>
      </c>
      <c r="E900" s="42">
        <v>30000000</v>
      </c>
      <c r="F900" s="43">
        <f t="shared" si="35"/>
        <v>300000000</v>
      </c>
    </row>
    <row r="901" spans="1:6" x14ac:dyDescent="0.2">
      <c r="A901" s="42">
        <v>901</v>
      </c>
      <c r="B901" s="42">
        <v>1500000000</v>
      </c>
      <c r="D901" s="42">
        <v>901</v>
      </c>
      <c r="E901" s="42">
        <v>30000000</v>
      </c>
    </row>
    <row r="902" spans="1:6" x14ac:dyDescent="0.2">
      <c r="A902" s="42">
        <v>902</v>
      </c>
      <c r="B902" s="42">
        <v>1500000000</v>
      </c>
      <c r="D902" s="42">
        <v>902</v>
      </c>
      <c r="E902" s="42">
        <v>30000000</v>
      </c>
    </row>
    <row r="903" spans="1:6" x14ac:dyDescent="0.2">
      <c r="A903" s="42">
        <v>903</v>
      </c>
      <c r="B903" s="42">
        <v>1500000000</v>
      </c>
      <c r="D903" s="42">
        <v>903</v>
      </c>
      <c r="E903" s="42">
        <v>30000000</v>
      </c>
    </row>
    <row r="904" spans="1:6" x14ac:dyDescent="0.2">
      <c r="A904" s="42">
        <v>904</v>
      </c>
      <c r="B904" s="42">
        <v>1500000000</v>
      </c>
      <c r="D904" s="42">
        <v>904</v>
      </c>
      <c r="E904" s="42">
        <v>30000000</v>
      </c>
    </row>
    <row r="905" spans="1:6" x14ac:dyDescent="0.2">
      <c r="A905" s="42">
        <v>905</v>
      </c>
      <c r="B905" s="42">
        <v>1500000000</v>
      </c>
      <c r="D905" s="42">
        <v>905</v>
      </c>
      <c r="E905" s="42">
        <v>30000000</v>
      </c>
    </row>
    <row r="906" spans="1:6" x14ac:dyDescent="0.2">
      <c r="A906" s="42">
        <v>906</v>
      </c>
      <c r="B906" s="42">
        <v>1500000000</v>
      </c>
      <c r="D906" s="42">
        <v>906</v>
      </c>
      <c r="E906" s="42">
        <v>30000000</v>
      </c>
    </row>
    <row r="907" spans="1:6" x14ac:dyDescent="0.2">
      <c r="A907" s="42">
        <v>907</v>
      </c>
      <c r="B907" s="42">
        <v>1500000000</v>
      </c>
      <c r="D907" s="42">
        <v>907</v>
      </c>
      <c r="E907" s="42">
        <v>30000000</v>
      </c>
    </row>
    <row r="908" spans="1:6" x14ac:dyDescent="0.2">
      <c r="A908" s="42">
        <v>908</v>
      </c>
      <c r="B908" s="42">
        <v>1500000000</v>
      </c>
      <c r="D908" s="42">
        <v>908</v>
      </c>
      <c r="E908" s="42">
        <v>30000000</v>
      </c>
    </row>
    <row r="909" spans="1:6" x14ac:dyDescent="0.2">
      <c r="A909" s="42">
        <v>909</v>
      </c>
      <c r="B909" s="42">
        <v>1500000000</v>
      </c>
      <c r="D909" s="42">
        <v>909</v>
      </c>
      <c r="E909" s="42">
        <v>30000000</v>
      </c>
    </row>
    <row r="910" spans="1:6" x14ac:dyDescent="0.2">
      <c r="A910" s="42">
        <v>910</v>
      </c>
      <c r="B910" s="42">
        <v>1500000000</v>
      </c>
      <c r="D910" s="42">
        <v>910</v>
      </c>
      <c r="E910" s="42">
        <v>30000000</v>
      </c>
      <c r="F910" s="43">
        <f t="shared" si="35"/>
        <v>300000000</v>
      </c>
    </row>
    <row r="911" spans="1:6" x14ac:dyDescent="0.2">
      <c r="A911" s="42">
        <v>911</v>
      </c>
      <c r="B911" s="42">
        <v>1500000000</v>
      </c>
      <c r="D911" s="42">
        <v>911</v>
      </c>
      <c r="E911" s="42">
        <v>30000000</v>
      </c>
    </row>
    <row r="912" spans="1:6" x14ac:dyDescent="0.2">
      <c r="A912" s="42">
        <v>912</v>
      </c>
      <c r="B912" s="42">
        <v>1500000000</v>
      </c>
      <c r="D912" s="42">
        <v>912</v>
      </c>
      <c r="E912" s="42">
        <v>30000000</v>
      </c>
    </row>
    <row r="913" spans="1:6" x14ac:dyDescent="0.2">
      <c r="A913" s="42">
        <v>913</v>
      </c>
      <c r="B913" s="42">
        <v>1500000000</v>
      </c>
      <c r="D913" s="42">
        <v>913</v>
      </c>
      <c r="E913" s="42">
        <v>30000000</v>
      </c>
    </row>
    <row r="914" spans="1:6" x14ac:dyDescent="0.2">
      <c r="A914" s="42">
        <v>914</v>
      </c>
      <c r="B914" s="42">
        <v>1500000000</v>
      </c>
      <c r="D914" s="42">
        <v>914</v>
      </c>
      <c r="E914" s="42">
        <v>30000000</v>
      </c>
    </row>
    <row r="915" spans="1:6" x14ac:dyDescent="0.2">
      <c r="A915" s="42">
        <v>915</v>
      </c>
      <c r="B915" s="42">
        <v>1500000000</v>
      </c>
      <c r="D915" s="42">
        <v>915</v>
      </c>
      <c r="E915" s="42">
        <v>30000000</v>
      </c>
    </row>
    <row r="916" spans="1:6" x14ac:dyDescent="0.2">
      <c r="A916" s="42">
        <v>916</v>
      </c>
      <c r="B916" s="42">
        <v>1500000000</v>
      </c>
      <c r="D916" s="42">
        <v>916</v>
      </c>
      <c r="E916" s="42">
        <v>30000000</v>
      </c>
    </row>
    <row r="917" spans="1:6" x14ac:dyDescent="0.2">
      <c r="A917" s="42">
        <v>917</v>
      </c>
      <c r="B917" s="42">
        <v>1500000000</v>
      </c>
      <c r="D917" s="42">
        <v>917</v>
      </c>
      <c r="E917" s="42">
        <v>30000000</v>
      </c>
    </row>
    <row r="918" spans="1:6" x14ac:dyDescent="0.2">
      <c r="A918" s="42">
        <v>918</v>
      </c>
      <c r="B918" s="42">
        <v>1500000000</v>
      </c>
      <c r="D918" s="42">
        <v>918</v>
      </c>
      <c r="E918" s="42">
        <v>30000000</v>
      </c>
    </row>
    <row r="919" spans="1:6" x14ac:dyDescent="0.2">
      <c r="A919" s="42">
        <v>919</v>
      </c>
      <c r="B919" s="42">
        <v>1500000000</v>
      </c>
      <c r="D919" s="42">
        <v>919</v>
      </c>
      <c r="E919" s="42">
        <v>30000000</v>
      </c>
    </row>
    <row r="920" spans="1:6" x14ac:dyDescent="0.2">
      <c r="A920" s="42">
        <v>920</v>
      </c>
      <c r="B920" s="42">
        <v>1500000000</v>
      </c>
      <c r="D920" s="42">
        <v>920</v>
      </c>
      <c r="E920" s="42">
        <v>30000000</v>
      </c>
      <c r="F920" s="43">
        <f t="shared" si="35"/>
        <v>300000000</v>
      </c>
    </row>
    <row r="921" spans="1:6" x14ac:dyDescent="0.2">
      <c r="A921" s="42">
        <v>921</v>
      </c>
      <c r="B921" s="42">
        <v>1500000000</v>
      </c>
      <c r="D921" s="42">
        <v>921</v>
      </c>
      <c r="E921" s="42">
        <v>30000000</v>
      </c>
    </row>
    <row r="922" spans="1:6" x14ac:dyDescent="0.2">
      <c r="A922" s="42">
        <v>922</v>
      </c>
      <c r="B922" s="42">
        <v>1500000000</v>
      </c>
      <c r="D922" s="42">
        <v>922</v>
      </c>
      <c r="E922" s="42">
        <v>30000000</v>
      </c>
    </row>
    <row r="923" spans="1:6" x14ac:dyDescent="0.2">
      <c r="A923" s="42">
        <v>923</v>
      </c>
      <c r="B923" s="42">
        <v>1500000000</v>
      </c>
      <c r="D923" s="42">
        <v>923</v>
      </c>
      <c r="E923" s="42">
        <v>30000000</v>
      </c>
    </row>
    <row r="924" spans="1:6" x14ac:dyDescent="0.2">
      <c r="A924" s="42">
        <v>924</v>
      </c>
      <c r="B924" s="42">
        <v>1500000000</v>
      </c>
      <c r="D924" s="42">
        <v>924</v>
      </c>
      <c r="E924" s="42">
        <v>30000000</v>
      </c>
    </row>
    <row r="925" spans="1:6" x14ac:dyDescent="0.2">
      <c r="A925" s="42">
        <v>925</v>
      </c>
      <c r="B925" s="42">
        <v>1500000000</v>
      </c>
      <c r="D925" s="42">
        <v>925</v>
      </c>
      <c r="E925" s="42">
        <v>30000000</v>
      </c>
    </row>
    <row r="926" spans="1:6" x14ac:dyDescent="0.2">
      <c r="A926" s="42">
        <v>926</v>
      </c>
      <c r="B926" s="42">
        <v>1500000000</v>
      </c>
      <c r="D926" s="42">
        <v>926</v>
      </c>
      <c r="E926" s="42">
        <v>30000000</v>
      </c>
    </row>
    <row r="927" spans="1:6" x14ac:dyDescent="0.2">
      <c r="A927" s="42">
        <v>927</v>
      </c>
      <c r="B927" s="42">
        <v>1500000000</v>
      </c>
      <c r="D927" s="42">
        <v>927</v>
      </c>
      <c r="E927" s="42">
        <v>30000000</v>
      </c>
    </row>
    <row r="928" spans="1:6" x14ac:dyDescent="0.2">
      <c r="A928" s="42">
        <v>928</v>
      </c>
      <c r="B928" s="42">
        <v>1500000000</v>
      </c>
      <c r="D928" s="42">
        <v>928</v>
      </c>
      <c r="E928" s="42">
        <v>30000000</v>
      </c>
    </row>
    <row r="929" spans="1:6" x14ac:dyDescent="0.2">
      <c r="A929" s="42">
        <v>929</v>
      </c>
      <c r="B929" s="42">
        <v>1500000000</v>
      </c>
      <c r="D929" s="42">
        <v>929</v>
      </c>
      <c r="E929" s="42">
        <v>30000000</v>
      </c>
    </row>
    <row r="930" spans="1:6" x14ac:dyDescent="0.2">
      <c r="A930" s="42">
        <v>930</v>
      </c>
      <c r="B930" s="42">
        <v>1500000000</v>
      </c>
      <c r="D930" s="42">
        <v>930</v>
      </c>
      <c r="E930" s="42">
        <v>30000000</v>
      </c>
      <c r="F930" s="43">
        <f t="shared" si="35"/>
        <v>300000000</v>
      </c>
    </row>
    <row r="931" spans="1:6" x14ac:dyDescent="0.2">
      <c r="A931" s="42">
        <v>931</v>
      </c>
      <c r="B931" s="42">
        <v>1500000000</v>
      </c>
      <c r="D931" s="42">
        <v>931</v>
      </c>
      <c r="E931" s="42">
        <v>30000000</v>
      </c>
    </row>
    <row r="932" spans="1:6" x14ac:dyDescent="0.2">
      <c r="A932" s="42">
        <v>932</v>
      </c>
      <c r="B932" s="42">
        <v>1500000000</v>
      </c>
      <c r="D932" s="42">
        <v>932</v>
      </c>
      <c r="E932" s="42">
        <v>30000000</v>
      </c>
    </row>
    <row r="933" spans="1:6" x14ac:dyDescent="0.2">
      <c r="A933" s="42">
        <v>933</v>
      </c>
      <c r="B933" s="42">
        <v>1500000000</v>
      </c>
      <c r="D933" s="42">
        <v>933</v>
      </c>
      <c r="E933" s="42">
        <v>30000000</v>
      </c>
    </row>
    <row r="934" spans="1:6" x14ac:dyDescent="0.2">
      <c r="A934" s="42">
        <v>934</v>
      </c>
      <c r="B934" s="42">
        <v>1500000000</v>
      </c>
      <c r="D934" s="42">
        <v>934</v>
      </c>
      <c r="E934" s="42">
        <v>30000000</v>
      </c>
    </row>
    <row r="935" spans="1:6" x14ac:dyDescent="0.2">
      <c r="A935" s="42">
        <v>935</v>
      </c>
      <c r="B935" s="42">
        <v>1500000000</v>
      </c>
      <c r="D935" s="42">
        <v>935</v>
      </c>
      <c r="E935" s="42">
        <v>30000000</v>
      </c>
    </row>
    <row r="936" spans="1:6" x14ac:dyDescent="0.2">
      <c r="A936" s="42">
        <v>936</v>
      </c>
      <c r="B936" s="42">
        <v>1500000000</v>
      </c>
      <c r="D936" s="42">
        <v>936</v>
      </c>
      <c r="E936" s="42">
        <v>30000000</v>
      </c>
    </row>
    <row r="937" spans="1:6" x14ac:dyDescent="0.2">
      <c r="A937" s="42">
        <v>937</v>
      </c>
      <c r="B937" s="42">
        <v>1500000000</v>
      </c>
      <c r="D937" s="42">
        <v>937</v>
      </c>
      <c r="E937" s="42">
        <v>30000000</v>
      </c>
    </row>
    <row r="938" spans="1:6" x14ac:dyDescent="0.2">
      <c r="A938" s="42">
        <v>938</v>
      </c>
      <c r="B938" s="42">
        <v>1500000000</v>
      </c>
      <c r="D938" s="42">
        <v>938</v>
      </c>
      <c r="E938" s="42">
        <v>30000000</v>
      </c>
    </row>
    <row r="939" spans="1:6" x14ac:dyDescent="0.2">
      <c r="A939" s="42">
        <v>939</v>
      </c>
      <c r="B939" s="42">
        <v>1500000000</v>
      </c>
      <c r="D939" s="42">
        <v>939</v>
      </c>
      <c r="E939" s="42">
        <v>30000000</v>
      </c>
    </row>
    <row r="940" spans="1:6" x14ac:dyDescent="0.2">
      <c r="A940" s="42">
        <v>940</v>
      </c>
      <c r="B940" s="42">
        <v>1500000000</v>
      </c>
      <c r="D940" s="42">
        <v>940</v>
      </c>
      <c r="E940" s="42">
        <v>30000000</v>
      </c>
      <c r="F940" s="43">
        <f t="shared" si="35"/>
        <v>300000000</v>
      </c>
    </row>
    <row r="941" spans="1:6" x14ac:dyDescent="0.2">
      <c r="A941" s="42">
        <v>941</v>
      </c>
      <c r="B941" s="42">
        <v>1500000000</v>
      </c>
      <c r="D941" s="42">
        <v>941</v>
      </c>
      <c r="E941" s="42">
        <v>30000000</v>
      </c>
    </row>
    <row r="942" spans="1:6" x14ac:dyDescent="0.2">
      <c r="A942" s="42">
        <v>942</v>
      </c>
      <c r="B942" s="42">
        <v>1500000000</v>
      </c>
      <c r="D942" s="42">
        <v>942</v>
      </c>
      <c r="E942" s="42">
        <v>30000000</v>
      </c>
    </row>
    <row r="943" spans="1:6" x14ac:dyDescent="0.2">
      <c r="A943" s="42">
        <v>943</v>
      </c>
      <c r="B943" s="42">
        <v>1500000000</v>
      </c>
      <c r="D943" s="42">
        <v>943</v>
      </c>
      <c r="E943" s="42">
        <v>30000000</v>
      </c>
    </row>
    <row r="944" spans="1:6" x14ac:dyDescent="0.2">
      <c r="A944" s="42">
        <v>944</v>
      </c>
      <c r="B944" s="42">
        <v>1500000000</v>
      </c>
      <c r="D944" s="42">
        <v>944</v>
      </c>
      <c r="E944" s="42">
        <v>30000000</v>
      </c>
    </row>
    <row r="945" spans="1:6" x14ac:dyDescent="0.2">
      <c r="A945" s="42">
        <v>945</v>
      </c>
      <c r="B945" s="42">
        <v>1500000000</v>
      </c>
      <c r="D945" s="42">
        <v>945</v>
      </c>
      <c r="E945" s="42">
        <v>30000000</v>
      </c>
    </row>
    <row r="946" spans="1:6" x14ac:dyDescent="0.2">
      <c r="A946" s="42">
        <v>946</v>
      </c>
      <c r="B946" s="42">
        <v>1500000000</v>
      </c>
      <c r="D946" s="42">
        <v>946</v>
      </c>
      <c r="E946" s="42">
        <v>30000000</v>
      </c>
    </row>
    <row r="947" spans="1:6" x14ac:dyDescent="0.2">
      <c r="A947" s="42">
        <v>947</v>
      </c>
      <c r="B947" s="42">
        <v>1500000000</v>
      </c>
      <c r="D947" s="42">
        <v>947</v>
      </c>
      <c r="E947" s="42">
        <v>30000000</v>
      </c>
    </row>
    <row r="948" spans="1:6" x14ac:dyDescent="0.2">
      <c r="A948" s="42">
        <v>948</v>
      </c>
      <c r="B948" s="42">
        <v>1500000000</v>
      </c>
      <c r="D948" s="42">
        <v>948</v>
      </c>
      <c r="E948" s="42">
        <v>30000000</v>
      </c>
    </row>
    <row r="949" spans="1:6" x14ac:dyDescent="0.2">
      <c r="A949" s="42">
        <v>949</v>
      </c>
      <c r="B949" s="42">
        <v>1500000000</v>
      </c>
      <c r="D949" s="42">
        <v>949</v>
      </c>
      <c r="E949" s="42">
        <v>30000000</v>
      </c>
    </row>
    <row r="950" spans="1:6" x14ac:dyDescent="0.2">
      <c r="A950" s="42">
        <v>950</v>
      </c>
      <c r="B950" s="42">
        <v>1500000000</v>
      </c>
      <c r="D950" s="42">
        <v>950</v>
      </c>
      <c r="E950" s="42">
        <v>30000000</v>
      </c>
      <c r="F950" s="43">
        <f t="shared" si="35"/>
        <v>300000000</v>
      </c>
    </row>
    <row r="951" spans="1:6" x14ac:dyDescent="0.2">
      <c r="A951" s="42">
        <v>951</v>
      </c>
      <c r="B951" s="42">
        <v>1500000000</v>
      </c>
      <c r="D951" s="42">
        <v>951</v>
      </c>
      <c r="E951" s="42">
        <v>30000000</v>
      </c>
    </row>
    <row r="952" spans="1:6" x14ac:dyDescent="0.2">
      <c r="A952" s="42">
        <v>952</v>
      </c>
      <c r="B952" s="42">
        <v>1500000000</v>
      </c>
      <c r="D952" s="42">
        <v>952</v>
      </c>
      <c r="E952" s="42">
        <v>30000000</v>
      </c>
    </row>
    <row r="953" spans="1:6" x14ac:dyDescent="0.2">
      <c r="A953" s="42">
        <v>953</v>
      </c>
      <c r="B953" s="42">
        <v>1500000000</v>
      </c>
      <c r="D953" s="42">
        <v>953</v>
      </c>
      <c r="E953" s="42">
        <v>30000000</v>
      </c>
    </row>
    <row r="954" spans="1:6" x14ac:dyDescent="0.2">
      <c r="A954" s="42">
        <v>954</v>
      </c>
      <c r="B954" s="42">
        <v>1500000000</v>
      </c>
      <c r="D954" s="42">
        <v>954</v>
      </c>
      <c r="E954" s="42">
        <v>30000000</v>
      </c>
    </row>
    <row r="955" spans="1:6" x14ac:dyDescent="0.2">
      <c r="A955" s="42">
        <v>955</v>
      </c>
      <c r="B955" s="42">
        <v>1500000000</v>
      </c>
      <c r="D955" s="42">
        <v>955</v>
      </c>
      <c r="E955" s="42">
        <v>30000000</v>
      </c>
    </row>
    <row r="956" spans="1:6" x14ac:dyDescent="0.2">
      <c r="A956" s="42">
        <v>956</v>
      </c>
      <c r="B956" s="42">
        <v>1500000000</v>
      </c>
      <c r="D956" s="42">
        <v>956</v>
      </c>
      <c r="E956" s="42">
        <v>30000000</v>
      </c>
    </row>
    <row r="957" spans="1:6" x14ac:dyDescent="0.2">
      <c r="A957" s="42">
        <v>957</v>
      </c>
      <c r="B957" s="42">
        <v>1500000000</v>
      </c>
      <c r="D957" s="42">
        <v>957</v>
      </c>
      <c r="E957" s="42">
        <v>30000000</v>
      </c>
    </row>
    <row r="958" spans="1:6" x14ac:dyDescent="0.2">
      <c r="A958" s="42">
        <v>958</v>
      </c>
      <c r="B958" s="42">
        <v>1500000000</v>
      </c>
      <c r="D958" s="42">
        <v>958</v>
      </c>
      <c r="E958" s="42">
        <v>30000000</v>
      </c>
    </row>
    <row r="959" spans="1:6" x14ac:dyDescent="0.2">
      <c r="A959" s="42">
        <v>959</v>
      </c>
      <c r="B959" s="42">
        <v>1500000000</v>
      </c>
      <c r="D959" s="42">
        <v>959</v>
      </c>
      <c r="E959" s="42">
        <v>30000000</v>
      </c>
    </row>
    <row r="960" spans="1:6" x14ac:dyDescent="0.2">
      <c r="A960" s="42">
        <v>960</v>
      </c>
      <c r="B960" s="42">
        <v>1500000000</v>
      </c>
      <c r="D960" s="42">
        <v>960</v>
      </c>
      <c r="E960" s="42">
        <v>30000000</v>
      </c>
      <c r="F960" s="43">
        <f t="shared" ref="F960:F1000" si="36">SUM(E951:E960)</f>
        <v>300000000</v>
      </c>
    </row>
    <row r="961" spans="1:6" x14ac:dyDescent="0.2">
      <c r="A961" s="42">
        <v>961</v>
      </c>
      <c r="B961" s="42">
        <v>1500000000</v>
      </c>
      <c r="D961" s="42">
        <v>961</v>
      </c>
      <c r="E961" s="42">
        <v>30000000</v>
      </c>
    </row>
    <row r="962" spans="1:6" x14ac:dyDescent="0.2">
      <c r="A962" s="42">
        <v>962</v>
      </c>
      <c r="B962" s="42">
        <v>1500000000</v>
      </c>
      <c r="D962" s="42">
        <v>962</v>
      </c>
      <c r="E962" s="42">
        <v>30000000</v>
      </c>
    </row>
    <row r="963" spans="1:6" x14ac:dyDescent="0.2">
      <c r="A963" s="42">
        <v>963</v>
      </c>
      <c r="B963" s="42">
        <v>1500000000</v>
      </c>
      <c r="D963" s="42">
        <v>963</v>
      </c>
      <c r="E963" s="42">
        <v>30000000</v>
      </c>
    </row>
    <row r="964" spans="1:6" x14ac:dyDescent="0.2">
      <c r="A964" s="42">
        <v>964</v>
      </c>
      <c r="B964" s="42">
        <v>1500000000</v>
      </c>
      <c r="D964" s="42">
        <v>964</v>
      </c>
      <c r="E964" s="42">
        <v>30000000</v>
      </c>
    </row>
    <row r="965" spans="1:6" x14ac:dyDescent="0.2">
      <c r="A965" s="42">
        <v>965</v>
      </c>
      <c r="B965" s="42">
        <v>1500000000</v>
      </c>
      <c r="D965" s="42">
        <v>965</v>
      </c>
      <c r="E965" s="42">
        <v>30000000</v>
      </c>
    </row>
    <row r="966" spans="1:6" x14ac:dyDescent="0.2">
      <c r="A966" s="42">
        <v>966</v>
      </c>
      <c r="B966" s="42">
        <v>1500000000</v>
      </c>
      <c r="D966" s="42">
        <v>966</v>
      </c>
      <c r="E966" s="42">
        <v>30000000</v>
      </c>
    </row>
    <row r="967" spans="1:6" x14ac:dyDescent="0.2">
      <c r="A967" s="42">
        <v>967</v>
      </c>
      <c r="B967" s="42">
        <v>1500000000</v>
      </c>
      <c r="D967" s="42">
        <v>967</v>
      </c>
      <c r="E967" s="42">
        <v>30000000</v>
      </c>
    </row>
    <row r="968" spans="1:6" x14ac:dyDescent="0.2">
      <c r="A968" s="42">
        <v>968</v>
      </c>
      <c r="B968" s="42">
        <v>1500000000</v>
      </c>
      <c r="D968" s="42">
        <v>968</v>
      </c>
      <c r="E968" s="42">
        <v>30000000</v>
      </c>
    </row>
    <row r="969" spans="1:6" x14ac:dyDescent="0.2">
      <c r="A969" s="42">
        <v>969</v>
      </c>
      <c r="B969" s="42">
        <v>1500000000</v>
      </c>
      <c r="D969" s="42">
        <v>969</v>
      </c>
      <c r="E969" s="42">
        <v>30000000</v>
      </c>
    </row>
    <row r="970" spans="1:6" x14ac:dyDescent="0.2">
      <c r="A970" s="42">
        <v>970</v>
      </c>
      <c r="B970" s="42">
        <v>1500000000</v>
      </c>
      <c r="D970" s="42">
        <v>970</v>
      </c>
      <c r="E970" s="42">
        <v>30000000</v>
      </c>
      <c r="F970" s="43">
        <f t="shared" si="36"/>
        <v>300000000</v>
      </c>
    </row>
    <row r="971" spans="1:6" x14ac:dyDescent="0.2">
      <c r="A971" s="42">
        <v>971</v>
      </c>
      <c r="B971" s="42">
        <v>1500000000</v>
      </c>
      <c r="D971" s="42">
        <v>971</v>
      </c>
      <c r="E971" s="42">
        <v>30000000</v>
      </c>
    </row>
    <row r="972" spans="1:6" x14ac:dyDescent="0.2">
      <c r="A972" s="42">
        <v>972</v>
      </c>
      <c r="B972" s="42">
        <v>1500000000</v>
      </c>
      <c r="D972" s="42">
        <v>972</v>
      </c>
      <c r="E972" s="42">
        <v>30000000</v>
      </c>
    </row>
    <row r="973" spans="1:6" x14ac:dyDescent="0.2">
      <c r="A973" s="42">
        <v>973</v>
      </c>
      <c r="B973" s="42">
        <v>1500000000</v>
      </c>
      <c r="D973" s="42">
        <v>973</v>
      </c>
      <c r="E973" s="42">
        <v>30000000</v>
      </c>
    </row>
    <row r="974" spans="1:6" x14ac:dyDescent="0.2">
      <c r="A974" s="42">
        <v>974</v>
      </c>
      <c r="B974" s="42">
        <v>1500000000</v>
      </c>
      <c r="D974" s="42">
        <v>974</v>
      </c>
      <c r="E974" s="42">
        <v>30000000</v>
      </c>
    </row>
    <row r="975" spans="1:6" x14ac:dyDescent="0.2">
      <c r="A975" s="42">
        <v>975</v>
      </c>
      <c r="B975" s="42">
        <v>1500000000</v>
      </c>
      <c r="D975" s="42">
        <v>975</v>
      </c>
      <c r="E975" s="42">
        <v>30000000</v>
      </c>
    </row>
    <row r="976" spans="1:6" x14ac:dyDescent="0.2">
      <c r="A976" s="42">
        <v>976</v>
      </c>
      <c r="B976" s="42">
        <v>1500000000</v>
      </c>
      <c r="D976" s="42">
        <v>976</v>
      </c>
      <c r="E976" s="42">
        <v>30000000</v>
      </c>
    </row>
    <row r="977" spans="1:6" x14ac:dyDescent="0.2">
      <c r="A977" s="42">
        <v>977</v>
      </c>
      <c r="B977" s="42">
        <v>1500000000</v>
      </c>
      <c r="D977" s="42">
        <v>977</v>
      </c>
      <c r="E977" s="42">
        <v>30000000</v>
      </c>
    </row>
    <row r="978" spans="1:6" x14ac:dyDescent="0.2">
      <c r="A978" s="42">
        <v>978</v>
      </c>
      <c r="B978" s="42">
        <v>1500000000</v>
      </c>
      <c r="D978" s="42">
        <v>978</v>
      </c>
      <c r="E978" s="42">
        <v>30000000</v>
      </c>
    </row>
    <row r="979" spans="1:6" x14ac:dyDescent="0.2">
      <c r="A979" s="42">
        <v>979</v>
      </c>
      <c r="B979" s="42">
        <v>1500000000</v>
      </c>
      <c r="D979" s="42">
        <v>979</v>
      </c>
      <c r="E979" s="42">
        <v>30000000</v>
      </c>
    </row>
    <row r="980" spans="1:6" x14ac:dyDescent="0.2">
      <c r="A980" s="42">
        <v>980</v>
      </c>
      <c r="B980" s="42">
        <v>1500000000</v>
      </c>
      <c r="D980" s="42">
        <v>980</v>
      </c>
      <c r="E980" s="42">
        <v>30000000</v>
      </c>
      <c r="F980" s="43">
        <f t="shared" si="36"/>
        <v>300000000</v>
      </c>
    </row>
    <row r="981" spans="1:6" x14ac:dyDescent="0.2">
      <c r="A981" s="42">
        <v>981</v>
      </c>
      <c r="B981" s="42">
        <v>1500000000</v>
      </c>
      <c r="D981" s="42">
        <v>981</v>
      </c>
      <c r="E981" s="42">
        <v>30000000</v>
      </c>
    </row>
    <row r="982" spans="1:6" x14ac:dyDescent="0.2">
      <c r="A982" s="42">
        <v>982</v>
      </c>
      <c r="B982" s="42">
        <v>1500000000</v>
      </c>
      <c r="D982" s="42">
        <v>982</v>
      </c>
      <c r="E982" s="42">
        <v>30000000</v>
      </c>
    </row>
    <row r="983" spans="1:6" x14ac:dyDescent="0.2">
      <c r="A983" s="42">
        <v>983</v>
      </c>
      <c r="B983" s="42">
        <v>1500000000</v>
      </c>
      <c r="D983" s="42">
        <v>983</v>
      </c>
      <c r="E983" s="42">
        <v>30000000</v>
      </c>
    </row>
    <row r="984" spans="1:6" x14ac:dyDescent="0.2">
      <c r="A984" s="42">
        <v>984</v>
      </c>
      <c r="B984" s="42">
        <v>1500000000</v>
      </c>
      <c r="D984" s="42">
        <v>984</v>
      </c>
      <c r="E984" s="42">
        <v>30000000</v>
      </c>
    </row>
    <row r="985" spans="1:6" x14ac:dyDescent="0.2">
      <c r="A985" s="42">
        <v>985</v>
      </c>
      <c r="B985" s="42">
        <v>1500000000</v>
      </c>
      <c r="D985" s="42">
        <v>985</v>
      </c>
      <c r="E985" s="42">
        <v>30000000</v>
      </c>
    </row>
    <row r="986" spans="1:6" x14ac:dyDescent="0.2">
      <c r="A986" s="42">
        <v>986</v>
      </c>
      <c r="B986" s="42">
        <v>1500000000</v>
      </c>
      <c r="D986" s="42">
        <v>986</v>
      </c>
      <c r="E986" s="42">
        <v>30000000</v>
      </c>
    </row>
    <row r="987" spans="1:6" x14ac:dyDescent="0.2">
      <c r="A987" s="42">
        <v>987</v>
      </c>
      <c r="B987" s="42">
        <v>1500000000</v>
      </c>
      <c r="D987" s="42">
        <v>987</v>
      </c>
      <c r="E987" s="42">
        <v>30000000</v>
      </c>
    </row>
    <row r="988" spans="1:6" x14ac:dyDescent="0.2">
      <c r="A988" s="42">
        <v>988</v>
      </c>
      <c r="B988" s="42">
        <v>1500000000</v>
      </c>
      <c r="D988" s="42">
        <v>988</v>
      </c>
      <c r="E988" s="42">
        <v>30000000</v>
      </c>
    </row>
    <row r="989" spans="1:6" x14ac:dyDescent="0.2">
      <c r="A989" s="42">
        <v>989</v>
      </c>
      <c r="B989" s="42">
        <v>1500000000</v>
      </c>
      <c r="D989" s="42">
        <v>989</v>
      </c>
      <c r="E989" s="42">
        <v>30000000</v>
      </c>
    </row>
    <row r="990" spans="1:6" x14ac:dyDescent="0.2">
      <c r="A990" s="42">
        <v>990</v>
      </c>
      <c r="B990" s="42">
        <v>1500000000</v>
      </c>
      <c r="D990" s="42">
        <v>990</v>
      </c>
      <c r="E990" s="42">
        <v>30000000</v>
      </c>
      <c r="F990" s="43">
        <f t="shared" si="36"/>
        <v>300000000</v>
      </c>
    </row>
    <row r="991" spans="1:6" x14ac:dyDescent="0.2">
      <c r="A991" s="42">
        <v>991</v>
      </c>
      <c r="B991" s="42">
        <v>1500000000</v>
      </c>
      <c r="D991" s="42">
        <v>991</v>
      </c>
      <c r="E991" s="42">
        <v>30000000</v>
      </c>
    </row>
    <row r="992" spans="1:6" x14ac:dyDescent="0.2">
      <c r="A992" s="42">
        <v>992</v>
      </c>
      <c r="B992" s="42">
        <v>1500000000</v>
      </c>
      <c r="D992" s="42">
        <v>992</v>
      </c>
      <c r="E992" s="42">
        <v>30000000</v>
      </c>
    </row>
    <row r="993" spans="1:6" x14ac:dyDescent="0.2">
      <c r="A993" s="42">
        <v>993</v>
      </c>
      <c r="B993" s="42">
        <v>1500000000</v>
      </c>
      <c r="D993" s="42">
        <v>993</v>
      </c>
      <c r="E993" s="42">
        <v>30000000</v>
      </c>
    </row>
    <row r="994" spans="1:6" x14ac:dyDescent="0.2">
      <c r="A994" s="42">
        <v>994</v>
      </c>
      <c r="B994" s="42">
        <v>1500000000</v>
      </c>
      <c r="D994" s="42">
        <v>994</v>
      </c>
      <c r="E994" s="42">
        <v>30000000</v>
      </c>
    </row>
    <row r="995" spans="1:6" x14ac:dyDescent="0.2">
      <c r="A995" s="42">
        <v>995</v>
      </c>
      <c r="B995" s="42">
        <v>1500000000</v>
      </c>
      <c r="D995" s="42">
        <v>995</v>
      </c>
      <c r="E995" s="42">
        <v>30000000</v>
      </c>
    </row>
    <row r="996" spans="1:6" x14ac:dyDescent="0.2">
      <c r="A996" s="42">
        <v>996</v>
      </c>
      <c r="B996" s="42">
        <v>1500000000</v>
      </c>
      <c r="D996" s="42">
        <v>996</v>
      </c>
      <c r="E996" s="42">
        <v>30000000</v>
      </c>
    </row>
    <row r="997" spans="1:6" x14ac:dyDescent="0.2">
      <c r="A997" s="42">
        <v>997</v>
      </c>
      <c r="B997" s="42">
        <v>1500000000</v>
      </c>
      <c r="D997" s="42">
        <v>997</v>
      </c>
      <c r="E997" s="42">
        <v>30000000</v>
      </c>
    </row>
    <row r="998" spans="1:6" x14ac:dyDescent="0.2">
      <c r="A998" s="42">
        <v>998</v>
      </c>
      <c r="B998" s="42">
        <v>1500000000</v>
      </c>
      <c r="D998" s="42">
        <v>998</v>
      </c>
      <c r="E998" s="42">
        <v>30000000</v>
      </c>
    </row>
    <row r="999" spans="1:6" x14ac:dyDescent="0.2">
      <c r="A999" s="42">
        <v>999</v>
      </c>
      <c r="B999" s="42">
        <v>1500000000</v>
      </c>
      <c r="D999" s="42">
        <v>999</v>
      </c>
      <c r="E999" s="42">
        <v>30000000</v>
      </c>
    </row>
    <row r="1000" spans="1:6" x14ac:dyDescent="0.2">
      <c r="A1000" s="42">
        <v>1000</v>
      </c>
      <c r="B1000" s="42">
        <v>1500000000</v>
      </c>
      <c r="D1000" s="42">
        <v>1000</v>
      </c>
      <c r="E1000" s="42">
        <v>30000000</v>
      </c>
      <c r="F1000" s="43">
        <f t="shared" si="36"/>
        <v>300000000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DungeonsDataBase</vt:lpstr>
      <vt:lpstr>PowerCalc</vt:lpstr>
      <vt:lpstr>LevelXp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2023-02-01T22:30:55Z</dcterms:modified>
</cp:coreProperties>
</file>