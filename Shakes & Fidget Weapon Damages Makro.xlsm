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im Groß\Documents\GitHub\Timhot3p.github.io\"/>
    </mc:Choice>
  </mc:AlternateContent>
  <xr:revisionPtr revIDLastSave="0" documentId="13_ncr:1_{C5D8236F-2087-4148-964D-8DCB68CCE0BC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DungeonsDataBase" sheetId="3" r:id="rId1"/>
    <sheet name="PowerCalc" sheetId="11" r:id="rId2"/>
    <sheet name="Wanted + hydres" sheetId="10" state="hidden" r:id="rId3"/>
  </sheets>
  <functionGroups builtInGroupCount="19"/>
  <definedNames>
    <definedName name="Z_68F25849_E3F6_4A90_868A_9561616BC73B_.wvu.FilterData" localSheetId="0" hidden="1">DungeonsDataBase!$B$1:$B$1582</definedName>
  </definedNames>
  <calcPr calcId="191029"/>
  <customWorkbookViews>
    <customWorkbookView name="Filtre 1" guid="{68F25849-E3F6-4A90-868A-9561616BC73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96" i="11" l="1"/>
  <c r="O91" i="11"/>
  <c r="AD139" i="11"/>
  <c r="AD140" i="11"/>
  <c r="AD141" i="11"/>
  <c r="AD147" i="11"/>
  <c r="AD148" i="11"/>
  <c r="AD149" i="11"/>
  <c r="AD150" i="11"/>
  <c r="AD151" i="11"/>
  <c r="AD157" i="11"/>
  <c r="AD158" i="11"/>
  <c r="AD159" i="11"/>
  <c r="AD160" i="11"/>
  <c r="AD161" i="11"/>
  <c r="AD165" i="11"/>
  <c r="AD166" i="11"/>
  <c r="AD167" i="11"/>
  <c r="AD168" i="11"/>
  <c r="AD169" i="11"/>
  <c r="AD170" i="11"/>
  <c r="AD171" i="11"/>
  <c r="AD173" i="11"/>
  <c r="AD174" i="11"/>
  <c r="AD175" i="11"/>
  <c r="AD176" i="11"/>
  <c r="AD177" i="11"/>
  <c r="AD178" i="11"/>
  <c r="AD179" i="11"/>
  <c r="AD180" i="11"/>
  <c r="AD181" i="11"/>
  <c r="AD185" i="11"/>
  <c r="AD186" i="11"/>
  <c r="AD187" i="11"/>
  <c r="AD188" i="11"/>
  <c r="AD189" i="11"/>
  <c r="AD190" i="11"/>
  <c r="AD191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D676" i="11"/>
  <c r="AD677" i="11"/>
  <c r="AD678" i="11"/>
  <c r="AD679" i="11"/>
  <c r="AD680" i="11"/>
  <c r="AD681" i="11"/>
  <c r="AD682" i="11"/>
  <c r="AD683" i="11"/>
  <c r="AD684" i="11"/>
  <c r="AD685" i="11"/>
  <c r="AD686" i="11"/>
  <c r="AD687" i="11"/>
  <c r="AD688" i="11"/>
  <c r="AD689" i="11"/>
  <c r="AD690" i="11"/>
  <c r="AD691" i="11"/>
  <c r="AD692" i="11"/>
  <c r="AD693" i="11"/>
  <c r="AD694" i="11"/>
  <c r="AD695" i="11"/>
  <c r="AD696" i="11"/>
  <c r="AD697" i="11"/>
  <c r="AD698" i="11"/>
  <c r="AD699" i="11"/>
  <c r="AD700" i="11"/>
  <c r="AD701" i="11"/>
  <c r="AD702" i="11"/>
  <c r="AD703" i="11"/>
  <c r="AD704" i="11"/>
  <c r="AD705" i="11"/>
  <c r="AD706" i="11"/>
  <c r="AD707" i="11"/>
  <c r="Q2" i="11" a="1"/>
  <c r="Q3" i="11" a="1"/>
  <c r="Q91" i="11" a="1"/>
  <c r="P91" i="11" a="1"/>
  <c r="Q496" i="11" a="1"/>
  <c r="P496" i="11" a="1"/>
  <c r="Q496" i="11" l="1"/>
  <c r="S496" i="11" s="1"/>
  <c r="U496" i="11" s="1"/>
  <c r="P496" i="11"/>
  <c r="R496" i="11" s="1"/>
  <c r="T496" i="11" s="1"/>
  <c r="W496" i="11" s="1"/>
  <c r="Q91" i="11"/>
  <c r="S91" i="11" s="1"/>
  <c r="U91" i="11" s="1"/>
  <c r="P91" i="11"/>
  <c r="R91" i="11" s="1"/>
  <c r="T91" i="11" s="1"/>
  <c r="Q2" i="11"/>
  <c r="Q3" i="11"/>
  <c r="Q4" i="11" a="1"/>
  <c r="AB496" i="11" l="1"/>
  <c r="AD496" i="11" s="1"/>
  <c r="Y496" i="11"/>
  <c r="AA496" i="11" s="1"/>
  <c r="X496" i="11"/>
  <c r="W91" i="11"/>
  <c r="Q4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2" i="1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2" i="3"/>
  <c r="D3" i="3"/>
  <c r="F701" i="10"/>
  <c r="E701" i="10"/>
  <c r="D701" i="10"/>
  <c r="C701" i="10"/>
  <c r="C700" i="10"/>
  <c r="W699" i="10"/>
  <c r="V699" i="10"/>
  <c r="U699" i="10"/>
  <c r="T699" i="10"/>
  <c r="S699" i="10"/>
  <c r="R699" i="10"/>
  <c r="Q699" i="10"/>
  <c r="L699" i="10"/>
  <c r="K699" i="10"/>
  <c r="J699" i="10"/>
  <c r="I699" i="10"/>
  <c r="H699" i="10"/>
  <c r="G699" i="10"/>
  <c r="F699" i="10"/>
  <c r="E699" i="10"/>
  <c r="C699" i="10"/>
  <c r="P699" i="10" s="1"/>
  <c r="U698" i="10"/>
  <c r="T698" i="10"/>
  <c r="S698" i="10"/>
  <c r="R698" i="10"/>
  <c r="Q698" i="10"/>
  <c r="P698" i="10"/>
  <c r="I698" i="10"/>
  <c r="H698" i="10"/>
  <c r="G698" i="10"/>
  <c r="F698" i="10"/>
  <c r="E698" i="10"/>
  <c r="D698" i="10"/>
  <c r="C698" i="10"/>
  <c r="N698" i="10" s="1"/>
  <c r="F697" i="10"/>
  <c r="E697" i="10"/>
  <c r="D697" i="10"/>
  <c r="C697" i="10"/>
  <c r="V696" i="10"/>
  <c r="C696" i="10"/>
  <c r="W695" i="10"/>
  <c r="V695" i="10"/>
  <c r="U695" i="10"/>
  <c r="T695" i="10"/>
  <c r="S695" i="10"/>
  <c r="R695" i="10"/>
  <c r="Q695" i="10"/>
  <c r="L695" i="10"/>
  <c r="K695" i="10"/>
  <c r="J695" i="10"/>
  <c r="I695" i="10"/>
  <c r="H695" i="10"/>
  <c r="G695" i="10"/>
  <c r="F695" i="10"/>
  <c r="E695" i="10"/>
  <c r="C695" i="10"/>
  <c r="P695" i="10" s="1"/>
  <c r="U694" i="10"/>
  <c r="H694" i="10"/>
  <c r="F694" i="10"/>
  <c r="C694" i="10"/>
  <c r="L693" i="10"/>
  <c r="F693" i="10"/>
  <c r="E693" i="10"/>
  <c r="C693" i="10"/>
  <c r="W692" i="10"/>
  <c r="K692" i="10"/>
  <c r="J692" i="10"/>
  <c r="I692" i="10"/>
  <c r="C692" i="10"/>
  <c r="W691" i="10"/>
  <c r="V691" i="10"/>
  <c r="U691" i="10"/>
  <c r="T691" i="10"/>
  <c r="S691" i="10"/>
  <c r="R691" i="10"/>
  <c r="Q691" i="10"/>
  <c r="L691" i="10"/>
  <c r="K691" i="10"/>
  <c r="J691" i="10"/>
  <c r="I691" i="10"/>
  <c r="H691" i="10"/>
  <c r="G691" i="10"/>
  <c r="F691" i="10"/>
  <c r="E691" i="10"/>
  <c r="C691" i="10"/>
  <c r="P691" i="10" s="1"/>
  <c r="R690" i="10"/>
  <c r="Q690" i="10"/>
  <c r="P690" i="10"/>
  <c r="O690" i="10"/>
  <c r="I690" i="10"/>
  <c r="H690" i="10"/>
  <c r="G690" i="10"/>
  <c r="C690" i="10"/>
  <c r="S690" i="10" s="1"/>
  <c r="Q689" i="10"/>
  <c r="P689" i="10"/>
  <c r="O689" i="10"/>
  <c r="N689" i="10"/>
  <c r="M689" i="10"/>
  <c r="L689" i="10"/>
  <c r="F689" i="10"/>
  <c r="C689" i="10"/>
  <c r="R689" i="10" s="1"/>
  <c r="U688" i="10"/>
  <c r="O688" i="10"/>
  <c r="N688" i="10"/>
  <c r="M688" i="10"/>
  <c r="L688" i="10"/>
  <c r="K688" i="10"/>
  <c r="J688" i="10"/>
  <c r="C688" i="10"/>
  <c r="W688" i="10" s="1"/>
  <c r="W687" i="10"/>
  <c r="V687" i="10"/>
  <c r="U687" i="10"/>
  <c r="T687" i="10"/>
  <c r="S687" i="10"/>
  <c r="R687" i="10"/>
  <c r="Q687" i="10"/>
  <c r="L687" i="10"/>
  <c r="K687" i="10"/>
  <c r="J687" i="10"/>
  <c r="I687" i="10"/>
  <c r="H687" i="10"/>
  <c r="G687" i="10"/>
  <c r="F687" i="10"/>
  <c r="E687" i="10"/>
  <c r="C687" i="10"/>
  <c r="P687" i="10" s="1"/>
  <c r="U686" i="10"/>
  <c r="S686" i="10"/>
  <c r="P686" i="10"/>
  <c r="D686" i="10"/>
  <c r="C686" i="10"/>
  <c r="R686" i="10" s="1"/>
  <c r="R685" i="10"/>
  <c r="C685" i="10"/>
  <c r="W684" i="10"/>
  <c r="V684" i="10"/>
  <c r="O684" i="10"/>
  <c r="N684" i="10"/>
  <c r="C684" i="10"/>
  <c r="U684" i="10" s="1"/>
  <c r="W683" i="10"/>
  <c r="V683" i="10"/>
  <c r="U683" i="10"/>
  <c r="T683" i="10"/>
  <c r="S683" i="10"/>
  <c r="R683" i="10"/>
  <c r="Q683" i="10"/>
  <c r="L683" i="10"/>
  <c r="K683" i="10"/>
  <c r="J683" i="10"/>
  <c r="I683" i="10"/>
  <c r="H683" i="10"/>
  <c r="G683" i="10"/>
  <c r="F683" i="10"/>
  <c r="E683" i="10"/>
  <c r="C683" i="10"/>
  <c r="P683" i="10" s="1"/>
  <c r="T682" i="10"/>
  <c r="F682" i="10"/>
  <c r="C682" i="10"/>
  <c r="L681" i="10"/>
  <c r="F681" i="10"/>
  <c r="E681" i="10"/>
  <c r="C681" i="10"/>
  <c r="W680" i="10"/>
  <c r="K680" i="10"/>
  <c r="J680" i="10"/>
  <c r="I680" i="10"/>
  <c r="C680" i="10"/>
  <c r="W679" i="10"/>
  <c r="V679" i="10"/>
  <c r="U679" i="10"/>
  <c r="T679" i="10"/>
  <c r="S679" i="10"/>
  <c r="R679" i="10"/>
  <c r="Q679" i="10"/>
  <c r="L679" i="10"/>
  <c r="K679" i="10"/>
  <c r="J679" i="10"/>
  <c r="I679" i="10"/>
  <c r="H679" i="10"/>
  <c r="G679" i="10"/>
  <c r="F679" i="10"/>
  <c r="E679" i="10"/>
  <c r="C679" i="10"/>
  <c r="P679" i="10" s="1"/>
  <c r="R678" i="10"/>
  <c r="Q678" i="10"/>
  <c r="P678" i="10"/>
  <c r="N678" i="10"/>
  <c r="I678" i="10"/>
  <c r="C678" i="10"/>
  <c r="O678" i="10" s="1"/>
  <c r="W677" i="10"/>
  <c r="Q677" i="10"/>
  <c r="C677" i="10"/>
  <c r="V676" i="10"/>
  <c r="O676" i="10"/>
  <c r="H676" i="10"/>
  <c r="C676" i="10"/>
  <c r="U676" i="10" s="1"/>
  <c r="W675" i="10"/>
  <c r="V675" i="10"/>
  <c r="U675" i="10"/>
  <c r="T675" i="10"/>
  <c r="S675" i="10"/>
  <c r="R675" i="10"/>
  <c r="Q675" i="10"/>
  <c r="L675" i="10"/>
  <c r="K675" i="10"/>
  <c r="J675" i="10"/>
  <c r="I675" i="10"/>
  <c r="H675" i="10"/>
  <c r="G675" i="10"/>
  <c r="F675" i="10"/>
  <c r="E675" i="10"/>
  <c r="C675" i="10"/>
  <c r="P675" i="10" s="1"/>
  <c r="P674" i="10"/>
  <c r="O674" i="10"/>
  <c r="N674" i="10"/>
  <c r="I674" i="10"/>
  <c r="H674" i="10"/>
  <c r="G674" i="10"/>
  <c r="F674" i="10"/>
  <c r="C674" i="10"/>
  <c r="R674" i="10" s="1"/>
  <c r="Q673" i="10"/>
  <c r="P673" i="10"/>
  <c r="O673" i="10"/>
  <c r="N673" i="10"/>
  <c r="M673" i="10"/>
  <c r="L673" i="10"/>
  <c r="K673" i="10"/>
  <c r="C673" i="10"/>
  <c r="R673" i="10" s="1"/>
  <c r="V672" i="10"/>
  <c r="U672" i="10"/>
  <c r="T672" i="10"/>
  <c r="O672" i="10"/>
  <c r="N672" i="10"/>
  <c r="M672" i="10"/>
  <c r="L672" i="10"/>
  <c r="J672" i="10"/>
  <c r="I672" i="10"/>
  <c r="H672" i="10"/>
  <c r="C672" i="10"/>
  <c r="W671" i="10"/>
  <c r="V671" i="10"/>
  <c r="U671" i="10"/>
  <c r="T671" i="10"/>
  <c r="S671" i="10"/>
  <c r="R671" i="10"/>
  <c r="Q671" i="10"/>
  <c r="L671" i="10"/>
  <c r="K671" i="10"/>
  <c r="J671" i="10"/>
  <c r="I671" i="10"/>
  <c r="H671" i="10"/>
  <c r="G671" i="10"/>
  <c r="F671" i="10"/>
  <c r="E671" i="10"/>
  <c r="C671" i="10"/>
  <c r="P671" i="10" s="1"/>
  <c r="C670" i="10"/>
  <c r="R669" i="10"/>
  <c r="Q669" i="10"/>
  <c r="P669" i="10"/>
  <c r="N669" i="10"/>
  <c r="M669" i="10"/>
  <c r="L669" i="10"/>
  <c r="K669" i="10"/>
  <c r="F669" i="10"/>
  <c r="E669" i="10"/>
  <c r="D669" i="10"/>
  <c r="C669" i="10"/>
  <c r="O669" i="10" s="1"/>
  <c r="O668" i="10"/>
  <c r="N668" i="10"/>
  <c r="M668" i="10"/>
  <c r="L668" i="10"/>
  <c r="K668" i="10"/>
  <c r="J668" i="10"/>
  <c r="I668" i="10"/>
  <c r="C668" i="10"/>
  <c r="V668" i="10" s="1"/>
  <c r="W667" i="10"/>
  <c r="V667" i="10"/>
  <c r="U667" i="10"/>
  <c r="T667" i="10"/>
  <c r="S667" i="10"/>
  <c r="R667" i="10"/>
  <c r="Q667" i="10"/>
  <c r="L667" i="10"/>
  <c r="K667" i="10"/>
  <c r="J667" i="10"/>
  <c r="I667" i="10"/>
  <c r="H667" i="10"/>
  <c r="G667" i="10"/>
  <c r="F667" i="10"/>
  <c r="E667" i="10"/>
  <c r="C667" i="10"/>
  <c r="P667" i="10" s="1"/>
  <c r="U666" i="10"/>
  <c r="S666" i="10"/>
  <c r="P666" i="10"/>
  <c r="E666" i="10"/>
  <c r="C666" i="10"/>
  <c r="R665" i="10"/>
  <c r="Q665" i="10"/>
  <c r="K665" i="10"/>
  <c r="F665" i="10"/>
  <c r="E665" i="10"/>
  <c r="D665" i="10"/>
  <c r="C665" i="10"/>
  <c r="V664" i="10"/>
  <c r="K664" i="10"/>
  <c r="J664" i="10"/>
  <c r="I664" i="10"/>
  <c r="C664" i="10"/>
  <c r="W663" i="10"/>
  <c r="V663" i="10"/>
  <c r="U663" i="10"/>
  <c r="T663" i="10"/>
  <c r="S663" i="10"/>
  <c r="R663" i="10"/>
  <c r="Q663" i="10"/>
  <c r="L663" i="10"/>
  <c r="K663" i="10"/>
  <c r="J663" i="10"/>
  <c r="I663" i="10"/>
  <c r="H663" i="10"/>
  <c r="G663" i="10"/>
  <c r="F663" i="10"/>
  <c r="E663" i="10"/>
  <c r="C663" i="10"/>
  <c r="P663" i="10" s="1"/>
  <c r="R662" i="10"/>
  <c r="Q662" i="10"/>
  <c r="P662" i="10"/>
  <c r="N662" i="10"/>
  <c r="I662" i="10"/>
  <c r="C662" i="10"/>
  <c r="O662" i="10" s="1"/>
  <c r="W661" i="10"/>
  <c r="C661" i="10"/>
  <c r="V660" i="10"/>
  <c r="O660" i="10"/>
  <c r="H660" i="10"/>
  <c r="C660" i="10"/>
  <c r="U660" i="10" s="1"/>
  <c r="W659" i="10"/>
  <c r="V659" i="10"/>
  <c r="U659" i="10"/>
  <c r="T659" i="10"/>
  <c r="S659" i="10"/>
  <c r="R659" i="10"/>
  <c r="Q659" i="10"/>
  <c r="L659" i="10"/>
  <c r="K659" i="10"/>
  <c r="J659" i="10"/>
  <c r="I659" i="10"/>
  <c r="H659" i="10"/>
  <c r="G659" i="10"/>
  <c r="F659" i="10"/>
  <c r="E659" i="10"/>
  <c r="C659" i="10"/>
  <c r="P659" i="10" s="1"/>
  <c r="P658" i="10"/>
  <c r="O658" i="10"/>
  <c r="N658" i="10"/>
  <c r="I658" i="10"/>
  <c r="H658" i="10"/>
  <c r="G658" i="10"/>
  <c r="F658" i="10"/>
  <c r="C658" i="10"/>
  <c r="R658" i="10" s="1"/>
  <c r="Q657" i="10"/>
  <c r="P657" i="10"/>
  <c r="O657" i="10"/>
  <c r="N657" i="10"/>
  <c r="M657" i="10"/>
  <c r="L657" i="10"/>
  <c r="K657" i="10"/>
  <c r="D657" i="10"/>
  <c r="C657" i="10"/>
  <c r="R657" i="10" s="1"/>
  <c r="V656" i="10"/>
  <c r="U656" i="10"/>
  <c r="T656" i="10"/>
  <c r="O656" i="10"/>
  <c r="N656" i="10"/>
  <c r="M656" i="10"/>
  <c r="L656" i="10"/>
  <c r="J656" i="10"/>
  <c r="I656" i="10"/>
  <c r="H656" i="10"/>
  <c r="C656" i="10"/>
  <c r="W655" i="10"/>
  <c r="V655" i="10"/>
  <c r="U655" i="10"/>
  <c r="T655" i="10"/>
  <c r="S655" i="10"/>
  <c r="R655" i="10"/>
  <c r="Q655" i="10"/>
  <c r="L655" i="10"/>
  <c r="K655" i="10"/>
  <c r="J655" i="10"/>
  <c r="I655" i="10"/>
  <c r="H655" i="10"/>
  <c r="G655" i="10"/>
  <c r="F655" i="10"/>
  <c r="E655" i="10"/>
  <c r="C655" i="10"/>
  <c r="P655" i="10" s="1"/>
  <c r="C654" i="10"/>
  <c r="N653" i="10"/>
  <c r="M653" i="10"/>
  <c r="L653" i="10"/>
  <c r="K653" i="10"/>
  <c r="J653" i="10"/>
  <c r="H653" i="10"/>
  <c r="G653" i="10"/>
  <c r="D653" i="10"/>
  <c r="C653" i="10"/>
  <c r="O653" i="10" s="1"/>
  <c r="V652" i="10"/>
  <c r="U652" i="10"/>
  <c r="T652" i="10"/>
  <c r="S652" i="10"/>
  <c r="R652" i="10"/>
  <c r="Q652" i="10"/>
  <c r="P652" i="10"/>
  <c r="N652" i="10"/>
  <c r="M652" i="10"/>
  <c r="L652" i="10"/>
  <c r="J652" i="10"/>
  <c r="I652" i="10"/>
  <c r="H652" i="10"/>
  <c r="G652" i="10"/>
  <c r="F652" i="10"/>
  <c r="E652" i="10"/>
  <c r="D652" i="10"/>
  <c r="C652" i="10"/>
  <c r="O652" i="10" s="1"/>
  <c r="S651" i="10"/>
  <c r="R651" i="10"/>
  <c r="Q651" i="10"/>
  <c r="P651" i="10"/>
  <c r="N651" i="10"/>
  <c r="M651" i="10"/>
  <c r="G651" i="10"/>
  <c r="F651" i="10"/>
  <c r="E651" i="10"/>
  <c r="D651" i="10"/>
  <c r="C651" i="10"/>
  <c r="L651" i="10" s="1"/>
  <c r="C650" i="10"/>
  <c r="W649" i="10"/>
  <c r="V649" i="10"/>
  <c r="U649" i="10"/>
  <c r="T649" i="10"/>
  <c r="S649" i="10"/>
  <c r="M649" i="10"/>
  <c r="L649" i="10"/>
  <c r="K649" i="10"/>
  <c r="J649" i="10"/>
  <c r="I649" i="10"/>
  <c r="H649" i="10"/>
  <c r="G649" i="10"/>
  <c r="D649" i="10"/>
  <c r="C649" i="10"/>
  <c r="R649" i="10" s="1"/>
  <c r="V648" i="10"/>
  <c r="U648" i="10"/>
  <c r="T648" i="10"/>
  <c r="S648" i="10"/>
  <c r="R648" i="10"/>
  <c r="Q648" i="10"/>
  <c r="P648" i="10"/>
  <c r="N648" i="10"/>
  <c r="M648" i="10"/>
  <c r="L648" i="10"/>
  <c r="J648" i="10"/>
  <c r="I648" i="10"/>
  <c r="H648" i="10"/>
  <c r="G648" i="10"/>
  <c r="F648" i="10"/>
  <c r="E648" i="10"/>
  <c r="D648" i="10"/>
  <c r="C648" i="10"/>
  <c r="O648" i="10" s="1"/>
  <c r="S647" i="10"/>
  <c r="R647" i="10"/>
  <c r="Q647" i="10"/>
  <c r="P647" i="10"/>
  <c r="N647" i="10"/>
  <c r="M647" i="10"/>
  <c r="G647" i="10"/>
  <c r="F647" i="10"/>
  <c r="E647" i="10"/>
  <c r="D647" i="10"/>
  <c r="C647" i="10"/>
  <c r="L647" i="10" s="1"/>
  <c r="C646" i="10"/>
  <c r="W645" i="10"/>
  <c r="V645" i="10"/>
  <c r="U645" i="10"/>
  <c r="T645" i="10"/>
  <c r="S645" i="10"/>
  <c r="M645" i="10"/>
  <c r="L645" i="10"/>
  <c r="K645" i="10"/>
  <c r="J645" i="10"/>
  <c r="I645" i="10"/>
  <c r="H645" i="10"/>
  <c r="G645" i="10"/>
  <c r="E645" i="10"/>
  <c r="D645" i="10"/>
  <c r="C645" i="10"/>
  <c r="R645" i="10" s="1"/>
  <c r="V644" i="10"/>
  <c r="U644" i="10"/>
  <c r="T644" i="10"/>
  <c r="S644" i="10"/>
  <c r="R644" i="10"/>
  <c r="Q644" i="10"/>
  <c r="P644" i="10"/>
  <c r="N644" i="10"/>
  <c r="M644" i="10"/>
  <c r="L644" i="10"/>
  <c r="J644" i="10"/>
  <c r="I644" i="10"/>
  <c r="H644" i="10"/>
  <c r="G644" i="10"/>
  <c r="F644" i="10"/>
  <c r="E644" i="10"/>
  <c r="D644" i="10"/>
  <c r="C644" i="10"/>
  <c r="O644" i="10" s="1"/>
  <c r="S643" i="10"/>
  <c r="R643" i="10"/>
  <c r="Q643" i="10"/>
  <c r="P643" i="10"/>
  <c r="N643" i="10"/>
  <c r="M643" i="10"/>
  <c r="G643" i="10"/>
  <c r="F643" i="10"/>
  <c r="E643" i="10"/>
  <c r="D643" i="10"/>
  <c r="C643" i="10"/>
  <c r="L643" i="10" s="1"/>
  <c r="C642" i="10"/>
  <c r="W641" i="10"/>
  <c r="V641" i="10"/>
  <c r="U641" i="10"/>
  <c r="T641" i="10"/>
  <c r="S641" i="10"/>
  <c r="M641" i="10"/>
  <c r="L641" i="10"/>
  <c r="K641" i="10"/>
  <c r="J641" i="10"/>
  <c r="I641" i="10"/>
  <c r="H641" i="10"/>
  <c r="G641" i="10"/>
  <c r="E641" i="10"/>
  <c r="D641" i="10"/>
  <c r="C641" i="10"/>
  <c r="R641" i="10" s="1"/>
  <c r="V640" i="10"/>
  <c r="U640" i="10"/>
  <c r="T640" i="10"/>
  <c r="S640" i="10"/>
  <c r="R640" i="10"/>
  <c r="Q640" i="10"/>
  <c r="P640" i="10"/>
  <c r="N640" i="10"/>
  <c r="M640" i="10"/>
  <c r="L640" i="10"/>
  <c r="J640" i="10"/>
  <c r="I640" i="10"/>
  <c r="H640" i="10"/>
  <c r="G640" i="10"/>
  <c r="F640" i="10"/>
  <c r="E640" i="10"/>
  <c r="D640" i="10"/>
  <c r="C640" i="10"/>
  <c r="O640" i="10" s="1"/>
  <c r="S639" i="10"/>
  <c r="R639" i="10"/>
  <c r="Q639" i="10"/>
  <c r="P639" i="10"/>
  <c r="N639" i="10"/>
  <c r="M639" i="10"/>
  <c r="G639" i="10"/>
  <c r="F639" i="10"/>
  <c r="E639" i="10"/>
  <c r="D639" i="10"/>
  <c r="C639" i="10"/>
  <c r="L639" i="10" s="1"/>
  <c r="C638" i="10"/>
  <c r="W637" i="10"/>
  <c r="V637" i="10"/>
  <c r="U637" i="10"/>
  <c r="T637" i="10"/>
  <c r="S637" i="10"/>
  <c r="Q637" i="10"/>
  <c r="M637" i="10"/>
  <c r="L637" i="10"/>
  <c r="K637" i="10"/>
  <c r="J637" i="10"/>
  <c r="I637" i="10"/>
  <c r="H637" i="10"/>
  <c r="G637" i="10"/>
  <c r="E637" i="10"/>
  <c r="D637" i="10"/>
  <c r="C637" i="10"/>
  <c r="R637" i="10" s="1"/>
  <c r="V636" i="10"/>
  <c r="U636" i="10"/>
  <c r="T636" i="10"/>
  <c r="S636" i="10"/>
  <c r="R636" i="10"/>
  <c r="Q636" i="10"/>
  <c r="P636" i="10"/>
  <c r="N636" i="10"/>
  <c r="M636" i="10"/>
  <c r="L636" i="10"/>
  <c r="J636" i="10"/>
  <c r="I636" i="10"/>
  <c r="H636" i="10"/>
  <c r="G636" i="10"/>
  <c r="F636" i="10"/>
  <c r="E636" i="10"/>
  <c r="D636" i="10"/>
  <c r="C636" i="10"/>
  <c r="O636" i="10" s="1"/>
  <c r="S635" i="10"/>
  <c r="R635" i="10"/>
  <c r="Q635" i="10"/>
  <c r="P635" i="10"/>
  <c r="N635" i="10"/>
  <c r="M635" i="10"/>
  <c r="G635" i="10"/>
  <c r="F635" i="10"/>
  <c r="E635" i="10"/>
  <c r="D635" i="10"/>
  <c r="C635" i="10"/>
  <c r="L635" i="10" s="1"/>
  <c r="W634" i="10"/>
  <c r="V634" i="10"/>
  <c r="P634" i="10"/>
  <c r="O634" i="10"/>
  <c r="N634" i="10"/>
  <c r="M634" i="10"/>
  <c r="C634" i="10"/>
  <c r="W633" i="10"/>
  <c r="V633" i="10"/>
  <c r="U633" i="10"/>
  <c r="T633" i="10"/>
  <c r="S633" i="10"/>
  <c r="M633" i="10"/>
  <c r="L633" i="10"/>
  <c r="K633" i="10"/>
  <c r="J633" i="10"/>
  <c r="I633" i="10"/>
  <c r="H633" i="10"/>
  <c r="G633" i="10"/>
  <c r="E633" i="10"/>
  <c r="C633" i="10"/>
  <c r="R633" i="10" s="1"/>
  <c r="V632" i="10"/>
  <c r="U632" i="10"/>
  <c r="T632" i="10"/>
  <c r="S632" i="10"/>
  <c r="R632" i="10"/>
  <c r="Q632" i="10"/>
  <c r="P632" i="10"/>
  <c r="N632" i="10"/>
  <c r="M632" i="10"/>
  <c r="L632" i="10"/>
  <c r="J632" i="10"/>
  <c r="I632" i="10"/>
  <c r="H632" i="10"/>
  <c r="G632" i="10"/>
  <c r="F632" i="10"/>
  <c r="E632" i="10"/>
  <c r="D632" i="10"/>
  <c r="C632" i="10"/>
  <c r="O632" i="10" s="1"/>
  <c r="S631" i="10"/>
  <c r="R631" i="10"/>
  <c r="Q631" i="10"/>
  <c r="P631" i="10"/>
  <c r="N631" i="10"/>
  <c r="M631" i="10"/>
  <c r="G631" i="10"/>
  <c r="F631" i="10"/>
  <c r="E631" i="10"/>
  <c r="D631" i="10"/>
  <c r="C631" i="10"/>
  <c r="L631" i="10" s="1"/>
  <c r="W630" i="10"/>
  <c r="K630" i="10"/>
  <c r="D630" i="10"/>
  <c r="C630" i="10"/>
  <c r="W629" i="10"/>
  <c r="V629" i="10"/>
  <c r="O629" i="10"/>
  <c r="M629" i="10"/>
  <c r="L629" i="10"/>
  <c r="K629" i="10"/>
  <c r="J629" i="10"/>
  <c r="I629" i="10"/>
  <c r="H629" i="10"/>
  <c r="C629" i="10"/>
  <c r="P629" i="10" s="1"/>
  <c r="V628" i="10"/>
  <c r="U628" i="10"/>
  <c r="T628" i="10"/>
  <c r="S628" i="10"/>
  <c r="R628" i="10"/>
  <c r="Q628" i="10"/>
  <c r="P628" i="10"/>
  <c r="N628" i="10"/>
  <c r="M628" i="10"/>
  <c r="L628" i="10"/>
  <c r="J628" i="10"/>
  <c r="I628" i="10"/>
  <c r="H628" i="10"/>
  <c r="G628" i="10"/>
  <c r="F628" i="10"/>
  <c r="E628" i="10"/>
  <c r="D628" i="10"/>
  <c r="C628" i="10"/>
  <c r="O628" i="10" s="1"/>
  <c r="W627" i="10"/>
  <c r="V627" i="10"/>
  <c r="O627" i="10"/>
  <c r="N627" i="10"/>
  <c r="M627" i="10"/>
  <c r="K627" i="10"/>
  <c r="J627" i="10"/>
  <c r="I627" i="10"/>
  <c r="G627" i="10"/>
  <c r="C627" i="10"/>
  <c r="P627" i="10" s="1"/>
  <c r="R626" i="10"/>
  <c r="O626" i="10"/>
  <c r="C626" i="10"/>
  <c r="W625" i="10"/>
  <c r="V625" i="10"/>
  <c r="U625" i="10"/>
  <c r="M625" i="10"/>
  <c r="L625" i="10"/>
  <c r="K625" i="10"/>
  <c r="J625" i="10"/>
  <c r="I625" i="10"/>
  <c r="H625" i="10"/>
  <c r="G625" i="10"/>
  <c r="C625" i="10"/>
  <c r="P625" i="10" s="1"/>
  <c r="V624" i="10"/>
  <c r="U624" i="10"/>
  <c r="T624" i="10"/>
  <c r="S624" i="10"/>
  <c r="R624" i="10"/>
  <c r="Q624" i="10"/>
  <c r="P624" i="10"/>
  <c r="N624" i="10"/>
  <c r="M624" i="10"/>
  <c r="L624" i="10"/>
  <c r="J624" i="10"/>
  <c r="I624" i="10"/>
  <c r="H624" i="10"/>
  <c r="G624" i="10"/>
  <c r="F624" i="10"/>
  <c r="E624" i="10"/>
  <c r="D624" i="10"/>
  <c r="C624" i="10"/>
  <c r="O624" i="10" s="1"/>
  <c r="W623" i="10"/>
  <c r="V623" i="10"/>
  <c r="U623" i="10"/>
  <c r="N623" i="10"/>
  <c r="M623" i="10"/>
  <c r="K623" i="10"/>
  <c r="J623" i="10"/>
  <c r="I623" i="10"/>
  <c r="G623" i="10"/>
  <c r="F623" i="10"/>
  <c r="C623" i="10"/>
  <c r="P623" i="10" s="1"/>
  <c r="T622" i="10"/>
  <c r="S622" i="10"/>
  <c r="P622" i="10"/>
  <c r="O622" i="10"/>
  <c r="N622" i="10"/>
  <c r="M622" i="10"/>
  <c r="F622" i="10"/>
  <c r="D622" i="10"/>
  <c r="C622" i="10"/>
  <c r="W621" i="10"/>
  <c r="V621" i="10"/>
  <c r="U621" i="10"/>
  <c r="T621" i="10"/>
  <c r="Q621" i="10"/>
  <c r="P621" i="10"/>
  <c r="N621" i="10"/>
  <c r="M621" i="10"/>
  <c r="L621" i="10"/>
  <c r="K621" i="10"/>
  <c r="J621" i="10"/>
  <c r="I621" i="10"/>
  <c r="H621" i="10"/>
  <c r="E621" i="10"/>
  <c r="D621" i="10"/>
  <c r="C621" i="10"/>
  <c r="S621" i="10" s="1"/>
  <c r="W620" i="10"/>
  <c r="V620" i="10"/>
  <c r="U620" i="10"/>
  <c r="T620" i="10"/>
  <c r="S620" i="10"/>
  <c r="R620" i="10"/>
  <c r="Q620" i="10"/>
  <c r="N620" i="10"/>
  <c r="M620" i="10"/>
  <c r="K620" i="10"/>
  <c r="J620" i="10"/>
  <c r="I620" i="10"/>
  <c r="H620" i="10"/>
  <c r="G620" i="10"/>
  <c r="F620" i="10"/>
  <c r="E620" i="10"/>
  <c r="C620" i="10"/>
  <c r="P620" i="10" s="1"/>
  <c r="O619" i="10"/>
  <c r="E619" i="10"/>
  <c r="C619" i="10"/>
  <c r="W618" i="10"/>
  <c r="Q618" i="10"/>
  <c r="P618" i="10"/>
  <c r="N618" i="10"/>
  <c r="M618" i="10"/>
  <c r="L618" i="10"/>
  <c r="K618" i="10"/>
  <c r="E618" i="10"/>
  <c r="D618" i="10"/>
  <c r="C618" i="10"/>
  <c r="V618" i="10" s="1"/>
  <c r="W617" i="10"/>
  <c r="V617" i="10"/>
  <c r="U617" i="10"/>
  <c r="T617" i="10"/>
  <c r="Q617" i="10"/>
  <c r="P617" i="10"/>
  <c r="N617" i="10"/>
  <c r="M617" i="10"/>
  <c r="L617" i="10"/>
  <c r="K617" i="10"/>
  <c r="J617" i="10"/>
  <c r="I617" i="10"/>
  <c r="H617" i="10"/>
  <c r="E617" i="10"/>
  <c r="D617" i="10"/>
  <c r="C617" i="10"/>
  <c r="S617" i="10" s="1"/>
  <c r="W616" i="10"/>
  <c r="V616" i="10"/>
  <c r="U616" i="10"/>
  <c r="T616" i="10"/>
  <c r="S616" i="10"/>
  <c r="R616" i="10"/>
  <c r="Q616" i="10"/>
  <c r="N616" i="10"/>
  <c r="M616" i="10"/>
  <c r="K616" i="10"/>
  <c r="J616" i="10"/>
  <c r="I616" i="10"/>
  <c r="H616" i="10"/>
  <c r="G616" i="10"/>
  <c r="F616" i="10"/>
  <c r="E616" i="10"/>
  <c r="C616" i="10"/>
  <c r="P616" i="10" s="1"/>
  <c r="Q615" i="10"/>
  <c r="O615" i="10"/>
  <c r="E615" i="10"/>
  <c r="C615" i="10"/>
  <c r="W614" i="10"/>
  <c r="Q614" i="10"/>
  <c r="P614" i="10"/>
  <c r="N614" i="10"/>
  <c r="M614" i="10"/>
  <c r="L614" i="10"/>
  <c r="K614" i="10"/>
  <c r="E614" i="10"/>
  <c r="D614" i="10"/>
  <c r="C614" i="10"/>
  <c r="V614" i="10" s="1"/>
  <c r="W613" i="10"/>
  <c r="V613" i="10"/>
  <c r="U613" i="10"/>
  <c r="T613" i="10"/>
  <c r="Q613" i="10"/>
  <c r="P613" i="10"/>
  <c r="N613" i="10"/>
  <c r="M613" i="10"/>
  <c r="L613" i="10"/>
  <c r="K613" i="10"/>
  <c r="J613" i="10"/>
  <c r="I613" i="10"/>
  <c r="H613" i="10"/>
  <c r="E613" i="10"/>
  <c r="D613" i="10"/>
  <c r="C613" i="10"/>
  <c r="S613" i="10" s="1"/>
  <c r="W612" i="10"/>
  <c r="V612" i="10"/>
  <c r="U612" i="10"/>
  <c r="T612" i="10"/>
  <c r="S612" i="10"/>
  <c r="R612" i="10"/>
  <c r="Q612" i="10"/>
  <c r="N612" i="10"/>
  <c r="M612" i="10"/>
  <c r="K612" i="10"/>
  <c r="J612" i="10"/>
  <c r="I612" i="10"/>
  <c r="H612" i="10"/>
  <c r="G612" i="10"/>
  <c r="F612" i="10"/>
  <c r="E612" i="10"/>
  <c r="C612" i="10"/>
  <c r="P612" i="10" s="1"/>
  <c r="Q611" i="10"/>
  <c r="O611" i="10"/>
  <c r="E611" i="10"/>
  <c r="C611" i="10"/>
  <c r="W610" i="10"/>
  <c r="Q610" i="10"/>
  <c r="P610" i="10"/>
  <c r="N610" i="10"/>
  <c r="M610" i="10"/>
  <c r="L610" i="10"/>
  <c r="K610" i="10"/>
  <c r="E610" i="10"/>
  <c r="D610" i="10"/>
  <c r="C610" i="10"/>
  <c r="V610" i="10" s="1"/>
  <c r="W609" i="10"/>
  <c r="V609" i="10"/>
  <c r="U609" i="10"/>
  <c r="T609" i="10"/>
  <c r="Q609" i="10"/>
  <c r="P609" i="10"/>
  <c r="N609" i="10"/>
  <c r="M609" i="10"/>
  <c r="L609" i="10"/>
  <c r="K609" i="10"/>
  <c r="J609" i="10"/>
  <c r="I609" i="10"/>
  <c r="H609" i="10"/>
  <c r="G609" i="10"/>
  <c r="E609" i="10"/>
  <c r="D609" i="10"/>
  <c r="C609" i="10"/>
  <c r="S609" i="10" s="1"/>
  <c r="W608" i="10"/>
  <c r="V608" i="10"/>
  <c r="U608" i="10"/>
  <c r="T608" i="10"/>
  <c r="S608" i="10"/>
  <c r="R608" i="10"/>
  <c r="Q608" i="10"/>
  <c r="N608" i="10"/>
  <c r="M608" i="10"/>
  <c r="K608" i="10"/>
  <c r="J608" i="10"/>
  <c r="I608" i="10"/>
  <c r="H608" i="10"/>
  <c r="G608" i="10"/>
  <c r="F608" i="10"/>
  <c r="E608" i="10"/>
  <c r="D608" i="10"/>
  <c r="C608" i="10"/>
  <c r="P608" i="10" s="1"/>
  <c r="C607" i="10"/>
  <c r="W606" i="10"/>
  <c r="Q606" i="10"/>
  <c r="P606" i="10"/>
  <c r="N606" i="10"/>
  <c r="M606" i="10"/>
  <c r="L606" i="10"/>
  <c r="K606" i="10"/>
  <c r="E606" i="10"/>
  <c r="D606" i="10"/>
  <c r="C606" i="10"/>
  <c r="V606" i="10" s="1"/>
  <c r="W605" i="10"/>
  <c r="V605" i="10"/>
  <c r="U605" i="10"/>
  <c r="T605" i="10"/>
  <c r="S605" i="10"/>
  <c r="Q605" i="10"/>
  <c r="P605" i="10"/>
  <c r="N605" i="10"/>
  <c r="M605" i="10"/>
  <c r="L605" i="10"/>
  <c r="K605" i="10"/>
  <c r="J605" i="10"/>
  <c r="I605" i="10"/>
  <c r="H605" i="10"/>
  <c r="G605" i="10"/>
  <c r="E605" i="10"/>
  <c r="D605" i="10"/>
  <c r="C605" i="10"/>
  <c r="R605" i="10" s="1"/>
  <c r="W604" i="10"/>
  <c r="V604" i="10"/>
  <c r="U604" i="10"/>
  <c r="T604" i="10"/>
  <c r="S604" i="10"/>
  <c r="R604" i="10"/>
  <c r="Q604" i="10"/>
  <c r="P604" i="10"/>
  <c r="N604" i="10"/>
  <c r="M604" i="10"/>
  <c r="K604" i="10"/>
  <c r="J604" i="10"/>
  <c r="I604" i="10"/>
  <c r="H604" i="10"/>
  <c r="G604" i="10"/>
  <c r="F604" i="10"/>
  <c r="E604" i="10"/>
  <c r="D604" i="10"/>
  <c r="C604" i="10"/>
  <c r="O604" i="10" s="1"/>
  <c r="C603" i="10"/>
  <c r="W602" i="10"/>
  <c r="Q602" i="10"/>
  <c r="P602" i="10"/>
  <c r="N602" i="10"/>
  <c r="M602" i="10"/>
  <c r="L602" i="10"/>
  <c r="K602" i="10"/>
  <c r="E602" i="10"/>
  <c r="D602" i="10"/>
  <c r="C602" i="10"/>
  <c r="V602" i="10" s="1"/>
  <c r="W601" i="10"/>
  <c r="V601" i="10"/>
  <c r="U601" i="10"/>
  <c r="T601" i="10"/>
  <c r="S601" i="10"/>
  <c r="Q601" i="10"/>
  <c r="P601" i="10"/>
  <c r="N601" i="10"/>
  <c r="M601" i="10"/>
  <c r="L601" i="10"/>
  <c r="K601" i="10"/>
  <c r="J601" i="10"/>
  <c r="I601" i="10"/>
  <c r="H601" i="10"/>
  <c r="G601" i="10"/>
  <c r="E601" i="10"/>
  <c r="D601" i="10"/>
  <c r="C601" i="10"/>
  <c r="R601" i="10" s="1"/>
  <c r="W600" i="10"/>
  <c r="V600" i="10"/>
  <c r="U600" i="10"/>
  <c r="T600" i="10"/>
  <c r="S600" i="10"/>
  <c r="R600" i="10"/>
  <c r="Q600" i="10"/>
  <c r="P600" i="10"/>
  <c r="N600" i="10"/>
  <c r="M600" i="10"/>
  <c r="K600" i="10"/>
  <c r="J600" i="10"/>
  <c r="I600" i="10"/>
  <c r="H600" i="10"/>
  <c r="G600" i="10"/>
  <c r="F600" i="10"/>
  <c r="E600" i="10"/>
  <c r="D600" i="10"/>
  <c r="C600" i="10"/>
  <c r="O600" i="10" s="1"/>
  <c r="Q599" i="10"/>
  <c r="O599" i="10"/>
  <c r="N599" i="10"/>
  <c r="E599" i="10"/>
  <c r="C599" i="10"/>
  <c r="W598" i="10"/>
  <c r="Q598" i="10"/>
  <c r="P598" i="10"/>
  <c r="N598" i="10"/>
  <c r="M598" i="10"/>
  <c r="L598" i="10"/>
  <c r="K598" i="10"/>
  <c r="E598" i="10"/>
  <c r="D598" i="10"/>
  <c r="C598" i="10"/>
  <c r="V598" i="10" s="1"/>
  <c r="W597" i="10"/>
  <c r="V597" i="10"/>
  <c r="U597" i="10"/>
  <c r="T597" i="10"/>
  <c r="S597" i="10"/>
  <c r="Q597" i="10"/>
  <c r="P597" i="10"/>
  <c r="N597" i="10"/>
  <c r="M597" i="10"/>
  <c r="L597" i="10"/>
  <c r="K597" i="10"/>
  <c r="J597" i="10"/>
  <c r="I597" i="10"/>
  <c r="H597" i="10"/>
  <c r="G597" i="10"/>
  <c r="E597" i="10"/>
  <c r="D597" i="10"/>
  <c r="C597" i="10"/>
  <c r="R597" i="10" s="1"/>
  <c r="W596" i="10"/>
  <c r="V596" i="10"/>
  <c r="U596" i="10"/>
  <c r="T596" i="10"/>
  <c r="S596" i="10"/>
  <c r="R596" i="10"/>
  <c r="Q596" i="10"/>
  <c r="P596" i="10"/>
  <c r="N596" i="10"/>
  <c r="M596" i="10"/>
  <c r="K596" i="10"/>
  <c r="J596" i="10"/>
  <c r="I596" i="10"/>
  <c r="H596" i="10"/>
  <c r="G596" i="10"/>
  <c r="F596" i="10"/>
  <c r="E596" i="10"/>
  <c r="D596" i="10"/>
  <c r="C596" i="10"/>
  <c r="O596" i="10" s="1"/>
  <c r="C595" i="10"/>
  <c r="W594" i="10"/>
  <c r="Q594" i="10"/>
  <c r="P594" i="10"/>
  <c r="N594" i="10"/>
  <c r="M594" i="10"/>
  <c r="L594" i="10"/>
  <c r="K594" i="10"/>
  <c r="E594" i="10"/>
  <c r="D594" i="10"/>
  <c r="C594" i="10"/>
  <c r="V594" i="10" s="1"/>
  <c r="W593" i="10"/>
  <c r="V593" i="10"/>
  <c r="U593" i="10"/>
  <c r="T593" i="10"/>
  <c r="S593" i="10"/>
  <c r="Q593" i="10"/>
  <c r="P593" i="10"/>
  <c r="N593" i="10"/>
  <c r="M593" i="10"/>
  <c r="L593" i="10"/>
  <c r="K593" i="10"/>
  <c r="J593" i="10"/>
  <c r="I593" i="10"/>
  <c r="H593" i="10"/>
  <c r="G593" i="10"/>
  <c r="E593" i="10"/>
  <c r="D593" i="10"/>
  <c r="C593" i="10"/>
  <c r="R593" i="10" s="1"/>
  <c r="W592" i="10"/>
  <c r="V592" i="10"/>
  <c r="U592" i="10"/>
  <c r="T592" i="10"/>
  <c r="S592" i="10"/>
  <c r="R592" i="10"/>
  <c r="Q592" i="10"/>
  <c r="P592" i="10"/>
  <c r="N592" i="10"/>
  <c r="M592" i="10"/>
  <c r="K592" i="10"/>
  <c r="J592" i="10"/>
  <c r="I592" i="10"/>
  <c r="H592" i="10"/>
  <c r="G592" i="10"/>
  <c r="F592" i="10"/>
  <c r="E592" i="10"/>
  <c r="D592" i="10"/>
  <c r="C592" i="10"/>
  <c r="O592" i="10" s="1"/>
  <c r="Q591" i="10"/>
  <c r="C591" i="10"/>
  <c r="W590" i="10"/>
  <c r="Q590" i="10"/>
  <c r="P590" i="10"/>
  <c r="N590" i="10"/>
  <c r="M590" i="10"/>
  <c r="L590" i="10"/>
  <c r="K590" i="10"/>
  <c r="E590" i="10"/>
  <c r="D590" i="10"/>
  <c r="C590" i="10"/>
  <c r="V590" i="10" s="1"/>
  <c r="W589" i="10"/>
  <c r="V589" i="10"/>
  <c r="U589" i="10"/>
  <c r="T589" i="10"/>
  <c r="S589" i="10"/>
  <c r="Q589" i="10"/>
  <c r="P589" i="10"/>
  <c r="N589" i="10"/>
  <c r="M589" i="10"/>
  <c r="L589" i="10"/>
  <c r="K589" i="10"/>
  <c r="J589" i="10"/>
  <c r="I589" i="10"/>
  <c r="H589" i="10"/>
  <c r="G589" i="10"/>
  <c r="E589" i="10"/>
  <c r="D589" i="10"/>
  <c r="C589" i="10"/>
  <c r="R589" i="10" s="1"/>
  <c r="W588" i="10"/>
  <c r="V588" i="10"/>
  <c r="U588" i="10"/>
  <c r="T588" i="10"/>
  <c r="S588" i="10"/>
  <c r="R588" i="10"/>
  <c r="Q588" i="10"/>
  <c r="P588" i="10"/>
  <c r="N588" i="10"/>
  <c r="M588" i="10"/>
  <c r="K588" i="10"/>
  <c r="J588" i="10"/>
  <c r="I588" i="10"/>
  <c r="H588" i="10"/>
  <c r="G588" i="10"/>
  <c r="F588" i="10"/>
  <c r="E588" i="10"/>
  <c r="D588" i="10"/>
  <c r="C588" i="10"/>
  <c r="O588" i="10" s="1"/>
  <c r="Q587" i="10"/>
  <c r="O587" i="10"/>
  <c r="N587" i="10"/>
  <c r="E587" i="10"/>
  <c r="C587" i="10"/>
  <c r="W586" i="10"/>
  <c r="Q586" i="10"/>
  <c r="P586" i="10"/>
  <c r="N586" i="10"/>
  <c r="M586" i="10"/>
  <c r="L586" i="10"/>
  <c r="K586" i="10"/>
  <c r="E586" i="10"/>
  <c r="D586" i="10"/>
  <c r="C586" i="10"/>
  <c r="V586" i="10" s="1"/>
  <c r="W585" i="10"/>
  <c r="V585" i="10"/>
  <c r="U585" i="10"/>
  <c r="T585" i="10"/>
  <c r="S585" i="10"/>
  <c r="Q585" i="10"/>
  <c r="P585" i="10"/>
  <c r="N585" i="10"/>
  <c r="M585" i="10"/>
  <c r="L585" i="10"/>
  <c r="K585" i="10"/>
  <c r="J585" i="10"/>
  <c r="I585" i="10"/>
  <c r="H585" i="10"/>
  <c r="G585" i="10"/>
  <c r="E585" i="10"/>
  <c r="D585" i="10"/>
  <c r="C585" i="10"/>
  <c r="R585" i="10" s="1"/>
  <c r="W584" i="10"/>
  <c r="V584" i="10"/>
  <c r="U584" i="10"/>
  <c r="T584" i="10"/>
  <c r="S584" i="10"/>
  <c r="R584" i="10"/>
  <c r="Q584" i="10"/>
  <c r="P584" i="10"/>
  <c r="N584" i="10"/>
  <c r="M584" i="10"/>
  <c r="K584" i="10"/>
  <c r="J584" i="10"/>
  <c r="I584" i="10"/>
  <c r="H584" i="10"/>
  <c r="G584" i="10"/>
  <c r="F584" i="10"/>
  <c r="E584" i="10"/>
  <c r="D584" i="10"/>
  <c r="C584" i="10"/>
  <c r="O584" i="10" s="1"/>
  <c r="C583" i="10"/>
  <c r="W582" i="10"/>
  <c r="Q582" i="10"/>
  <c r="P582" i="10"/>
  <c r="N582" i="10"/>
  <c r="M582" i="10"/>
  <c r="L582" i="10"/>
  <c r="K582" i="10"/>
  <c r="E582" i="10"/>
  <c r="D582" i="10"/>
  <c r="C582" i="10"/>
  <c r="V582" i="10" s="1"/>
  <c r="W581" i="10"/>
  <c r="V581" i="10"/>
  <c r="U581" i="10"/>
  <c r="T581" i="10"/>
  <c r="S581" i="10"/>
  <c r="Q581" i="10"/>
  <c r="P581" i="10"/>
  <c r="N581" i="10"/>
  <c r="M581" i="10"/>
  <c r="L581" i="10"/>
  <c r="K581" i="10"/>
  <c r="J581" i="10"/>
  <c r="I581" i="10"/>
  <c r="H581" i="10"/>
  <c r="G581" i="10"/>
  <c r="E581" i="10"/>
  <c r="D581" i="10"/>
  <c r="C581" i="10"/>
  <c r="R581" i="10" s="1"/>
  <c r="W580" i="10"/>
  <c r="V580" i="10"/>
  <c r="U580" i="10"/>
  <c r="T580" i="10"/>
  <c r="S580" i="10"/>
  <c r="R580" i="10"/>
  <c r="Q580" i="10"/>
  <c r="P580" i="10"/>
  <c r="N580" i="10"/>
  <c r="M580" i="10"/>
  <c r="K580" i="10"/>
  <c r="J580" i="10"/>
  <c r="I580" i="10"/>
  <c r="H580" i="10"/>
  <c r="G580" i="10"/>
  <c r="F580" i="10"/>
  <c r="E580" i="10"/>
  <c r="D580" i="10"/>
  <c r="C580" i="10"/>
  <c r="O580" i="10" s="1"/>
  <c r="C579" i="10"/>
  <c r="W578" i="10"/>
  <c r="Q578" i="10"/>
  <c r="P578" i="10"/>
  <c r="N578" i="10"/>
  <c r="M578" i="10"/>
  <c r="L578" i="10"/>
  <c r="K578" i="10"/>
  <c r="E578" i="10"/>
  <c r="D578" i="10"/>
  <c r="C578" i="10"/>
  <c r="V578" i="10" s="1"/>
  <c r="W577" i="10"/>
  <c r="V577" i="10"/>
  <c r="U577" i="10"/>
  <c r="T577" i="10"/>
  <c r="S577" i="10"/>
  <c r="Q577" i="10"/>
  <c r="P577" i="10"/>
  <c r="N577" i="10"/>
  <c r="M577" i="10"/>
  <c r="L577" i="10"/>
  <c r="K577" i="10"/>
  <c r="J577" i="10"/>
  <c r="I577" i="10"/>
  <c r="H577" i="10"/>
  <c r="G577" i="10"/>
  <c r="E577" i="10"/>
  <c r="D577" i="10"/>
  <c r="C577" i="10"/>
  <c r="R577" i="10" s="1"/>
  <c r="W576" i="10"/>
  <c r="V576" i="10"/>
  <c r="U576" i="10"/>
  <c r="T576" i="10"/>
  <c r="S576" i="10"/>
  <c r="R576" i="10"/>
  <c r="Q576" i="10"/>
  <c r="P576" i="10"/>
  <c r="N576" i="10"/>
  <c r="M576" i="10"/>
  <c r="K576" i="10"/>
  <c r="J576" i="10"/>
  <c r="I576" i="10"/>
  <c r="H576" i="10"/>
  <c r="G576" i="10"/>
  <c r="F576" i="10"/>
  <c r="E576" i="10"/>
  <c r="D576" i="10"/>
  <c r="C576" i="10"/>
  <c r="O576" i="10" s="1"/>
  <c r="Q575" i="10"/>
  <c r="O575" i="10"/>
  <c r="N575" i="10"/>
  <c r="G575" i="10"/>
  <c r="C575" i="10"/>
  <c r="W574" i="10"/>
  <c r="Q574" i="10"/>
  <c r="P574" i="10"/>
  <c r="N574" i="10"/>
  <c r="M574" i="10"/>
  <c r="L574" i="10"/>
  <c r="K574" i="10"/>
  <c r="E574" i="10"/>
  <c r="D574" i="10"/>
  <c r="C574" i="10"/>
  <c r="V574" i="10" s="1"/>
  <c r="W573" i="10"/>
  <c r="V573" i="10"/>
  <c r="U573" i="10"/>
  <c r="T573" i="10"/>
  <c r="S573" i="10"/>
  <c r="Q573" i="10"/>
  <c r="P573" i="10"/>
  <c r="N573" i="10"/>
  <c r="M573" i="10"/>
  <c r="L573" i="10"/>
  <c r="K573" i="10"/>
  <c r="J573" i="10"/>
  <c r="I573" i="10"/>
  <c r="H573" i="10"/>
  <c r="G573" i="10"/>
  <c r="E573" i="10"/>
  <c r="D573" i="10"/>
  <c r="C573" i="10"/>
  <c r="R573" i="10" s="1"/>
  <c r="W572" i="10"/>
  <c r="V572" i="10"/>
  <c r="U572" i="10"/>
  <c r="T572" i="10"/>
  <c r="S572" i="10"/>
  <c r="R572" i="10"/>
  <c r="Q572" i="10"/>
  <c r="P572" i="10"/>
  <c r="N572" i="10"/>
  <c r="M572" i="10"/>
  <c r="K572" i="10"/>
  <c r="J572" i="10"/>
  <c r="I572" i="10"/>
  <c r="H572" i="10"/>
  <c r="G572" i="10"/>
  <c r="F572" i="10"/>
  <c r="E572" i="10"/>
  <c r="D572" i="10"/>
  <c r="C572" i="10"/>
  <c r="O572" i="10" s="1"/>
  <c r="N571" i="10"/>
  <c r="G571" i="10"/>
  <c r="E571" i="10"/>
  <c r="C571" i="10"/>
  <c r="W570" i="10"/>
  <c r="Q570" i="10"/>
  <c r="P570" i="10"/>
  <c r="N570" i="10"/>
  <c r="M570" i="10"/>
  <c r="L570" i="10"/>
  <c r="K570" i="10"/>
  <c r="E570" i="10"/>
  <c r="D570" i="10"/>
  <c r="C570" i="10"/>
  <c r="V570" i="10" s="1"/>
  <c r="W569" i="10"/>
  <c r="V569" i="10"/>
  <c r="U569" i="10"/>
  <c r="T569" i="10"/>
  <c r="S569" i="10"/>
  <c r="Q569" i="10"/>
  <c r="P569" i="10"/>
  <c r="N569" i="10"/>
  <c r="M569" i="10"/>
  <c r="L569" i="10"/>
  <c r="K569" i="10"/>
  <c r="J569" i="10"/>
  <c r="I569" i="10"/>
  <c r="H569" i="10"/>
  <c r="G569" i="10"/>
  <c r="E569" i="10"/>
  <c r="D569" i="10"/>
  <c r="C569" i="10"/>
  <c r="R569" i="10" s="1"/>
  <c r="W568" i="10"/>
  <c r="V568" i="10"/>
  <c r="U568" i="10"/>
  <c r="T568" i="10"/>
  <c r="S568" i="10"/>
  <c r="R568" i="10"/>
  <c r="Q568" i="10"/>
  <c r="P568" i="10"/>
  <c r="N568" i="10"/>
  <c r="M568" i="10"/>
  <c r="K568" i="10"/>
  <c r="J568" i="10"/>
  <c r="I568" i="10"/>
  <c r="H568" i="10"/>
  <c r="G568" i="10"/>
  <c r="F568" i="10"/>
  <c r="E568" i="10"/>
  <c r="D568" i="10"/>
  <c r="C568" i="10"/>
  <c r="O568" i="10" s="1"/>
  <c r="S567" i="10"/>
  <c r="Q567" i="10"/>
  <c r="P567" i="10"/>
  <c r="O567" i="10"/>
  <c r="N567" i="10"/>
  <c r="C567" i="10"/>
  <c r="W566" i="10"/>
  <c r="Q566" i="10"/>
  <c r="P566" i="10"/>
  <c r="N566" i="10"/>
  <c r="M566" i="10"/>
  <c r="L566" i="10"/>
  <c r="K566" i="10"/>
  <c r="E566" i="10"/>
  <c r="D566" i="10"/>
  <c r="C566" i="10"/>
  <c r="V566" i="10" s="1"/>
  <c r="W565" i="10"/>
  <c r="V565" i="10"/>
  <c r="U565" i="10"/>
  <c r="T565" i="10"/>
  <c r="S565" i="10"/>
  <c r="Q565" i="10"/>
  <c r="P565" i="10"/>
  <c r="N565" i="10"/>
  <c r="M565" i="10"/>
  <c r="L565" i="10"/>
  <c r="K565" i="10"/>
  <c r="J565" i="10"/>
  <c r="I565" i="10"/>
  <c r="H565" i="10"/>
  <c r="G565" i="10"/>
  <c r="E565" i="10"/>
  <c r="D565" i="10"/>
  <c r="C565" i="10"/>
  <c r="R565" i="10" s="1"/>
  <c r="W564" i="10"/>
  <c r="V564" i="10"/>
  <c r="U564" i="10"/>
  <c r="T564" i="10"/>
  <c r="S564" i="10"/>
  <c r="R564" i="10"/>
  <c r="Q564" i="10"/>
  <c r="P564" i="10"/>
  <c r="N564" i="10"/>
  <c r="M564" i="10"/>
  <c r="K564" i="10"/>
  <c r="J564" i="10"/>
  <c r="I564" i="10"/>
  <c r="H564" i="10"/>
  <c r="G564" i="10"/>
  <c r="F564" i="10"/>
  <c r="E564" i="10"/>
  <c r="D564" i="10"/>
  <c r="C564" i="10"/>
  <c r="O564" i="10" s="1"/>
  <c r="Q563" i="10"/>
  <c r="P563" i="10"/>
  <c r="O563" i="10"/>
  <c r="N563" i="10"/>
  <c r="G563" i="10"/>
  <c r="E563" i="10"/>
  <c r="C563" i="10"/>
  <c r="S563" i="10" s="1"/>
  <c r="W562" i="10"/>
  <c r="Q562" i="10"/>
  <c r="P562" i="10"/>
  <c r="N562" i="10"/>
  <c r="M562" i="10"/>
  <c r="L562" i="10"/>
  <c r="K562" i="10"/>
  <c r="J562" i="10"/>
  <c r="E562" i="10"/>
  <c r="D562" i="10"/>
  <c r="C562" i="10"/>
  <c r="V562" i="10" s="1"/>
  <c r="W561" i="10"/>
  <c r="V561" i="10"/>
  <c r="U561" i="10"/>
  <c r="T561" i="10"/>
  <c r="S561" i="10"/>
  <c r="Q561" i="10"/>
  <c r="P561" i="10"/>
  <c r="N561" i="10"/>
  <c r="M561" i="10"/>
  <c r="L561" i="10"/>
  <c r="K561" i="10"/>
  <c r="J561" i="10"/>
  <c r="I561" i="10"/>
  <c r="H561" i="10"/>
  <c r="G561" i="10"/>
  <c r="E561" i="10"/>
  <c r="D561" i="10"/>
  <c r="C561" i="10"/>
  <c r="R561" i="10" s="1"/>
  <c r="W560" i="10"/>
  <c r="V560" i="10"/>
  <c r="U560" i="10"/>
  <c r="T560" i="10"/>
  <c r="S560" i="10"/>
  <c r="R560" i="10"/>
  <c r="Q560" i="10"/>
  <c r="P560" i="10"/>
  <c r="N560" i="10"/>
  <c r="M560" i="10"/>
  <c r="K560" i="10"/>
  <c r="J560" i="10"/>
  <c r="I560" i="10"/>
  <c r="H560" i="10"/>
  <c r="G560" i="10"/>
  <c r="F560" i="10"/>
  <c r="E560" i="10"/>
  <c r="D560" i="10"/>
  <c r="C560" i="10"/>
  <c r="O560" i="10" s="1"/>
  <c r="C559" i="10"/>
  <c r="W558" i="10"/>
  <c r="V558" i="10"/>
  <c r="Q558" i="10"/>
  <c r="P558" i="10"/>
  <c r="N558" i="10"/>
  <c r="M558" i="10"/>
  <c r="L558" i="10"/>
  <c r="K558" i="10"/>
  <c r="J558" i="10"/>
  <c r="E558" i="10"/>
  <c r="D558" i="10"/>
  <c r="C558" i="10"/>
  <c r="U558" i="10" s="1"/>
  <c r="W557" i="10"/>
  <c r="V557" i="10"/>
  <c r="U557" i="10"/>
  <c r="T557" i="10"/>
  <c r="S557" i="10"/>
  <c r="Q557" i="10"/>
  <c r="P557" i="10"/>
  <c r="N557" i="10"/>
  <c r="M557" i="10"/>
  <c r="L557" i="10"/>
  <c r="K557" i="10"/>
  <c r="J557" i="10"/>
  <c r="I557" i="10"/>
  <c r="H557" i="10"/>
  <c r="G557" i="10"/>
  <c r="E557" i="10"/>
  <c r="D557" i="10"/>
  <c r="C557" i="10"/>
  <c r="R557" i="10" s="1"/>
  <c r="W556" i="10"/>
  <c r="V556" i="10"/>
  <c r="U556" i="10"/>
  <c r="T556" i="10"/>
  <c r="S556" i="10"/>
  <c r="R556" i="10"/>
  <c r="Q556" i="10"/>
  <c r="P556" i="10"/>
  <c r="N556" i="10"/>
  <c r="M556" i="10"/>
  <c r="K556" i="10"/>
  <c r="J556" i="10"/>
  <c r="I556" i="10"/>
  <c r="H556" i="10"/>
  <c r="G556" i="10"/>
  <c r="F556" i="10"/>
  <c r="E556" i="10"/>
  <c r="D556" i="10"/>
  <c r="C556" i="10"/>
  <c r="O556" i="10" s="1"/>
  <c r="M555" i="10"/>
  <c r="C555" i="10"/>
  <c r="W554" i="10"/>
  <c r="V554" i="10"/>
  <c r="Q554" i="10"/>
  <c r="P554" i="10"/>
  <c r="N554" i="10"/>
  <c r="M554" i="10"/>
  <c r="L554" i="10"/>
  <c r="K554" i="10"/>
  <c r="J554" i="10"/>
  <c r="E554" i="10"/>
  <c r="D554" i="10"/>
  <c r="C554" i="10"/>
  <c r="U554" i="10" s="1"/>
  <c r="W553" i="10"/>
  <c r="V553" i="10"/>
  <c r="U553" i="10"/>
  <c r="T553" i="10"/>
  <c r="S553" i="10"/>
  <c r="Q553" i="10"/>
  <c r="P553" i="10"/>
  <c r="N553" i="10"/>
  <c r="M553" i="10"/>
  <c r="L553" i="10"/>
  <c r="K553" i="10"/>
  <c r="J553" i="10"/>
  <c r="I553" i="10"/>
  <c r="H553" i="10"/>
  <c r="G553" i="10"/>
  <c r="E553" i="10"/>
  <c r="D553" i="10"/>
  <c r="C553" i="10"/>
  <c r="R553" i="10" s="1"/>
  <c r="W552" i="10"/>
  <c r="V552" i="10"/>
  <c r="U552" i="10"/>
  <c r="T552" i="10"/>
  <c r="S552" i="10"/>
  <c r="R552" i="10"/>
  <c r="Q552" i="10"/>
  <c r="P552" i="10"/>
  <c r="N552" i="10"/>
  <c r="M552" i="10"/>
  <c r="K552" i="10"/>
  <c r="J552" i="10"/>
  <c r="I552" i="10"/>
  <c r="H552" i="10"/>
  <c r="G552" i="10"/>
  <c r="F552" i="10"/>
  <c r="E552" i="10"/>
  <c r="D552" i="10"/>
  <c r="C552" i="10"/>
  <c r="O552" i="10" s="1"/>
  <c r="V551" i="10"/>
  <c r="S551" i="10"/>
  <c r="Q551" i="10"/>
  <c r="P551" i="10"/>
  <c r="O551" i="10"/>
  <c r="N551" i="10"/>
  <c r="M551" i="10"/>
  <c r="J551" i="10"/>
  <c r="H551" i="10"/>
  <c r="G551" i="10"/>
  <c r="F551" i="10"/>
  <c r="D551" i="10"/>
  <c r="C551" i="10"/>
  <c r="V550" i="10"/>
  <c r="C550" i="10"/>
  <c r="W549" i="10"/>
  <c r="V549" i="10"/>
  <c r="U549" i="10"/>
  <c r="T549" i="10"/>
  <c r="S549" i="10"/>
  <c r="Q549" i="10"/>
  <c r="P549" i="10"/>
  <c r="N549" i="10"/>
  <c r="M549" i="10"/>
  <c r="L549" i="10"/>
  <c r="K549" i="10"/>
  <c r="J549" i="10"/>
  <c r="I549" i="10"/>
  <c r="H549" i="10"/>
  <c r="G549" i="10"/>
  <c r="E549" i="10"/>
  <c r="D549" i="10"/>
  <c r="C549" i="10"/>
  <c r="R549" i="10" s="1"/>
  <c r="W548" i="10"/>
  <c r="V548" i="10"/>
  <c r="U548" i="10"/>
  <c r="T548" i="10"/>
  <c r="S548" i="10"/>
  <c r="R548" i="10"/>
  <c r="Q548" i="10"/>
  <c r="P548" i="10"/>
  <c r="N548" i="10"/>
  <c r="M548" i="10"/>
  <c r="K548" i="10"/>
  <c r="J548" i="10"/>
  <c r="I548" i="10"/>
  <c r="H548" i="10"/>
  <c r="G548" i="10"/>
  <c r="F548" i="10"/>
  <c r="E548" i="10"/>
  <c r="D548" i="10"/>
  <c r="C548" i="10"/>
  <c r="O548" i="10" s="1"/>
  <c r="W547" i="10"/>
  <c r="V547" i="10"/>
  <c r="T547" i="10"/>
  <c r="S547" i="10"/>
  <c r="N547" i="10"/>
  <c r="M547" i="10"/>
  <c r="K547" i="10"/>
  <c r="J547" i="10"/>
  <c r="H547" i="10"/>
  <c r="G547" i="10"/>
  <c r="F547" i="10"/>
  <c r="E547" i="10"/>
  <c r="C547" i="10"/>
  <c r="P547" i="10" s="1"/>
  <c r="T546" i="10"/>
  <c r="Q546" i="10"/>
  <c r="O546" i="10"/>
  <c r="N546" i="10"/>
  <c r="E546" i="10"/>
  <c r="C546" i="10"/>
  <c r="W545" i="10"/>
  <c r="V545" i="10"/>
  <c r="U545" i="10"/>
  <c r="T545" i="10"/>
  <c r="S545" i="10"/>
  <c r="L545" i="10"/>
  <c r="K545" i="10"/>
  <c r="J545" i="10"/>
  <c r="I545" i="10"/>
  <c r="H545" i="10"/>
  <c r="G545" i="10"/>
  <c r="F545" i="10"/>
  <c r="E545" i="10"/>
  <c r="C545" i="10"/>
  <c r="N545" i="10" s="1"/>
  <c r="U544" i="10"/>
  <c r="T544" i="10"/>
  <c r="S544" i="10"/>
  <c r="R544" i="10"/>
  <c r="Q544" i="10"/>
  <c r="P544" i="10"/>
  <c r="N544" i="10"/>
  <c r="I544" i="10"/>
  <c r="H544" i="10"/>
  <c r="G544" i="10"/>
  <c r="F544" i="10"/>
  <c r="E544" i="10"/>
  <c r="D544" i="10"/>
  <c r="C544" i="10"/>
  <c r="O544" i="10" s="1"/>
  <c r="R543" i="10"/>
  <c r="P543" i="10"/>
  <c r="N543" i="10"/>
  <c r="M543" i="10"/>
  <c r="F543" i="10"/>
  <c r="D543" i="10"/>
  <c r="C543" i="10"/>
  <c r="L543" i="10" s="1"/>
  <c r="C542" i="10"/>
  <c r="W541" i="10"/>
  <c r="V541" i="10"/>
  <c r="U541" i="10"/>
  <c r="T541" i="10"/>
  <c r="S541" i="10"/>
  <c r="R541" i="10"/>
  <c r="Q541" i="10"/>
  <c r="L541" i="10"/>
  <c r="K541" i="10"/>
  <c r="J541" i="10"/>
  <c r="I541" i="10"/>
  <c r="H541" i="10"/>
  <c r="G541" i="10"/>
  <c r="F541" i="10"/>
  <c r="E541" i="10"/>
  <c r="C541" i="10"/>
  <c r="P541" i="10" s="1"/>
  <c r="U540" i="10"/>
  <c r="T540" i="10"/>
  <c r="S540" i="10"/>
  <c r="R540" i="10"/>
  <c r="Q540" i="10"/>
  <c r="P540" i="10"/>
  <c r="N540" i="10"/>
  <c r="I540" i="10"/>
  <c r="H540" i="10"/>
  <c r="G540" i="10"/>
  <c r="F540" i="10"/>
  <c r="E540" i="10"/>
  <c r="D540" i="10"/>
  <c r="C540" i="10"/>
  <c r="O540" i="10" s="1"/>
  <c r="R539" i="10"/>
  <c r="P539" i="10"/>
  <c r="N539" i="10"/>
  <c r="M539" i="10"/>
  <c r="F539" i="10"/>
  <c r="D539" i="10"/>
  <c r="C539" i="10"/>
  <c r="L539" i="10" s="1"/>
  <c r="W538" i="10"/>
  <c r="O538" i="10"/>
  <c r="M538" i="10"/>
  <c r="C538" i="10"/>
  <c r="V538" i="10" s="1"/>
  <c r="W537" i="10"/>
  <c r="V537" i="10"/>
  <c r="U537" i="10"/>
  <c r="T537" i="10"/>
  <c r="S537" i="10"/>
  <c r="R537" i="10"/>
  <c r="Q537" i="10"/>
  <c r="L537" i="10"/>
  <c r="K537" i="10"/>
  <c r="J537" i="10"/>
  <c r="I537" i="10"/>
  <c r="H537" i="10"/>
  <c r="G537" i="10"/>
  <c r="F537" i="10"/>
  <c r="E537" i="10"/>
  <c r="C537" i="10"/>
  <c r="P537" i="10" s="1"/>
  <c r="U536" i="10"/>
  <c r="T536" i="10"/>
  <c r="S536" i="10"/>
  <c r="R536" i="10"/>
  <c r="Q536" i="10"/>
  <c r="P536" i="10"/>
  <c r="N536" i="10"/>
  <c r="I536" i="10"/>
  <c r="H536" i="10"/>
  <c r="G536" i="10"/>
  <c r="F536" i="10"/>
  <c r="E536" i="10"/>
  <c r="D536" i="10"/>
  <c r="C536" i="10"/>
  <c r="O536" i="10" s="1"/>
  <c r="R535" i="10"/>
  <c r="P535" i="10"/>
  <c r="N535" i="10"/>
  <c r="M535" i="10"/>
  <c r="F535" i="10"/>
  <c r="D535" i="10"/>
  <c r="C535" i="10"/>
  <c r="L535" i="10" s="1"/>
  <c r="O534" i="10"/>
  <c r="K534" i="10"/>
  <c r="C534" i="10"/>
  <c r="W533" i="10"/>
  <c r="V533" i="10"/>
  <c r="U533" i="10"/>
  <c r="T533" i="10"/>
  <c r="S533" i="10"/>
  <c r="R533" i="10"/>
  <c r="Q533" i="10"/>
  <c r="L533" i="10"/>
  <c r="K533" i="10"/>
  <c r="J533" i="10"/>
  <c r="I533" i="10"/>
  <c r="H533" i="10"/>
  <c r="G533" i="10"/>
  <c r="F533" i="10"/>
  <c r="E533" i="10"/>
  <c r="C533" i="10"/>
  <c r="P533" i="10" s="1"/>
  <c r="U532" i="10"/>
  <c r="T532" i="10"/>
  <c r="S532" i="10"/>
  <c r="R532" i="10"/>
  <c r="Q532" i="10"/>
  <c r="P532" i="10"/>
  <c r="N532" i="10"/>
  <c r="I532" i="10"/>
  <c r="H532" i="10"/>
  <c r="G532" i="10"/>
  <c r="F532" i="10"/>
  <c r="E532" i="10"/>
  <c r="D532" i="10"/>
  <c r="C532" i="10"/>
  <c r="O532" i="10" s="1"/>
  <c r="R531" i="10"/>
  <c r="P531" i="10"/>
  <c r="N531" i="10"/>
  <c r="M531" i="10"/>
  <c r="F531" i="10"/>
  <c r="D531" i="10"/>
  <c r="C531" i="10"/>
  <c r="L531" i="10" s="1"/>
  <c r="C530" i="10"/>
  <c r="W529" i="10"/>
  <c r="V529" i="10"/>
  <c r="U529" i="10"/>
  <c r="T529" i="10"/>
  <c r="S529" i="10"/>
  <c r="R529" i="10"/>
  <c r="Q529" i="10"/>
  <c r="L529" i="10"/>
  <c r="K529" i="10"/>
  <c r="J529" i="10"/>
  <c r="I529" i="10"/>
  <c r="H529" i="10"/>
  <c r="G529" i="10"/>
  <c r="F529" i="10"/>
  <c r="E529" i="10"/>
  <c r="C529" i="10"/>
  <c r="P529" i="10" s="1"/>
  <c r="U528" i="10"/>
  <c r="T528" i="10"/>
  <c r="S528" i="10"/>
  <c r="R528" i="10"/>
  <c r="Q528" i="10"/>
  <c r="P528" i="10"/>
  <c r="N528" i="10"/>
  <c r="I528" i="10"/>
  <c r="H528" i="10"/>
  <c r="G528" i="10"/>
  <c r="F528" i="10"/>
  <c r="E528" i="10"/>
  <c r="D528" i="10"/>
  <c r="C528" i="10"/>
  <c r="O528" i="10" s="1"/>
  <c r="R527" i="10"/>
  <c r="P527" i="10"/>
  <c r="N527" i="10"/>
  <c r="M527" i="10"/>
  <c r="F527" i="10"/>
  <c r="D527" i="10"/>
  <c r="C527" i="10"/>
  <c r="L527" i="10" s="1"/>
  <c r="W526" i="10"/>
  <c r="O526" i="10"/>
  <c r="M526" i="10"/>
  <c r="C526" i="10"/>
  <c r="V526" i="10" s="1"/>
  <c r="W525" i="10"/>
  <c r="V525" i="10"/>
  <c r="U525" i="10"/>
  <c r="T525" i="10"/>
  <c r="S525" i="10"/>
  <c r="R525" i="10"/>
  <c r="Q525" i="10"/>
  <c r="L525" i="10"/>
  <c r="K525" i="10"/>
  <c r="J525" i="10"/>
  <c r="I525" i="10"/>
  <c r="H525" i="10"/>
  <c r="G525" i="10"/>
  <c r="F525" i="10"/>
  <c r="E525" i="10"/>
  <c r="C525" i="10"/>
  <c r="P525" i="10" s="1"/>
  <c r="U524" i="10"/>
  <c r="T524" i="10"/>
  <c r="S524" i="10"/>
  <c r="R524" i="10"/>
  <c r="Q524" i="10"/>
  <c r="P524" i="10"/>
  <c r="I524" i="10"/>
  <c r="H524" i="10"/>
  <c r="G524" i="10"/>
  <c r="F524" i="10"/>
  <c r="E524" i="10"/>
  <c r="D524" i="10"/>
  <c r="C524" i="10"/>
  <c r="O524" i="10" s="1"/>
  <c r="R523" i="10"/>
  <c r="P523" i="10"/>
  <c r="N523" i="10"/>
  <c r="M523" i="10"/>
  <c r="F523" i="10"/>
  <c r="D523" i="10"/>
  <c r="C523" i="10"/>
  <c r="L523" i="10" s="1"/>
  <c r="V522" i="10"/>
  <c r="O522" i="10"/>
  <c r="M522" i="10"/>
  <c r="J522" i="10"/>
  <c r="C522" i="10"/>
  <c r="W521" i="10"/>
  <c r="V521" i="10"/>
  <c r="U521" i="10"/>
  <c r="T521" i="10"/>
  <c r="S521" i="10"/>
  <c r="R521" i="10"/>
  <c r="Q521" i="10"/>
  <c r="L521" i="10"/>
  <c r="K521" i="10"/>
  <c r="J521" i="10"/>
  <c r="I521" i="10"/>
  <c r="H521" i="10"/>
  <c r="G521" i="10"/>
  <c r="F521" i="10"/>
  <c r="E521" i="10"/>
  <c r="C521" i="10"/>
  <c r="P521" i="10" s="1"/>
  <c r="U520" i="10"/>
  <c r="T520" i="10"/>
  <c r="S520" i="10"/>
  <c r="R520" i="10"/>
  <c r="Q520" i="10"/>
  <c r="P520" i="10"/>
  <c r="I520" i="10"/>
  <c r="H520" i="10"/>
  <c r="G520" i="10"/>
  <c r="F520" i="10"/>
  <c r="E520" i="10"/>
  <c r="D520" i="10"/>
  <c r="C520" i="10"/>
  <c r="O520" i="10" s="1"/>
  <c r="N519" i="10"/>
  <c r="F519" i="10"/>
  <c r="C519" i="10"/>
  <c r="W518" i="10"/>
  <c r="C518" i="10"/>
  <c r="W517" i="10"/>
  <c r="V517" i="10"/>
  <c r="U517" i="10"/>
  <c r="T517" i="10"/>
  <c r="S517" i="10"/>
  <c r="R517" i="10"/>
  <c r="Q517" i="10"/>
  <c r="L517" i="10"/>
  <c r="K517" i="10"/>
  <c r="J517" i="10"/>
  <c r="I517" i="10"/>
  <c r="H517" i="10"/>
  <c r="G517" i="10"/>
  <c r="F517" i="10"/>
  <c r="E517" i="10"/>
  <c r="C517" i="10"/>
  <c r="P517" i="10" s="1"/>
  <c r="U516" i="10"/>
  <c r="T516" i="10"/>
  <c r="S516" i="10"/>
  <c r="R516" i="10"/>
  <c r="Q516" i="10"/>
  <c r="P516" i="10"/>
  <c r="I516" i="10"/>
  <c r="H516" i="10"/>
  <c r="G516" i="10"/>
  <c r="F516" i="10"/>
  <c r="E516" i="10"/>
  <c r="D516" i="10"/>
  <c r="C516" i="10"/>
  <c r="O516" i="10" s="1"/>
  <c r="O515" i="10"/>
  <c r="N515" i="10"/>
  <c r="M515" i="10"/>
  <c r="F515" i="10"/>
  <c r="D515" i="10"/>
  <c r="C515" i="10"/>
  <c r="W514" i="10"/>
  <c r="V514" i="10"/>
  <c r="O514" i="10"/>
  <c r="M514" i="10"/>
  <c r="J514" i="10"/>
  <c r="C514" i="10"/>
  <c r="W513" i="10"/>
  <c r="V513" i="10"/>
  <c r="U513" i="10"/>
  <c r="T513" i="10"/>
  <c r="S513" i="10"/>
  <c r="R513" i="10"/>
  <c r="L513" i="10"/>
  <c r="K513" i="10"/>
  <c r="J513" i="10"/>
  <c r="I513" i="10"/>
  <c r="H513" i="10"/>
  <c r="G513" i="10"/>
  <c r="F513" i="10"/>
  <c r="E513" i="10"/>
  <c r="C513" i="10"/>
  <c r="Q513" i="10" s="1"/>
  <c r="U512" i="10"/>
  <c r="T512" i="10"/>
  <c r="S512" i="10"/>
  <c r="R512" i="10"/>
  <c r="Q512" i="10"/>
  <c r="P512" i="10"/>
  <c r="I512" i="10"/>
  <c r="H512" i="10"/>
  <c r="G512" i="10"/>
  <c r="F512" i="10"/>
  <c r="E512" i="10"/>
  <c r="D512" i="10"/>
  <c r="C512" i="10"/>
  <c r="O512" i="10" s="1"/>
  <c r="R511" i="10"/>
  <c r="P511" i="10"/>
  <c r="O511" i="10"/>
  <c r="F511" i="10"/>
  <c r="D511" i="10"/>
  <c r="C511" i="10"/>
  <c r="Q511" i="10" s="1"/>
  <c r="W510" i="10"/>
  <c r="O510" i="10"/>
  <c r="M510" i="10"/>
  <c r="L510" i="10"/>
  <c r="C510" i="10"/>
  <c r="V510" i="10" s="1"/>
  <c r="W509" i="10"/>
  <c r="V509" i="10"/>
  <c r="U509" i="10"/>
  <c r="T509" i="10"/>
  <c r="S509" i="10"/>
  <c r="R509" i="10"/>
  <c r="L509" i="10"/>
  <c r="K509" i="10"/>
  <c r="J509" i="10"/>
  <c r="I509" i="10"/>
  <c r="H509" i="10"/>
  <c r="G509" i="10"/>
  <c r="F509" i="10"/>
  <c r="E509" i="10"/>
  <c r="D509" i="10"/>
  <c r="C509" i="10"/>
  <c r="Q509" i="10" s="1"/>
  <c r="U508" i="10"/>
  <c r="T508" i="10"/>
  <c r="S508" i="10"/>
  <c r="R508" i="10"/>
  <c r="Q508" i="10"/>
  <c r="P508" i="10"/>
  <c r="I508" i="10"/>
  <c r="H508" i="10"/>
  <c r="G508" i="10"/>
  <c r="F508" i="10"/>
  <c r="E508" i="10"/>
  <c r="D508" i="10"/>
  <c r="C508" i="10"/>
  <c r="O508" i="10" s="1"/>
  <c r="R507" i="10"/>
  <c r="P507" i="10"/>
  <c r="O507" i="10"/>
  <c r="F507" i="10"/>
  <c r="D507" i="10"/>
  <c r="C507" i="10"/>
  <c r="Q507" i="10" s="1"/>
  <c r="W506" i="10"/>
  <c r="O506" i="10"/>
  <c r="M506" i="10"/>
  <c r="L506" i="10"/>
  <c r="C506" i="10"/>
  <c r="V506" i="10" s="1"/>
  <c r="W505" i="10"/>
  <c r="V505" i="10"/>
  <c r="U505" i="10"/>
  <c r="T505" i="10"/>
  <c r="S505" i="10"/>
  <c r="R505" i="10"/>
  <c r="L505" i="10"/>
  <c r="K505" i="10"/>
  <c r="J505" i="10"/>
  <c r="I505" i="10"/>
  <c r="H505" i="10"/>
  <c r="G505" i="10"/>
  <c r="F505" i="10"/>
  <c r="E505" i="10"/>
  <c r="C505" i="10"/>
  <c r="Q505" i="10" s="1"/>
  <c r="E504" i="10"/>
  <c r="C504" i="10"/>
  <c r="S503" i="10"/>
  <c r="R503" i="10"/>
  <c r="K503" i="10"/>
  <c r="I503" i="10"/>
  <c r="G503" i="10"/>
  <c r="F503" i="10"/>
  <c r="C503" i="10"/>
  <c r="N503" i="10" s="1"/>
  <c r="O502" i="10"/>
  <c r="H502" i="10"/>
  <c r="F502" i="10"/>
  <c r="C502" i="10"/>
  <c r="Q501" i="10"/>
  <c r="O501" i="10"/>
  <c r="L501" i="10"/>
  <c r="E501" i="10"/>
  <c r="C501" i="10"/>
  <c r="V500" i="10"/>
  <c r="U500" i="10"/>
  <c r="R500" i="10"/>
  <c r="P500" i="10"/>
  <c r="N500" i="10"/>
  <c r="L500" i="10"/>
  <c r="J500" i="10"/>
  <c r="I500" i="10"/>
  <c r="F500" i="10"/>
  <c r="D500" i="10"/>
  <c r="C500" i="10"/>
  <c r="T500" i="10" s="1"/>
  <c r="W499" i="10"/>
  <c r="U499" i="10"/>
  <c r="S499" i="10"/>
  <c r="R499" i="10"/>
  <c r="M499" i="10"/>
  <c r="K499" i="10"/>
  <c r="I499" i="10"/>
  <c r="G499" i="10"/>
  <c r="F499" i="10"/>
  <c r="C499" i="10"/>
  <c r="Q499" i="10" s="1"/>
  <c r="T498" i="10"/>
  <c r="R498" i="10"/>
  <c r="H498" i="10"/>
  <c r="F498" i="10"/>
  <c r="C498" i="10"/>
  <c r="O497" i="10"/>
  <c r="L497" i="10"/>
  <c r="C497" i="10"/>
  <c r="V496" i="10"/>
  <c r="U496" i="10"/>
  <c r="N496" i="10"/>
  <c r="L496" i="10"/>
  <c r="J496" i="10"/>
  <c r="I496" i="10"/>
  <c r="C496" i="10"/>
  <c r="T496" i="10" s="1"/>
  <c r="W495" i="10"/>
  <c r="U495" i="10"/>
  <c r="S495" i="10"/>
  <c r="R495" i="10"/>
  <c r="M495" i="10"/>
  <c r="L495" i="10"/>
  <c r="K495" i="10"/>
  <c r="I495" i="10"/>
  <c r="G495" i="10"/>
  <c r="F495" i="10"/>
  <c r="C495" i="10"/>
  <c r="Q495" i="10" s="1"/>
  <c r="H494" i="10"/>
  <c r="C494" i="10"/>
  <c r="Q493" i="10"/>
  <c r="O493" i="10"/>
  <c r="L493" i="10"/>
  <c r="C493" i="10"/>
  <c r="V492" i="10"/>
  <c r="U492" i="10"/>
  <c r="N492" i="10"/>
  <c r="L492" i="10"/>
  <c r="J492" i="10"/>
  <c r="I492" i="10"/>
  <c r="C492" i="10"/>
  <c r="T492" i="10" s="1"/>
  <c r="W491" i="10"/>
  <c r="U491" i="10"/>
  <c r="S491" i="10"/>
  <c r="R491" i="10"/>
  <c r="M491" i="10"/>
  <c r="L491" i="10"/>
  <c r="K491" i="10"/>
  <c r="I491" i="10"/>
  <c r="G491" i="10"/>
  <c r="F491" i="10"/>
  <c r="C491" i="10"/>
  <c r="Q491" i="10" s="1"/>
  <c r="T490" i="10"/>
  <c r="R490" i="10"/>
  <c r="O490" i="10"/>
  <c r="H490" i="10"/>
  <c r="C490" i="10"/>
  <c r="C489" i="10"/>
  <c r="V488" i="10"/>
  <c r="U488" i="10"/>
  <c r="N488" i="10"/>
  <c r="L488" i="10"/>
  <c r="J488" i="10"/>
  <c r="I488" i="10"/>
  <c r="C488" i="10"/>
  <c r="T488" i="10" s="1"/>
  <c r="W487" i="10"/>
  <c r="U487" i="10"/>
  <c r="S487" i="10"/>
  <c r="R487" i="10"/>
  <c r="M487" i="10"/>
  <c r="L487" i="10"/>
  <c r="K487" i="10"/>
  <c r="I487" i="10"/>
  <c r="G487" i="10"/>
  <c r="F487" i="10"/>
  <c r="C487" i="10"/>
  <c r="Q487" i="10" s="1"/>
  <c r="C486" i="10"/>
  <c r="O485" i="10"/>
  <c r="C485" i="10"/>
  <c r="V484" i="10"/>
  <c r="U484" i="10"/>
  <c r="N484" i="10"/>
  <c r="L484" i="10"/>
  <c r="J484" i="10"/>
  <c r="I484" i="10"/>
  <c r="C484" i="10"/>
  <c r="T484" i="10" s="1"/>
  <c r="W483" i="10"/>
  <c r="U483" i="10"/>
  <c r="S483" i="10"/>
  <c r="R483" i="10"/>
  <c r="M483" i="10"/>
  <c r="L483" i="10"/>
  <c r="K483" i="10"/>
  <c r="I483" i="10"/>
  <c r="G483" i="10"/>
  <c r="F483" i="10"/>
  <c r="C483" i="10"/>
  <c r="Q483" i="10" s="1"/>
  <c r="T482" i="10"/>
  <c r="R482" i="10"/>
  <c r="O482" i="10"/>
  <c r="H482" i="10"/>
  <c r="F482" i="10"/>
  <c r="D482" i="10"/>
  <c r="C482" i="10"/>
  <c r="C481" i="10"/>
  <c r="V480" i="10"/>
  <c r="U480" i="10"/>
  <c r="N480" i="10"/>
  <c r="L480" i="10"/>
  <c r="J480" i="10"/>
  <c r="I480" i="10"/>
  <c r="C480" i="10"/>
  <c r="T480" i="10" s="1"/>
  <c r="W479" i="10"/>
  <c r="U479" i="10"/>
  <c r="S479" i="10"/>
  <c r="R479" i="10"/>
  <c r="M479" i="10"/>
  <c r="L479" i="10"/>
  <c r="K479" i="10"/>
  <c r="I479" i="10"/>
  <c r="G479" i="10"/>
  <c r="F479" i="10"/>
  <c r="C479" i="10"/>
  <c r="Q479" i="10" s="1"/>
  <c r="H478" i="10"/>
  <c r="F478" i="10"/>
  <c r="C478" i="10"/>
  <c r="Q477" i="10"/>
  <c r="O477" i="10"/>
  <c r="M477" i="10"/>
  <c r="E477" i="10"/>
  <c r="C477" i="10"/>
  <c r="V476" i="10"/>
  <c r="U476" i="10"/>
  <c r="P476" i="10"/>
  <c r="N476" i="10"/>
  <c r="L476" i="10"/>
  <c r="J476" i="10"/>
  <c r="I476" i="10"/>
  <c r="D476" i="10"/>
  <c r="C476" i="10"/>
  <c r="T476" i="10" s="1"/>
  <c r="W475" i="10"/>
  <c r="U475" i="10"/>
  <c r="S475" i="10"/>
  <c r="R475" i="10"/>
  <c r="M475" i="10"/>
  <c r="L475" i="10"/>
  <c r="K475" i="10"/>
  <c r="I475" i="10"/>
  <c r="G475" i="10"/>
  <c r="F475" i="10"/>
  <c r="C475" i="10"/>
  <c r="Q475" i="10" s="1"/>
  <c r="T474" i="10"/>
  <c r="P474" i="10"/>
  <c r="H474" i="10"/>
  <c r="F474" i="10"/>
  <c r="D474" i="10"/>
  <c r="C474" i="10"/>
  <c r="S473" i="10"/>
  <c r="Q473" i="10"/>
  <c r="O473" i="10"/>
  <c r="M473" i="10"/>
  <c r="G473" i="10"/>
  <c r="E473" i="10"/>
  <c r="C473" i="10"/>
  <c r="V472" i="10"/>
  <c r="U472" i="10"/>
  <c r="P472" i="10"/>
  <c r="N472" i="10"/>
  <c r="L472" i="10"/>
  <c r="J472" i="10"/>
  <c r="I472" i="10"/>
  <c r="D472" i="10"/>
  <c r="C472" i="10"/>
  <c r="W471" i="10"/>
  <c r="U471" i="10"/>
  <c r="S471" i="10"/>
  <c r="R471" i="10"/>
  <c r="M471" i="10"/>
  <c r="L471" i="10"/>
  <c r="K471" i="10"/>
  <c r="I471" i="10"/>
  <c r="G471" i="10"/>
  <c r="F471" i="10"/>
  <c r="C471" i="10"/>
  <c r="Q471" i="10" s="1"/>
  <c r="O470" i="10"/>
  <c r="C470" i="10"/>
  <c r="L469" i="10"/>
  <c r="G469" i="10"/>
  <c r="E469" i="10"/>
  <c r="C469" i="10"/>
  <c r="V468" i="10"/>
  <c r="U468" i="10"/>
  <c r="O468" i="10"/>
  <c r="J468" i="10"/>
  <c r="I468" i="10"/>
  <c r="D468" i="10"/>
  <c r="C468" i="10"/>
  <c r="W467" i="10"/>
  <c r="U467" i="10"/>
  <c r="S467" i="10"/>
  <c r="R467" i="10"/>
  <c r="M467" i="10"/>
  <c r="I467" i="10"/>
  <c r="G467" i="10"/>
  <c r="F467" i="10"/>
  <c r="C467" i="10"/>
  <c r="V466" i="10"/>
  <c r="C466" i="10"/>
  <c r="R465" i="10"/>
  <c r="G465" i="10"/>
  <c r="F465" i="10"/>
  <c r="C465" i="10"/>
  <c r="R464" i="10"/>
  <c r="C464" i="10"/>
  <c r="S463" i="10"/>
  <c r="K463" i="10"/>
  <c r="I463" i="10"/>
  <c r="F463" i="10"/>
  <c r="C463" i="10"/>
  <c r="U463" i="10" s="1"/>
  <c r="W462" i="10"/>
  <c r="V462" i="10"/>
  <c r="T462" i="10"/>
  <c r="R462" i="10"/>
  <c r="P462" i="10"/>
  <c r="O462" i="10"/>
  <c r="L462" i="10"/>
  <c r="K462" i="10"/>
  <c r="J462" i="10"/>
  <c r="I462" i="10"/>
  <c r="H462" i="10"/>
  <c r="F462" i="10"/>
  <c r="D462" i="10"/>
  <c r="C462" i="10"/>
  <c r="U461" i="10"/>
  <c r="R461" i="10"/>
  <c r="Q461" i="10"/>
  <c r="O461" i="10"/>
  <c r="M461" i="10"/>
  <c r="L461" i="10"/>
  <c r="I461" i="10"/>
  <c r="H461" i="10"/>
  <c r="F461" i="10"/>
  <c r="C461" i="10"/>
  <c r="N461" i="10" s="1"/>
  <c r="V460" i="10"/>
  <c r="U460" i="10"/>
  <c r="O460" i="10"/>
  <c r="I460" i="10"/>
  <c r="H460" i="10"/>
  <c r="F460" i="10"/>
  <c r="C460" i="10"/>
  <c r="R460" i="10" s="1"/>
  <c r="Q459" i="10"/>
  <c r="O459" i="10"/>
  <c r="L459" i="10"/>
  <c r="F459" i="10"/>
  <c r="E459" i="10"/>
  <c r="C459" i="10"/>
  <c r="U458" i="10"/>
  <c r="O458" i="10"/>
  <c r="N458" i="10"/>
  <c r="L458" i="10"/>
  <c r="I458" i="10"/>
  <c r="C458" i="10"/>
  <c r="W457" i="10"/>
  <c r="U457" i="10"/>
  <c r="T457" i="10"/>
  <c r="S457" i="10"/>
  <c r="R457" i="10"/>
  <c r="P457" i="10"/>
  <c r="M457" i="10"/>
  <c r="L457" i="10"/>
  <c r="K457" i="10"/>
  <c r="I457" i="10"/>
  <c r="H457" i="10"/>
  <c r="G457" i="10"/>
  <c r="F457" i="10"/>
  <c r="D457" i="10"/>
  <c r="C457" i="10"/>
  <c r="Q457" i="10" s="1"/>
  <c r="U456" i="10"/>
  <c r="T456" i="10"/>
  <c r="O456" i="10"/>
  <c r="I456" i="10"/>
  <c r="H456" i="10"/>
  <c r="F456" i="10"/>
  <c r="C456" i="10"/>
  <c r="R456" i="10" s="1"/>
  <c r="Q455" i="10"/>
  <c r="O455" i="10"/>
  <c r="L455" i="10"/>
  <c r="F455" i="10"/>
  <c r="E455" i="10"/>
  <c r="C455" i="10"/>
  <c r="U454" i="10"/>
  <c r="O454" i="10"/>
  <c r="N454" i="10"/>
  <c r="L454" i="10"/>
  <c r="I454" i="10"/>
  <c r="C454" i="10"/>
  <c r="W453" i="10"/>
  <c r="U453" i="10"/>
  <c r="T453" i="10"/>
  <c r="S453" i="10"/>
  <c r="R453" i="10"/>
  <c r="P453" i="10"/>
  <c r="M453" i="10"/>
  <c r="L453" i="10"/>
  <c r="K453" i="10"/>
  <c r="I453" i="10"/>
  <c r="H453" i="10"/>
  <c r="G453" i="10"/>
  <c r="F453" i="10"/>
  <c r="D453" i="10"/>
  <c r="C453" i="10"/>
  <c r="Q453" i="10" s="1"/>
  <c r="U452" i="10"/>
  <c r="T452" i="10"/>
  <c r="O452" i="10"/>
  <c r="I452" i="10"/>
  <c r="H452" i="10"/>
  <c r="F452" i="10"/>
  <c r="C452" i="10"/>
  <c r="R452" i="10" s="1"/>
  <c r="Q451" i="10"/>
  <c r="O451" i="10"/>
  <c r="L451" i="10"/>
  <c r="F451" i="10"/>
  <c r="E451" i="10"/>
  <c r="C451" i="10"/>
  <c r="U450" i="10"/>
  <c r="O450" i="10"/>
  <c r="N450" i="10"/>
  <c r="L450" i="10"/>
  <c r="I450" i="10"/>
  <c r="C450" i="10"/>
  <c r="W449" i="10"/>
  <c r="U449" i="10"/>
  <c r="T449" i="10"/>
  <c r="S449" i="10"/>
  <c r="R449" i="10"/>
  <c r="P449" i="10"/>
  <c r="M449" i="10"/>
  <c r="L449" i="10"/>
  <c r="K449" i="10"/>
  <c r="I449" i="10"/>
  <c r="H449" i="10"/>
  <c r="G449" i="10"/>
  <c r="F449" i="10"/>
  <c r="D449" i="10"/>
  <c r="C449" i="10"/>
  <c r="Q449" i="10" s="1"/>
  <c r="U448" i="10"/>
  <c r="T448" i="10"/>
  <c r="O448" i="10"/>
  <c r="I448" i="10"/>
  <c r="H448" i="10"/>
  <c r="F448" i="10"/>
  <c r="C448" i="10"/>
  <c r="R448" i="10" s="1"/>
  <c r="Q447" i="10"/>
  <c r="O447" i="10"/>
  <c r="L447" i="10"/>
  <c r="F447" i="10"/>
  <c r="E447" i="10"/>
  <c r="C447" i="10"/>
  <c r="U446" i="10"/>
  <c r="O446" i="10"/>
  <c r="N446" i="10"/>
  <c r="L446" i="10"/>
  <c r="I446" i="10"/>
  <c r="C446" i="10"/>
  <c r="W445" i="10"/>
  <c r="U445" i="10"/>
  <c r="T445" i="10"/>
  <c r="S445" i="10"/>
  <c r="R445" i="10"/>
  <c r="P445" i="10"/>
  <c r="M445" i="10"/>
  <c r="L445" i="10"/>
  <c r="K445" i="10"/>
  <c r="I445" i="10"/>
  <c r="H445" i="10"/>
  <c r="G445" i="10"/>
  <c r="F445" i="10"/>
  <c r="D445" i="10"/>
  <c r="C445" i="10"/>
  <c r="Q445" i="10" s="1"/>
  <c r="U444" i="10"/>
  <c r="T444" i="10"/>
  <c r="O444" i="10"/>
  <c r="I444" i="10"/>
  <c r="H444" i="10"/>
  <c r="F444" i="10"/>
  <c r="C444" i="10"/>
  <c r="R444" i="10" s="1"/>
  <c r="Q443" i="10"/>
  <c r="O443" i="10"/>
  <c r="L443" i="10"/>
  <c r="F443" i="10"/>
  <c r="E443" i="10"/>
  <c r="C443" i="10"/>
  <c r="U442" i="10"/>
  <c r="O442" i="10"/>
  <c r="N442" i="10"/>
  <c r="L442" i="10"/>
  <c r="I442" i="10"/>
  <c r="C442" i="10"/>
  <c r="W441" i="10"/>
  <c r="U441" i="10"/>
  <c r="T441" i="10"/>
  <c r="S441" i="10"/>
  <c r="R441" i="10"/>
  <c r="P441" i="10"/>
  <c r="M441" i="10"/>
  <c r="L441" i="10"/>
  <c r="K441" i="10"/>
  <c r="I441" i="10"/>
  <c r="H441" i="10"/>
  <c r="G441" i="10"/>
  <c r="F441" i="10"/>
  <c r="E441" i="10"/>
  <c r="D441" i="10"/>
  <c r="C441" i="10"/>
  <c r="Q441" i="10" s="1"/>
  <c r="U440" i="10"/>
  <c r="T440" i="10"/>
  <c r="R440" i="10"/>
  <c r="O440" i="10"/>
  <c r="I440" i="10"/>
  <c r="H440" i="10"/>
  <c r="F440" i="10"/>
  <c r="C440" i="10"/>
  <c r="C439" i="10"/>
  <c r="U438" i="10"/>
  <c r="O438" i="10"/>
  <c r="N438" i="10"/>
  <c r="C438" i="10"/>
  <c r="W437" i="10"/>
  <c r="U437" i="10"/>
  <c r="T437" i="10"/>
  <c r="S437" i="10"/>
  <c r="R437" i="10"/>
  <c r="P437" i="10"/>
  <c r="M437" i="10"/>
  <c r="L437" i="10"/>
  <c r="K437" i="10"/>
  <c r="I437" i="10"/>
  <c r="H437" i="10"/>
  <c r="G437" i="10"/>
  <c r="F437" i="10"/>
  <c r="D437" i="10"/>
  <c r="C437" i="10"/>
  <c r="Q437" i="10" s="1"/>
  <c r="U436" i="10"/>
  <c r="R436" i="10"/>
  <c r="Q436" i="10"/>
  <c r="P436" i="10"/>
  <c r="O436" i="10"/>
  <c r="C436" i="10"/>
  <c r="T436" i="10" s="1"/>
  <c r="R435" i="10"/>
  <c r="O435" i="10"/>
  <c r="N435" i="10"/>
  <c r="M435" i="10"/>
  <c r="L435" i="10"/>
  <c r="C435" i="10"/>
  <c r="Q435" i="10" s="1"/>
  <c r="W434" i="10"/>
  <c r="V434" i="10"/>
  <c r="U434" i="10"/>
  <c r="O434" i="10"/>
  <c r="L434" i="10"/>
  <c r="K434" i="10"/>
  <c r="J434" i="10"/>
  <c r="I434" i="10"/>
  <c r="C434" i="10"/>
  <c r="N434" i="10" s="1"/>
  <c r="W433" i="10"/>
  <c r="U433" i="10"/>
  <c r="T433" i="10"/>
  <c r="S433" i="10"/>
  <c r="R433" i="10"/>
  <c r="P433" i="10"/>
  <c r="M433" i="10"/>
  <c r="L433" i="10"/>
  <c r="K433" i="10"/>
  <c r="I433" i="10"/>
  <c r="H433" i="10"/>
  <c r="G433" i="10"/>
  <c r="F433" i="10"/>
  <c r="D433" i="10"/>
  <c r="C433" i="10"/>
  <c r="Q433" i="10" s="1"/>
  <c r="U432" i="10"/>
  <c r="T432" i="10"/>
  <c r="R432" i="10"/>
  <c r="P432" i="10"/>
  <c r="O432" i="10"/>
  <c r="I432" i="10"/>
  <c r="H432" i="10"/>
  <c r="C432" i="10"/>
  <c r="Q432" i="10" s="1"/>
  <c r="R431" i="10"/>
  <c r="Q431" i="10"/>
  <c r="O431" i="10"/>
  <c r="M431" i="10"/>
  <c r="L431" i="10"/>
  <c r="F431" i="10"/>
  <c r="E431" i="10"/>
  <c r="C431" i="10"/>
  <c r="N431" i="10" s="1"/>
  <c r="C430" i="10"/>
  <c r="W429" i="10"/>
  <c r="U429" i="10"/>
  <c r="T429" i="10"/>
  <c r="S429" i="10"/>
  <c r="R429" i="10"/>
  <c r="P429" i="10"/>
  <c r="M429" i="10"/>
  <c r="L429" i="10"/>
  <c r="K429" i="10"/>
  <c r="I429" i="10"/>
  <c r="H429" i="10"/>
  <c r="G429" i="10"/>
  <c r="F429" i="10"/>
  <c r="D429" i="10"/>
  <c r="C429" i="10"/>
  <c r="Q429" i="10" s="1"/>
  <c r="R428" i="10"/>
  <c r="P428" i="10"/>
  <c r="O428" i="10"/>
  <c r="J428" i="10"/>
  <c r="I428" i="10"/>
  <c r="C428" i="10"/>
  <c r="T428" i="10" s="1"/>
  <c r="S427" i="10"/>
  <c r="Q427" i="10"/>
  <c r="O427" i="10"/>
  <c r="N427" i="10"/>
  <c r="M427" i="10"/>
  <c r="C427" i="10"/>
  <c r="R427" i="10" s="1"/>
  <c r="W426" i="10"/>
  <c r="U426" i="10"/>
  <c r="S426" i="10"/>
  <c r="P426" i="10"/>
  <c r="O426" i="10"/>
  <c r="J426" i="10"/>
  <c r="I426" i="10"/>
  <c r="G426" i="10"/>
  <c r="D426" i="10"/>
  <c r="C426" i="10"/>
  <c r="W425" i="10"/>
  <c r="U425" i="10"/>
  <c r="T425" i="10"/>
  <c r="S425" i="10"/>
  <c r="R425" i="10"/>
  <c r="P425" i="10"/>
  <c r="M425" i="10"/>
  <c r="L425" i="10"/>
  <c r="K425" i="10"/>
  <c r="I425" i="10"/>
  <c r="H425" i="10"/>
  <c r="G425" i="10"/>
  <c r="F425" i="10"/>
  <c r="E425" i="10"/>
  <c r="D425" i="10"/>
  <c r="C425" i="10"/>
  <c r="Q425" i="10" s="1"/>
  <c r="R424" i="10"/>
  <c r="Q424" i="10"/>
  <c r="P424" i="10"/>
  <c r="O424" i="10"/>
  <c r="J424" i="10"/>
  <c r="I424" i="10"/>
  <c r="H424" i="10"/>
  <c r="F424" i="10"/>
  <c r="C424" i="10"/>
  <c r="M424" i="10" s="1"/>
  <c r="S423" i="10"/>
  <c r="R423" i="10"/>
  <c r="Q423" i="10"/>
  <c r="N423" i="10"/>
  <c r="M423" i="10"/>
  <c r="L423" i="10"/>
  <c r="J423" i="10"/>
  <c r="C423" i="10"/>
  <c r="O423" i="10" s="1"/>
  <c r="C422" i="10"/>
  <c r="W421" i="10"/>
  <c r="V421" i="10"/>
  <c r="U421" i="10"/>
  <c r="N421" i="10"/>
  <c r="L421" i="10"/>
  <c r="K421" i="10"/>
  <c r="J421" i="10"/>
  <c r="I421" i="10"/>
  <c r="D421" i="10"/>
  <c r="C421" i="10"/>
  <c r="T421" i="10" s="1"/>
  <c r="W420" i="10"/>
  <c r="U420" i="10"/>
  <c r="T420" i="10"/>
  <c r="S420" i="10"/>
  <c r="R420" i="10"/>
  <c r="N420" i="10"/>
  <c r="M420" i="10"/>
  <c r="L420" i="10"/>
  <c r="K420" i="10"/>
  <c r="I420" i="10"/>
  <c r="H420" i="10"/>
  <c r="G420" i="10"/>
  <c r="F420" i="10"/>
  <c r="C420" i="10"/>
  <c r="Q420" i="10" s="1"/>
  <c r="R419" i="10"/>
  <c r="P419" i="10"/>
  <c r="O419" i="10"/>
  <c r="F419" i="10"/>
  <c r="D419" i="10"/>
  <c r="C419" i="10"/>
  <c r="C418" i="10"/>
  <c r="W417" i="10"/>
  <c r="V417" i="10"/>
  <c r="U417" i="10"/>
  <c r="N417" i="10"/>
  <c r="L417" i="10"/>
  <c r="K417" i="10"/>
  <c r="J417" i="10"/>
  <c r="I417" i="10"/>
  <c r="D417" i="10"/>
  <c r="C417" i="10"/>
  <c r="T417" i="10" s="1"/>
  <c r="W416" i="10"/>
  <c r="U416" i="10"/>
  <c r="T416" i="10"/>
  <c r="S416" i="10"/>
  <c r="R416" i="10"/>
  <c r="N416" i="10"/>
  <c r="M416" i="10"/>
  <c r="L416" i="10"/>
  <c r="K416" i="10"/>
  <c r="I416" i="10"/>
  <c r="H416" i="10"/>
  <c r="G416" i="10"/>
  <c r="F416" i="10"/>
  <c r="C416" i="10"/>
  <c r="Q416" i="10" s="1"/>
  <c r="R415" i="10"/>
  <c r="P415" i="10"/>
  <c r="O415" i="10"/>
  <c r="D415" i="10"/>
  <c r="C415" i="10"/>
  <c r="C414" i="10"/>
  <c r="W413" i="10"/>
  <c r="V413" i="10"/>
  <c r="U413" i="10"/>
  <c r="N413" i="10"/>
  <c r="L413" i="10"/>
  <c r="K413" i="10"/>
  <c r="J413" i="10"/>
  <c r="I413" i="10"/>
  <c r="D413" i="10"/>
  <c r="C413" i="10"/>
  <c r="T413" i="10" s="1"/>
  <c r="W412" i="10"/>
  <c r="U412" i="10"/>
  <c r="T412" i="10"/>
  <c r="S412" i="10"/>
  <c r="R412" i="10"/>
  <c r="N412" i="10"/>
  <c r="M412" i="10"/>
  <c r="L412" i="10"/>
  <c r="K412" i="10"/>
  <c r="I412" i="10"/>
  <c r="H412" i="10"/>
  <c r="G412" i="10"/>
  <c r="F412" i="10"/>
  <c r="C412" i="10"/>
  <c r="Q412" i="10" s="1"/>
  <c r="R411" i="10"/>
  <c r="P411" i="10"/>
  <c r="O411" i="10"/>
  <c r="F411" i="10"/>
  <c r="D411" i="10"/>
  <c r="C411" i="10"/>
  <c r="O410" i="10"/>
  <c r="M410" i="10"/>
  <c r="L410" i="10"/>
  <c r="C410" i="10"/>
  <c r="W409" i="10"/>
  <c r="V409" i="10"/>
  <c r="U409" i="10"/>
  <c r="P409" i="10"/>
  <c r="N409" i="10"/>
  <c r="L409" i="10"/>
  <c r="K409" i="10"/>
  <c r="J409" i="10"/>
  <c r="I409" i="10"/>
  <c r="D409" i="10"/>
  <c r="C409" i="10"/>
  <c r="T409" i="10" s="1"/>
  <c r="W408" i="10"/>
  <c r="U408" i="10"/>
  <c r="T408" i="10"/>
  <c r="S408" i="10"/>
  <c r="R408" i="10"/>
  <c r="P408" i="10"/>
  <c r="N408" i="10"/>
  <c r="M408" i="10"/>
  <c r="L408" i="10"/>
  <c r="K408" i="10"/>
  <c r="I408" i="10"/>
  <c r="H408" i="10"/>
  <c r="G408" i="10"/>
  <c r="F408" i="10"/>
  <c r="D408" i="10"/>
  <c r="C408" i="10"/>
  <c r="Q408" i="10" s="1"/>
  <c r="R407" i="10"/>
  <c r="P407" i="10"/>
  <c r="O407" i="10"/>
  <c r="F407" i="10"/>
  <c r="C407" i="10"/>
  <c r="M406" i="10"/>
  <c r="C406" i="10"/>
  <c r="W405" i="10"/>
  <c r="V405" i="10"/>
  <c r="U405" i="10"/>
  <c r="P405" i="10"/>
  <c r="N405" i="10"/>
  <c r="L405" i="10"/>
  <c r="K405" i="10"/>
  <c r="J405" i="10"/>
  <c r="I405" i="10"/>
  <c r="D405" i="10"/>
  <c r="C405" i="10"/>
  <c r="T405" i="10" s="1"/>
  <c r="W404" i="10"/>
  <c r="U404" i="10"/>
  <c r="T404" i="10"/>
  <c r="S404" i="10"/>
  <c r="R404" i="10"/>
  <c r="P404" i="10"/>
  <c r="N404" i="10"/>
  <c r="M404" i="10"/>
  <c r="L404" i="10"/>
  <c r="K404" i="10"/>
  <c r="I404" i="10"/>
  <c r="H404" i="10"/>
  <c r="G404" i="10"/>
  <c r="F404" i="10"/>
  <c r="E404" i="10"/>
  <c r="D404" i="10"/>
  <c r="C404" i="10"/>
  <c r="Q404" i="10" s="1"/>
  <c r="R403" i="10"/>
  <c r="P403" i="10"/>
  <c r="C403" i="10"/>
  <c r="C402" i="10"/>
  <c r="W401" i="10"/>
  <c r="V401" i="10"/>
  <c r="U401" i="10"/>
  <c r="P401" i="10"/>
  <c r="N401" i="10"/>
  <c r="L401" i="10"/>
  <c r="K401" i="10"/>
  <c r="J401" i="10"/>
  <c r="I401" i="10"/>
  <c r="D401" i="10"/>
  <c r="C401" i="10"/>
  <c r="T401" i="10" s="1"/>
  <c r="W400" i="10"/>
  <c r="U400" i="10"/>
  <c r="T400" i="10"/>
  <c r="S400" i="10"/>
  <c r="R400" i="10"/>
  <c r="P400" i="10"/>
  <c r="N400" i="10"/>
  <c r="M400" i="10"/>
  <c r="L400" i="10"/>
  <c r="K400" i="10"/>
  <c r="I400" i="10"/>
  <c r="H400" i="10"/>
  <c r="G400" i="10"/>
  <c r="F400" i="10"/>
  <c r="E400" i="10"/>
  <c r="D400" i="10"/>
  <c r="C400" i="10"/>
  <c r="Q400" i="10" s="1"/>
  <c r="P399" i="10"/>
  <c r="F399" i="10"/>
  <c r="C399" i="10"/>
  <c r="L398" i="10"/>
  <c r="C398" i="10"/>
  <c r="W397" i="10"/>
  <c r="V397" i="10"/>
  <c r="U397" i="10"/>
  <c r="P397" i="10"/>
  <c r="N397" i="10"/>
  <c r="L397" i="10"/>
  <c r="K397" i="10"/>
  <c r="J397" i="10"/>
  <c r="I397" i="10"/>
  <c r="D397" i="10"/>
  <c r="C397" i="10"/>
  <c r="T397" i="10" s="1"/>
  <c r="W396" i="10"/>
  <c r="U396" i="10"/>
  <c r="T396" i="10"/>
  <c r="S396" i="10"/>
  <c r="R396" i="10"/>
  <c r="Q396" i="10"/>
  <c r="P396" i="10"/>
  <c r="N396" i="10"/>
  <c r="M396" i="10"/>
  <c r="L396" i="10"/>
  <c r="K396" i="10"/>
  <c r="I396" i="10"/>
  <c r="H396" i="10"/>
  <c r="G396" i="10"/>
  <c r="F396" i="10"/>
  <c r="E396" i="10"/>
  <c r="D396" i="10"/>
  <c r="C396" i="10"/>
  <c r="O396" i="10" s="1"/>
  <c r="C395" i="10"/>
  <c r="O394" i="10"/>
  <c r="C394" i="10"/>
  <c r="W393" i="10"/>
  <c r="V393" i="10"/>
  <c r="U393" i="10"/>
  <c r="P393" i="10"/>
  <c r="N393" i="10"/>
  <c r="L393" i="10"/>
  <c r="K393" i="10"/>
  <c r="J393" i="10"/>
  <c r="I393" i="10"/>
  <c r="D393" i="10"/>
  <c r="C393" i="10"/>
  <c r="T393" i="10" s="1"/>
  <c r="W392" i="10"/>
  <c r="U392" i="10"/>
  <c r="T392" i="10"/>
  <c r="S392" i="10"/>
  <c r="R392" i="10"/>
  <c r="P392" i="10"/>
  <c r="N392" i="10"/>
  <c r="M392" i="10"/>
  <c r="L392" i="10"/>
  <c r="K392" i="10"/>
  <c r="I392" i="10"/>
  <c r="H392" i="10"/>
  <c r="G392" i="10"/>
  <c r="F392" i="10"/>
  <c r="E392" i="10"/>
  <c r="D392" i="10"/>
  <c r="C392" i="10"/>
  <c r="Q392" i="10" s="1"/>
  <c r="R391" i="10"/>
  <c r="Q391" i="10"/>
  <c r="P391" i="10"/>
  <c r="O391" i="10"/>
  <c r="C391" i="10"/>
  <c r="C390" i="10"/>
  <c r="W389" i="10"/>
  <c r="V389" i="10"/>
  <c r="U389" i="10"/>
  <c r="P389" i="10"/>
  <c r="N389" i="10"/>
  <c r="L389" i="10"/>
  <c r="K389" i="10"/>
  <c r="J389" i="10"/>
  <c r="I389" i="10"/>
  <c r="D389" i="10"/>
  <c r="C389" i="10"/>
  <c r="T389" i="10" s="1"/>
  <c r="W388" i="10"/>
  <c r="U388" i="10"/>
  <c r="T388" i="10"/>
  <c r="S388" i="10"/>
  <c r="R388" i="10"/>
  <c r="Q388" i="10"/>
  <c r="P388" i="10"/>
  <c r="N388" i="10"/>
  <c r="M388" i="10"/>
  <c r="L388" i="10"/>
  <c r="K388" i="10"/>
  <c r="I388" i="10"/>
  <c r="H388" i="10"/>
  <c r="G388" i="10"/>
  <c r="F388" i="10"/>
  <c r="E388" i="10"/>
  <c r="D388" i="10"/>
  <c r="C388" i="10"/>
  <c r="O388" i="10" s="1"/>
  <c r="D387" i="10"/>
  <c r="C387" i="10"/>
  <c r="O386" i="10"/>
  <c r="N386" i="10"/>
  <c r="L386" i="10"/>
  <c r="C386" i="10"/>
  <c r="W385" i="10"/>
  <c r="V385" i="10"/>
  <c r="U385" i="10"/>
  <c r="P385" i="10"/>
  <c r="N385" i="10"/>
  <c r="L385" i="10"/>
  <c r="K385" i="10"/>
  <c r="J385" i="10"/>
  <c r="I385" i="10"/>
  <c r="D385" i="10"/>
  <c r="C385" i="10"/>
  <c r="T385" i="10" s="1"/>
  <c r="W384" i="10"/>
  <c r="U384" i="10"/>
  <c r="T384" i="10"/>
  <c r="S384" i="10"/>
  <c r="R384" i="10"/>
  <c r="Q384" i="10"/>
  <c r="P384" i="10"/>
  <c r="N384" i="10"/>
  <c r="M384" i="10"/>
  <c r="L384" i="10"/>
  <c r="K384" i="10"/>
  <c r="I384" i="10"/>
  <c r="H384" i="10"/>
  <c r="G384" i="10"/>
  <c r="F384" i="10"/>
  <c r="E384" i="10"/>
  <c r="D384" i="10"/>
  <c r="C384" i="10"/>
  <c r="O384" i="10" s="1"/>
  <c r="R383" i="10"/>
  <c r="Q383" i="10"/>
  <c r="P383" i="10"/>
  <c r="O383" i="10"/>
  <c r="C383" i="10"/>
  <c r="C382" i="10"/>
  <c r="W381" i="10"/>
  <c r="V381" i="10"/>
  <c r="U381" i="10"/>
  <c r="Q381" i="10"/>
  <c r="P381" i="10"/>
  <c r="N381" i="10"/>
  <c r="L381" i="10"/>
  <c r="K381" i="10"/>
  <c r="J381" i="10"/>
  <c r="I381" i="10"/>
  <c r="E381" i="10"/>
  <c r="D381" i="10"/>
  <c r="C381" i="10"/>
  <c r="T381" i="10" s="1"/>
  <c r="W380" i="10"/>
  <c r="U380" i="10"/>
  <c r="T380" i="10"/>
  <c r="S380" i="10"/>
  <c r="R380" i="10"/>
  <c r="Q380" i="10"/>
  <c r="P380" i="10"/>
  <c r="N380" i="10"/>
  <c r="M380" i="10"/>
  <c r="L380" i="10"/>
  <c r="K380" i="10"/>
  <c r="I380" i="10"/>
  <c r="H380" i="10"/>
  <c r="G380" i="10"/>
  <c r="F380" i="10"/>
  <c r="E380" i="10"/>
  <c r="D380" i="10"/>
  <c r="C380" i="10"/>
  <c r="O380" i="10" s="1"/>
  <c r="F379" i="10"/>
  <c r="C379" i="10"/>
  <c r="N378" i="10"/>
  <c r="M378" i="10"/>
  <c r="L378" i="10"/>
  <c r="C378" i="10"/>
  <c r="W377" i="10"/>
  <c r="V377" i="10"/>
  <c r="U377" i="10"/>
  <c r="Q377" i="10"/>
  <c r="P377" i="10"/>
  <c r="N377" i="10"/>
  <c r="L377" i="10"/>
  <c r="K377" i="10"/>
  <c r="J377" i="10"/>
  <c r="I377" i="10"/>
  <c r="E377" i="10"/>
  <c r="D377" i="10"/>
  <c r="C377" i="10"/>
  <c r="T377" i="10" s="1"/>
  <c r="W376" i="10"/>
  <c r="U376" i="10"/>
  <c r="T376" i="10"/>
  <c r="S376" i="10"/>
  <c r="R376" i="10"/>
  <c r="P376" i="10"/>
  <c r="N376" i="10"/>
  <c r="M376" i="10"/>
  <c r="L376" i="10"/>
  <c r="K376" i="10"/>
  <c r="I376" i="10"/>
  <c r="H376" i="10"/>
  <c r="G376" i="10"/>
  <c r="F376" i="10"/>
  <c r="E376" i="10"/>
  <c r="D376" i="10"/>
  <c r="C376" i="10"/>
  <c r="Q376" i="10" s="1"/>
  <c r="R375" i="10"/>
  <c r="C375" i="10"/>
  <c r="N374" i="10"/>
  <c r="C374" i="10"/>
  <c r="W373" i="10"/>
  <c r="V373" i="10"/>
  <c r="U373" i="10"/>
  <c r="Q373" i="10"/>
  <c r="P373" i="10"/>
  <c r="N373" i="10"/>
  <c r="L373" i="10"/>
  <c r="K373" i="10"/>
  <c r="J373" i="10"/>
  <c r="I373" i="10"/>
  <c r="E373" i="10"/>
  <c r="D373" i="10"/>
  <c r="C373" i="10"/>
  <c r="T373" i="10" s="1"/>
  <c r="W372" i="10"/>
  <c r="U372" i="10"/>
  <c r="T372" i="10"/>
  <c r="S372" i="10"/>
  <c r="R372" i="10"/>
  <c r="P372" i="10"/>
  <c r="N372" i="10"/>
  <c r="M372" i="10"/>
  <c r="L372" i="10"/>
  <c r="K372" i="10"/>
  <c r="I372" i="10"/>
  <c r="H372" i="10"/>
  <c r="G372" i="10"/>
  <c r="F372" i="10"/>
  <c r="E372" i="10"/>
  <c r="D372" i="10"/>
  <c r="C372" i="10"/>
  <c r="Q372" i="10" s="1"/>
  <c r="R371" i="10"/>
  <c r="Q371" i="10"/>
  <c r="P371" i="10"/>
  <c r="O371" i="10"/>
  <c r="F371" i="10"/>
  <c r="E371" i="10"/>
  <c r="C371" i="10"/>
  <c r="C370" i="10"/>
  <c r="W369" i="10"/>
  <c r="V369" i="10"/>
  <c r="U369" i="10"/>
  <c r="Q369" i="10"/>
  <c r="P369" i="10"/>
  <c r="N369" i="10"/>
  <c r="L369" i="10"/>
  <c r="K369" i="10"/>
  <c r="J369" i="10"/>
  <c r="I369" i="10"/>
  <c r="E369" i="10"/>
  <c r="D369" i="10"/>
  <c r="C369" i="10"/>
  <c r="T369" i="10" s="1"/>
  <c r="W368" i="10"/>
  <c r="U368" i="10"/>
  <c r="T368" i="10"/>
  <c r="S368" i="10"/>
  <c r="R368" i="10"/>
  <c r="Q368" i="10"/>
  <c r="P368" i="10"/>
  <c r="N368" i="10"/>
  <c r="M368" i="10"/>
  <c r="L368" i="10"/>
  <c r="K368" i="10"/>
  <c r="I368" i="10"/>
  <c r="H368" i="10"/>
  <c r="G368" i="10"/>
  <c r="F368" i="10"/>
  <c r="E368" i="10"/>
  <c r="D368" i="10"/>
  <c r="C368" i="10"/>
  <c r="O368" i="10" s="1"/>
  <c r="D367" i="10"/>
  <c r="C367" i="10"/>
  <c r="O366" i="10"/>
  <c r="N366" i="10"/>
  <c r="L366" i="10"/>
  <c r="C366" i="10"/>
  <c r="W365" i="10"/>
  <c r="V365" i="10"/>
  <c r="U365" i="10"/>
  <c r="Q365" i="10"/>
  <c r="P365" i="10"/>
  <c r="N365" i="10"/>
  <c r="L365" i="10"/>
  <c r="K365" i="10"/>
  <c r="J365" i="10"/>
  <c r="I365" i="10"/>
  <c r="E365" i="10"/>
  <c r="D365" i="10"/>
  <c r="C365" i="10"/>
  <c r="T365" i="10" s="1"/>
  <c r="W364" i="10"/>
  <c r="U364" i="10"/>
  <c r="T364" i="10"/>
  <c r="S364" i="10"/>
  <c r="R364" i="10"/>
  <c r="Q364" i="10"/>
  <c r="P364" i="10"/>
  <c r="N364" i="10"/>
  <c r="M364" i="10"/>
  <c r="L364" i="10"/>
  <c r="K364" i="10"/>
  <c r="I364" i="10"/>
  <c r="H364" i="10"/>
  <c r="G364" i="10"/>
  <c r="F364" i="10"/>
  <c r="E364" i="10"/>
  <c r="D364" i="10"/>
  <c r="C364" i="10"/>
  <c r="O364" i="10" s="1"/>
  <c r="R363" i="10"/>
  <c r="Q363" i="10"/>
  <c r="E363" i="10"/>
  <c r="C363" i="10"/>
  <c r="C362" i="10"/>
  <c r="W361" i="10"/>
  <c r="V361" i="10"/>
  <c r="U361" i="10"/>
  <c r="Q361" i="10"/>
  <c r="P361" i="10"/>
  <c r="N361" i="10"/>
  <c r="L361" i="10"/>
  <c r="K361" i="10"/>
  <c r="J361" i="10"/>
  <c r="I361" i="10"/>
  <c r="H361" i="10"/>
  <c r="E361" i="10"/>
  <c r="D361" i="10"/>
  <c r="C361" i="10"/>
  <c r="T361" i="10" s="1"/>
  <c r="W360" i="10"/>
  <c r="U360" i="10"/>
  <c r="T360" i="10"/>
  <c r="S360" i="10"/>
  <c r="R360" i="10"/>
  <c r="Q360" i="10"/>
  <c r="N360" i="10"/>
  <c r="M360" i="10"/>
  <c r="K360" i="10"/>
  <c r="I360" i="10"/>
  <c r="H360" i="10"/>
  <c r="G360" i="10"/>
  <c r="F360" i="10"/>
  <c r="E360" i="10"/>
  <c r="D360" i="10"/>
  <c r="C360" i="10"/>
  <c r="P360" i="10" s="1"/>
  <c r="R359" i="10"/>
  <c r="Q359" i="10"/>
  <c r="P359" i="10"/>
  <c r="O359" i="10"/>
  <c r="F359" i="10"/>
  <c r="E359" i="10"/>
  <c r="D359" i="10"/>
  <c r="C359" i="10"/>
  <c r="M358" i="10"/>
  <c r="C358" i="10"/>
  <c r="W357" i="10"/>
  <c r="V357" i="10"/>
  <c r="U357" i="10"/>
  <c r="T357" i="10"/>
  <c r="Q357" i="10"/>
  <c r="P357" i="10"/>
  <c r="N357" i="10"/>
  <c r="L357" i="10"/>
  <c r="K357" i="10"/>
  <c r="J357" i="10"/>
  <c r="I357" i="10"/>
  <c r="H357" i="10"/>
  <c r="F357" i="10"/>
  <c r="E357" i="10"/>
  <c r="D357" i="10"/>
  <c r="C357" i="10"/>
  <c r="S357" i="10" s="1"/>
  <c r="W356" i="10"/>
  <c r="U356" i="10"/>
  <c r="T356" i="10"/>
  <c r="S356" i="10"/>
  <c r="R356" i="10"/>
  <c r="Q356" i="10"/>
  <c r="N356" i="10"/>
  <c r="M356" i="10"/>
  <c r="K356" i="10"/>
  <c r="I356" i="10"/>
  <c r="H356" i="10"/>
  <c r="G356" i="10"/>
  <c r="F356" i="10"/>
  <c r="E356" i="10"/>
  <c r="C356" i="10"/>
  <c r="P356" i="10" s="1"/>
  <c r="C355" i="10"/>
  <c r="O354" i="10"/>
  <c r="N354" i="10"/>
  <c r="M354" i="10"/>
  <c r="C354" i="10"/>
  <c r="W353" i="10"/>
  <c r="V353" i="10"/>
  <c r="U353" i="10"/>
  <c r="T353" i="10"/>
  <c r="Q353" i="10"/>
  <c r="P353" i="10"/>
  <c r="N353" i="10"/>
  <c r="L353" i="10"/>
  <c r="K353" i="10"/>
  <c r="J353" i="10"/>
  <c r="I353" i="10"/>
  <c r="H353" i="10"/>
  <c r="E353" i="10"/>
  <c r="D353" i="10"/>
  <c r="C353" i="10"/>
  <c r="S353" i="10" s="1"/>
  <c r="W352" i="10"/>
  <c r="U352" i="10"/>
  <c r="T352" i="10"/>
  <c r="S352" i="10"/>
  <c r="R352" i="10"/>
  <c r="N352" i="10"/>
  <c r="M352" i="10"/>
  <c r="K352" i="10"/>
  <c r="I352" i="10"/>
  <c r="H352" i="10"/>
  <c r="G352" i="10"/>
  <c r="F352" i="10"/>
  <c r="E352" i="10"/>
  <c r="C352" i="10"/>
  <c r="Q352" i="10" s="1"/>
  <c r="R351" i="10"/>
  <c r="Q351" i="10"/>
  <c r="P351" i="10"/>
  <c r="O351" i="10"/>
  <c r="F351" i="10"/>
  <c r="D351" i="10"/>
  <c r="C351" i="10"/>
  <c r="L350" i="10"/>
  <c r="C350" i="10"/>
  <c r="W349" i="10"/>
  <c r="V349" i="10"/>
  <c r="U349" i="10"/>
  <c r="T349" i="10"/>
  <c r="Q349" i="10"/>
  <c r="P349" i="10"/>
  <c r="N349" i="10"/>
  <c r="M349" i="10"/>
  <c r="L349" i="10"/>
  <c r="K349" i="10"/>
  <c r="J349" i="10"/>
  <c r="I349" i="10"/>
  <c r="H349" i="10"/>
  <c r="E349" i="10"/>
  <c r="D349" i="10"/>
  <c r="C349" i="10"/>
  <c r="S349" i="10" s="1"/>
  <c r="W348" i="10"/>
  <c r="V348" i="10"/>
  <c r="U348" i="10"/>
  <c r="T348" i="10"/>
  <c r="S348" i="10"/>
  <c r="R348" i="10"/>
  <c r="N348" i="10"/>
  <c r="M348" i="10"/>
  <c r="K348" i="10"/>
  <c r="J348" i="10"/>
  <c r="I348" i="10"/>
  <c r="H348" i="10"/>
  <c r="G348" i="10"/>
  <c r="F348" i="10"/>
  <c r="C348" i="10"/>
  <c r="Q348" i="10" s="1"/>
  <c r="E347" i="10"/>
  <c r="C347" i="10"/>
  <c r="O346" i="10"/>
  <c r="C346" i="10"/>
  <c r="W345" i="10"/>
  <c r="V345" i="10"/>
  <c r="U345" i="10"/>
  <c r="Q345" i="10"/>
  <c r="P345" i="10"/>
  <c r="N345" i="10"/>
  <c r="M345" i="10"/>
  <c r="L345" i="10"/>
  <c r="K345" i="10"/>
  <c r="J345" i="10"/>
  <c r="I345" i="10"/>
  <c r="E345" i="10"/>
  <c r="D345" i="10"/>
  <c r="C345" i="10"/>
  <c r="T345" i="10" s="1"/>
  <c r="W344" i="10"/>
  <c r="V344" i="10"/>
  <c r="U344" i="10"/>
  <c r="T344" i="10"/>
  <c r="S344" i="10"/>
  <c r="R344" i="10"/>
  <c r="N344" i="10"/>
  <c r="M344" i="10"/>
  <c r="K344" i="10"/>
  <c r="J344" i="10"/>
  <c r="I344" i="10"/>
  <c r="H344" i="10"/>
  <c r="G344" i="10"/>
  <c r="F344" i="10"/>
  <c r="C344" i="10"/>
  <c r="Q344" i="10" s="1"/>
  <c r="R343" i="10"/>
  <c r="Q343" i="10"/>
  <c r="P343" i="10"/>
  <c r="F343" i="10"/>
  <c r="E343" i="10"/>
  <c r="D343" i="10"/>
  <c r="C343" i="10"/>
  <c r="L342" i="10"/>
  <c r="C342" i="10"/>
  <c r="W341" i="10"/>
  <c r="V341" i="10"/>
  <c r="U341" i="10"/>
  <c r="Q341" i="10"/>
  <c r="P341" i="10"/>
  <c r="N341" i="10"/>
  <c r="M341" i="10"/>
  <c r="L341" i="10"/>
  <c r="K341" i="10"/>
  <c r="J341" i="10"/>
  <c r="I341" i="10"/>
  <c r="H341" i="10"/>
  <c r="F341" i="10"/>
  <c r="E341" i="10"/>
  <c r="D341" i="10"/>
  <c r="C341" i="10"/>
  <c r="T341" i="10" s="1"/>
  <c r="W340" i="10"/>
  <c r="V340" i="10"/>
  <c r="U340" i="10"/>
  <c r="T340" i="10"/>
  <c r="S340" i="10"/>
  <c r="R340" i="10"/>
  <c r="N340" i="10"/>
  <c r="M340" i="10"/>
  <c r="K340" i="10"/>
  <c r="J340" i="10"/>
  <c r="I340" i="10"/>
  <c r="H340" i="10"/>
  <c r="G340" i="10"/>
  <c r="F340" i="10"/>
  <c r="C340" i="10"/>
  <c r="Q340" i="10" s="1"/>
  <c r="R339" i="10"/>
  <c r="Q339" i="10"/>
  <c r="P339" i="10"/>
  <c r="O339" i="10"/>
  <c r="C339" i="10"/>
  <c r="V339" i="10" s="1"/>
  <c r="T338" i="10"/>
  <c r="S338" i="10"/>
  <c r="Q338" i="10"/>
  <c r="O338" i="10"/>
  <c r="N338" i="10"/>
  <c r="G338" i="10"/>
  <c r="C338" i="10"/>
  <c r="W337" i="10"/>
  <c r="V337" i="10"/>
  <c r="U337" i="10"/>
  <c r="Q337" i="10"/>
  <c r="P337" i="10"/>
  <c r="N337" i="10"/>
  <c r="M337" i="10"/>
  <c r="L337" i="10"/>
  <c r="K337" i="10"/>
  <c r="J337" i="10"/>
  <c r="I337" i="10"/>
  <c r="H337" i="10"/>
  <c r="F337" i="10"/>
  <c r="E337" i="10"/>
  <c r="D337" i="10"/>
  <c r="C337" i="10"/>
  <c r="T337" i="10" s="1"/>
  <c r="W336" i="10"/>
  <c r="V336" i="10"/>
  <c r="U336" i="10"/>
  <c r="T336" i="10"/>
  <c r="S336" i="10"/>
  <c r="R336" i="10"/>
  <c r="N336" i="10"/>
  <c r="M336" i="10"/>
  <c r="K336" i="10"/>
  <c r="J336" i="10"/>
  <c r="I336" i="10"/>
  <c r="H336" i="10"/>
  <c r="G336" i="10"/>
  <c r="F336" i="10"/>
  <c r="E336" i="10"/>
  <c r="C336" i="10"/>
  <c r="Q336" i="10" s="1"/>
  <c r="P335" i="10"/>
  <c r="O335" i="10"/>
  <c r="N335" i="10"/>
  <c r="K335" i="10"/>
  <c r="C335" i="10"/>
  <c r="Q335" i="10" s="1"/>
  <c r="Q334" i="10"/>
  <c r="P334" i="10"/>
  <c r="C334" i="10"/>
  <c r="T334" i="10" s="1"/>
  <c r="W333" i="10"/>
  <c r="P333" i="10"/>
  <c r="N333" i="10"/>
  <c r="M333" i="10"/>
  <c r="L333" i="10"/>
  <c r="K333" i="10"/>
  <c r="D333" i="10"/>
  <c r="C333" i="10"/>
  <c r="V333" i="10" s="1"/>
  <c r="W332" i="10"/>
  <c r="V332" i="10"/>
  <c r="U332" i="10"/>
  <c r="T332" i="10"/>
  <c r="R332" i="10"/>
  <c r="Q332" i="10"/>
  <c r="P332" i="10"/>
  <c r="N332" i="10"/>
  <c r="M332" i="10"/>
  <c r="L332" i="10"/>
  <c r="K332" i="10"/>
  <c r="J332" i="10"/>
  <c r="I332" i="10"/>
  <c r="H332" i="10"/>
  <c r="F332" i="10"/>
  <c r="E332" i="10"/>
  <c r="D332" i="10"/>
  <c r="C332" i="10"/>
  <c r="S332" i="10" s="1"/>
  <c r="V331" i="10"/>
  <c r="U331" i="10"/>
  <c r="T331" i="10"/>
  <c r="S331" i="10"/>
  <c r="R331" i="10"/>
  <c r="Q331" i="10"/>
  <c r="M331" i="10"/>
  <c r="J331" i="10"/>
  <c r="I331" i="10"/>
  <c r="H331" i="10"/>
  <c r="G331" i="10"/>
  <c r="F331" i="10"/>
  <c r="E331" i="10"/>
  <c r="C331" i="10"/>
  <c r="P331" i="10" s="1"/>
  <c r="Q330" i="10"/>
  <c r="O330" i="10"/>
  <c r="N330" i="10"/>
  <c r="C330" i="10"/>
  <c r="W329" i="10"/>
  <c r="P329" i="10"/>
  <c r="N329" i="10"/>
  <c r="M329" i="10"/>
  <c r="L329" i="10"/>
  <c r="K329" i="10"/>
  <c r="D329" i="10"/>
  <c r="C329" i="10"/>
  <c r="V329" i="10" s="1"/>
  <c r="W328" i="10"/>
  <c r="V328" i="10"/>
  <c r="U328" i="10"/>
  <c r="T328" i="10"/>
  <c r="R328" i="10"/>
  <c r="Q328" i="10"/>
  <c r="P328" i="10"/>
  <c r="N328" i="10"/>
  <c r="M328" i="10"/>
  <c r="L328" i="10"/>
  <c r="K328" i="10"/>
  <c r="J328" i="10"/>
  <c r="I328" i="10"/>
  <c r="H328" i="10"/>
  <c r="F328" i="10"/>
  <c r="E328" i="10"/>
  <c r="D328" i="10"/>
  <c r="C328" i="10"/>
  <c r="S328" i="10" s="1"/>
  <c r="V327" i="10"/>
  <c r="U327" i="10"/>
  <c r="T327" i="10"/>
  <c r="S327" i="10"/>
  <c r="R327" i="10"/>
  <c r="Q327" i="10"/>
  <c r="M327" i="10"/>
  <c r="J327" i="10"/>
  <c r="I327" i="10"/>
  <c r="H327" i="10"/>
  <c r="G327" i="10"/>
  <c r="F327" i="10"/>
  <c r="E327" i="10"/>
  <c r="C327" i="10"/>
  <c r="P327" i="10" s="1"/>
  <c r="E326" i="10"/>
  <c r="C326" i="10"/>
  <c r="W325" i="10"/>
  <c r="P325" i="10"/>
  <c r="N325" i="10"/>
  <c r="M325" i="10"/>
  <c r="L325" i="10"/>
  <c r="K325" i="10"/>
  <c r="D325" i="10"/>
  <c r="C325" i="10"/>
  <c r="V325" i="10" s="1"/>
  <c r="W324" i="10"/>
  <c r="V324" i="10"/>
  <c r="U324" i="10"/>
  <c r="T324" i="10"/>
  <c r="R324" i="10"/>
  <c r="Q324" i="10"/>
  <c r="P324" i="10"/>
  <c r="N324" i="10"/>
  <c r="M324" i="10"/>
  <c r="L324" i="10"/>
  <c r="K324" i="10"/>
  <c r="J324" i="10"/>
  <c r="I324" i="10"/>
  <c r="H324" i="10"/>
  <c r="F324" i="10"/>
  <c r="E324" i="10"/>
  <c r="D324" i="10"/>
  <c r="C324" i="10"/>
  <c r="S324" i="10" s="1"/>
  <c r="V323" i="10"/>
  <c r="U323" i="10"/>
  <c r="T323" i="10"/>
  <c r="S323" i="10"/>
  <c r="R323" i="10"/>
  <c r="Q323" i="10"/>
  <c r="M323" i="10"/>
  <c r="J323" i="10"/>
  <c r="I323" i="10"/>
  <c r="H323" i="10"/>
  <c r="G323" i="10"/>
  <c r="F323" i="10"/>
  <c r="E323" i="10"/>
  <c r="C323" i="10"/>
  <c r="P323" i="10" s="1"/>
  <c r="O322" i="10"/>
  <c r="N322" i="10"/>
  <c r="E322" i="10"/>
  <c r="C322" i="10"/>
  <c r="W321" i="10"/>
  <c r="P321" i="10"/>
  <c r="N321" i="10"/>
  <c r="M321" i="10"/>
  <c r="L321" i="10"/>
  <c r="K321" i="10"/>
  <c r="D321" i="10"/>
  <c r="C321" i="10"/>
  <c r="V321" i="10" s="1"/>
  <c r="W320" i="10"/>
  <c r="V320" i="10"/>
  <c r="U320" i="10"/>
  <c r="T320" i="10"/>
  <c r="R320" i="10"/>
  <c r="Q320" i="10"/>
  <c r="P320" i="10"/>
  <c r="N320" i="10"/>
  <c r="M320" i="10"/>
  <c r="L320" i="10"/>
  <c r="K320" i="10"/>
  <c r="J320" i="10"/>
  <c r="I320" i="10"/>
  <c r="H320" i="10"/>
  <c r="F320" i="10"/>
  <c r="E320" i="10"/>
  <c r="D320" i="10"/>
  <c r="C320" i="10"/>
  <c r="S320" i="10" s="1"/>
  <c r="V319" i="10"/>
  <c r="U319" i="10"/>
  <c r="T319" i="10"/>
  <c r="S319" i="10"/>
  <c r="R319" i="10"/>
  <c r="Q319" i="10"/>
  <c r="M319" i="10"/>
  <c r="J319" i="10"/>
  <c r="I319" i="10"/>
  <c r="H319" i="10"/>
  <c r="G319" i="10"/>
  <c r="F319" i="10"/>
  <c r="E319" i="10"/>
  <c r="C319" i="10"/>
  <c r="P319" i="10" s="1"/>
  <c r="O318" i="10"/>
  <c r="N318" i="10"/>
  <c r="C318" i="10"/>
  <c r="Q318" i="10" s="1"/>
  <c r="W317" i="10"/>
  <c r="P317" i="10"/>
  <c r="N317" i="10"/>
  <c r="M317" i="10"/>
  <c r="L317" i="10"/>
  <c r="K317" i="10"/>
  <c r="D317" i="10"/>
  <c r="C317" i="10"/>
  <c r="V317" i="10" s="1"/>
  <c r="W316" i="10"/>
  <c r="V316" i="10"/>
  <c r="U316" i="10"/>
  <c r="T316" i="10"/>
  <c r="R316" i="10"/>
  <c r="Q316" i="10"/>
  <c r="P316" i="10"/>
  <c r="N316" i="10"/>
  <c r="M316" i="10"/>
  <c r="L316" i="10"/>
  <c r="K316" i="10"/>
  <c r="J316" i="10"/>
  <c r="I316" i="10"/>
  <c r="H316" i="10"/>
  <c r="F316" i="10"/>
  <c r="E316" i="10"/>
  <c r="D316" i="10"/>
  <c r="C316" i="10"/>
  <c r="S316" i="10" s="1"/>
  <c r="V315" i="10"/>
  <c r="U315" i="10"/>
  <c r="T315" i="10"/>
  <c r="S315" i="10"/>
  <c r="R315" i="10"/>
  <c r="Q315" i="10"/>
  <c r="M315" i="10"/>
  <c r="J315" i="10"/>
  <c r="I315" i="10"/>
  <c r="H315" i="10"/>
  <c r="G315" i="10"/>
  <c r="F315" i="10"/>
  <c r="E315" i="10"/>
  <c r="C315" i="10"/>
  <c r="P315" i="10" s="1"/>
  <c r="Q314" i="10"/>
  <c r="O314" i="10"/>
  <c r="N314" i="10"/>
  <c r="C314" i="10"/>
  <c r="W313" i="10"/>
  <c r="P313" i="10"/>
  <c r="N313" i="10"/>
  <c r="M313" i="10"/>
  <c r="L313" i="10"/>
  <c r="K313" i="10"/>
  <c r="G313" i="10"/>
  <c r="D313" i="10"/>
  <c r="C313" i="10"/>
  <c r="V313" i="10" s="1"/>
  <c r="W312" i="10"/>
  <c r="V312" i="10"/>
  <c r="U312" i="10"/>
  <c r="T312" i="10"/>
  <c r="R312" i="10"/>
  <c r="Q312" i="10"/>
  <c r="P312" i="10"/>
  <c r="N312" i="10"/>
  <c r="M312" i="10"/>
  <c r="L312" i="10"/>
  <c r="K312" i="10"/>
  <c r="J312" i="10"/>
  <c r="I312" i="10"/>
  <c r="H312" i="10"/>
  <c r="F312" i="10"/>
  <c r="E312" i="10"/>
  <c r="D312" i="10"/>
  <c r="C312" i="10"/>
  <c r="S312" i="10" s="1"/>
  <c r="V311" i="10"/>
  <c r="U311" i="10"/>
  <c r="T311" i="10"/>
  <c r="S311" i="10"/>
  <c r="R311" i="10"/>
  <c r="Q311" i="10"/>
  <c r="M311" i="10"/>
  <c r="J311" i="10"/>
  <c r="I311" i="10"/>
  <c r="H311" i="10"/>
  <c r="G311" i="10"/>
  <c r="F311" i="10"/>
  <c r="E311" i="10"/>
  <c r="C311" i="10"/>
  <c r="P311" i="10" s="1"/>
  <c r="N310" i="10"/>
  <c r="E310" i="10"/>
  <c r="C310" i="10"/>
  <c r="W309" i="10"/>
  <c r="S309" i="10"/>
  <c r="P309" i="10"/>
  <c r="N309" i="10"/>
  <c r="M309" i="10"/>
  <c r="L309" i="10"/>
  <c r="K309" i="10"/>
  <c r="G309" i="10"/>
  <c r="D309" i="10"/>
  <c r="C309" i="10"/>
  <c r="V309" i="10" s="1"/>
  <c r="W308" i="10"/>
  <c r="V308" i="10"/>
  <c r="U308" i="10"/>
  <c r="T308" i="10"/>
  <c r="R308" i="10"/>
  <c r="Q308" i="10"/>
  <c r="P308" i="10"/>
  <c r="N308" i="10"/>
  <c r="M308" i="10"/>
  <c r="L308" i="10"/>
  <c r="K308" i="10"/>
  <c r="J308" i="10"/>
  <c r="I308" i="10"/>
  <c r="H308" i="10"/>
  <c r="F308" i="10"/>
  <c r="E308" i="10"/>
  <c r="D308" i="10"/>
  <c r="C308" i="10"/>
  <c r="S308" i="10" s="1"/>
  <c r="V307" i="10"/>
  <c r="U307" i="10"/>
  <c r="T307" i="10"/>
  <c r="S307" i="10"/>
  <c r="R307" i="10"/>
  <c r="Q307" i="10"/>
  <c r="M307" i="10"/>
  <c r="J307" i="10"/>
  <c r="I307" i="10"/>
  <c r="H307" i="10"/>
  <c r="G307" i="10"/>
  <c r="F307" i="10"/>
  <c r="E307" i="10"/>
  <c r="C307" i="10"/>
  <c r="P307" i="10" s="1"/>
  <c r="E306" i="10"/>
  <c r="C306" i="10"/>
  <c r="W305" i="10"/>
  <c r="S305" i="10"/>
  <c r="P305" i="10"/>
  <c r="N305" i="10"/>
  <c r="M305" i="10"/>
  <c r="L305" i="10"/>
  <c r="K305" i="10"/>
  <c r="G305" i="10"/>
  <c r="D305" i="10"/>
  <c r="C305" i="10"/>
  <c r="V305" i="10" s="1"/>
  <c r="W304" i="10"/>
  <c r="V304" i="10"/>
  <c r="U304" i="10"/>
  <c r="T304" i="10"/>
  <c r="R304" i="10"/>
  <c r="Q304" i="10"/>
  <c r="P304" i="10"/>
  <c r="N304" i="10"/>
  <c r="M304" i="10"/>
  <c r="L304" i="10"/>
  <c r="K304" i="10"/>
  <c r="J304" i="10"/>
  <c r="I304" i="10"/>
  <c r="H304" i="10"/>
  <c r="F304" i="10"/>
  <c r="E304" i="10"/>
  <c r="D304" i="10"/>
  <c r="C304" i="10"/>
  <c r="S304" i="10" s="1"/>
  <c r="V303" i="10"/>
  <c r="U303" i="10"/>
  <c r="T303" i="10"/>
  <c r="S303" i="10"/>
  <c r="R303" i="10"/>
  <c r="Q303" i="10"/>
  <c r="M303" i="10"/>
  <c r="J303" i="10"/>
  <c r="I303" i="10"/>
  <c r="H303" i="10"/>
  <c r="G303" i="10"/>
  <c r="F303" i="10"/>
  <c r="E303" i="10"/>
  <c r="C303" i="10"/>
  <c r="P303" i="10" s="1"/>
  <c r="C302" i="10"/>
  <c r="W301" i="10"/>
  <c r="S301" i="10"/>
  <c r="P301" i="10"/>
  <c r="N301" i="10"/>
  <c r="M301" i="10"/>
  <c r="L301" i="10"/>
  <c r="K301" i="10"/>
  <c r="G301" i="10"/>
  <c r="D301" i="10"/>
  <c r="C301" i="10"/>
  <c r="V301" i="10" s="1"/>
  <c r="W300" i="10"/>
  <c r="V300" i="10"/>
  <c r="U300" i="10"/>
  <c r="T300" i="10"/>
  <c r="R300" i="10"/>
  <c r="Q300" i="10"/>
  <c r="P300" i="10"/>
  <c r="N300" i="10"/>
  <c r="M300" i="10"/>
  <c r="L300" i="10"/>
  <c r="K300" i="10"/>
  <c r="J300" i="10"/>
  <c r="I300" i="10"/>
  <c r="H300" i="10"/>
  <c r="F300" i="10"/>
  <c r="E300" i="10"/>
  <c r="D300" i="10"/>
  <c r="C300" i="10"/>
  <c r="S300" i="10" s="1"/>
  <c r="V299" i="10"/>
  <c r="U299" i="10"/>
  <c r="T299" i="10"/>
  <c r="S299" i="10"/>
  <c r="R299" i="10"/>
  <c r="Q299" i="10"/>
  <c r="M299" i="10"/>
  <c r="J299" i="10"/>
  <c r="I299" i="10"/>
  <c r="H299" i="10"/>
  <c r="G299" i="10"/>
  <c r="F299" i="10"/>
  <c r="E299" i="10"/>
  <c r="C299" i="10"/>
  <c r="P299" i="10" s="1"/>
  <c r="N298" i="10"/>
  <c r="C298" i="10"/>
  <c r="W297" i="10"/>
  <c r="S297" i="10"/>
  <c r="P297" i="10"/>
  <c r="N297" i="10"/>
  <c r="M297" i="10"/>
  <c r="L297" i="10"/>
  <c r="K297" i="10"/>
  <c r="G297" i="10"/>
  <c r="D297" i="10"/>
  <c r="C297" i="10"/>
  <c r="V297" i="10" s="1"/>
  <c r="W296" i="10"/>
  <c r="V296" i="10"/>
  <c r="U296" i="10"/>
  <c r="T296" i="10"/>
  <c r="R296" i="10"/>
  <c r="Q296" i="10"/>
  <c r="P296" i="10"/>
  <c r="N296" i="10"/>
  <c r="M296" i="10"/>
  <c r="L296" i="10"/>
  <c r="K296" i="10"/>
  <c r="J296" i="10"/>
  <c r="I296" i="10"/>
  <c r="H296" i="10"/>
  <c r="F296" i="10"/>
  <c r="E296" i="10"/>
  <c r="D296" i="10"/>
  <c r="C296" i="10"/>
  <c r="S296" i="10" s="1"/>
  <c r="V295" i="10"/>
  <c r="U295" i="10"/>
  <c r="T295" i="10"/>
  <c r="S295" i="10"/>
  <c r="R295" i="10"/>
  <c r="Q295" i="10"/>
  <c r="M295" i="10"/>
  <c r="J295" i="10"/>
  <c r="I295" i="10"/>
  <c r="H295" i="10"/>
  <c r="G295" i="10"/>
  <c r="F295" i="10"/>
  <c r="E295" i="10"/>
  <c r="C295" i="10"/>
  <c r="P295" i="10" s="1"/>
  <c r="O294" i="10"/>
  <c r="N294" i="10"/>
  <c r="E294" i="10"/>
  <c r="C294" i="10"/>
  <c r="W293" i="10"/>
  <c r="S293" i="10"/>
  <c r="P293" i="10"/>
  <c r="N293" i="10"/>
  <c r="M293" i="10"/>
  <c r="L293" i="10"/>
  <c r="K293" i="10"/>
  <c r="G293" i="10"/>
  <c r="D293" i="10"/>
  <c r="C293" i="10"/>
  <c r="V293" i="10" s="1"/>
  <c r="W292" i="10"/>
  <c r="V292" i="10"/>
  <c r="U292" i="10"/>
  <c r="T292" i="10"/>
  <c r="R292" i="10"/>
  <c r="Q292" i="10"/>
  <c r="P292" i="10"/>
  <c r="N292" i="10"/>
  <c r="M292" i="10"/>
  <c r="L292" i="10"/>
  <c r="K292" i="10"/>
  <c r="J292" i="10"/>
  <c r="I292" i="10"/>
  <c r="H292" i="10"/>
  <c r="F292" i="10"/>
  <c r="E292" i="10"/>
  <c r="D292" i="10"/>
  <c r="C292" i="10"/>
  <c r="S292" i="10" s="1"/>
  <c r="V291" i="10"/>
  <c r="U291" i="10"/>
  <c r="T291" i="10"/>
  <c r="S291" i="10"/>
  <c r="R291" i="10"/>
  <c r="Q291" i="10"/>
  <c r="M291" i="10"/>
  <c r="J291" i="10"/>
  <c r="I291" i="10"/>
  <c r="H291" i="10"/>
  <c r="G291" i="10"/>
  <c r="F291" i="10"/>
  <c r="E291" i="10"/>
  <c r="C291" i="10"/>
  <c r="P291" i="10" s="1"/>
  <c r="Q290" i="10"/>
  <c r="C290" i="10"/>
  <c r="W289" i="10"/>
  <c r="S289" i="10"/>
  <c r="P289" i="10"/>
  <c r="N289" i="10"/>
  <c r="M289" i="10"/>
  <c r="L289" i="10"/>
  <c r="K289" i="10"/>
  <c r="G289" i="10"/>
  <c r="D289" i="10"/>
  <c r="C289" i="10"/>
  <c r="V289" i="10" s="1"/>
  <c r="W288" i="10"/>
  <c r="V288" i="10"/>
  <c r="U288" i="10"/>
  <c r="T288" i="10"/>
  <c r="R288" i="10"/>
  <c r="Q288" i="10"/>
  <c r="P288" i="10"/>
  <c r="N288" i="10"/>
  <c r="M288" i="10"/>
  <c r="L288" i="10"/>
  <c r="K288" i="10"/>
  <c r="J288" i="10"/>
  <c r="I288" i="10"/>
  <c r="H288" i="10"/>
  <c r="F288" i="10"/>
  <c r="E288" i="10"/>
  <c r="D288" i="10"/>
  <c r="C288" i="10"/>
  <c r="S288" i="10" s="1"/>
  <c r="V287" i="10"/>
  <c r="U287" i="10"/>
  <c r="T287" i="10"/>
  <c r="S287" i="10"/>
  <c r="R287" i="10"/>
  <c r="Q287" i="10"/>
  <c r="M287" i="10"/>
  <c r="J287" i="10"/>
  <c r="I287" i="10"/>
  <c r="H287" i="10"/>
  <c r="G287" i="10"/>
  <c r="F287" i="10"/>
  <c r="E287" i="10"/>
  <c r="C287" i="10"/>
  <c r="P287" i="10" s="1"/>
  <c r="Q286" i="10"/>
  <c r="O286" i="10"/>
  <c r="C286" i="10"/>
  <c r="W285" i="10"/>
  <c r="S285" i="10"/>
  <c r="P285" i="10"/>
  <c r="N285" i="10"/>
  <c r="M285" i="10"/>
  <c r="L285" i="10"/>
  <c r="K285" i="10"/>
  <c r="G285" i="10"/>
  <c r="D285" i="10"/>
  <c r="C285" i="10"/>
  <c r="V285" i="10" s="1"/>
  <c r="W284" i="10"/>
  <c r="V284" i="10"/>
  <c r="U284" i="10"/>
  <c r="T284" i="10"/>
  <c r="R284" i="10"/>
  <c r="Q284" i="10"/>
  <c r="P284" i="10"/>
  <c r="N284" i="10"/>
  <c r="M284" i="10"/>
  <c r="L284" i="10"/>
  <c r="K284" i="10"/>
  <c r="J284" i="10"/>
  <c r="I284" i="10"/>
  <c r="H284" i="10"/>
  <c r="F284" i="10"/>
  <c r="E284" i="10"/>
  <c r="D284" i="10"/>
  <c r="C284" i="10"/>
  <c r="S284" i="10" s="1"/>
  <c r="V283" i="10"/>
  <c r="U283" i="10"/>
  <c r="T283" i="10"/>
  <c r="S283" i="10"/>
  <c r="R283" i="10"/>
  <c r="Q283" i="10"/>
  <c r="M283" i="10"/>
  <c r="J283" i="10"/>
  <c r="I283" i="10"/>
  <c r="H283" i="10"/>
  <c r="G283" i="10"/>
  <c r="F283" i="10"/>
  <c r="E283" i="10"/>
  <c r="C283" i="10"/>
  <c r="P283" i="10" s="1"/>
  <c r="O282" i="10"/>
  <c r="N282" i="10"/>
  <c r="C282" i="10"/>
  <c r="Q282" i="10" s="1"/>
  <c r="W281" i="10"/>
  <c r="S281" i="10"/>
  <c r="P281" i="10"/>
  <c r="N281" i="10"/>
  <c r="M281" i="10"/>
  <c r="L281" i="10"/>
  <c r="K281" i="10"/>
  <c r="G281" i="10"/>
  <c r="D281" i="10"/>
  <c r="C281" i="10"/>
  <c r="V281" i="10" s="1"/>
  <c r="W280" i="10"/>
  <c r="V280" i="10"/>
  <c r="U280" i="10"/>
  <c r="T280" i="10"/>
  <c r="R280" i="10"/>
  <c r="Q280" i="10"/>
  <c r="P280" i="10"/>
  <c r="N280" i="10"/>
  <c r="M280" i="10"/>
  <c r="L280" i="10"/>
  <c r="K280" i="10"/>
  <c r="J280" i="10"/>
  <c r="I280" i="10"/>
  <c r="H280" i="10"/>
  <c r="F280" i="10"/>
  <c r="E280" i="10"/>
  <c r="D280" i="10"/>
  <c r="C280" i="10"/>
  <c r="S280" i="10" s="1"/>
  <c r="V279" i="10"/>
  <c r="U279" i="10"/>
  <c r="T279" i="10"/>
  <c r="S279" i="10"/>
  <c r="R279" i="10"/>
  <c r="Q279" i="10"/>
  <c r="M279" i="10"/>
  <c r="J279" i="10"/>
  <c r="I279" i="10"/>
  <c r="H279" i="10"/>
  <c r="G279" i="10"/>
  <c r="F279" i="10"/>
  <c r="E279" i="10"/>
  <c r="C279" i="10"/>
  <c r="P279" i="10" s="1"/>
  <c r="Q278" i="10"/>
  <c r="O278" i="10"/>
  <c r="N278" i="10"/>
  <c r="C278" i="10"/>
  <c r="P278" i="10" s="1"/>
  <c r="W277" i="10"/>
  <c r="S277" i="10"/>
  <c r="P277" i="10"/>
  <c r="N277" i="10"/>
  <c r="M277" i="10"/>
  <c r="L277" i="10"/>
  <c r="K277" i="10"/>
  <c r="G277" i="10"/>
  <c r="D277" i="10"/>
  <c r="C277" i="10"/>
  <c r="V277" i="10" s="1"/>
  <c r="W276" i="10"/>
  <c r="V276" i="10"/>
  <c r="U276" i="10"/>
  <c r="T276" i="10"/>
  <c r="R276" i="10"/>
  <c r="Q276" i="10"/>
  <c r="P276" i="10"/>
  <c r="N276" i="10"/>
  <c r="M276" i="10"/>
  <c r="L276" i="10"/>
  <c r="K276" i="10"/>
  <c r="J276" i="10"/>
  <c r="I276" i="10"/>
  <c r="H276" i="10"/>
  <c r="F276" i="10"/>
  <c r="E276" i="10"/>
  <c r="D276" i="10"/>
  <c r="C276" i="10"/>
  <c r="S276" i="10" s="1"/>
  <c r="V275" i="10"/>
  <c r="U275" i="10"/>
  <c r="T275" i="10"/>
  <c r="S275" i="10"/>
  <c r="R275" i="10"/>
  <c r="Q275" i="10"/>
  <c r="M275" i="10"/>
  <c r="J275" i="10"/>
  <c r="I275" i="10"/>
  <c r="H275" i="10"/>
  <c r="G275" i="10"/>
  <c r="F275" i="10"/>
  <c r="E275" i="10"/>
  <c r="C275" i="10"/>
  <c r="P275" i="10" s="1"/>
  <c r="Q274" i="10"/>
  <c r="C274" i="10"/>
  <c r="W273" i="10"/>
  <c r="S273" i="10"/>
  <c r="P273" i="10"/>
  <c r="N273" i="10"/>
  <c r="M273" i="10"/>
  <c r="L273" i="10"/>
  <c r="K273" i="10"/>
  <c r="G273" i="10"/>
  <c r="D273" i="10"/>
  <c r="C273" i="10"/>
  <c r="V273" i="10" s="1"/>
  <c r="W272" i="10"/>
  <c r="V272" i="10"/>
  <c r="U272" i="10"/>
  <c r="T272" i="10"/>
  <c r="R272" i="10"/>
  <c r="Q272" i="10"/>
  <c r="P272" i="10"/>
  <c r="N272" i="10"/>
  <c r="M272" i="10"/>
  <c r="L272" i="10"/>
  <c r="K272" i="10"/>
  <c r="J272" i="10"/>
  <c r="I272" i="10"/>
  <c r="H272" i="10"/>
  <c r="F272" i="10"/>
  <c r="E272" i="10"/>
  <c r="D272" i="10"/>
  <c r="C272" i="10"/>
  <c r="S272" i="10" s="1"/>
  <c r="V271" i="10"/>
  <c r="U271" i="10"/>
  <c r="T271" i="10"/>
  <c r="S271" i="10"/>
  <c r="R271" i="10"/>
  <c r="Q271" i="10"/>
  <c r="M271" i="10"/>
  <c r="J271" i="10"/>
  <c r="I271" i="10"/>
  <c r="H271" i="10"/>
  <c r="G271" i="10"/>
  <c r="F271" i="10"/>
  <c r="E271" i="10"/>
  <c r="C271" i="10"/>
  <c r="P271" i="10" s="1"/>
  <c r="S270" i="10"/>
  <c r="Q270" i="10"/>
  <c r="P270" i="10"/>
  <c r="N270" i="10"/>
  <c r="G270" i="10"/>
  <c r="E270" i="10"/>
  <c r="D270" i="10"/>
  <c r="C270" i="10"/>
  <c r="W269" i="10"/>
  <c r="S269" i="10"/>
  <c r="P269" i="10"/>
  <c r="N269" i="10"/>
  <c r="M269" i="10"/>
  <c r="L269" i="10"/>
  <c r="K269" i="10"/>
  <c r="G269" i="10"/>
  <c r="D269" i="10"/>
  <c r="C269" i="10"/>
  <c r="V269" i="10" s="1"/>
  <c r="W268" i="10"/>
  <c r="V268" i="10"/>
  <c r="U268" i="10"/>
  <c r="T268" i="10"/>
  <c r="R268" i="10"/>
  <c r="Q268" i="10"/>
  <c r="P268" i="10"/>
  <c r="N268" i="10"/>
  <c r="M268" i="10"/>
  <c r="L268" i="10"/>
  <c r="K268" i="10"/>
  <c r="J268" i="10"/>
  <c r="I268" i="10"/>
  <c r="H268" i="10"/>
  <c r="F268" i="10"/>
  <c r="E268" i="10"/>
  <c r="D268" i="10"/>
  <c r="C268" i="10"/>
  <c r="S268" i="10" s="1"/>
  <c r="V267" i="10"/>
  <c r="U267" i="10"/>
  <c r="T267" i="10"/>
  <c r="S267" i="10"/>
  <c r="R267" i="10"/>
  <c r="Q267" i="10"/>
  <c r="M267" i="10"/>
  <c r="J267" i="10"/>
  <c r="I267" i="10"/>
  <c r="H267" i="10"/>
  <c r="G267" i="10"/>
  <c r="F267" i="10"/>
  <c r="E267" i="10"/>
  <c r="C267" i="10"/>
  <c r="P267" i="10" s="1"/>
  <c r="Q266" i="10"/>
  <c r="P266" i="10"/>
  <c r="O266" i="10"/>
  <c r="J266" i="10"/>
  <c r="G266" i="10"/>
  <c r="C266" i="10"/>
  <c r="V266" i="10" s="1"/>
  <c r="W265" i="10"/>
  <c r="S265" i="10"/>
  <c r="P265" i="10"/>
  <c r="N265" i="10"/>
  <c r="M265" i="10"/>
  <c r="L265" i="10"/>
  <c r="K265" i="10"/>
  <c r="G265" i="10"/>
  <c r="D265" i="10"/>
  <c r="C265" i="10"/>
  <c r="V265" i="10" s="1"/>
  <c r="W264" i="10"/>
  <c r="V264" i="10"/>
  <c r="U264" i="10"/>
  <c r="T264" i="10"/>
  <c r="R264" i="10"/>
  <c r="Q264" i="10"/>
  <c r="P264" i="10"/>
  <c r="N264" i="10"/>
  <c r="M264" i="10"/>
  <c r="L264" i="10"/>
  <c r="K264" i="10"/>
  <c r="J264" i="10"/>
  <c r="I264" i="10"/>
  <c r="H264" i="10"/>
  <c r="F264" i="10"/>
  <c r="E264" i="10"/>
  <c r="D264" i="10"/>
  <c r="C264" i="10"/>
  <c r="S264" i="10" s="1"/>
  <c r="V263" i="10"/>
  <c r="U263" i="10"/>
  <c r="T263" i="10"/>
  <c r="S263" i="10"/>
  <c r="R263" i="10"/>
  <c r="Q263" i="10"/>
  <c r="M263" i="10"/>
  <c r="J263" i="10"/>
  <c r="I263" i="10"/>
  <c r="H263" i="10"/>
  <c r="G263" i="10"/>
  <c r="F263" i="10"/>
  <c r="E263" i="10"/>
  <c r="C263" i="10"/>
  <c r="P263" i="10" s="1"/>
  <c r="C262" i="10"/>
  <c r="W261" i="10"/>
  <c r="P261" i="10"/>
  <c r="N261" i="10"/>
  <c r="K261" i="10"/>
  <c r="G261" i="10"/>
  <c r="C261" i="10"/>
  <c r="S261" i="10" s="1"/>
  <c r="W260" i="10"/>
  <c r="V260" i="10"/>
  <c r="U260" i="10"/>
  <c r="T260" i="10"/>
  <c r="R260" i="10"/>
  <c r="Q260" i="10"/>
  <c r="P260" i="10"/>
  <c r="N260" i="10"/>
  <c r="M260" i="10"/>
  <c r="L260" i="10"/>
  <c r="K260" i="10"/>
  <c r="J260" i="10"/>
  <c r="I260" i="10"/>
  <c r="H260" i="10"/>
  <c r="F260" i="10"/>
  <c r="E260" i="10"/>
  <c r="D260" i="10"/>
  <c r="C260" i="10"/>
  <c r="S260" i="10" s="1"/>
  <c r="V259" i="10"/>
  <c r="U259" i="10"/>
  <c r="T259" i="10"/>
  <c r="S259" i="10"/>
  <c r="R259" i="10"/>
  <c r="Q259" i="10"/>
  <c r="M259" i="10"/>
  <c r="J259" i="10"/>
  <c r="I259" i="10"/>
  <c r="H259" i="10"/>
  <c r="G259" i="10"/>
  <c r="F259" i="10"/>
  <c r="E259" i="10"/>
  <c r="C259" i="10"/>
  <c r="P259" i="10" s="1"/>
  <c r="P258" i="10"/>
  <c r="O258" i="10"/>
  <c r="N258" i="10"/>
  <c r="J258" i="10"/>
  <c r="G258" i="10"/>
  <c r="C258" i="10"/>
  <c r="R258" i="10" s="1"/>
  <c r="U257" i="10"/>
  <c r="S257" i="10"/>
  <c r="P257" i="10"/>
  <c r="O257" i="10"/>
  <c r="N257" i="10"/>
  <c r="M257" i="10"/>
  <c r="L257" i="10"/>
  <c r="I257" i="10"/>
  <c r="G257" i="10"/>
  <c r="D257" i="10"/>
  <c r="C257" i="10"/>
  <c r="W256" i="10"/>
  <c r="V256" i="10"/>
  <c r="U256" i="10"/>
  <c r="T256" i="10"/>
  <c r="R256" i="10"/>
  <c r="Q256" i="10"/>
  <c r="P256" i="10"/>
  <c r="N256" i="10"/>
  <c r="M256" i="10"/>
  <c r="L256" i="10"/>
  <c r="K256" i="10"/>
  <c r="J256" i="10"/>
  <c r="I256" i="10"/>
  <c r="H256" i="10"/>
  <c r="F256" i="10"/>
  <c r="E256" i="10"/>
  <c r="D256" i="10"/>
  <c r="C256" i="10"/>
  <c r="S256" i="10" s="1"/>
  <c r="W255" i="10"/>
  <c r="U255" i="10"/>
  <c r="T255" i="10"/>
  <c r="S255" i="10"/>
  <c r="Q255" i="10"/>
  <c r="O255" i="10"/>
  <c r="N255" i="10"/>
  <c r="M255" i="10"/>
  <c r="K255" i="10"/>
  <c r="J255" i="10"/>
  <c r="I255" i="10"/>
  <c r="G255" i="10"/>
  <c r="F255" i="10"/>
  <c r="E255" i="10"/>
  <c r="C255" i="10"/>
  <c r="V254" i="10"/>
  <c r="T254" i="10"/>
  <c r="S254" i="10"/>
  <c r="P254" i="10"/>
  <c r="G254" i="10"/>
  <c r="F254" i="10"/>
  <c r="E254" i="10"/>
  <c r="C254" i="10"/>
  <c r="W253" i="10"/>
  <c r="N253" i="10"/>
  <c r="M253" i="10"/>
  <c r="L253" i="10"/>
  <c r="I253" i="10"/>
  <c r="H253" i="10"/>
  <c r="C253" i="10"/>
  <c r="P253" i="10" s="1"/>
  <c r="W252" i="10"/>
  <c r="V252" i="10"/>
  <c r="U252" i="10"/>
  <c r="T252" i="10"/>
  <c r="R252" i="10"/>
  <c r="Q252" i="10"/>
  <c r="P252" i="10"/>
  <c r="N252" i="10"/>
  <c r="M252" i="10"/>
  <c r="L252" i="10"/>
  <c r="K252" i="10"/>
  <c r="J252" i="10"/>
  <c r="I252" i="10"/>
  <c r="H252" i="10"/>
  <c r="F252" i="10"/>
  <c r="E252" i="10"/>
  <c r="D252" i="10"/>
  <c r="C252" i="10"/>
  <c r="S252" i="10" s="1"/>
  <c r="W251" i="10"/>
  <c r="V251" i="10"/>
  <c r="N251" i="10"/>
  <c r="M251" i="10"/>
  <c r="K251" i="10"/>
  <c r="I251" i="10"/>
  <c r="H251" i="10"/>
  <c r="C251" i="10"/>
  <c r="Q251" i="10" s="1"/>
  <c r="V250" i="10"/>
  <c r="T250" i="10"/>
  <c r="S250" i="10"/>
  <c r="R250" i="10"/>
  <c r="P250" i="10"/>
  <c r="O250" i="10"/>
  <c r="L250" i="10"/>
  <c r="K250" i="10"/>
  <c r="J250" i="10"/>
  <c r="G250" i="10"/>
  <c r="F250" i="10"/>
  <c r="E250" i="10"/>
  <c r="D250" i="10"/>
  <c r="C250" i="10"/>
  <c r="W249" i="10"/>
  <c r="U249" i="10"/>
  <c r="M249" i="10"/>
  <c r="L249" i="10"/>
  <c r="K249" i="10"/>
  <c r="I249" i="10"/>
  <c r="H249" i="10"/>
  <c r="C249" i="10"/>
  <c r="O249" i="10" s="1"/>
  <c r="V248" i="10"/>
  <c r="U248" i="10"/>
  <c r="T248" i="10"/>
  <c r="S248" i="10"/>
  <c r="R248" i="10"/>
  <c r="Q248" i="10"/>
  <c r="P248" i="10"/>
  <c r="N248" i="10"/>
  <c r="M248" i="10"/>
  <c r="L248" i="10"/>
  <c r="J248" i="10"/>
  <c r="I248" i="10"/>
  <c r="H248" i="10"/>
  <c r="G248" i="10"/>
  <c r="F248" i="10"/>
  <c r="E248" i="10"/>
  <c r="D248" i="10"/>
  <c r="C248" i="10"/>
  <c r="O248" i="10" s="1"/>
  <c r="W247" i="10"/>
  <c r="V247" i="10"/>
  <c r="U247" i="10"/>
  <c r="S247" i="10"/>
  <c r="R247" i="10"/>
  <c r="Q247" i="10"/>
  <c r="P247" i="10"/>
  <c r="N247" i="10"/>
  <c r="M247" i="10"/>
  <c r="K247" i="10"/>
  <c r="J247" i="10"/>
  <c r="I247" i="10"/>
  <c r="G247" i="10"/>
  <c r="F247" i="10"/>
  <c r="E247" i="10"/>
  <c r="D247" i="10"/>
  <c r="C247" i="10"/>
  <c r="L247" i="10" s="1"/>
  <c r="C246" i="10"/>
  <c r="W245" i="10"/>
  <c r="V245" i="10"/>
  <c r="T245" i="10"/>
  <c r="S245" i="10"/>
  <c r="L245" i="10"/>
  <c r="K245" i="10"/>
  <c r="J245" i="10"/>
  <c r="H245" i="10"/>
  <c r="G245" i="10"/>
  <c r="C245" i="10"/>
  <c r="R245" i="10" s="1"/>
  <c r="V244" i="10"/>
  <c r="U244" i="10"/>
  <c r="T244" i="10"/>
  <c r="S244" i="10"/>
  <c r="R244" i="10"/>
  <c r="Q244" i="10"/>
  <c r="P244" i="10"/>
  <c r="N244" i="10"/>
  <c r="M244" i="10"/>
  <c r="L244" i="10"/>
  <c r="J244" i="10"/>
  <c r="I244" i="10"/>
  <c r="H244" i="10"/>
  <c r="G244" i="10"/>
  <c r="F244" i="10"/>
  <c r="E244" i="10"/>
  <c r="D244" i="10"/>
  <c r="C244" i="10"/>
  <c r="O244" i="10" s="1"/>
  <c r="W243" i="10"/>
  <c r="V243" i="10"/>
  <c r="U243" i="10"/>
  <c r="S243" i="10"/>
  <c r="R243" i="10"/>
  <c r="Q243" i="10"/>
  <c r="P243" i="10"/>
  <c r="N243" i="10"/>
  <c r="M243" i="10"/>
  <c r="K243" i="10"/>
  <c r="J243" i="10"/>
  <c r="I243" i="10"/>
  <c r="G243" i="10"/>
  <c r="F243" i="10"/>
  <c r="E243" i="10"/>
  <c r="D243" i="10"/>
  <c r="C243" i="10"/>
  <c r="L243" i="10" s="1"/>
  <c r="N242" i="10"/>
  <c r="M242" i="10"/>
  <c r="C242" i="10"/>
  <c r="W241" i="10"/>
  <c r="V241" i="10"/>
  <c r="T241" i="10"/>
  <c r="S241" i="10"/>
  <c r="L241" i="10"/>
  <c r="K241" i="10"/>
  <c r="J241" i="10"/>
  <c r="H241" i="10"/>
  <c r="G241" i="10"/>
  <c r="C241" i="10"/>
  <c r="R241" i="10" s="1"/>
  <c r="V240" i="10"/>
  <c r="U240" i="10"/>
  <c r="T240" i="10"/>
  <c r="S240" i="10"/>
  <c r="R240" i="10"/>
  <c r="Q240" i="10"/>
  <c r="P240" i="10"/>
  <c r="N240" i="10"/>
  <c r="M240" i="10"/>
  <c r="L240" i="10"/>
  <c r="J240" i="10"/>
  <c r="I240" i="10"/>
  <c r="H240" i="10"/>
  <c r="G240" i="10"/>
  <c r="F240" i="10"/>
  <c r="E240" i="10"/>
  <c r="D240" i="10"/>
  <c r="C240" i="10"/>
  <c r="O240" i="10" s="1"/>
  <c r="W239" i="10"/>
  <c r="V239" i="10"/>
  <c r="U239" i="10"/>
  <c r="S239" i="10"/>
  <c r="R239" i="10"/>
  <c r="Q239" i="10"/>
  <c r="P239" i="10"/>
  <c r="N239" i="10"/>
  <c r="M239" i="10"/>
  <c r="K239" i="10"/>
  <c r="J239" i="10"/>
  <c r="I239" i="10"/>
  <c r="G239" i="10"/>
  <c r="F239" i="10"/>
  <c r="E239" i="10"/>
  <c r="D239" i="10"/>
  <c r="C239" i="10"/>
  <c r="L239" i="10" s="1"/>
  <c r="V238" i="10"/>
  <c r="O238" i="10"/>
  <c r="N238" i="10"/>
  <c r="M238" i="10"/>
  <c r="C238" i="10"/>
  <c r="W237" i="10"/>
  <c r="V237" i="10"/>
  <c r="T237" i="10"/>
  <c r="S237" i="10"/>
  <c r="L237" i="10"/>
  <c r="K237" i="10"/>
  <c r="J237" i="10"/>
  <c r="H237" i="10"/>
  <c r="G237" i="10"/>
  <c r="C237" i="10"/>
  <c r="R237" i="10" s="1"/>
  <c r="V236" i="10"/>
  <c r="U236" i="10"/>
  <c r="T236" i="10"/>
  <c r="S236" i="10"/>
  <c r="R236" i="10"/>
  <c r="Q236" i="10"/>
  <c r="P236" i="10"/>
  <c r="N236" i="10"/>
  <c r="M236" i="10"/>
  <c r="L236" i="10"/>
  <c r="J236" i="10"/>
  <c r="I236" i="10"/>
  <c r="H236" i="10"/>
  <c r="G236" i="10"/>
  <c r="F236" i="10"/>
  <c r="E236" i="10"/>
  <c r="D236" i="10"/>
  <c r="C236" i="10"/>
  <c r="O236" i="10" s="1"/>
  <c r="W235" i="10"/>
  <c r="V235" i="10"/>
  <c r="U235" i="10"/>
  <c r="S235" i="10"/>
  <c r="R235" i="10"/>
  <c r="Q235" i="10"/>
  <c r="P235" i="10"/>
  <c r="N235" i="10"/>
  <c r="M235" i="10"/>
  <c r="K235" i="10"/>
  <c r="J235" i="10"/>
  <c r="I235" i="10"/>
  <c r="G235" i="10"/>
  <c r="F235" i="10"/>
  <c r="E235" i="10"/>
  <c r="D235" i="10"/>
  <c r="C235" i="10"/>
  <c r="L235" i="10" s="1"/>
  <c r="V234" i="10"/>
  <c r="O234" i="10"/>
  <c r="N234" i="10"/>
  <c r="M234" i="10"/>
  <c r="J234" i="10"/>
  <c r="C234" i="10"/>
  <c r="W233" i="10"/>
  <c r="V233" i="10"/>
  <c r="T233" i="10"/>
  <c r="S233" i="10"/>
  <c r="L233" i="10"/>
  <c r="K233" i="10"/>
  <c r="J233" i="10"/>
  <c r="H233" i="10"/>
  <c r="G233" i="10"/>
  <c r="C233" i="10"/>
  <c r="R233" i="10" s="1"/>
  <c r="V232" i="10"/>
  <c r="U232" i="10"/>
  <c r="T232" i="10"/>
  <c r="S232" i="10"/>
  <c r="R232" i="10"/>
  <c r="Q232" i="10"/>
  <c r="P232" i="10"/>
  <c r="N232" i="10"/>
  <c r="M232" i="10"/>
  <c r="L232" i="10"/>
  <c r="J232" i="10"/>
  <c r="I232" i="10"/>
  <c r="H232" i="10"/>
  <c r="G232" i="10"/>
  <c r="F232" i="10"/>
  <c r="E232" i="10"/>
  <c r="D232" i="10"/>
  <c r="C232" i="10"/>
  <c r="O232" i="10" s="1"/>
  <c r="W231" i="10"/>
  <c r="V231" i="10"/>
  <c r="U231" i="10"/>
  <c r="S231" i="10"/>
  <c r="R231" i="10"/>
  <c r="Q231" i="10"/>
  <c r="P231" i="10"/>
  <c r="N231" i="10"/>
  <c r="M231" i="10"/>
  <c r="K231" i="10"/>
  <c r="J231" i="10"/>
  <c r="I231" i="10"/>
  <c r="G231" i="10"/>
  <c r="F231" i="10"/>
  <c r="E231" i="10"/>
  <c r="D231" i="10"/>
  <c r="C231" i="10"/>
  <c r="L231" i="10" s="1"/>
  <c r="C230" i="10"/>
  <c r="W229" i="10"/>
  <c r="V229" i="10"/>
  <c r="T229" i="10"/>
  <c r="S229" i="10"/>
  <c r="L229" i="10"/>
  <c r="K229" i="10"/>
  <c r="J229" i="10"/>
  <c r="H229" i="10"/>
  <c r="G229" i="10"/>
  <c r="C229" i="10"/>
  <c r="R229" i="10" s="1"/>
  <c r="V228" i="10"/>
  <c r="U228" i="10"/>
  <c r="T228" i="10"/>
  <c r="S228" i="10"/>
  <c r="R228" i="10"/>
  <c r="Q228" i="10"/>
  <c r="P228" i="10"/>
  <c r="N228" i="10"/>
  <c r="M228" i="10"/>
  <c r="L228" i="10"/>
  <c r="J228" i="10"/>
  <c r="I228" i="10"/>
  <c r="H228" i="10"/>
  <c r="G228" i="10"/>
  <c r="F228" i="10"/>
  <c r="E228" i="10"/>
  <c r="D228" i="10"/>
  <c r="C228" i="10"/>
  <c r="O228" i="10" s="1"/>
  <c r="W227" i="10"/>
  <c r="V227" i="10"/>
  <c r="U227" i="10"/>
  <c r="S227" i="10"/>
  <c r="R227" i="10"/>
  <c r="Q227" i="10"/>
  <c r="P227" i="10"/>
  <c r="N227" i="10"/>
  <c r="M227" i="10"/>
  <c r="K227" i="10"/>
  <c r="J227" i="10"/>
  <c r="I227" i="10"/>
  <c r="G227" i="10"/>
  <c r="F227" i="10"/>
  <c r="E227" i="10"/>
  <c r="D227" i="10"/>
  <c r="C227" i="10"/>
  <c r="L227" i="10" s="1"/>
  <c r="N226" i="10"/>
  <c r="M226" i="10"/>
  <c r="C226" i="10"/>
  <c r="W225" i="10"/>
  <c r="V225" i="10"/>
  <c r="T225" i="10"/>
  <c r="S225" i="10"/>
  <c r="L225" i="10"/>
  <c r="K225" i="10"/>
  <c r="J225" i="10"/>
  <c r="H225" i="10"/>
  <c r="G225" i="10"/>
  <c r="C225" i="10"/>
  <c r="R225" i="10" s="1"/>
  <c r="V224" i="10"/>
  <c r="U224" i="10"/>
  <c r="T224" i="10"/>
  <c r="S224" i="10"/>
  <c r="R224" i="10"/>
  <c r="Q224" i="10"/>
  <c r="P224" i="10"/>
  <c r="N224" i="10"/>
  <c r="M224" i="10"/>
  <c r="L224" i="10"/>
  <c r="J224" i="10"/>
  <c r="I224" i="10"/>
  <c r="H224" i="10"/>
  <c r="G224" i="10"/>
  <c r="F224" i="10"/>
  <c r="E224" i="10"/>
  <c r="D224" i="10"/>
  <c r="C224" i="10"/>
  <c r="O224" i="10" s="1"/>
  <c r="W223" i="10"/>
  <c r="V223" i="10"/>
  <c r="U223" i="10"/>
  <c r="S223" i="10"/>
  <c r="R223" i="10"/>
  <c r="Q223" i="10"/>
  <c r="P223" i="10"/>
  <c r="N223" i="10"/>
  <c r="M223" i="10"/>
  <c r="K223" i="10"/>
  <c r="J223" i="10"/>
  <c r="I223" i="10"/>
  <c r="G223" i="10"/>
  <c r="F223" i="10"/>
  <c r="E223" i="10"/>
  <c r="D223" i="10"/>
  <c r="C223" i="10"/>
  <c r="L223" i="10" s="1"/>
  <c r="V222" i="10"/>
  <c r="N222" i="10"/>
  <c r="M222" i="10"/>
  <c r="C222" i="10"/>
  <c r="O222" i="10" s="1"/>
  <c r="W221" i="10"/>
  <c r="V221" i="10"/>
  <c r="T221" i="10"/>
  <c r="S221" i="10"/>
  <c r="L221" i="10"/>
  <c r="K221" i="10"/>
  <c r="J221" i="10"/>
  <c r="H221" i="10"/>
  <c r="G221" i="10"/>
  <c r="C221" i="10"/>
  <c r="R221" i="10" s="1"/>
  <c r="V220" i="10"/>
  <c r="U220" i="10"/>
  <c r="T220" i="10"/>
  <c r="S220" i="10"/>
  <c r="R220" i="10"/>
  <c r="Q220" i="10"/>
  <c r="P220" i="10"/>
  <c r="N220" i="10"/>
  <c r="M220" i="10"/>
  <c r="L220" i="10"/>
  <c r="J220" i="10"/>
  <c r="I220" i="10"/>
  <c r="H220" i="10"/>
  <c r="G220" i="10"/>
  <c r="F220" i="10"/>
  <c r="E220" i="10"/>
  <c r="D220" i="10"/>
  <c r="C220" i="10"/>
  <c r="O220" i="10" s="1"/>
  <c r="W219" i="10"/>
  <c r="V219" i="10"/>
  <c r="U219" i="10"/>
  <c r="S219" i="10"/>
  <c r="R219" i="10"/>
  <c r="Q219" i="10"/>
  <c r="P219" i="10"/>
  <c r="N219" i="10"/>
  <c r="M219" i="10"/>
  <c r="K219" i="10"/>
  <c r="J219" i="10"/>
  <c r="I219" i="10"/>
  <c r="G219" i="10"/>
  <c r="F219" i="10"/>
  <c r="E219" i="10"/>
  <c r="D219" i="10"/>
  <c r="C219" i="10"/>
  <c r="L219" i="10" s="1"/>
  <c r="V218" i="10"/>
  <c r="O218" i="10"/>
  <c r="N218" i="10"/>
  <c r="M218" i="10"/>
  <c r="J218" i="10"/>
  <c r="C218" i="10"/>
  <c r="W217" i="10"/>
  <c r="V217" i="10"/>
  <c r="T217" i="10"/>
  <c r="S217" i="10"/>
  <c r="L217" i="10"/>
  <c r="K217" i="10"/>
  <c r="J217" i="10"/>
  <c r="H217" i="10"/>
  <c r="G217" i="10"/>
  <c r="C217" i="10"/>
  <c r="R217" i="10" s="1"/>
  <c r="V216" i="10"/>
  <c r="U216" i="10"/>
  <c r="T216" i="10"/>
  <c r="S216" i="10"/>
  <c r="R216" i="10"/>
  <c r="Q216" i="10"/>
  <c r="P216" i="10"/>
  <c r="N216" i="10"/>
  <c r="M216" i="10"/>
  <c r="L216" i="10"/>
  <c r="J216" i="10"/>
  <c r="I216" i="10"/>
  <c r="H216" i="10"/>
  <c r="G216" i="10"/>
  <c r="F216" i="10"/>
  <c r="E216" i="10"/>
  <c r="D216" i="10"/>
  <c r="C216" i="10"/>
  <c r="O216" i="10" s="1"/>
  <c r="W215" i="10"/>
  <c r="V215" i="10"/>
  <c r="U215" i="10"/>
  <c r="S215" i="10"/>
  <c r="R215" i="10"/>
  <c r="Q215" i="10"/>
  <c r="P215" i="10"/>
  <c r="N215" i="10"/>
  <c r="M215" i="10"/>
  <c r="K215" i="10"/>
  <c r="J215" i="10"/>
  <c r="I215" i="10"/>
  <c r="G215" i="10"/>
  <c r="F215" i="10"/>
  <c r="E215" i="10"/>
  <c r="D215" i="10"/>
  <c r="C215" i="10"/>
  <c r="L215" i="10" s="1"/>
  <c r="C214" i="10"/>
  <c r="W213" i="10"/>
  <c r="V213" i="10"/>
  <c r="T213" i="10"/>
  <c r="S213" i="10"/>
  <c r="L213" i="10"/>
  <c r="K213" i="10"/>
  <c r="J213" i="10"/>
  <c r="H213" i="10"/>
  <c r="G213" i="10"/>
  <c r="C213" i="10"/>
  <c r="R213" i="10" s="1"/>
  <c r="V212" i="10"/>
  <c r="U212" i="10"/>
  <c r="T212" i="10"/>
  <c r="S212" i="10"/>
  <c r="R212" i="10"/>
  <c r="Q212" i="10"/>
  <c r="P212" i="10"/>
  <c r="N212" i="10"/>
  <c r="M212" i="10"/>
  <c r="L212" i="10"/>
  <c r="J212" i="10"/>
  <c r="I212" i="10"/>
  <c r="H212" i="10"/>
  <c r="G212" i="10"/>
  <c r="F212" i="10"/>
  <c r="E212" i="10"/>
  <c r="D212" i="10"/>
  <c r="C212" i="10"/>
  <c r="O212" i="10" s="1"/>
  <c r="U211" i="10"/>
  <c r="R211" i="10"/>
  <c r="Q211" i="10"/>
  <c r="P211" i="10"/>
  <c r="N211" i="10"/>
  <c r="M211" i="10"/>
  <c r="I211" i="10"/>
  <c r="F211" i="10"/>
  <c r="E211" i="10"/>
  <c r="D211" i="10"/>
  <c r="C211" i="10"/>
  <c r="L211" i="10" s="1"/>
  <c r="V210" i="10"/>
  <c r="N210" i="10"/>
  <c r="M210" i="10"/>
  <c r="J210" i="10"/>
  <c r="C210" i="10"/>
  <c r="W209" i="10"/>
  <c r="V209" i="10"/>
  <c r="T209" i="10"/>
  <c r="S209" i="10"/>
  <c r="L209" i="10"/>
  <c r="K209" i="10"/>
  <c r="J209" i="10"/>
  <c r="H209" i="10"/>
  <c r="G209" i="10"/>
  <c r="C209" i="10"/>
  <c r="R209" i="10" s="1"/>
  <c r="V208" i="10"/>
  <c r="U208" i="10"/>
  <c r="T208" i="10"/>
  <c r="S208" i="10"/>
  <c r="R208" i="10"/>
  <c r="Q208" i="10"/>
  <c r="P208" i="10"/>
  <c r="N208" i="10"/>
  <c r="M208" i="10"/>
  <c r="L208" i="10"/>
  <c r="J208" i="10"/>
  <c r="I208" i="10"/>
  <c r="H208" i="10"/>
  <c r="G208" i="10"/>
  <c r="F208" i="10"/>
  <c r="E208" i="10"/>
  <c r="D208" i="10"/>
  <c r="C208" i="10"/>
  <c r="O208" i="10" s="1"/>
  <c r="U207" i="10"/>
  <c r="R207" i="10"/>
  <c r="Q207" i="10"/>
  <c r="P207" i="10"/>
  <c r="N207" i="10"/>
  <c r="M207" i="10"/>
  <c r="I207" i="10"/>
  <c r="F207" i="10"/>
  <c r="E207" i="10"/>
  <c r="D207" i="10"/>
  <c r="C207" i="10"/>
  <c r="L207" i="10" s="1"/>
  <c r="V206" i="10"/>
  <c r="O206" i="10"/>
  <c r="N206" i="10"/>
  <c r="M206" i="10"/>
  <c r="C206" i="10"/>
  <c r="W205" i="10"/>
  <c r="V205" i="10"/>
  <c r="T205" i="10"/>
  <c r="S205" i="10"/>
  <c r="L205" i="10"/>
  <c r="K205" i="10"/>
  <c r="J205" i="10"/>
  <c r="H205" i="10"/>
  <c r="G205" i="10"/>
  <c r="C205" i="10"/>
  <c r="R205" i="10" s="1"/>
  <c r="V204" i="10"/>
  <c r="U204" i="10"/>
  <c r="T204" i="10"/>
  <c r="S204" i="10"/>
  <c r="R204" i="10"/>
  <c r="Q204" i="10"/>
  <c r="P204" i="10"/>
  <c r="N204" i="10"/>
  <c r="M204" i="10"/>
  <c r="L204" i="10"/>
  <c r="J204" i="10"/>
  <c r="I204" i="10"/>
  <c r="H204" i="10"/>
  <c r="G204" i="10"/>
  <c r="F204" i="10"/>
  <c r="E204" i="10"/>
  <c r="D204" i="10"/>
  <c r="C204" i="10"/>
  <c r="O204" i="10" s="1"/>
  <c r="U203" i="10"/>
  <c r="R203" i="10"/>
  <c r="Q203" i="10"/>
  <c r="P203" i="10"/>
  <c r="N203" i="10"/>
  <c r="M203" i="10"/>
  <c r="I203" i="10"/>
  <c r="F203" i="10"/>
  <c r="E203" i="10"/>
  <c r="D203" i="10"/>
  <c r="C203" i="10"/>
  <c r="L203" i="10" s="1"/>
  <c r="N202" i="10"/>
  <c r="M202" i="10"/>
  <c r="C202" i="10"/>
  <c r="W201" i="10"/>
  <c r="V201" i="10"/>
  <c r="T201" i="10"/>
  <c r="S201" i="10"/>
  <c r="L201" i="10"/>
  <c r="K201" i="10"/>
  <c r="J201" i="10"/>
  <c r="H201" i="10"/>
  <c r="G201" i="10"/>
  <c r="C201" i="10"/>
  <c r="R201" i="10" s="1"/>
  <c r="V200" i="10"/>
  <c r="U200" i="10"/>
  <c r="T200" i="10"/>
  <c r="S200" i="10"/>
  <c r="R200" i="10"/>
  <c r="Q200" i="10"/>
  <c r="P200" i="10"/>
  <c r="N200" i="10"/>
  <c r="M200" i="10"/>
  <c r="L200" i="10"/>
  <c r="J200" i="10"/>
  <c r="I200" i="10"/>
  <c r="H200" i="10"/>
  <c r="G200" i="10"/>
  <c r="F200" i="10"/>
  <c r="E200" i="10"/>
  <c r="D200" i="10"/>
  <c r="C200" i="10"/>
  <c r="O200" i="10" s="1"/>
  <c r="U199" i="10"/>
  <c r="R199" i="10"/>
  <c r="Q199" i="10"/>
  <c r="P199" i="10"/>
  <c r="N199" i="10"/>
  <c r="M199" i="10"/>
  <c r="I199" i="10"/>
  <c r="F199" i="10"/>
  <c r="E199" i="10"/>
  <c r="D199" i="10"/>
  <c r="C199" i="10"/>
  <c r="L199" i="10" s="1"/>
  <c r="W198" i="10"/>
  <c r="N198" i="10"/>
  <c r="K198" i="10"/>
  <c r="J198" i="10"/>
  <c r="C198" i="10"/>
  <c r="W197" i="10"/>
  <c r="V197" i="10"/>
  <c r="T197" i="10"/>
  <c r="S197" i="10"/>
  <c r="L197" i="10"/>
  <c r="K197" i="10"/>
  <c r="J197" i="10"/>
  <c r="H197" i="10"/>
  <c r="G197" i="10"/>
  <c r="C197" i="10"/>
  <c r="R197" i="10" s="1"/>
  <c r="V196" i="10"/>
  <c r="U196" i="10"/>
  <c r="T196" i="10"/>
  <c r="S196" i="10"/>
  <c r="R196" i="10"/>
  <c r="Q196" i="10"/>
  <c r="P196" i="10"/>
  <c r="N196" i="10"/>
  <c r="M196" i="10"/>
  <c r="L196" i="10"/>
  <c r="J196" i="10"/>
  <c r="I196" i="10"/>
  <c r="H196" i="10"/>
  <c r="G196" i="10"/>
  <c r="F196" i="10"/>
  <c r="E196" i="10"/>
  <c r="D196" i="10"/>
  <c r="C196" i="10"/>
  <c r="O196" i="10" s="1"/>
  <c r="U195" i="10"/>
  <c r="R195" i="10"/>
  <c r="Q195" i="10"/>
  <c r="P195" i="10"/>
  <c r="N195" i="10"/>
  <c r="M195" i="10"/>
  <c r="I195" i="10"/>
  <c r="F195" i="10"/>
  <c r="E195" i="10"/>
  <c r="D195" i="10"/>
  <c r="C195" i="10"/>
  <c r="L195" i="10" s="1"/>
  <c r="C194" i="10"/>
  <c r="W193" i="10"/>
  <c r="V193" i="10"/>
  <c r="T193" i="10"/>
  <c r="S193" i="10"/>
  <c r="L193" i="10"/>
  <c r="K193" i="10"/>
  <c r="J193" i="10"/>
  <c r="H193" i="10"/>
  <c r="G193" i="10"/>
  <c r="C193" i="10"/>
  <c r="R193" i="10" s="1"/>
  <c r="V192" i="10"/>
  <c r="U192" i="10"/>
  <c r="T192" i="10"/>
  <c r="S192" i="10"/>
  <c r="R192" i="10"/>
  <c r="Q192" i="10"/>
  <c r="P192" i="10"/>
  <c r="N192" i="10"/>
  <c r="M192" i="10"/>
  <c r="L192" i="10"/>
  <c r="J192" i="10"/>
  <c r="I192" i="10"/>
  <c r="H192" i="10"/>
  <c r="G192" i="10"/>
  <c r="F192" i="10"/>
  <c r="E192" i="10"/>
  <c r="D192" i="10"/>
  <c r="C192" i="10"/>
  <c r="O192" i="10" s="1"/>
  <c r="U191" i="10"/>
  <c r="R191" i="10"/>
  <c r="Q191" i="10"/>
  <c r="P191" i="10"/>
  <c r="N191" i="10"/>
  <c r="M191" i="10"/>
  <c r="J191" i="10"/>
  <c r="I191" i="10"/>
  <c r="F191" i="10"/>
  <c r="E191" i="10"/>
  <c r="D191" i="10"/>
  <c r="C191" i="10"/>
  <c r="L191" i="10" s="1"/>
  <c r="C190" i="10"/>
  <c r="W189" i="10"/>
  <c r="V189" i="10"/>
  <c r="T189" i="10"/>
  <c r="S189" i="10"/>
  <c r="L189" i="10"/>
  <c r="K189" i="10"/>
  <c r="J189" i="10"/>
  <c r="H189" i="10"/>
  <c r="G189" i="10"/>
  <c r="C189" i="10"/>
  <c r="R189" i="10" s="1"/>
  <c r="V188" i="10"/>
  <c r="U188" i="10"/>
  <c r="T188" i="10"/>
  <c r="S188" i="10"/>
  <c r="R188" i="10"/>
  <c r="Q188" i="10"/>
  <c r="P188" i="10"/>
  <c r="N188" i="10"/>
  <c r="M188" i="10"/>
  <c r="L188" i="10"/>
  <c r="J188" i="10"/>
  <c r="I188" i="10"/>
  <c r="H188" i="10"/>
  <c r="G188" i="10"/>
  <c r="F188" i="10"/>
  <c r="E188" i="10"/>
  <c r="D188" i="10"/>
  <c r="C188" i="10"/>
  <c r="O188" i="10" s="1"/>
  <c r="U187" i="10"/>
  <c r="R187" i="10"/>
  <c r="Q187" i="10"/>
  <c r="P187" i="10"/>
  <c r="N187" i="10"/>
  <c r="M187" i="10"/>
  <c r="J187" i="10"/>
  <c r="I187" i="10"/>
  <c r="F187" i="10"/>
  <c r="E187" i="10"/>
  <c r="D187" i="10"/>
  <c r="C187" i="10"/>
  <c r="L187" i="10" s="1"/>
  <c r="C186" i="10"/>
  <c r="W185" i="10"/>
  <c r="T185" i="10"/>
  <c r="S185" i="10"/>
  <c r="K185" i="10"/>
  <c r="J185" i="10"/>
  <c r="H185" i="10"/>
  <c r="G185" i="10"/>
  <c r="C185" i="10"/>
  <c r="V184" i="10"/>
  <c r="U184" i="10"/>
  <c r="T184" i="10"/>
  <c r="S184" i="10"/>
  <c r="R184" i="10"/>
  <c r="Q184" i="10"/>
  <c r="P184" i="10"/>
  <c r="N184" i="10"/>
  <c r="M184" i="10"/>
  <c r="L184" i="10"/>
  <c r="J184" i="10"/>
  <c r="I184" i="10"/>
  <c r="H184" i="10"/>
  <c r="G184" i="10"/>
  <c r="F184" i="10"/>
  <c r="E184" i="10"/>
  <c r="D184" i="10"/>
  <c r="C184" i="10"/>
  <c r="O184" i="10" s="1"/>
  <c r="U183" i="10"/>
  <c r="R183" i="10"/>
  <c r="Q183" i="10"/>
  <c r="P183" i="10"/>
  <c r="N183" i="10"/>
  <c r="M183" i="10"/>
  <c r="J183" i="10"/>
  <c r="I183" i="10"/>
  <c r="F183" i="10"/>
  <c r="E183" i="10"/>
  <c r="D183" i="10"/>
  <c r="C183" i="10"/>
  <c r="L183" i="10" s="1"/>
  <c r="V182" i="10"/>
  <c r="O182" i="10"/>
  <c r="N182" i="10"/>
  <c r="K182" i="10"/>
  <c r="J182" i="10"/>
  <c r="C182" i="10"/>
  <c r="W182" i="10" s="1"/>
  <c r="W181" i="10"/>
  <c r="T181" i="10"/>
  <c r="S181" i="10"/>
  <c r="P181" i="10"/>
  <c r="O181" i="10"/>
  <c r="L181" i="10"/>
  <c r="K181" i="10"/>
  <c r="J181" i="10"/>
  <c r="H181" i="10"/>
  <c r="G181" i="10"/>
  <c r="D181" i="10"/>
  <c r="C181" i="10"/>
  <c r="V180" i="10"/>
  <c r="U180" i="10"/>
  <c r="T180" i="10"/>
  <c r="S180" i="10"/>
  <c r="R180" i="10"/>
  <c r="Q180" i="10"/>
  <c r="P180" i="10"/>
  <c r="N180" i="10"/>
  <c r="M180" i="10"/>
  <c r="L180" i="10"/>
  <c r="J180" i="10"/>
  <c r="I180" i="10"/>
  <c r="H180" i="10"/>
  <c r="G180" i="10"/>
  <c r="F180" i="10"/>
  <c r="E180" i="10"/>
  <c r="D180" i="10"/>
  <c r="C180" i="10"/>
  <c r="O180" i="10" s="1"/>
  <c r="V179" i="10"/>
  <c r="O179" i="10"/>
  <c r="M179" i="10"/>
  <c r="J179" i="10"/>
  <c r="G179" i="10"/>
  <c r="F179" i="10"/>
  <c r="C179" i="10"/>
  <c r="Q179" i="10" s="1"/>
  <c r="C178" i="10"/>
  <c r="W177" i="10"/>
  <c r="U177" i="10"/>
  <c r="T177" i="10"/>
  <c r="P177" i="10"/>
  <c r="L177" i="10"/>
  <c r="J177" i="10"/>
  <c r="I177" i="10"/>
  <c r="G177" i="10"/>
  <c r="E177" i="10"/>
  <c r="C177" i="10"/>
  <c r="O177" i="10" s="1"/>
  <c r="V176" i="10"/>
  <c r="U176" i="10"/>
  <c r="T176" i="10"/>
  <c r="S176" i="10"/>
  <c r="R176" i="10"/>
  <c r="Q176" i="10"/>
  <c r="P176" i="10"/>
  <c r="N176" i="10"/>
  <c r="M176" i="10"/>
  <c r="L176" i="10"/>
  <c r="J176" i="10"/>
  <c r="I176" i="10"/>
  <c r="H176" i="10"/>
  <c r="G176" i="10"/>
  <c r="F176" i="10"/>
  <c r="E176" i="10"/>
  <c r="D176" i="10"/>
  <c r="C176" i="10"/>
  <c r="O176" i="10" s="1"/>
  <c r="W175" i="10"/>
  <c r="U175" i="10"/>
  <c r="S175" i="10"/>
  <c r="P175" i="10"/>
  <c r="M175" i="10"/>
  <c r="J175" i="10"/>
  <c r="I175" i="10"/>
  <c r="F175" i="10"/>
  <c r="E175" i="10"/>
  <c r="C175" i="10"/>
  <c r="O175" i="10" s="1"/>
  <c r="W174" i="10"/>
  <c r="S174" i="10"/>
  <c r="P174" i="10"/>
  <c r="O174" i="10"/>
  <c r="M174" i="10"/>
  <c r="L174" i="10"/>
  <c r="H174" i="10"/>
  <c r="D174" i="10"/>
  <c r="C174" i="10"/>
  <c r="N174" i="10" s="1"/>
  <c r="W173" i="10"/>
  <c r="V173" i="10"/>
  <c r="U173" i="10"/>
  <c r="T173" i="10"/>
  <c r="S173" i="10"/>
  <c r="P173" i="10"/>
  <c r="O173" i="10"/>
  <c r="M173" i="10"/>
  <c r="K173" i="10"/>
  <c r="J173" i="10"/>
  <c r="I173" i="10"/>
  <c r="H173" i="10"/>
  <c r="G173" i="10"/>
  <c r="E173" i="10"/>
  <c r="D173" i="10"/>
  <c r="C173" i="10"/>
  <c r="L173" i="10" s="1"/>
  <c r="V172" i="10"/>
  <c r="U172" i="10"/>
  <c r="T172" i="10"/>
  <c r="S172" i="10"/>
  <c r="R172" i="10"/>
  <c r="Q172" i="10"/>
  <c r="P172" i="10"/>
  <c r="N172" i="10"/>
  <c r="M172" i="10"/>
  <c r="L172" i="10"/>
  <c r="J172" i="10"/>
  <c r="I172" i="10"/>
  <c r="H172" i="10"/>
  <c r="G172" i="10"/>
  <c r="F172" i="10"/>
  <c r="E172" i="10"/>
  <c r="D172" i="10"/>
  <c r="C172" i="10"/>
  <c r="O172" i="10" s="1"/>
  <c r="W171" i="10"/>
  <c r="V171" i="10"/>
  <c r="U171" i="10"/>
  <c r="S171" i="10"/>
  <c r="R171" i="10"/>
  <c r="P171" i="10"/>
  <c r="O171" i="10"/>
  <c r="N171" i="10"/>
  <c r="K171" i="10"/>
  <c r="J171" i="10"/>
  <c r="I171" i="10"/>
  <c r="G171" i="10"/>
  <c r="F171" i="10"/>
  <c r="E171" i="10"/>
  <c r="D171" i="10"/>
  <c r="C171" i="10"/>
  <c r="M171" i="10" s="1"/>
  <c r="O170" i="10"/>
  <c r="N170" i="10"/>
  <c r="L170" i="10"/>
  <c r="K170" i="10"/>
  <c r="C170" i="10"/>
  <c r="P170" i="10" s="1"/>
  <c r="V169" i="10"/>
  <c r="Q169" i="10"/>
  <c r="H169" i="10"/>
  <c r="G169" i="10"/>
  <c r="D169" i="10"/>
  <c r="C169" i="10"/>
  <c r="V168" i="10"/>
  <c r="U168" i="10"/>
  <c r="T168" i="10"/>
  <c r="S168" i="10"/>
  <c r="R168" i="10"/>
  <c r="Q168" i="10"/>
  <c r="P168" i="10"/>
  <c r="N168" i="10"/>
  <c r="M168" i="10"/>
  <c r="L168" i="10"/>
  <c r="J168" i="10"/>
  <c r="I168" i="10"/>
  <c r="H168" i="10"/>
  <c r="G168" i="10"/>
  <c r="F168" i="10"/>
  <c r="E168" i="10"/>
  <c r="D168" i="10"/>
  <c r="C168" i="10"/>
  <c r="O168" i="10" s="1"/>
  <c r="G167" i="10"/>
  <c r="D167" i="10"/>
  <c r="C167" i="10"/>
  <c r="T166" i="10"/>
  <c r="P166" i="10"/>
  <c r="N166" i="10"/>
  <c r="M166" i="10"/>
  <c r="K166" i="10"/>
  <c r="J166" i="10"/>
  <c r="G166" i="10"/>
  <c r="D166" i="10"/>
  <c r="C166" i="10"/>
  <c r="L166" i="10" s="1"/>
  <c r="W165" i="10"/>
  <c r="V165" i="10"/>
  <c r="T165" i="10"/>
  <c r="S165" i="10"/>
  <c r="P165" i="10"/>
  <c r="M165" i="10"/>
  <c r="L165" i="10"/>
  <c r="K165" i="10"/>
  <c r="J165" i="10"/>
  <c r="H165" i="10"/>
  <c r="G165" i="10"/>
  <c r="E165" i="10"/>
  <c r="D165" i="10"/>
  <c r="C165" i="10"/>
  <c r="R165" i="10" s="1"/>
  <c r="V164" i="10"/>
  <c r="U164" i="10"/>
  <c r="T164" i="10"/>
  <c r="S164" i="10"/>
  <c r="R164" i="10"/>
  <c r="Q164" i="10"/>
  <c r="P164" i="10"/>
  <c r="N164" i="10"/>
  <c r="M164" i="10"/>
  <c r="L164" i="10"/>
  <c r="J164" i="10"/>
  <c r="I164" i="10"/>
  <c r="H164" i="10"/>
  <c r="G164" i="10"/>
  <c r="F164" i="10"/>
  <c r="E164" i="10"/>
  <c r="D164" i="10"/>
  <c r="C164" i="10"/>
  <c r="O164" i="10" s="1"/>
  <c r="V163" i="10"/>
  <c r="S163" i="10"/>
  <c r="R163" i="10"/>
  <c r="Q163" i="10"/>
  <c r="P163" i="10"/>
  <c r="N163" i="10"/>
  <c r="M163" i="10"/>
  <c r="K163" i="10"/>
  <c r="J163" i="10"/>
  <c r="G163" i="10"/>
  <c r="F163" i="10"/>
  <c r="E163" i="10"/>
  <c r="D163" i="10"/>
  <c r="C163" i="10"/>
  <c r="L163" i="10" s="1"/>
  <c r="W162" i="10"/>
  <c r="V162" i="10"/>
  <c r="S162" i="10"/>
  <c r="P162" i="10"/>
  <c r="N162" i="10"/>
  <c r="M162" i="10"/>
  <c r="K162" i="10"/>
  <c r="J162" i="10"/>
  <c r="G162" i="10"/>
  <c r="D162" i="10"/>
  <c r="C162" i="10"/>
  <c r="U162" i="10" s="1"/>
  <c r="W161" i="10"/>
  <c r="V161" i="10"/>
  <c r="T161" i="10"/>
  <c r="S161" i="10"/>
  <c r="Q161" i="10"/>
  <c r="P161" i="10"/>
  <c r="M161" i="10"/>
  <c r="L161" i="10"/>
  <c r="K161" i="10"/>
  <c r="J161" i="10"/>
  <c r="H161" i="10"/>
  <c r="G161" i="10"/>
  <c r="E161" i="10"/>
  <c r="D161" i="10"/>
  <c r="C161" i="10"/>
  <c r="R161" i="10" s="1"/>
  <c r="V160" i="10"/>
  <c r="U160" i="10"/>
  <c r="T160" i="10"/>
  <c r="S160" i="10"/>
  <c r="R160" i="10"/>
  <c r="Q160" i="10"/>
  <c r="P160" i="10"/>
  <c r="N160" i="10"/>
  <c r="M160" i="10"/>
  <c r="L160" i="10"/>
  <c r="J160" i="10"/>
  <c r="I160" i="10"/>
  <c r="H160" i="10"/>
  <c r="G160" i="10"/>
  <c r="F160" i="10"/>
  <c r="E160" i="10"/>
  <c r="D160" i="10"/>
  <c r="C160" i="10"/>
  <c r="O160" i="10" s="1"/>
  <c r="V159" i="10"/>
  <c r="S159" i="10"/>
  <c r="R159" i="10"/>
  <c r="Q159" i="10"/>
  <c r="P159" i="10"/>
  <c r="N159" i="10"/>
  <c r="M159" i="10"/>
  <c r="K159" i="10"/>
  <c r="J159" i="10"/>
  <c r="G159" i="10"/>
  <c r="F159" i="10"/>
  <c r="E159" i="10"/>
  <c r="D159" i="10"/>
  <c r="C159" i="10"/>
  <c r="L159" i="10" s="1"/>
  <c r="W158" i="10"/>
  <c r="V158" i="10"/>
  <c r="S158" i="10"/>
  <c r="P158" i="10"/>
  <c r="N158" i="10"/>
  <c r="M158" i="10"/>
  <c r="K158" i="10"/>
  <c r="J158" i="10"/>
  <c r="G158" i="10"/>
  <c r="D158" i="10"/>
  <c r="C158" i="10"/>
  <c r="U158" i="10" s="1"/>
  <c r="W157" i="10"/>
  <c r="V157" i="10"/>
  <c r="T157" i="10"/>
  <c r="S157" i="10"/>
  <c r="Q157" i="10"/>
  <c r="P157" i="10"/>
  <c r="M157" i="10"/>
  <c r="L157" i="10"/>
  <c r="K157" i="10"/>
  <c r="J157" i="10"/>
  <c r="I157" i="10"/>
  <c r="H157" i="10"/>
  <c r="G157" i="10"/>
  <c r="E157" i="10"/>
  <c r="D157" i="10"/>
  <c r="C157" i="10"/>
  <c r="R157" i="10" s="1"/>
  <c r="V156" i="10"/>
  <c r="U156" i="10"/>
  <c r="T156" i="10"/>
  <c r="S156" i="10"/>
  <c r="R156" i="10"/>
  <c r="Q156" i="10"/>
  <c r="P156" i="10"/>
  <c r="N156" i="10"/>
  <c r="M156" i="10"/>
  <c r="L156" i="10"/>
  <c r="J156" i="10"/>
  <c r="I156" i="10"/>
  <c r="H156" i="10"/>
  <c r="G156" i="10"/>
  <c r="F156" i="10"/>
  <c r="E156" i="10"/>
  <c r="D156" i="10"/>
  <c r="C156" i="10"/>
  <c r="O156" i="10" s="1"/>
  <c r="W155" i="10"/>
  <c r="V155" i="10"/>
  <c r="S155" i="10"/>
  <c r="R155" i="10"/>
  <c r="Q155" i="10"/>
  <c r="P155" i="10"/>
  <c r="N155" i="10"/>
  <c r="M155" i="10"/>
  <c r="K155" i="10"/>
  <c r="J155" i="10"/>
  <c r="G155" i="10"/>
  <c r="F155" i="10"/>
  <c r="E155" i="10"/>
  <c r="D155" i="10"/>
  <c r="C155" i="10"/>
  <c r="L155" i="10" s="1"/>
  <c r="W154" i="10"/>
  <c r="V154" i="10"/>
  <c r="S154" i="10"/>
  <c r="P154" i="10"/>
  <c r="N154" i="10"/>
  <c r="M154" i="10"/>
  <c r="K154" i="10"/>
  <c r="J154" i="10"/>
  <c r="G154" i="10"/>
  <c r="D154" i="10"/>
  <c r="C154" i="10"/>
  <c r="U154" i="10" s="1"/>
  <c r="W153" i="10"/>
  <c r="V153" i="10"/>
  <c r="T153" i="10"/>
  <c r="S153" i="10"/>
  <c r="Q153" i="10"/>
  <c r="P153" i="10"/>
  <c r="M153" i="10"/>
  <c r="L153" i="10"/>
  <c r="K153" i="10"/>
  <c r="J153" i="10"/>
  <c r="I153" i="10"/>
  <c r="H153" i="10"/>
  <c r="G153" i="10"/>
  <c r="E153" i="10"/>
  <c r="D153" i="10"/>
  <c r="C153" i="10"/>
  <c r="R153" i="10" s="1"/>
  <c r="V152" i="10"/>
  <c r="U152" i="10"/>
  <c r="T152" i="10"/>
  <c r="S152" i="10"/>
  <c r="R152" i="10"/>
  <c r="Q152" i="10"/>
  <c r="P152" i="10"/>
  <c r="N152" i="10"/>
  <c r="M152" i="10"/>
  <c r="L152" i="10"/>
  <c r="J152" i="10"/>
  <c r="I152" i="10"/>
  <c r="H152" i="10"/>
  <c r="G152" i="10"/>
  <c r="F152" i="10"/>
  <c r="E152" i="10"/>
  <c r="D152" i="10"/>
  <c r="C152" i="10"/>
  <c r="O152" i="10" s="1"/>
  <c r="W151" i="10"/>
  <c r="V151" i="10"/>
  <c r="S151" i="10"/>
  <c r="R151" i="10"/>
  <c r="Q151" i="10"/>
  <c r="P151" i="10"/>
  <c r="N151" i="10"/>
  <c r="M151" i="10"/>
  <c r="K151" i="10"/>
  <c r="J151" i="10"/>
  <c r="G151" i="10"/>
  <c r="F151" i="10"/>
  <c r="E151" i="10"/>
  <c r="D151" i="10"/>
  <c r="C151" i="10"/>
  <c r="L151" i="10" s="1"/>
  <c r="W150" i="10"/>
  <c r="V150" i="10"/>
  <c r="S150" i="10"/>
  <c r="P150" i="10"/>
  <c r="N150" i="10"/>
  <c r="M150" i="10"/>
  <c r="K150" i="10"/>
  <c r="J150" i="10"/>
  <c r="G150" i="10"/>
  <c r="D150" i="10"/>
  <c r="C150" i="10"/>
  <c r="U150" i="10" s="1"/>
  <c r="W149" i="10"/>
  <c r="V149" i="10"/>
  <c r="T149" i="10"/>
  <c r="S149" i="10"/>
  <c r="Q149" i="10"/>
  <c r="P149" i="10"/>
  <c r="M149" i="10"/>
  <c r="L149" i="10"/>
  <c r="K149" i="10"/>
  <c r="J149" i="10"/>
  <c r="H149" i="10"/>
  <c r="G149" i="10"/>
  <c r="E149" i="10"/>
  <c r="D149" i="10"/>
  <c r="C149" i="10"/>
  <c r="R149" i="10" s="1"/>
  <c r="V148" i="10"/>
  <c r="U148" i="10"/>
  <c r="T148" i="10"/>
  <c r="S148" i="10"/>
  <c r="R148" i="10"/>
  <c r="Q148" i="10"/>
  <c r="P148" i="10"/>
  <c r="N148" i="10"/>
  <c r="M148" i="10"/>
  <c r="L148" i="10"/>
  <c r="J148" i="10"/>
  <c r="I148" i="10"/>
  <c r="H148" i="10"/>
  <c r="G148" i="10"/>
  <c r="F148" i="10"/>
  <c r="E148" i="10"/>
  <c r="D148" i="10"/>
  <c r="C148" i="10"/>
  <c r="O148" i="10" s="1"/>
  <c r="W147" i="10"/>
  <c r="V147" i="10"/>
  <c r="S147" i="10"/>
  <c r="R147" i="10"/>
  <c r="Q147" i="10"/>
  <c r="P147" i="10"/>
  <c r="N147" i="10"/>
  <c r="M147" i="10"/>
  <c r="K147" i="10"/>
  <c r="J147" i="10"/>
  <c r="G147" i="10"/>
  <c r="F147" i="10"/>
  <c r="E147" i="10"/>
  <c r="D147" i="10"/>
  <c r="C147" i="10"/>
  <c r="L147" i="10" s="1"/>
  <c r="W146" i="10"/>
  <c r="V146" i="10"/>
  <c r="S146" i="10"/>
  <c r="P146" i="10"/>
  <c r="N146" i="10"/>
  <c r="M146" i="10"/>
  <c r="K146" i="10"/>
  <c r="J146" i="10"/>
  <c r="G146" i="10"/>
  <c r="D146" i="10"/>
  <c r="C146" i="10"/>
  <c r="U146" i="10" s="1"/>
  <c r="W145" i="10"/>
  <c r="V145" i="10"/>
  <c r="T145" i="10"/>
  <c r="S145" i="10"/>
  <c r="Q145" i="10"/>
  <c r="P145" i="10"/>
  <c r="M145" i="10"/>
  <c r="L145" i="10"/>
  <c r="K145" i="10"/>
  <c r="J145" i="10"/>
  <c r="H145" i="10"/>
  <c r="G145" i="10"/>
  <c r="E145" i="10"/>
  <c r="D145" i="10"/>
  <c r="C145" i="10"/>
  <c r="R145" i="10" s="1"/>
  <c r="V144" i="10"/>
  <c r="U144" i="10"/>
  <c r="T144" i="10"/>
  <c r="S144" i="10"/>
  <c r="R144" i="10"/>
  <c r="Q144" i="10"/>
  <c r="P144" i="10"/>
  <c r="N144" i="10"/>
  <c r="M144" i="10"/>
  <c r="L144" i="10"/>
  <c r="J144" i="10"/>
  <c r="I144" i="10"/>
  <c r="H144" i="10"/>
  <c r="G144" i="10"/>
  <c r="F144" i="10"/>
  <c r="E144" i="10"/>
  <c r="D144" i="10"/>
  <c r="C144" i="10"/>
  <c r="O144" i="10" s="1"/>
  <c r="W143" i="10"/>
  <c r="V143" i="10"/>
  <c r="S143" i="10"/>
  <c r="R143" i="10"/>
  <c r="Q143" i="10"/>
  <c r="P143" i="10"/>
  <c r="N143" i="10"/>
  <c r="M143" i="10"/>
  <c r="K143" i="10"/>
  <c r="J143" i="10"/>
  <c r="G143" i="10"/>
  <c r="F143" i="10"/>
  <c r="E143" i="10"/>
  <c r="D143" i="10"/>
  <c r="C143" i="10"/>
  <c r="L143" i="10" s="1"/>
  <c r="W142" i="10"/>
  <c r="V142" i="10"/>
  <c r="S142" i="10"/>
  <c r="P142" i="10"/>
  <c r="N142" i="10"/>
  <c r="M142" i="10"/>
  <c r="K142" i="10"/>
  <c r="J142" i="10"/>
  <c r="G142" i="10"/>
  <c r="D142" i="10"/>
  <c r="C142" i="10"/>
  <c r="U142" i="10" s="1"/>
  <c r="W141" i="10"/>
  <c r="V141" i="10"/>
  <c r="T141" i="10"/>
  <c r="S141" i="10"/>
  <c r="Q141" i="10"/>
  <c r="P141" i="10"/>
  <c r="M141" i="10"/>
  <c r="L141" i="10"/>
  <c r="K141" i="10"/>
  <c r="J141" i="10"/>
  <c r="H141" i="10"/>
  <c r="G141" i="10"/>
  <c r="E141" i="10"/>
  <c r="D141" i="10"/>
  <c r="C141" i="10"/>
  <c r="R141" i="10" s="1"/>
  <c r="V140" i="10"/>
  <c r="U140" i="10"/>
  <c r="T140" i="10"/>
  <c r="S140" i="10"/>
  <c r="R140" i="10"/>
  <c r="Q140" i="10"/>
  <c r="P140" i="10"/>
  <c r="N140" i="10"/>
  <c r="M140" i="10"/>
  <c r="L140" i="10"/>
  <c r="J140" i="10"/>
  <c r="I140" i="10"/>
  <c r="H140" i="10"/>
  <c r="G140" i="10"/>
  <c r="F140" i="10"/>
  <c r="E140" i="10"/>
  <c r="D140" i="10"/>
  <c r="C140" i="10"/>
  <c r="O140" i="10" s="1"/>
  <c r="W139" i="10"/>
  <c r="V139" i="10"/>
  <c r="S139" i="10"/>
  <c r="R139" i="10"/>
  <c r="Q139" i="10"/>
  <c r="P139" i="10"/>
  <c r="N139" i="10"/>
  <c r="M139" i="10"/>
  <c r="K139" i="10"/>
  <c r="J139" i="10"/>
  <c r="G139" i="10"/>
  <c r="F139" i="10"/>
  <c r="E139" i="10"/>
  <c r="D139" i="10"/>
  <c r="C139" i="10"/>
  <c r="L139" i="10" s="1"/>
  <c r="W138" i="10"/>
  <c r="V138" i="10"/>
  <c r="S138" i="10"/>
  <c r="P138" i="10"/>
  <c r="N138" i="10"/>
  <c r="M138" i="10"/>
  <c r="K138" i="10"/>
  <c r="J138" i="10"/>
  <c r="G138" i="10"/>
  <c r="D138" i="10"/>
  <c r="C138" i="10"/>
  <c r="U138" i="10" s="1"/>
  <c r="W137" i="10"/>
  <c r="V137" i="10"/>
  <c r="T137" i="10"/>
  <c r="S137" i="10"/>
  <c r="Q137" i="10"/>
  <c r="P137" i="10"/>
  <c r="M137" i="10"/>
  <c r="L137" i="10"/>
  <c r="K137" i="10"/>
  <c r="J137" i="10"/>
  <c r="H137" i="10"/>
  <c r="G137" i="10"/>
  <c r="E137" i="10"/>
  <c r="D137" i="10"/>
  <c r="C137" i="10"/>
  <c r="R137" i="10" s="1"/>
  <c r="V136" i="10"/>
  <c r="U136" i="10"/>
  <c r="T136" i="10"/>
  <c r="S136" i="10"/>
  <c r="R136" i="10"/>
  <c r="Q136" i="10"/>
  <c r="P136" i="10"/>
  <c r="N136" i="10"/>
  <c r="M136" i="10"/>
  <c r="L136" i="10"/>
  <c r="J136" i="10"/>
  <c r="I136" i="10"/>
  <c r="H136" i="10"/>
  <c r="G136" i="10"/>
  <c r="F136" i="10"/>
  <c r="E136" i="10"/>
  <c r="D136" i="10"/>
  <c r="C136" i="10"/>
  <c r="O136" i="10" s="1"/>
  <c r="W135" i="10"/>
  <c r="V135" i="10"/>
  <c r="S135" i="10"/>
  <c r="R135" i="10"/>
  <c r="Q135" i="10"/>
  <c r="P135" i="10"/>
  <c r="N135" i="10"/>
  <c r="M135" i="10"/>
  <c r="K135" i="10"/>
  <c r="J135" i="10"/>
  <c r="G135" i="10"/>
  <c r="F135" i="10"/>
  <c r="E135" i="10"/>
  <c r="D135" i="10"/>
  <c r="C135" i="10"/>
  <c r="L135" i="10" s="1"/>
  <c r="W134" i="10"/>
  <c r="V134" i="10"/>
  <c r="S134" i="10"/>
  <c r="P134" i="10"/>
  <c r="N134" i="10"/>
  <c r="M134" i="10"/>
  <c r="K134" i="10"/>
  <c r="J134" i="10"/>
  <c r="G134" i="10"/>
  <c r="D134" i="10"/>
  <c r="C134" i="10"/>
  <c r="U134" i="10" s="1"/>
  <c r="W133" i="10"/>
  <c r="V133" i="10"/>
  <c r="T133" i="10"/>
  <c r="S133" i="10"/>
  <c r="Q133" i="10"/>
  <c r="P133" i="10"/>
  <c r="M133" i="10"/>
  <c r="L133" i="10"/>
  <c r="K133" i="10"/>
  <c r="J133" i="10"/>
  <c r="H133" i="10"/>
  <c r="G133" i="10"/>
  <c r="E133" i="10"/>
  <c r="D133" i="10"/>
  <c r="C133" i="10"/>
  <c r="R133" i="10" s="1"/>
  <c r="V132" i="10"/>
  <c r="U132" i="10"/>
  <c r="T132" i="10"/>
  <c r="S132" i="10"/>
  <c r="R132" i="10"/>
  <c r="Q132" i="10"/>
  <c r="P132" i="10"/>
  <c r="N132" i="10"/>
  <c r="M132" i="10"/>
  <c r="L132" i="10"/>
  <c r="J132" i="10"/>
  <c r="I132" i="10"/>
  <c r="H132" i="10"/>
  <c r="G132" i="10"/>
  <c r="F132" i="10"/>
  <c r="E132" i="10"/>
  <c r="D132" i="10"/>
  <c r="C132" i="10"/>
  <c r="O132" i="10" s="1"/>
  <c r="W131" i="10"/>
  <c r="V131" i="10"/>
  <c r="S131" i="10"/>
  <c r="R131" i="10"/>
  <c r="Q131" i="10"/>
  <c r="P131" i="10"/>
  <c r="N131" i="10"/>
  <c r="M131" i="10"/>
  <c r="K131" i="10"/>
  <c r="J131" i="10"/>
  <c r="G131" i="10"/>
  <c r="F131" i="10"/>
  <c r="E131" i="10"/>
  <c r="D131" i="10"/>
  <c r="C131" i="10"/>
  <c r="L131" i="10" s="1"/>
  <c r="W130" i="10"/>
  <c r="V130" i="10"/>
  <c r="T130" i="10"/>
  <c r="S130" i="10"/>
  <c r="P130" i="10"/>
  <c r="N130" i="10"/>
  <c r="M130" i="10"/>
  <c r="K130" i="10"/>
  <c r="J130" i="10"/>
  <c r="H130" i="10"/>
  <c r="G130" i="10"/>
  <c r="D130" i="10"/>
  <c r="C130" i="10"/>
  <c r="U130" i="10" s="1"/>
  <c r="W129" i="10"/>
  <c r="V129" i="10"/>
  <c r="T129" i="10"/>
  <c r="S129" i="10"/>
  <c r="Q129" i="10"/>
  <c r="P129" i="10"/>
  <c r="M129" i="10"/>
  <c r="L129" i="10"/>
  <c r="K129" i="10"/>
  <c r="J129" i="10"/>
  <c r="H129" i="10"/>
  <c r="G129" i="10"/>
  <c r="E129" i="10"/>
  <c r="D129" i="10"/>
  <c r="C129" i="10"/>
  <c r="R129" i="10" s="1"/>
  <c r="V128" i="10"/>
  <c r="U128" i="10"/>
  <c r="T128" i="10"/>
  <c r="S128" i="10"/>
  <c r="R128" i="10"/>
  <c r="Q128" i="10"/>
  <c r="P128" i="10"/>
  <c r="N128" i="10"/>
  <c r="M128" i="10"/>
  <c r="L128" i="10"/>
  <c r="J128" i="10"/>
  <c r="I128" i="10"/>
  <c r="H128" i="10"/>
  <c r="G128" i="10"/>
  <c r="F128" i="10"/>
  <c r="E128" i="10"/>
  <c r="D128" i="10"/>
  <c r="C128" i="10"/>
  <c r="O128" i="10" s="1"/>
  <c r="W127" i="10"/>
  <c r="V127" i="10"/>
  <c r="S127" i="10"/>
  <c r="R127" i="10"/>
  <c r="Q127" i="10"/>
  <c r="P127" i="10"/>
  <c r="N127" i="10"/>
  <c r="M127" i="10"/>
  <c r="K127" i="10"/>
  <c r="J127" i="10"/>
  <c r="G127" i="10"/>
  <c r="F127" i="10"/>
  <c r="E127" i="10"/>
  <c r="D127" i="10"/>
  <c r="C127" i="10"/>
  <c r="L127" i="10" s="1"/>
  <c r="W126" i="10"/>
  <c r="V126" i="10"/>
  <c r="T126" i="10"/>
  <c r="S126" i="10"/>
  <c r="P126" i="10"/>
  <c r="N126" i="10"/>
  <c r="M126" i="10"/>
  <c r="K126" i="10"/>
  <c r="J126" i="10"/>
  <c r="H126" i="10"/>
  <c r="G126" i="10"/>
  <c r="D126" i="10"/>
  <c r="C126" i="10"/>
  <c r="U126" i="10" s="1"/>
  <c r="W125" i="10"/>
  <c r="V125" i="10"/>
  <c r="T125" i="10"/>
  <c r="S125" i="10"/>
  <c r="Q125" i="10"/>
  <c r="P125" i="10"/>
  <c r="M125" i="10"/>
  <c r="L125" i="10"/>
  <c r="K125" i="10"/>
  <c r="J125" i="10"/>
  <c r="H125" i="10"/>
  <c r="G125" i="10"/>
  <c r="E125" i="10"/>
  <c r="D125" i="10"/>
  <c r="C125" i="10"/>
  <c r="R125" i="10" s="1"/>
  <c r="V124" i="10"/>
  <c r="U124" i="10"/>
  <c r="T124" i="10"/>
  <c r="S124" i="10"/>
  <c r="R124" i="10"/>
  <c r="Q124" i="10"/>
  <c r="P124" i="10"/>
  <c r="N124" i="10"/>
  <c r="M124" i="10"/>
  <c r="L124" i="10"/>
  <c r="J124" i="10"/>
  <c r="I124" i="10"/>
  <c r="H124" i="10"/>
  <c r="G124" i="10"/>
  <c r="F124" i="10"/>
  <c r="E124" i="10"/>
  <c r="D124" i="10"/>
  <c r="C124" i="10"/>
  <c r="O124" i="10" s="1"/>
  <c r="W123" i="10"/>
  <c r="V123" i="10"/>
  <c r="S123" i="10"/>
  <c r="R123" i="10"/>
  <c r="Q123" i="10"/>
  <c r="P123" i="10"/>
  <c r="N123" i="10"/>
  <c r="M123" i="10"/>
  <c r="K123" i="10"/>
  <c r="J123" i="10"/>
  <c r="G123" i="10"/>
  <c r="F123" i="10"/>
  <c r="E123" i="10"/>
  <c r="D123" i="10"/>
  <c r="C123" i="10"/>
  <c r="L123" i="10" s="1"/>
  <c r="W122" i="10"/>
  <c r="V122" i="10"/>
  <c r="T122" i="10"/>
  <c r="S122" i="10"/>
  <c r="P122" i="10"/>
  <c r="N122" i="10"/>
  <c r="M122" i="10"/>
  <c r="K122" i="10"/>
  <c r="J122" i="10"/>
  <c r="H122" i="10"/>
  <c r="G122" i="10"/>
  <c r="D122" i="10"/>
  <c r="C122" i="10"/>
  <c r="U122" i="10" s="1"/>
  <c r="W121" i="10"/>
  <c r="V121" i="10"/>
  <c r="T121" i="10"/>
  <c r="S121" i="10"/>
  <c r="Q121" i="10"/>
  <c r="P121" i="10"/>
  <c r="M121" i="10"/>
  <c r="L121" i="10"/>
  <c r="K121" i="10"/>
  <c r="J121" i="10"/>
  <c r="H121" i="10"/>
  <c r="G121" i="10"/>
  <c r="E121" i="10"/>
  <c r="D121" i="10"/>
  <c r="C121" i="10"/>
  <c r="R121" i="10" s="1"/>
  <c r="V120" i="10"/>
  <c r="U120" i="10"/>
  <c r="T120" i="10"/>
  <c r="S120" i="10"/>
  <c r="R120" i="10"/>
  <c r="Q120" i="10"/>
  <c r="P120" i="10"/>
  <c r="N120" i="10"/>
  <c r="M120" i="10"/>
  <c r="L120" i="10"/>
  <c r="J120" i="10"/>
  <c r="I120" i="10"/>
  <c r="H120" i="10"/>
  <c r="G120" i="10"/>
  <c r="F120" i="10"/>
  <c r="E120" i="10"/>
  <c r="D120" i="10"/>
  <c r="C120" i="10"/>
  <c r="O120" i="10" s="1"/>
  <c r="W119" i="10"/>
  <c r="V119" i="10"/>
  <c r="S119" i="10"/>
  <c r="R119" i="10"/>
  <c r="Q119" i="10"/>
  <c r="P119" i="10"/>
  <c r="N119" i="10"/>
  <c r="M119" i="10"/>
  <c r="K119" i="10"/>
  <c r="J119" i="10"/>
  <c r="G119" i="10"/>
  <c r="F119" i="10"/>
  <c r="E119" i="10"/>
  <c r="D119" i="10"/>
  <c r="C119" i="10"/>
  <c r="L119" i="10" s="1"/>
  <c r="W118" i="10"/>
  <c r="V118" i="10"/>
  <c r="T118" i="10"/>
  <c r="S118" i="10"/>
  <c r="P118" i="10"/>
  <c r="N118" i="10"/>
  <c r="M118" i="10"/>
  <c r="K118" i="10"/>
  <c r="J118" i="10"/>
  <c r="H118" i="10"/>
  <c r="G118" i="10"/>
  <c r="D118" i="10"/>
  <c r="C118" i="10"/>
  <c r="U118" i="10" s="1"/>
  <c r="W117" i="10"/>
  <c r="V117" i="10"/>
  <c r="T117" i="10"/>
  <c r="S117" i="10"/>
  <c r="Q117" i="10"/>
  <c r="P117" i="10"/>
  <c r="M117" i="10"/>
  <c r="L117" i="10"/>
  <c r="K117" i="10"/>
  <c r="J117" i="10"/>
  <c r="H117" i="10"/>
  <c r="G117" i="10"/>
  <c r="E117" i="10"/>
  <c r="D117" i="10"/>
  <c r="C117" i="10"/>
  <c r="R117" i="10" s="1"/>
  <c r="V116" i="10"/>
  <c r="U116" i="10"/>
  <c r="T116" i="10"/>
  <c r="S116" i="10"/>
  <c r="R116" i="10"/>
  <c r="Q116" i="10"/>
  <c r="P116" i="10"/>
  <c r="N116" i="10"/>
  <c r="M116" i="10"/>
  <c r="L116" i="10"/>
  <c r="J116" i="10"/>
  <c r="I116" i="10"/>
  <c r="H116" i="10"/>
  <c r="G116" i="10"/>
  <c r="F116" i="10"/>
  <c r="E116" i="10"/>
  <c r="D116" i="10"/>
  <c r="C116" i="10"/>
  <c r="O116" i="10" s="1"/>
  <c r="W115" i="10"/>
  <c r="V115" i="10"/>
  <c r="S115" i="10"/>
  <c r="R115" i="10"/>
  <c r="Q115" i="10"/>
  <c r="P115" i="10"/>
  <c r="N115" i="10"/>
  <c r="M115" i="10"/>
  <c r="K115" i="10"/>
  <c r="J115" i="10"/>
  <c r="G115" i="10"/>
  <c r="F115" i="10"/>
  <c r="E115" i="10"/>
  <c r="D115" i="10"/>
  <c r="C115" i="10"/>
  <c r="L115" i="10" s="1"/>
  <c r="W114" i="10"/>
  <c r="V114" i="10"/>
  <c r="T114" i="10"/>
  <c r="S114" i="10"/>
  <c r="P114" i="10"/>
  <c r="N114" i="10"/>
  <c r="M114" i="10"/>
  <c r="K114" i="10"/>
  <c r="J114" i="10"/>
  <c r="H114" i="10"/>
  <c r="G114" i="10"/>
  <c r="D114" i="10"/>
  <c r="C114" i="10"/>
  <c r="U114" i="10" s="1"/>
  <c r="W113" i="10"/>
  <c r="V113" i="10"/>
  <c r="T113" i="10"/>
  <c r="S113" i="10"/>
  <c r="Q113" i="10"/>
  <c r="P113" i="10"/>
  <c r="M113" i="10"/>
  <c r="L113" i="10"/>
  <c r="K113" i="10"/>
  <c r="J113" i="10"/>
  <c r="H113" i="10"/>
  <c r="G113" i="10"/>
  <c r="E113" i="10"/>
  <c r="D113" i="10"/>
  <c r="C113" i="10"/>
  <c r="R113" i="10" s="1"/>
  <c r="V112" i="10"/>
  <c r="U112" i="10"/>
  <c r="T112" i="10"/>
  <c r="S112" i="10"/>
  <c r="R112" i="10"/>
  <c r="Q112" i="10"/>
  <c r="P112" i="10"/>
  <c r="N112" i="10"/>
  <c r="M112" i="10"/>
  <c r="L112" i="10"/>
  <c r="J112" i="10"/>
  <c r="I112" i="10"/>
  <c r="H112" i="10"/>
  <c r="G112" i="10"/>
  <c r="F112" i="10"/>
  <c r="E112" i="10"/>
  <c r="D112" i="10"/>
  <c r="C112" i="10"/>
  <c r="O112" i="10" s="1"/>
  <c r="W111" i="10"/>
  <c r="V111" i="10"/>
  <c r="S111" i="10"/>
  <c r="R111" i="10"/>
  <c r="Q111" i="10"/>
  <c r="P111" i="10"/>
  <c r="N111" i="10"/>
  <c r="M111" i="10"/>
  <c r="K111" i="10"/>
  <c r="J111" i="10"/>
  <c r="G111" i="10"/>
  <c r="F111" i="10"/>
  <c r="E111" i="10"/>
  <c r="D111" i="10"/>
  <c r="C111" i="10"/>
  <c r="L111" i="10" s="1"/>
  <c r="W110" i="10"/>
  <c r="V110" i="10"/>
  <c r="T110" i="10"/>
  <c r="S110" i="10"/>
  <c r="P110" i="10"/>
  <c r="N110" i="10"/>
  <c r="M110" i="10"/>
  <c r="K110" i="10"/>
  <c r="J110" i="10"/>
  <c r="H110" i="10"/>
  <c r="G110" i="10"/>
  <c r="D110" i="10"/>
  <c r="C110" i="10"/>
  <c r="U110" i="10" s="1"/>
  <c r="W109" i="10"/>
  <c r="V109" i="10"/>
  <c r="T109" i="10"/>
  <c r="S109" i="10"/>
  <c r="Q109" i="10"/>
  <c r="P109" i="10"/>
  <c r="M109" i="10"/>
  <c r="L109" i="10"/>
  <c r="K109" i="10"/>
  <c r="J109" i="10"/>
  <c r="H109" i="10"/>
  <c r="G109" i="10"/>
  <c r="E109" i="10"/>
  <c r="D109" i="10"/>
  <c r="C109" i="10"/>
  <c r="R109" i="10" s="1"/>
  <c r="V108" i="10"/>
  <c r="U108" i="10"/>
  <c r="T108" i="10"/>
  <c r="S108" i="10"/>
  <c r="Q108" i="10"/>
  <c r="P108" i="10"/>
  <c r="N108" i="10"/>
  <c r="M108" i="10"/>
  <c r="L108" i="10"/>
  <c r="J108" i="10"/>
  <c r="I108" i="10"/>
  <c r="H108" i="10"/>
  <c r="G108" i="10"/>
  <c r="F108" i="10"/>
  <c r="E108" i="10"/>
  <c r="D108" i="10"/>
  <c r="C108" i="10"/>
  <c r="O108" i="10" s="1"/>
  <c r="W107" i="10"/>
  <c r="V107" i="10"/>
  <c r="S107" i="10"/>
  <c r="R107" i="10"/>
  <c r="Q107" i="10"/>
  <c r="P107" i="10"/>
  <c r="N107" i="10"/>
  <c r="M107" i="10"/>
  <c r="K107" i="10"/>
  <c r="J107" i="10"/>
  <c r="G107" i="10"/>
  <c r="F107" i="10"/>
  <c r="E107" i="10"/>
  <c r="D107" i="10"/>
  <c r="C107" i="10"/>
  <c r="L107" i="10" s="1"/>
  <c r="W106" i="10"/>
  <c r="V106" i="10"/>
  <c r="T106" i="10"/>
  <c r="S106" i="10"/>
  <c r="P106" i="10"/>
  <c r="N106" i="10"/>
  <c r="M106" i="10"/>
  <c r="K106" i="10"/>
  <c r="J106" i="10"/>
  <c r="H106" i="10"/>
  <c r="G106" i="10"/>
  <c r="D106" i="10"/>
  <c r="C106" i="10"/>
  <c r="U106" i="10" s="1"/>
  <c r="W105" i="10"/>
  <c r="V105" i="10"/>
  <c r="T105" i="10"/>
  <c r="S105" i="10"/>
  <c r="Q105" i="10"/>
  <c r="P105" i="10"/>
  <c r="M105" i="10"/>
  <c r="L105" i="10"/>
  <c r="K105" i="10"/>
  <c r="J105" i="10"/>
  <c r="H105" i="10"/>
  <c r="G105" i="10"/>
  <c r="E105" i="10"/>
  <c r="D105" i="10"/>
  <c r="C105" i="10"/>
  <c r="R105" i="10" s="1"/>
  <c r="V104" i="10"/>
  <c r="U104" i="10"/>
  <c r="T104" i="10"/>
  <c r="S104" i="10"/>
  <c r="Q104" i="10"/>
  <c r="P104" i="10"/>
  <c r="N104" i="10"/>
  <c r="M104" i="10"/>
  <c r="J104" i="10"/>
  <c r="I104" i="10"/>
  <c r="H104" i="10"/>
  <c r="G104" i="10"/>
  <c r="E104" i="10"/>
  <c r="D104" i="10"/>
  <c r="C104" i="10"/>
  <c r="O104" i="10" s="1"/>
  <c r="W103" i="10"/>
  <c r="V103" i="10"/>
  <c r="S103" i="10"/>
  <c r="R103" i="10"/>
  <c r="Q103" i="10"/>
  <c r="P103" i="10"/>
  <c r="N103" i="10"/>
  <c r="M103" i="10"/>
  <c r="K103" i="10"/>
  <c r="J103" i="10"/>
  <c r="G103" i="10"/>
  <c r="F103" i="10"/>
  <c r="E103" i="10"/>
  <c r="D103" i="10"/>
  <c r="C103" i="10"/>
  <c r="L103" i="10" s="1"/>
  <c r="W102" i="10"/>
  <c r="V102" i="10"/>
  <c r="S102" i="10"/>
  <c r="P102" i="10"/>
  <c r="N102" i="10"/>
  <c r="M102" i="10"/>
  <c r="K102" i="10"/>
  <c r="J102" i="10"/>
  <c r="G102" i="10"/>
  <c r="D102" i="10"/>
  <c r="C102" i="10"/>
  <c r="U102" i="10" s="1"/>
  <c r="W101" i="10"/>
  <c r="V101" i="10"/>
  <c r="T101" i="10"/>
  <c r="S101" i="10"/>
  <c r="Q101" i="10"/>
  <c r="P101" i="10"/>
  <c r="M101" i="10"/>
  <c r="L101" i="10"/>
  <c r="K101" i="10"/>
  <c r="J101" i="10"/>
  <c r="H101" i="10"/>
  <c r="G101" i="10"/>
  <c r="E101" i="10"/>
  <c r="D101" i="10"/>
  <c r="C101" i="10"/>
  <c r="R101" i="10" s="1"/>
  <c r="V100" i="10"/>
  <c r="U100" i="10"/>
  <c r="T100" i="10"/>
  <c r="S100" i="10"/>
  <c r="Q100" i="10"/>
  <c r="P100" i="10"/>
  <c r="N100" i="10"/>
  <c r="M100" i="10"/>
  <c r="J100" i="10"/>
  <c r="I100" i="10"/>
  <c r="H100" i="10"/>
  <c r="G100" i="10"/>
  <c r="E100" i="10"/>
  <c r="D100" i="10"/>
  <c r="C100" i="10"/>
  <c r="O100" i="10" s="1"/>
  <c r="W99" i="10"/>
  <c r="V99" i="10"/>
  <c r="S99" i="10"/>
  <c r="R99" i="10"/>
  <c r="Q99" i="10"/>
  <c r="P99" i="10"/>
  <c r="N99" i="10"/>
  <c r="M99" i="10"/>
  <c r="K99" i="10"/>
  <c r="J99" i="10"/>
  <c r="G99" i="10"/>
  <c r="F99" i="10"/>
  <c r="E99" i="10"/>
  <c r="D99" i="10"/>
  <c r="C99" i="10"/>
  <c r="L99" i="10" s="1"/>
  <c r="W98" i="10"/>
  <c r="V98" i="10"/>
  <c r="S98" i="10"/>
  <c r="P98" i="10"/>
  <c r="N98" i="10"/>
  <c r="M98" i="10"/>
  <c r="K98" i="10"/>
  <c r="J98" i="10"/>
  <c r="G98" i="10"/>
  <c r="D98" i="10"/>
  <c r="C98" i="10"/>
  <c r="U98" i="10" s="1"/>
  <c r="W97" i="10"/>
  <c r="V97" i="10"/>
  <c r="T97" i="10"/>
  <c r="S97" i="10"/>
  <c r="Q97" i="10"/>
  <c r="P97" i="10"/>
  <c r="M97" i="10"/>
  <c r="L97" i="10"/>
  <c r="K97" i="10"/>
  <c r="J97" i="10"/>
  <c r="H97" i="10"/>
  <c r="G97" i="10"/>
  <c r="E97" i="10"/>
  <c r="D97" i="10"/>
  <c r="C97" i="10"/>
  <c r="R97" i="10" s="1"/>
  <c r="V96" i="10"/>
  <c r="U96" i="10"/>
  <c r="T96" i="10"/>
  <c r="S96" i="10"/>
  <c r="Q96" i="10"/>
  <c r="P96" i="10"/>
  <c r="N96" i="10"/>
  <c r="M96" i="10"/>
  <c r="J96" i="10"/>
  <c r="I96" i="10"/>
  <c r="H96" i="10"/>
  <c r="G96" i="10"/>
  <c r="E96" i="10"/>
  <c r="D96" i="10"/>
  <c r="C96" i="10"/>
  <c r="O96" i="10" s="1"/>
  <c r="W95" i="10"/>
  <c r="V95" i="10"/>
  <c r="S95" i="10"/>
  <c r="R95" i="10"/>
  <c r="Q95" i="10"/>
  <c r="P95" i="10"/>
  <c r="N95" i="10"/>
  <c r="M95" i="10"/>
  <c r="K95" i="10"/>
  <c r="J95" i="10"/>
  <c r="G95" i="10"/>
  <c r="F95" i="10"/>
  <c r="E95" i="10"/>
  <c r="D95" i="10"/>
  <c r="C95" i="10"/>
  <c r="L95" i="10" s="1"/>
  <c r="W94" i="10"/>
  <c r="V94" i="10"/>
  <c r="S94" i="10"/>
  <c r="P94" i="10"/>
  <c r="N94" i="10"/>
  <c r="M94" i="10"/>
  <c r="K94" i="10"/>
  <c r="J94" i="10"/>
  <c r="G94" i="10"/>
  <c r="D94" i="10"/>
  <c r="C94" i="10"/>
  <c r="U94" i="10" s="1"/>
  <c r="W93" i="10"/>
  <c r="V93" i="10"/>
  <c r="T93" i="10"/>
  <c r="S93" i="10"/>
  <c r="Q93" i="10"/>
  <c r="P93" i="10"/>
  <c r="M93" i="10"/>
  <c r="L93" i="10"/>
  <c r="K93" i="10"/>
  <c r="J93" i="10"/>
  <c r="H93" i="10"/>
  <c r="G93" i="10"/>
  <c r="E93" i="10"/>
  <c r="D93" i="10"/>
  <c r="C93" i="10"/>
  <c r="R93" i="10" s="1"/>
  <c r="V92" i="10"/>
  <c r="U92" i="10"/>
  <c r="T92" i="10"/>
  <c r="S92" i="10"/>
  <c r="Q92" i="10"/>
  <c r="P92" i="10"/>
  <c r="N92" i="10"/>
  <c r="M92" i="10"/>
  <c r="J92" i="10"/>
  <c r="I92" i="10"/>
  <c r="H92" i="10"/>
  <c r="G92" i="10"/>
  <c r="E92" i="10"/>
  <c r="D92" i="10"/>
  <c r="C92" i="10"/>
  <c r="O92" i="10" s="1"/>
  <c r="W91" i="10"/>
  <c r="V91" i="10"/>
  <c r="S91" i="10"/>
  <c r="R91" i="10"/>
  <c r="Q91" i="10"/>
  <c r="P91" i="10"/>
  <c r="N91" i="10"/>
  <c r="M91" i="10"/>
  <c r="K91" i="10"/>
  <c r="J91" i="10"/>
  <c r="G91" i="10"/>
  <c r="F91" i="10"/>
  <c r="E91" i="10"/>
  <c r="D91" i="10"/>
  <c r="C91" i="10"/>
  <c r="L91" i="10" s="1"/>
  <c r="T90" i="10"/>
  <c r="S90" i="10"/>
  <c r="P90" i="10"/>
  <c r="O90" i="10"/>
  <c r="M90" i="10"/>
  <c r="K90" i="10"/>
  <c r="H90" i="10"/>
  <c r="G90" i="10"/>
  <c r="C90" i="10"/>
  <c r="N90" i="10" s="1"/>
  <c r="W89" i="10"/>
  <c r="V89" i="10"/>
  <c r="T89" i="10"/>
  <c r="S89" i="10"/>
  <c r="Q89" i="10"/>
  <c r="P89" i="10"/>
  <c r="M89" i="10"/>
  <c r="L89" i="10"/>
  <c r="K89" i="10"/>
  <c r="J89" i="10"/>
  <c r="H89" i="10"/>
  <c r="G89" i="10"/>
  <c r="E89" i="10"/>
  <c r="D89" i="10"/>
  <c r="C89" i="10"/>
  <c r="R89" i="10" s="1"/>
  <c r="V88" i="10"/>
  <c r="U88" i="10"/>
  <c r="T88" i="10"/>
  <c r="S88" i="10"/>
  <c r="Q88" i="10"/>
  <c r="P88" i="10"/>
  <c r="N88" i="10"/>
  <c r="M88" i="10"/>
  <c r="J88" i="10"/>
  <c r="I88" i="10"/>
  <c r="H88" i="10"/>
  <c r="G88" i="10"/>
  <c r="E88" i="10"/>
  <c r="D88" i="10"/>
  <c r="C88" i="10"/>
  <c r="O88" i="10" s="1"/>
  <c r="W87" i="10"/>
  <c r="V87" i="10"/>
  <c r="S87" i="10"/>
  <c r="R87" i="10"/>
  <c r="Q87" i="10"/>
  <c r="P87" i="10"/>
  <c r="N87" i="10"/>
  <c r="M87" i="10"/>
  <c r="L87" i="10"/>
  <c r="K87" i="10"/>
  <c r="J87" i="10"/>
  <c r="H87" i="10"/>
  <c r="G87" i="10"/>
  <c r="F87" i="10"/>
  <c r="E87" i="10"/>
  <c r="D87" i="10"/>
  <c r="C87" i="10"/>
  <c r="U87" i="10" s="1"/>
  <c r="S86" i="10"/>
  <c r="P86" i="10"/>
  <c r="N86" i="10"/>
  <c r="M86" i="10"/>
  <c r="C86" i="10"/>
  <c r="T86" i="10" s="1"/>
  <c r="W85" i="10"/>
  <c r="V85" i="10"/>
  <c r="T85" i="10"/>
  <c r="S85" i="10"/>
  <c r="Q85" i="10"/>
  <c r="P85" i="10"/>
  <c r="M85" i="10"/>
  <c r="L85" i="10"/>
  <c r="K85" i="10"/>
  <c r="J85" i="10"/>
  <c r="H85" i="10"/>
  <c r="G85" i="10"/>
  <c r="E85" i="10"/>
  <c r="D85" i="10"/>
  <c r="C85" i="10"/>
  <c r="R85" i="10" s="1"/>
  <c r="V84" i="10"/>
  <c r="U84" i="10"/>
  <c r="T84" i="10"/>
  <c r="S84" i="10"/>
  <c r="Q84" i="10"/>
  <c r="P84" i="10"/>
  <c r="N84" i="10"/>
  <c r="M84" i="10"/>
  <c r="J84" i="10"/>
  <c r="I84" i="10"/>
  <c r="H84" i="10"/>
  <c r="G84" i="10"/>
  <c r="E84" i="10"/>
  <c r="D84" i="10"/>
  <c r="C84" i="10"/>
  <c r="O84" i="10" s="1"/>
  <c r="W83" i="10"/>
  <c r="V83" i="10"/>
  <c r="S83" i="10"/>
  <c r="R83" i="10"/>
  <c r="Q83" i="10"/>
  <c r="P83" i="10"/>
  <c r="N83" i="10"/>
  <c r="M83" i="10"/>
  <c r="K83" i="10"/>
  <c r="J83" i="10"/>
  <c r="G83" i="10"/>
  <c r="F83" i="10"/>
  <c r="E83" i="10"/>
  <c r="D83" i="10"/>
  <c r="C83" i="10"/>
  <c r="L83" i="10" s="1"/>
  <c r="R82" i="10"/>
  <c r="C82" i="10"/>
  <c r="K81" i="10"/>
  <c r="C81" i="10"/>
  <c r="W80" i="10"/>
  <c r="U80" i="10"/>
  <c r="T80" i="10"/>
  <c r="R80" i="10"/>
  <c r="Q80" i="10"/>
  <c r="N80" i="10"/>
  <c r="M80" i="10"/>
  <c r="L80" i="10"/>
  <c r="K80" i="10"/>
  <c r="I80" i="10"/>
  <c r="H80" i="10"/>
  <c r="F80" i="10"/>
  <c r="E80" i="10"/>
  <c r="C80" i="10"/>
  <c r="S80" i="10" s="1"/>
  <c r="W79" i="10"/>
  <c r="U79" i="10"/>
  <c r="T79" i="10"/>
  <c r="R79" i="10"/>
  <c r="Q79" i="10"/>
  <c r="N79" i="10"/>
  <c r="K79" i="10"/>
  <c r="I79" i="10"/>
  <c r="H79" i="10"/>
  <c r="F79" i="10"/>
  <c r="E79" i="10"/>
  <c r="C79" i="10"/>
  <c r="P79" i="10" s="1"/>
  <c r="C78" i="10"/>
  <c r="W77" i="10"/>
  <c r="O77" i="10"/>
  <c r="N77" i="10"/>
  <c r="C77" i="10"/>
  <c r="W76" i="10"/>
  <c r="U76" i="10"/>
  <c r="T76" i="10"/>
  <c r="Q76" i="10"/>
  <c r="N76" i="10"/>
  <c r="L76" i="10"/>
  <c r="K76" i="10"/>
  <c r="I76" i="10"/>
  <c r="H76" i="10"/>
  <c r="E76" i="10"/>
  <c r="C76" i="10"/>
  <c r="S76" i="10" s="1"/>
  <c r="W75" i="10"/>
  <c r="U75" i="10"/>
  <c r="T75" i="10"/>
  <c r="R75" i="10"/>
  <c r="Q75" i="10"/>
  <c r="N75" i="10"/>
  <c r="L75" i="10"/>
  <c r="K75" i="10"/>
  <c r="I75" i="10"/>
  <c r="H75" i="10"/>
  <c r="F75" i="10"/>
  <c r="E75" i="10"/>
  <c r="C75" i="10"/>
  <c r="P75" i="10" s="1"/>
  <c r="O74" i="10"/>
  <c r="F74" i="10"/>
  <c r="E74" i="10"/>
  <c r="C74" i="10"/>
  <c r="W73" i="10"/>
  <c r="O73" i="10"/>
  <c r="C73" i="10"/>
  <c r="W72" i="10"/>
  <c r="U72" i="10"/>
  <c r="T72" i="10"/>
  <c r="Q72" i="10"/>
  <c r="N72" i="10"/>
  <c r="L72" i="10"/>
  <c r="K72" i="10"/>
  <c r="I72" i="10"/>
  <c r="H72" i="10"/>
  <c r="E72" i="10"/>
  <c r="C72" i="10"/>
  <c r="S72" i="10" s="1"/>
  <c r="W71" i="10"/>
  <c r="U71" i="10"/>
  <c r="T71" i="10"/>
  <c r="R71" i="10"/>
  <c r="Q71" i="10"/>
  <c r="N71" i="10"/>
  <c r="L71" i="10"/>
  <c r="K71" i="10"/>
  <c r="I71" i="10"/>
  <c r="H71" i="10"/>
  <c r="F71" i="10"/>
  <c r="E71" i="10"/>
  <c r="C71" i="10"/>
  <c r="P71" i="10" s="1"/>
  <c r="N70" i="10"/>
  <c r="F70" i="10"/>
  <c r="C70" i="10"/>
  <c r="W69" i="10"/>
  <c r="N69" i="10"/>
  <c r="L69" i="10"/>
  <c r="K69" i="10"/>
  <c r="C69" i="10"/>
  <c r="W68" i="10"/>
  <c r="U68" i="10"/>
  <c r="T68" i="10"/>
  <c r="Q68" i="10"/>
  <c r="N68" i="10"/>
  <c r="L68" i="10"/>
  <c r="K68" i="10"/>
  <c r="I68" i="10"/>
  <c r="H68" i="10"/>
  <c r="E68" i="10"/>
  <c r="C68" i="10"/>
  <c r="S68" i="10" s="1"/>
  <c r="W67" i="10"/>
  <c r="U67" i="10"/>
  <c r="T67" i="10"/>
  <c r="R67" i="10"/>
  <c r="Q67" i="10"/>
  <c r="N67" i="10"/>
  <c r="L67" i="10"/>
  <c r="K67" i="10"/>
  <c r="I67" i="10"/>
  <c r="H67" i="10"/>
  <c r="F67" i="10"/>
  <c r="E67" i="10"/>
  <c r="C67" i="10"/>
  <c r="P67" i="10" s="1"/>
  <c r="O66" i="10"/>
  <c r="N66" i="10"/>
  <c r="E66" i="10"/>
  <c r="C66" i="10"/>
  <c r="C65" i="10"/>
  <c r="W64" i="10"/>
  <c r="U64" i="10"/>
  <c r="T64" i="10"/>
  <c r="Q64" i="10"/>
  <c r="N64" i="10"/>
  <c r="L64" i="10"/>
  <c r="K64" i="10"/>
  <c r="I64" i="10"/>
  <c r="H64" i="10"/>
  <c r="E64" i="10"/>
  <c r="C64" i="10"/>
  <c r="S64" i="10" s="1"/>
  <c r="W63" i="10"/>
  <c r="U63" i="10"/>
  <c r="T63" i="10"/>
  <c r="R63" i="10"/>
  <c r="Q63" i="10"/>
  <c r="N63" i="10"/>
  <c r="L63" i="10"/>
  <c r="K63" i="10"/>
  <c r="I63" i="10"/>
  <c r="H63" i="10"/>
  <c r="F63" i="10"/>
  <c r="E63" i="10"/>
  <c r="C63" i="10"/>
  <c r="P63" i="10" s="1"/>
  <c r="R62" i="10"/>
  <c r="Q62" i="10"/>
  <c r="O62" i="10"/>
  <c r="N62" i="10"/>
  <c r="F62" i="10"/>
  <c r="E62" i="10"/>
  <c r="C62" i="10"/>
  <c r="K61" i="10"/>
  <c r="C61" i="10"/>
  <c r="W60" i="10"/>
  <c r="U60" i="10"/>
  <c r="T60" i="10"/>
  <c r="Q60" i="10"/>
  <c r="N60" i="10"/>
  <c r="L60" i="10"/>
  <c r="K60" i="10"/>
  <c r="I60" i="10"/>
  <c r="H60" i="10"/>
  <c r="E60" i="10"/>
  <c r="C60" i="10"/>
  <c r="S60" i="10" s="1"/>
  <c r="W59" i="10"/>
  <c r="U59" i="10"/>
  <c r="T59" i="10"/>
  <c r="R59" i="10"/>
  <c r="Q59" i="10"/>
  <c r="N59" i="10"/>
  <c r="L59" i="10"/>
  <c r="K59" i="10"/>
  <c r="I59" i="10"/>
  <c r="H59" i="10"/>
  <c r="F59" i="10"/>
  <c r="E59" i="10"/>
  <c r="C59" i="10"/>
  <c r="P59" i="10" s="1"/>
  <c r="R58" i="10"/>
  <c r="Q58" i="10"/>
  <c r="O58" i="10"/>
  <c r="N58" i="10"/>
  <c r="F58" i="10"/>
  <c r="C58" i="10"/>
  <c r="C57" i="10"/>
  <c r="W56" i="10"/>
  <c r="U56" i="10"/>
  <c r="T56" i="10"/>
  <c r="Q56" i="10"/>
  <c r="N56" i="10"/>
  <c r="L56" i="10"/>
  <c r="K56" i="10"/>
  <c r="I56" i="10"/>
  <c r="H56" i="10"/>
  <c r="E56" i="10"/>
  <c r="C56" i="10"/>
  <c r="S56" i="10" s="1"/>
  <c r="W55" i="10"/>
  <c r="U55" i="10"/>
  <c r="T55" i="10"/>
  <c r="R55" i="10"/>
  <c r="Q55" i="10"/>
  <c r="N55" i="10"/>
  <c r="L55" i="10"/>
  <c r="K55" i="10"/>
  <c r="I55" i="10"/>
  <c r="H55" i="10"/>
  <c r="F55" i="10"/>
  <c r="E55" i="10"/>
  <c r="C55" i="10"/>
  <c r="P55" i="10" s="1"/>
  <c r="R54" i="10"/>
  <c r="Q54" i="10"/>
  <c r="O54" i="10"/>
  <c r="N54" i="10"/>
  <c r="C54" i="10"/>
  <c r="K53" i="10"/>
  <c r="C53" i="10"/>
  <c r="W52" i="10"/>
  <c r="U52" i="10"/>
  <c r="T52" i="10"/>
  <c r="Q52" i="10"/>
  <c r="N52" i="10"/>
  <c r="L52" i="10"/>
  <c r="K52" i="10"/>
  <c r="I52" i="10"/>
  <c r="H52" i="10"/>
  <c r="E52" i="10"/>
  <c r="C52" i="10"/>
  <c r="S52" i="10" s="1"/>
  <c r="W51" i="10"/>
  <c r="U51" i="10"/>
  <c r="T51" i="10"/>
  <c r="R51" i="10"/>
  <c r="Q51" i="10"/>
  <c r="N51" i="10"/>
  <c r="L51" i="10"/>
  <c r="K51" i="10"/>
  <c r="I51" i="10"/>
  <c r="H51" i="10"/>
  <c r="F51" i="10"/>
  <c r="E51" i="10"/>
  <c r="C51" i="10"/>
  <c r="P51" i="10" s="1"/>
  <c r="R50" i="10"/>
  <c r="Q50" i="10"/>
  <c r="O50" i="10"/>
  <c r="C50" i="10"/>
  <c r="O49" i="10"/>
  <c r="L49" i="10"/>
  <c r="K49" i="10"/>
  <c r="C49" i="10"/>
  <c r="W48" i="10"/>
  <c r="U48" i="10"/>
  <c r="T48" i="10"/>
  <c r="Q48" i="10"/>
  <c r="N48" i="10"/>
  <c r="L48" i="10"/>
  <c r="K48" i="10"/>
  <c r="I48" i="10"/>
  <c r="H48" i="10"/>
  <c r="E48" i="10"/>
  <c r="C48" i="10"/>
  <c r="S48" i="10" s="1"/>
  <c r="W47" i="10"/>
  <c r="U47" i="10"/>
  <c r="T47" i="10"/>
  <c r="R47" i="10"/>
  <c r="Q47" i="10"/>
  <c r="N47" i="10"/>
  <c r="L47" i="10"/>
  <c r="K47" i="10"/>
  <c r="I47" i="10"/>
  <c r="H47" i="10"/>
  <c r="F47" i="10"/>
  <c r="E47" i="10"/>
  <c r="D47" i="10"/>
  <c r="C47" i="10"/>
  <c r="P47" i="10" s="1"/>
  <c r="R46" i="10"/>
  <c r="C46" i="10"/>
  <c r="N45" i="10"/>
  <c r="K45" i="10"/>
  <c r="C45" i="10"/>
  <c r="W44" i="10"/>
  <c r="U44" i="10"/>
  <c r="T44" i="10"/>
  <c r="Q44" i="10"/>
  <c r="N44" i="10"/>
  <c r="L44" i="10"/>
  <c r="K44" i="10"/>
  <c r="I44" i="10"/>
  <c r="H44" i="10"/>
  <c r="E44" i="10"/>
  <c r="C44" i="10"/>
  <c r="S44" i="10" s="1"/>
  <c r="W43" i="10"/>
  <c r="U43" i="10"/>
  <c r="T43" i="10"/>
  <c r="R43" i="10"/>
  <c r="Q43" i="10"/>
  <c r="N43" i="10"/>
  <c r="K43" i="10"/>
  <c r="I43" i="10"/>
  <c r="H43" i="10"/>
  <c r="F43" i="10"/>
  <c r="E43" i="10"/>
  <c r="D43" i="10"/>
  <c r="C43" i="10"/>
  <c r="P43" i="10" s="1"/>
  <c r="E42" i="10"/>
  <c r="C42" i="10"/>
  <c r="W41" i="10"/>
  <c r="O41" i="10"/>
  <c r="N41" i="10"/>
  <c r="L41" i="10"/>
  <c r="K41" i="10"/>
  <c r="C41" i="10"/>
  <c r="W40" i="10"/>
  <c r="U40" i="10"/>
  <c r="T40" i="10"/>
  <c r="Q40" i="10"/>
  <c r="N40" i="10"/>
  <c r="L40" i="10"/>
  <c r="K40" i="10"/>
  <c r="I40" i="10"/>
  <c r="H40" i="10"/>
  <c r="G40" i="10"/>
  <c r="E40" i="10"/>
  <c r="C40" i="10"/>
  <c r="S40" i="10" s="1"/>
  <c r="W39" i="10"/>
  <c r="U39" i="10"/>
  <c r="T39" i="10"/>
  <c r="R39" i="10"/>
  <c r="Q39" i="10"/>
  <c r="P39" i="10"/>
  <c r="N39" i="10"/>
  <c r="K39" i="10"/>
  <c r="I39" i="10"/>
  <c r="H39" i="10"/>
  <c r="G39" i="10"/>
  <c r="F39" i="10"/>
  <c r="E39" i="10"/>
  <c r="D39" i="10"/>
  <c r="C39" i="10"/>
  <c r="O39" i="10" s="1"/>
  <c r="C38" i="10"/>
  <c r="W37" i="10"/>
  <c r="O37" i="10"/>
  <c r="N37" i="10"/>
  <c r="L37" i="10"/>
  <c r="K37" i="10"/>
  <c r="C37" i="10"/>
  <c r="W36" i="10"/>
  <c r="U36" i="10"/>
  <c r="T36" i="10"/>
  <c r="Q36" i="10"/>
  <c r="N36" i="10"/>
  <c r="L36" i="10"/>
  <c r="K36" i="10"/>
  <c r="I36" i="10"/>
  <c r="H36" i="10"/>
  <c r="G36" i="10"/>
  <c r="E36" i="10"/>
  <c r="D36" i="10"/>
  <c r="C36" i="10"/>
  <c r="S36" i="10" s="1"/>
  <c r="W35" i="10"/>
  <c r="U35" i="10"/>
  <c r="T35" i="10"/>
  <c r="R35" i="10"/>
  <c r="Q35" i="10"/>
  <c r="P35" i="10"/>
  <c r="N35" i="10"/>
  <c r="M35" i="10"/>
  <c r="K35" i="10"/>
  <c r="I35" i="10"/>
  <c r="H35" i="10"/>
  <c r="F35" i="10"/>
  <c r="E35" i="10"/>
  <c r="D35" i="10"/>
  <c r="C35" i="10"/>
  <c r="O35" i="10" s="1"/>
  <c r="R34" i="10"/>
  <c r="Q34" i="10"/>
  <c r="O34" i="10"/>
  <c r="C34" i="10"/>
  <c r="O33" i="10"/>
  <c r="L33" i="10"/>
  <c r="K33" i="10"/>
  <c r="C33" i="10"/>
  <c r="W32" i="10"/>
  <c r="U32" i="10"/>
  <c r="T32" i="10"/>
  <c r="S32" i="10"/>
  <c r="Q32" i="10"/>
  <c r="P32" i="10"/>
  <c r="N32" i="10"/>
  <c r="L32" i="10"/>
  <c r="K32" i="10"/>
  <c r="I32" i="10"/>
  <c r="H32" i="10"/>
  <c r="G32" i="10"/>
  <c r="F32" i="10"/>
  <c r="E32" i="10"/>
  <c r="D32" i="10"/>
  <c r="C32" i="10"/>
  <c r="R32" i="10" s="1"/>
  <c r="W31" i="10"/>
  <c r="U31" i="10"/>
  <c r="T31" i="10"/>
  <c r="R31" i="10"/>
  <c r="Q31" i="10"/>
  <c r="P31" i="10"/>
  <c r="N31" i="10"/>
  <c r="M31" i="10"/>
  <c r="K31" i="10"/>
  <c r="I31" i="10"/>
  <c r="H31" i="10"/>
  <c r="F31" i="10"/>
  <c r="E31" i="10"/>
  <c r="D31" i="10"/>
  <c r="C31" i="10"/>
  <c r="O31" i="10" s="1"/>
  <c r="N30" i="10"/>
  <c r="E30" i="10"/>
  <c r="C30" i="10"/>
  <c r="C29" i="10"/>
  <c r="W28" i="10"/>
  <c r="U28" i="10"/>
  <c r="T28" i="10"/>
  <c r="Q28" i="10"/>
  <c r="N28" i="10"/>
  <c r="L28" i="10"/>
  <c r="K28" i="10"/>
  <c r="I28" i="10"/>
  <c r="H28" i="10"/>
  <c r="G28" i="10"/>
  <c r="E28" i="10"/>
  <c r="D28" i="10"/>
  <c r="C28" i="10"/>
  <c r="S28" i="10" s="1"/>
  <c r="W27" i="10"/>
  <c r="U27" i="10"/>
  <c r="T27" i="10"/>
  <c r="R27" i="10"/>
  <c r="Q27" i="10"/>
  <c r="P27" i="10"/>
  <c r="N27" i="10"/>
  <c r="M27" i="10"/>
  <c r="K27" i="10"/>
  <c r="I27" i="10"/>
  <c r="H27" i="10"/>
  <c r="F27" i="10"/>
  <c r="E27" i="10"/>
  <c r="D27" i="10"/>
  <c r="C27" i="10"/>
  <c r="O27" i="10" s="1"/>
  <c r="R26" i="10"/>
  <c r="Q26" i="10"/>
  <c r="N26" i="10"/>
  <c r="F26" i="10"/>
  <c r="E26" i="10"/>
  <c r="C26" i="10"/>
  <c r="N25" i="10"/>
  <c r="L25" i="10"/>
  <c r="C25" i="10"/>
  <c r="W24" i="10"/>
  <c r="U24" i="10"/>
  <c r="T24" i="10"/>
  <c r="S24" i="10"/>
  <c r="Q24" i="10"/>
  <c r="P24" i="10"/>
  <c r="N24" i="10"/>
  <c r="L24" i="10"/>
  <c r="K24" i="10"/>
  <c r="I24" i="10"/>
  <c r="H24" i="10"/>
  <c r="G24" i="10"/>
  <c r="F24" i="10"/>
  <c r="E24" i="10"/>
  <c r="D24" i="10"/>
  <c r="C24" i="10"/>
  <c r="R24" i="10" s="1"/>
  <c r="W23" i="10"/>
  <c r="U23" i="10"/>
  <c r="T23" i="10"/>
  <c r="R23" i="10"/>
  <c r="Q23" i="10"/>
  <c r="P23" i="10"/>
  <c r="N23" i="10"/>
  <c r="M23" i="10"/>
  <c r="K23" i="10"/>
  <c r="I23" i="10"/>
  <c r="H23" i="10"/>
  <c r="F23" i="10"/>
  <c r="E23" i="10"/>
  <c r="D23" i="10"/>
  <c r="C23" i="10"/>
  <c r="O23" i="10" s="1"/>
  <c r="R22" i="10"/>
  <c r="Q22" i="10"/>
  <c r="O22" i="10"/>
  <c r="N22" i="10"/>
  <c r="F22" i="10"/>
  <c r="E22" i="10"/>
  <c r="C22" i="10"/>
  <c r="K21" i="10"/>
  <c r="C21" i="10"/>
  <c r="W20" i="10"/>
  <c r="U20" i="10"/>
  <c r="T20" i="10"/>
  <c r="S20" i="10"/>
  <c r="Q20" i="10"/>
  <c r="P20" i="10"/>
  <c r="N20" i="10"/>
  <c r="M20" i="10"/>
  <c r="L20" i="10"/>
  <c r="K20" i="10"/>
  <c r="I20" i="10"/>
  <c r="H20" i="10"/>
  <c r="G20" i="10"/>
  <c r="F20" i="10"/>
  <c r="E20" i="10"/>
  <c r="D20" i="10"/>
  <c r="C20" i="10"/>
  <c r="R20" i="10" s="1"/>
  <c r="W19" i="10"/>
  <c r="U19" i="10"/>
  <c r="T19" i="10"/>
  <c r="R19" i="10"/>
  <c r="Q19" i="10"/>
  <c r="P19" i="10"/>
  <c r="N19" i="10"/>
  <c r="M19" i="10"/>
  <c r="K19" i="10"/>
  <c r="I19" i="10"/>
  <c r="H19" i="10"/>
  <c r="F19" i="10"/>
  <c r="E19" i="10"/>
  <c r="D19" i="10"/>
  <c r="C19" i="10"/>
  <c r="O19" i="10" s="1"/>
  <c r="O18" i="10"/>
  <c r="N18" i="10"/>
  <c r="F18" i="10"/>
  <c r="E18" i="10"/>
  <c r="C18" i="10"/>
  <c r="W17" i="10"/>
  <c r="O17" i="10"/>
  <c r="C17" i="10"/>
  <c r="W16" i="10"/>
  <c r="U16" i="10"/>
  <c r="T16" i="10"/>
  <c r="S16" i="10"/>
  <c r="Q16" i="10"/>
  <c r="P16" i="10"/>
  <c r="N16" i="10"/>
  <c r="L16" i="10"/>
  <c r="K16" i="10"/>
  <c r="I16" i="10"/>
  <c r="H16" i="10"/>
  <c r="G16" i="10"/>
  <c r="E16" i="10"/>
  <c r="D16" i="10"/>
  <c r="C16" i="10"/>
  <c r="R16" i="10" s="1"/>
  <c r="W15" i="10"/>
  <c r="U15" i="10"/>
  <c r="T15" i="10"/>
  <c r="R15" i="10"/>
  <c r="Q15" i="10"/>
  <c r="P15" i="10"/>
  <c r="N15" i="10"/>
  <c r="M15" i="10"/>
  <c r="K15" i="10"/>
  <c r="I15" i="10"/>
  <c r="H15" i="10"/>
  <c r="G15" i="10"/>
  <c r="F15" i="10"/>
  <c r="E15" i="10"/>
  <c r="D15" i="10"/>
  <c r="C15" i="10"/>
  <c r="O15" i="10" s="1"/>
  <c r="R14" i="10"/>
  <c r="C14" i="10"/>
  <c r="K13" i="10"/>
  <c r="C13" i="10"/>
  <c r="W12" i="10"/>
  <c r="U12" i="10"/>
  <c r="T12" i="10"/>
  <c r="S12" i="10"/>
  <c r="Q12" i="10"/>
  <c r="P12" i="10"/>
  <c r="N12" i="10"/>
  <c r="L12" i="10"/>
  <c r="K12" i="10"/>
  <c r="I12" i="10"/>
  <c r="H12" i="10"/>
  <c r="G12" i="10"/>
  <c r="E12" i="10"/>
  <c r="D12" i="10"/>
  <c r="C12" i="10"/>
  <c r="R12" i="10" s="1"/>
  <c r="W11" i="10"/>
  <c r="U11" i="10"/>
  <c r="T11" i="10"/>
  <c r="R11" i="10"/>
  <c r="Q11" i="10"/>
  <c r="P11" i="10"/>
  <c r="N11" i="10"/>
  <c r="M11" i="10"/>
  <c r="K11" i="10"/>
  <c r="I11" i="10"/>
  <c r="H11" i="10"/>
  <c r="F11" i="10"/>
  <c r="E11" i="10"/>
  <c r="D11" i="10"/>
  <c r="C11" i="10"/>
  <c r="O11" i="10" s="1"/>
  <c r="R10" i="10"/>
  <c r="Q10" i="10"/>
  <c r="O10" i="10"/>
  <c r="N10" i="10"/>
  <c r="F10" i="10"/>
  <c r="E10" i="10"/>
  <c r="C10" i="10"/>
  <c r="K9" i="10"/>
  <c r="C9" i="10"/>
  <c r="W8" i="10"/>
  <c r="U8" i="10"/>
  <c r="T8" i="10"/>
  <c r="S8" i="10"/>
  <c r="Q8" i="10"/>
  <c r="P8" i="10"/>
  <c r="N8" i="10"/>
  <c r="L8" i="10"/>
  <c r="K8" i="10"/>
  <c r="I8" i="10"/>
  <c r="H8" i="10"/>
  <c r="G8" i="10"/>
  <c r="E8" i="10"/>
  <c r="D8" i="10"/>
  <c r="C8" i="10"/>
  <c r="R8" i="10" s="1"/>
  <c r="W7" i="10"/>
  <c r="U7" i="10"/>
  <c r="T7" i="10"/>
  <c r="R7" i="10"/>
  <c r="Q7" i="10"/>
  <c r="P7" i="10"/>
  <c r="N7" i="10"/>
  <c r="M7" i="10"/>
  <c r="K7" i="10"/>
  <c r="I7" i="10"/>
  <c r="H7" i="10"/>
  <c r="F7" i="10"/>
  <c r="E7" i="10"/>
  <c r="D7" i="10"/>
  <c r="C7" i="10"/>
  <c r="O7" i="10" s="1"/>
  <c r="C6" i="10"/>
  <c r="W5" i="10"/>
  <c r="O5" i="10"/>
  <c r="N5" i="10"/>
  <c r="L5" i="10"/>
  <c r="C5" i="10"/>
  <c r="W4" i="10"/>
  <c r="U4" i="10"/>
  <c r="T4" i="10"/>
  <c r="Q4" i="10"/>
  <c r="N4" i="10"/>
  <c r="L4" i="10"/>
  <c r="K4" i="10"/>
  <c r="I4" i="10"/>
  <c r="H4" i="10"/>
  <c r="G4" i="10"/>
  <c r="E4" i="10"/>
  <c r="D4" i="10"/>
  <c r="C4" i="10"/>
  <c r="S4" i="10" s="1"/>
  <c r="W3" i="10"/>
  <c r="U3" i="10"/>
  <c r="T3" i="10"/>
  <c r="R3" i="10"/>
  <c r="Q3" i="10"/>
  <c r="P3" i="10"/>
  <c r="N3" i="10"/>
  <c r="M3" i="10"/>
  <c r="K3" i="10"/>
  <c r="I3" i="10"/>
  <c r="H3" i="10"/>
  <c r="F3" i="10"/>
  <c r="E3" i="10"/>
  <c r="D3" i="10"/>
  <c r="C3" i="10"/>
  <c r="O3" i="10" s="1"/>
  <c r="R2" i="10"/>
  <c r="Q2" i="10"/>
  <c r="O2" i="10"/>
  <c r="N2" i="10"/>
  <c r="F2" i="10"/>
  <c r="E2" i="10"/>
  <c r="C2" i="10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Q5" i="11" a="1"/>
  <c r="Q77" i="11" a="1"/>
  <c r="Q150" i="11" a="1"/>
  <c r="Q222" i="11" a="1"/>
  <c r="Q30" i="11" a="1"/>
  <c r="Q103" i="11" a="1"/>
  <c r="Q175" i="11" a="1"/>
  <c r="Q247" i="11" a="1"/>
  <c r="Q419" i="11" a="1"/>
  <c r="Q564" i="11" a="1"/>
  <c r="Q25" i="11" a="1"/>
  <c r="Q98" i="11" a="1"/>
  <c r="Q170" i="11" a="1"/>
  <c r="Q242" i="11" a="1"/>
  <c r="Q414" i="11" a="1"/>
  <c r="Q486" i="11" a="1"/>
  <c r="Q559" i="11" a="1"/>
  <c r="Q20" i="11" a="1"/>
  <c r="Q93" i="11" a="1"/>
  <c r="Q165" i="11" a="1"/>
  <c r="Q237" i="11" a="1"/>
  <c r="Q51" i="11" a="1"/>
  <c r="Q124" i="11" a="1"/>
  <c r="Q196" i="11" a="1"/>
  <c r="Q268" i="11" a="1"/>
  <c r="Q440" i="11" a="1"/>
  <c r="Q513" i="11" a="1"/>
  <c r="Q585" i="11" a="1"/>
  <c r="Q46" i="11" a="1"/>
  <c r="Q119" i="11" a="1"/>
  <c r="Q191" i="11" a="1"/>
  <c r="Q263" i="11" a="1"/>
  <c r="Q435" i="11" a="1"/>
  <c r="Q508" i="11" a="1"/>
  <c r="Q580" i="11" a="1"/>
  <c r="Q581" i="11" a="1"/>
  <c r="Q683" i="11" a="1"/>
  <c r="P143" i="11" a="1"/>
  <c r="P19" i="11" a="1"/>
  <c r="P643" i="11" a="1"/>
  <c r="P27" i="11" a="1"/>
  <c r="P132" i="11" a="1"/>
  <c r="P117" i="11" a="1"/>
  <c r="P603" i="11" a="1"/>
  <c r="P415" i="11" a="1"/>
  <c r="Q515" i="11" a="1"/>
  <c r="Q672" i="11" a="1"/>
  <c r="P82" i="11" a="1"/>
  <c r="P241" i="11" a="1"/>
  <c r="P550" i="11" a="1"/>
  <c r="P687" i="11" a="1"/>
  <c r="Q273" i="11" a="1"/>
  <c r="P16" i="11" a="1"/>
  <c r="P175" i="11" a="1"/>
  <c r="P267" i="11" a="1"/>
  <c r="P621" i="11" a="1"/>
  <c r="P442" i="11" a="1"/>
  <c r="Q637" i="11" a="1"/>
  <c r="P45" i="11" a="1"/>
  <c r="P150" i="11" a="1"/>
  <c r="P225" i="11" a="1"/>
  <c r="P626" i="11" a="1"/>
  <c r="P635" i="11" a="1"/>
  <c r="P196" i="11" a="1"/>
  <c r="P400" i="11" a="1"/>
  <c r="P666" i="11" a="1"/>
  <c r="P573" i="11" a="1"/>
  <c r="P446" i="11" a="1"/>
  <c r="Q527" i="11" a="1"/>
  <c r="Q674" i="11" a="1"/>
  <c r="Q602" i="11" a="1"/>
  <c r="P96" i="11" a="1"/>
  <c r="P450" i="11" a="1"/>
  <c r="P531" i="11" a="1"/>
  <c r="P547" i="11" a="1"/>
  <c r="Q533" i="11" a="1"/>
  <c r="Q675" i="11" a="1"/>
  <c r="P119" i="11" a="1"/>
  <c r="P277" i="11" a="1"/>
  <c r="P619" i="11" a="1"/>
  <c r="P431" i="11" a="1"/>
  <c r="P219" i="11" a="1"/>
  <c r="P392" i="11" a="1"/>
  <c r="P66" i="11" a="1"/>
  <c r="P508" i="11" a="1"/>
  <c r="P171" i="11" a="1"/>
  <c r="P179" i="11" a="1"/>
  <c r="Q634" i="11" a="1"/>
  <c r="Q706" i="11" a="1"/>
  <c r="P41" i="11" a="1"/>
  <c r="P396" i="11" a="1"/>
  <c r="P273" i="11" a="1"/>
  <c r="P682" i="11" a="1"/>
  <c r="Q469" i="11" a="1"/>
  <c r="P137" i="11" a="1"/>
  <c r="P13" i="11" a="1"/>
  <c r="P637" i="11" a="1"/>
  <c r="P481" i="11" a="1"/>
  <c r="P55" i="11" a="1"/>
  <c r="Q11" i="11" a="1"/>
  <c r="Q83" i="11" a="1"/>
  <c r="Q156" i="11" a="1"/>
  <c r="Q228" i="11" a="1"/>
  <c r="Q36" i="11" a="1"/>
  <c r="Q109" i="11" a="1"/>
  <c r="Q181" i="11" a="1"/>
  <c r="Q253" i="11" a="1"/>
  <c r="Q425" i="11" a="1"/>
  <c r="Q570" i="11" a="1"/>
  <c r="Q31" i="11" a="1"/>
  <c r="Q104" i="11" a="1"/>
  <c r="Q176" i="11" a="1"/>
  <c r="Q248" i="11" a="1"/>
  <c r="Q420" i="11" a="1"/>
  <c r="Q565" i="11" a="1"/>
  <c r="Q26" i="11" a="1"/>
  <c r="Q99" i="11" a="1"/>
  <c r="Q171" i="11" a="1"/>
  <c r="Q243" i="11" a="1"/>
  <c r="Q57" i="11" a="1"/>
  <c r="Q130" i="11" a="1"/>
  <c r="Q202" i="11" a="1"/>
  <c r="Q274" i="11" a="1"/>
  <c r="Q446" i="11" a="1"/>
  <c r="Q519" i="11" a="1"/>
  <c r="Q591" i="11" a="1"/>
  <c r="Q52" i="11" a="1"/>
  <c r="Q125" i="11" a="1"/>
  <c r="Q197" i="11" a="1"/>
  <c r="Q269" i="11" a="1"/>
  <c r="Q441" i="11" a="1"/>
  <c r="Q514" i="11" a="1"/>
  <c r="Q586" i="11" a="1"/>
  <c r="Q617" i="11" a="1"/>
  <c r="Q689" i="11" a="1"/>
  <c r="P215" i="11" a="1"/>
  <c r="P92" i="11" a="1"/>
  <c r="P536" i="11" a="1"/>
  <c r="P255" i="11" a="1"/>
  <c r="P100" i="11" a="1"/>
  <c r="P204" i="11" a="1"/>
  <c r="P528" i="11" a="1"/>
  <c r="P680" i="11" a="1"/>
  <c r="P589" i="11" a="1"/>
  <c r="Q551" i="11" a="1"/>
  <c r="Q678" i="11" a="1"/>
  <c r="P155" i="11" a="1"/>
  <c r="P31" i="11" a="1"/>
  <c r="P655" i="11" a="1"/>
  <c r="P513" i="11" a="1"/>
  <c r="Q409" i="11" a="1"/>
  <c r="P88" i="11" a="1"/>
  <c r="P247" i="11" a="1"/>
  <c r="P571" i="11" a="1"/>
  <c r="P693" i="11" a="1"/>
  <c r="P555" i="11" a="1"/>
  <c r="Q643" i="11" a="1"/>
  <c r="P118" i="11" a="1"/>
  <c r="P222" i="11" a="1"/>
  <c r="P569" i="11" a="1"/>
  <c r="P698" i="11" a="1"/>
  <c r="P62" i="11" a="1"/>
  <c r="P268" i="11" a="1"/>
  <c r="P42" i="11" a="1"/>
  <c r="P419" i="11" a="1"/>
  <c r="P26" i="11" a="1"/>
  <c r="P89" i="11" a="1"/>
  <c r="Q563" i="11" a="1"/>
  <c r="Q680" i="11" a="1"/>
  <c r="P63" i="11" a="1"/>
  <c r="P168" i="11" a="1"/>
  <c r="P457" i="11" a="1"/>
  <c r="P644" i="11" a="1"/>
  <c r="P517" i="11" a="1"/>
  <c r="Q569" i="11" a="1"/>
  <c r="Q681" i="11" a="1"/>
  <c r="P191" i="11" a="1"/>
  <c r="P67" i="11" a="1"/>
  <c r="P691" i="11" a="1"/>
  <c r="P585" i="11" a="1"/>
  <c r="Q391" i="11" a="1"/>
  <c r="P464" i="11" a="1"/>
  <c r="P139" i="11" a="1"/>
  <c r="P50" i="11" a="1"/>
  <c r="P554" i="11" a="1"/>
  <c r="P672" i="11" a="1"/>
  <c r="Q640" i="11" a="1"/>
  <c r="P9" i="11" a="1"/>
  <c r="P114" i="11" a="1"/>
  <c r="P8" i="11" a="1"/>
  <c r="P562" i="11" a="1"/>
  <c r="P677" i="11" a="1"/>
  <c r="P209" i="11" a="1"/>
  <c r="P85" i="11" a="1"/>
  <c r="P469" i="11" a="1"/>
  <c r="P597" i="11" a="1"/>
  <c r="P439" i="11" a="1"/>
  <c r="P451" i="11" a="1"/>
  <c r="P436" i="11" a="1"/>
  <c r="Q17" i="11" a="1"/>
  <c r="Q89" i="11" a="1"/>
  <c r="Q162" i="11" a="1"/>
  <c r="Q234" i="11" a="1"/>
  <c r="Q42" i="11" a="1"/>
  <c r="Q115" i="11" a="1"/>
  <c r="Q187" i="11" a="1"/>
  <c r="Q259" i="11" a="1"/>
  <c r="Q431" i="11" a="1"/>
  <c r="Q576" i="11" a="1"/>
  <c r="Q37" i="11" a="1"/>
  <c r="Q110" i="11" a="1"/>
  <c r="Q182" i="11" a="1"/>
  <c r="Q254" i="11" a="1"/>
  <c r="Q426" i="11" a="1"/>
  <c r="Q571" i="11" a="1"/>
  <c r="Q32" i="11" a="1"/>
  <c r="Q105" i="11" a="1"/>
  <c r="Q177" i="11" a="1"/>
  <c r="Q249" i="11" a="1"/>
  <c r="Q63" i="11" a="1"/>
  <c r="Q136" i="11" a="1"/>
  <c r="Q208" i="11" a="1"/>
  <c r="Q280" i="11" a="1"/>
  <c r="Q452" i="11" a="1"/>
  <c r="Q525" i="11" a="1"/>
  <c r="Q597" i="11" a="1"/>
  <c r="Q58" i="11" a="1"/>
  <c r="Q131" i="11" a="1"/>
  <c r="Q203" i="11" a="1"/>
  <c r="Q275" i="11" a="1"/>
  <c r="Q447" i="11" a="1"/>
  <c r="Q520" i="11" a="1"/>
  <c r="Q592" i="11" a="1"/>
  <c r="Q623" i="11" a="1"/>
  <c r="Q695" i="11" a="1"/>
  <c r="P387" i="11" a="1"/>
  <c r="P164" i="11" a="1"/>
  <c r="P468" i="11" a="1"/>
  <c r="P172" i="11" a="1"/>
  <c r="P276" i="11" a="1"/>
  <c r="P642" i="11" a="1"/>
  <c r="P522" i="11" a="1"/>
  <c r="P141" i="11" a="1"/>
  <c r="Q587" i="11" a="1"/>
  <c r="Q684" i="11" a="1"/>
  <c r="P227" i="11" a="1"/>
  <c r="P104" i="11" a="1"/>
  <c r="P38" i="11" a="1"/>
  <c r="P68" i="11" a="1"/>
  <c r="Q445" i="11" a="1"/>
  <c r="P161" i="11" a="1"/>
  <c r="P37" i="11" a="1"/>
  <c r="P661" i="11" a="1"/>
  <c r="P524" i="11" a="1"/>
  <c r="Q276" i="11" a="1"/>
  <c r="Q649" i="11" a="1"/>
  <c r="P190" i="11" a="1"/>
  <c r="P394" i="11" a="1"/>
  <c r="P660" i="11" a="1"/>
  <c r="P563" i="11" a="1"/>
  <c r="P516" i="11" a="1"/>
  <c r="P440" i="11" a="1"/>
  <c r="P115" i="11" a="1"/>
  <c r="P611" i="11" a="1"/>
  <c r="P48" i="11" a="1"/>
  <c r="Q599" i="11" a="1"/>
  <c r="Q686" i="11" a="1"/>
  <c r="P136" i="11" a="1"/>
  <c r="P240" i="11" a="1"/>
  <c r="P600" i="11" a="1"/>
  <c r="P403" i="11" a="1"/>
  <c r="P484" i="11" a="1"/>
  <c r="Q605" i="11" a="1"/>
  <c r="Q687" i="11" a="1"/>
  <c r="P263" i="11" a="1"/>
  <c r="P140" i="11" a="1"/>
  <c r="P695" i="11" a="1"/>
  <c r="P385" i="11" a="1"/>
  <c r="Q427" i="11" a="1"/>
  <c r="P52" i="11" a="1"/>
  <c r="P211" i="11" a="1"/>
  <c r="P657" i="11" a="1"/>
  <c r="P639" i="11" a="1"/>
  <c r="Q646" i="11" a="1"/>
  <c r="P81" i="11" a="1"/>
  <c r="P186" i="11" a="1"/>
  <c r="P662" i="11" a="1"/>
  <c r="P548" i="11" a="1"/>
  <c r="Q542" i="11" a="1"/>
  <c r="P281" i="11" a="1"/>
  <c r="P158" i="11" a="1"/>
  <c r="P679" i="11" a="1"/>
  <c r="Q23" i="11" a="1"/>
  <c r="Q96" i="11" a="1"/>
  <c r="Q168" i="11" a="1"/>
  <c r="Q240" i="11" a="1"/>
  <c r="Q48" i="11" a="1"/>
  <c r="Q121" i="11" a="1"/>
  <c r="Q193" i="11" a="1"/>
  <c r="Q265" i="11" a="1"/>
  <c r="Q437" i="11" a="1"/>
  <c r="Q510" i="11" a="1"/>
  <c r="Q582" i="11" a="1"/>
  <c r="Q43" i="11" a="1"/>
  <c r="Q116" i="11" a="1"/>
  <c r="Q188" i="11" a="1"/>
  <c r="Q260" i="11" a="1"/>
  <c r="Q432" i="11" a="1"/>
  <c r="Q577" i="11" a="1"/>
  <c r="Q38" i="11" a="1"/>
  <c r="Q111" i="11" a="1"/>
  <c r="Q183" i="11" a="1"/>
  <c r="Q255" i="11" a="1"/>
  <c r="Q69" i="11" a="1"/>
  <c r="Q142" i="11" a="1"/>
  <c r="Q214" i="11" a="1"/>
  <c r="Q386" i="11" a="1"/>
  <c r="Q458" i="11" a="1"/>
  <c r="Q531" i="11" a="1"/>
  <c r="Q603" i="11" a="1"/>
  <c r="Q64" i="11" a="1"/>
  <c r="Q137" i="11" a="1"/>
  <c r="Q209" i="11" a="1"/>
  <c r="Q281" i="11" a="1"/>
  <c r="Q453" i="11" a="1"/>
  <c r="Q526" i="11" a="1"/>
  <c r="Q598" i="11" a="1"/>
  <c r="Q629" i="11" a="1"/>
  <c r="Q701" i="11" a="1"/>
  <c r="P459" i="11" a="1"/>
  <c r="P236" i="11" a="1"/>
  <c r="P147" i="11" a="1"/>
  <c r="P694" i="11" a="1"/>
  <c r="P244" i="11" a="1"/>
  <c r="P18" i="11" a="1"/>
  <c r="P111" i="11" a="1"/>
  <c r="P617" i="11" a="1"/>
  <c r="P646" i="11" a="1"/>
  <c r="Q618" i="11" a="1"/>
  <c r="Q690" i="11" a="1"/>
  <c r="P399" i="11" a="1"/>
  <c r="P176" i="11" a="1"/>
  <c r="P520" i="11" a="1"/>
  <c r="Q481" i="11" a="1"/>
  <c r="P233" i="11" a="1"/>
  <c r="P110" i="11" a="1"/>
  <c r="P105" i="11" a="1"/>
  <c r="Q412" i="11" a="1"/>
  <c r="Q655" i="11" a="1"/>
  <c r="P262" i="11" a="1"/>
  <c r="P36" i="11" a="1"/>
  <c r="P395" i="11" a="1"/>
  <c r="P707" i="11" a="1"/>
  <c r="Q279" i="11" a="1"/>
  <c r="P28" i="11" a="1"/>
  <c r="P187" i="11" a="1"/>
  <c r="P421" i="11" a="1"/>
  <c r="P633" i="11" a="1"/>
  <c r="P200" i="11" a="1"/>
  <c r="Q620" i="11" a="1"/>
  <c r="Q692" i="11" a="1"/>
  <c r="P208" i="11" a="1"/>
  <c r="P412" i="11" a="1"/>
  <c r="P678" i="11" a="1"/>
  <c r="P594" i="11" a="1"/>
  <c r="P391" i="11" a="1"/>
  <c r="Q621" i="11" a="1"/>
  <c r="Q693" i="11" a="1"/>
  <c r="P435" i="11" a="1"/>
  <c r="P212" i="11" a="1"/>
  <c r="P592" i="11" a="1"/>
  <c r="P576" i="11" a="1"/>
  <c r="Q463" i="11" a="1"/>
  <c r="P125" i="11" a="1"/>
  <c r="P383" i="11" a="1"/>
  <c r="P625" i="11" a="1"/>
  <c r="P449" i="11" a="1"/>
  <c r="Q394" i="11" a="1"/>
  <c r="Q652" i="11" a="1"/>
  <c r="P154" i="11" a="1"/>
  <c r="P258" i="11" a="1"/>
  <c r="P624" i="11" a="1"/>
  <c r="P483" i="11" a="1"/>
  <c r="Q578" i="11" a="1"/>
  <c r="P453" i="11" a="1"/>
  <c r="P230" i="11" a="1"/>
  <c r="P608" i="11" a="1"/>
  <c r="P616" i="11" a="1"/>
  <c r="Q29" i="11" a="1"/>
  <c r="Q102" i="11" a="1"/>
  <c r="Q174" i="11" a="1"/>
  <c r="Q246" i="11" a="1"/>
  <c r="Q54" i="11" a="1"/>
  <c r="Q127" i="11" a="1"/>
  <c r="Q199" i="11" a="1"/>
  <c r="Q271" i="11" a="1"/>
  <c r="Q443" i="11" a="1"/>
  <c r="Q516" i="11" a="1"/>
  <c r="Q588" i="11" a="1"/>
  <c r="Q49" i="11" a="1"/>
  <c r="Q122" i="11" a="1"/>
  <c r="Q194" i="11" a="1"/>
  <c r="Q266" i="11" a="1"/>
  <c r="Q438" i="11" a="1"/>
  <c r="Q511" i="11" a="1"/>
  <c r="Q583" i="11" a="1"/>
  <c r="Q44" i="11" a="1"/>
  <c r="Q117" i="11" a="1"/>
  <c r="Q189" i="11" a="1"/>
  <c r="Q261" i="11" a="1"/>
  <c r="Q75" i="11" a="1"/>
  <c r="Q148" i="11" a="1"/>
  <c r="Q220" i="11" a="1"/>
  <c r="Q392" i="11" a="1"/>
  <c r="Q464" i="11" a="1"/>
  <c r="Q537" i="11" a="1"/>
  <c r="Q609" i="11" a="1"/>
  <c r="Q70" i="11" a="1"/>
  <c r="Q143" i="11" a="1"/>
  <c r="Q215" i="11" a="1"/>
  <c r="Q387" i="11" a="1"/>
  <c r="Q459" i="11" a="1"/>
  <c r="Q532" i="11" a="1"/>
  <c r="Q604" i="11" a="1"/>
  <c r="Q635" i="11" a="1"/>
  <c r="Q707" i="11" a="1"/>
  <c r="P53" i="11" a="1"/>
  <c r="P408" i="11" a="1"/>
  <c r="P425" i="11" a="1"/>
  <c r="P590" i="11" a="1"/>
  <c r="P416" i="11" a="1"/>
  <c r="P90" i="11" a="1"/>
  <c r="P560" i="11" a="1"/>
  <c r="P448" i="11" a="1"/>
  <c r="P107" i="11" a="1"/>
  <c r="Q624" i="11" a="1"/>
  <c r="Q696" i="11" a="1"/>
  <c r="P471" i="11" a="1"/>
  <c r="P248" i="11" a="1"/>
  <c r="P659" i="11" a="1"/>
  <c r="P634" i="11" a="1"/>
  <c r="Q518" i="11" a="1"/>
  <c r="P405" i="11" a="1"/>
  <c r="P182" i="11" a="1"/>
  <c r="P541" i="11" a="1"/>
  <c r="P514" i="11" a="1"/>
  <c r="Q448" i="11" a="1"/>
  <c r="Q661" i="11" a="1"/>
  <c r="P434" i="11" a="1"/>
  <c r="P109" i="11" a="1"/>
  <c r="P601" i="11" a="1"/>
  <c r="Q415" i="11" a="1"/>
  <c r="P101" i="11" a="1"/>
  <c r="P259" i="11" a="1"/>
  <c r="P591" i="11" a="1"/>
  <c r="P705" i="11" a="1"/>
  <c r="P515" i="11" a="1"/>
  <c r="Q626" i="11" a="1"/>
  <c r="Q698" i="11" a="1"/>
  <c r="P280" i="11" a="1"/>
  <c r="P54" i="11" a="1"/>
  <c r="P99" i="11" a="1"/>
  <c r="P57" i="11" a="1"/>
  <c r="Q627" i="11" a="1"/>
  <c r="Q699" i="11" a="1"/>
  <c r="P29" i="11" a="1"/>
  <c r="P384" i="11" a="1"/>
  <c r="P201" i="11" a="1"/>
  <c r="P670" i="11" a="1"/>
  <c r="P197" i="11" a="1"/>
  <c r="P73" i="11" a="1"/>
  <c r="P697" i="11" a="1"/>
  <c r="P596" i="11" a="1"/>
  <c r="Q430" i="11" a="1"/>
  <c r="Q658" i="11" a="1"/>
  <c r="P226" i="11" a="1"/>
  <c r="P430" i="11" a="1"/>
  <c r="P696" i="11" a="1"/>
  <c r="P183" i="11" a="1"/>
  <c r="P274" i="11" a="1"/>
  <c r="Q614" i="11" a="1"/>
  <c r="P47" i="11" a="1"/>
  <c r="P402" i="11" a="1"/>
  <c r="P401" i="11" a="1"/>
  <c r="P688" i="11" a="1"/>
  <c r="P565" i="11" a="1"/>
  <c r="Q41" i="11" a="1"/>
  <c r="Q114" i="11" a="1"/>
  <c r="Q186" i="11" a="1"/>
  <c r="Q258" i="11" a="1"/>
  <c r="Q66" i="11" a="1"/>
  <c r="Q139" i="11" a="1"/>
  <c r="Q211" i="11" a="1"/>
  <c r="Q383" i="11" a="1"/>
  <c r="Q455" i="11" a="1"/>
  <c r="Q528" i="11" a="1"/>
  <c r="Q600" i="11" a="1"/>
  <c r="Q61" i="11" a="1"/>
  <c r="Q134" i="11" a="1"/>
  <c r="Q206" i="11" a="1"/>
  <c r="Q278" i="11" a="1"/>
  <c r="Q450" i="11" a="1"/>
  <c r="Q523" i="11" a="1"/>
  <c r="Q595" i="11" a="1"/>
  <c r="Q56" i="11" a="1"/>
  <c r="Q129" i="11" a="1"/>
  <c r="Q201" i="11" a="1"/>
  <c r="Q15" i="11" a="1"/>
  <c r="Q87" i="11" a="1"/>
  <c r="Q160" i="11" a="1"/>
  <c r="Q232" i="11" a="1"/>
  <c r="Q404" i="11" a="1"/>
  <c r="Q476" i="11" a="1"/>
  <c r="Q549" i="11" a="1"/>
  <c r="Q10" i="11" a="1"/>
  <c r="Q82" i="11" a="1"/>
  <c r="Q155" i="11" a="1"/>
  <c r="Q227" i="11" a="1"/>
  <c r="Q399" i="11" a="1"/>
  <c r="Q471" i="11" a="1"/>
  <c r="Q544" i="11" a="1"/>
  <c r="Q616" i="11" a="1"/>
  <c r="Q647" i="11" a="1"/>
  <c r="P94" i="11" a="1"/>
  <c r="P198" i="11" a="1"/>
  <c r="P518" i="11" a="1"/>
  <c r="P674" i="11" a="1"/>
  <c r="Q403" i="11" a="1"/>
  <c r="P76" i="11" a="1"/>
  <c r="P235" i="11" a="1"/>
  <c r="P540" i="11" a="1"/>
  <c r="P681" i="11" a="1"/>
  <c r="P602" i="11" a="1"/>
  <c r="Q636" i="11" a="1"/>
  <c r="P33" i="11" a="1"/>
  <c r="P138" i="11" a="1"/>
  <c r="P153" i="11" a="1"/>
  <c r="P614" i="11" a="1"/>
  <c r="P437" i="11" a="1"/>
  <c r="Q590" i="11" a="1"/>
  <c r="P71" i="11" a="1"/>
  <c r="P426" i="11" a="1"/>
  <c r="P478" i="11" a="1"/>
  <c r="P577" i="11" a="1"/>
  <c r="Q521" i="11" a="1"/>
  <c r="Q673" i="11" a="1"/>
  <c r="P95" i="11" a="1"/>
  <c r="P253" i="11" a="1"/>
  <c r="P581" i="11" a="1"/>
  <c r="P535" i="11" a="1"/>
  <c r="P245" i="11" a="1"/>
  <c r="P122" i="11" a="1"/>
  <c r="P598" i="11" a="1"/>
  <c r="P177" i="11" a="1"/>
  <c r="P523" i="11" a="1"/>
  <c r="Q638" i="11" a="1"/>
  <c r="Q385" i="11" a="1"/>
  <c r="P40" i="11" a="1"/>
  <c r="P199" i="11" a="1"/>
  <c r="P460" i="11" a="1"/>
  <c r="P645" i="11" a="1"/>
  <c r="P572" i="11" a="1"/>
  <c r="Q639" i="11" a="1"/>
  <c r="P69" i="11" a="1"/>
  <c r="P174" i="11" a="1"/>
  <c r="P473" i="11" a="1"/>
  <c r="P650" i="11" a="1"/>
  <c r="P527" i="11" a="1"/>
  <c r="Q572" i="11" a="1"/>
  <c r="P441" i="11" a="1"/>
  <c r="P218" i="11" a="1"/>
  <c r="P613" i="11" a="1"/>
  <c r="P586" i="11" a="1"/>
  <c r="Q670" i="11" a="1"/>
  <c r="P470" i="11" a="1"/>
  <c r="P145" i="11" a="1"/>
  <c r="P86" i="11" a="1"/>
  <c r="P564" i="11" a="1"/>
  <c r="P265" i="11" a="1"/>
  <c r="P87" i="11" a="1"/>
  <c r="P192" i="11" a="1"/>
  <c r="P507" i="11" a="1"/>
  <c r="P668" i="11" a="1"/>
  <c r="P558" i="11" a="1"/>
  <c r="Q53" i="11" a="1"/>
  <c r="Q126" i="11" a="1"/>
  <c r="Q198" i="11" a="1"/>
  <c r="Q6" i="11" a="1"/>
  <c r="Q78" i="11" a="1"/>
  <c r="Q151" i="11" a="1"/>
  <c r="Q223" i="11" a="1"/>
  <c r="Q395" i="11" a="1"/>
  <c r="Q467" i="11" a="1"/>
  <c r="Q540" i="11" a="1"/>
  <c r="Q612" i="11" a="1"/>
  <c r="Q73" i="11" a="1"/>
  <c r="Q146" i="11" a="1"/>
  <c r="Q218" i="11" a="1"/>
  <c r="Q390" i="11" a="1"/>
  <c r="Q462" i="11" a="1"/>
  <c r="Q535" i="11" a="1"/>
  <c r="Q607" i="11" a="1"/>
  <c r="Q68" i="11" a="1"/>
  <c r="Q141" i="11" a="1"/>
  <c r="Q213" i="11" a="1"/>
  <c r="Q27" i="11" a="1"/>
  <c r="Q100" i="11" a="1"/>
  <c r="Q172" i="11" a="1"/>
  <c r="Q244" i="11" a="1"/>
  <c r="Q416" i="11" a="1"/>
  <c r="Q561" i="11" a="1"/>
  <c r="Q22" i="11" a="1"/>
  <c r="Q95" i="11" a="1"/>
  <c r="Q167" i="11" a="1"/>
  <c r="Q239" i="11" a="1"/>
  <c r="Q411" i="11" a="1"/>
  <c r="Q483" i="11" a="1"/>
  <c r="Q556" i="11" a="1"/>
  <c r="Q436" i="11" a="1"/>
  <c r="Q659" i="11" a="1"/>
  <c r="P238" i="11" a="1"/>
  <c r="P12" i="11" a="1"/>
  <c r="P557" i="11" a="1"/>
  <c r="Q475" i="11" a="1"/>
  <c r="P221" i="11" a="1"/>
  <c r="P98" i="11" a="1"/>
  <c r="P587" i="11" a="1"/>
  <c r="P32" i="11" a="1"/>
  <c r="Q270" i="11" a="1"/>
  <c r="Q648" i="11" a="1"/>
  <c r="P178" i="11" a="1"/>
  <c r="P382" i="11" a="1"/>
  <c r="P648" i="11" a="1"/>
  <c r="P532" i="11" a="1"/>
  <c r="P699" i="11" a="1"/>
  <c r="P112" i="11" a="1"/>
  <c r="P216" i="11" a="1"/>
  <c r="P559" i="11" a="1"/>
  <c r="P692" i="11" a="1"/>
  <c r="P609" i="11" a="1"/>
  <c r="Q593" i="11" a="1"/>
  <c r="Q685" i="11" a="1"/>
  <c r="P239" i="11" a="1"/>
  <c r="P116" i="11" a="1"/>
  <c r="P526" i="11" a="1"/>
  <c r="P202" i="11" a="1"/>
  <c r="Q560" i="11" a="1"/>
  <c r="P11" i="11" a="1"/>
  <c r="P266" i="11" a="1"/>
  <c r="P93" i="11" a="1"/>
  <c r="P652" i="11" a="1"/>
  <c r="Q382" i="11" a="1"/>
  <c r="Q650" i="11" a="1"/>
  <c r="Q457" i="11" a="1"/>
  <c r="P185" i="11" a="1"/>
  <c r="P61" i="11" a="1"/>
  <c r="P685" i="11" a="1"/>
  <c r="P575" i="11" a="1"/>
  <c r="Q388" i="11" a="1"/>
  <c r="Q651" i="11" a="1"/>
  <c r="P214" i="11" a="1"/>
  <c r="P418" i="11" a="1"/>
  <c r="P684" i="11" a="1"/>
  <c r="P604" i="11" a="1"/>
  <c r="P653" i="11" a="1"/>
  <c r="P3" i="11" a="1"/>
  <c r="P108" i="11" a="1"/>
  <c r="P462" i="11" a="1"/>
  <c r="P552" i="11" a="1"/>
  <c r="P647" i="11" a="1"/>
  <c r="Q575" i="11" a="1"/>
  <c r="Q682" i="11" a="1"/>
  <c r="P131" i="11" a="1"/>
  <c r="P7" i="11" a="1"/>
  <c r="P631" i="11" a="1"/>
  <c r="P467" i="11" a="1"/>
  <c r="P638" i="11" a="1"/>
  <c r="P232" i="11" a="1"/>
  <c r="P6" i="11" a="1"/>
  <c r="P702" i="11" a="1"/>
  <c r="P622" i="11" a="1"/>
  <c r="Q157" i="11" a="1"/>
  <c r="Q250" i="11" a="1"/>
  <c r="Q245" i="11" a="1"/>
  <c r="Q562" i="11" a="1"/>
  <c r="Q665" i="11" a="1"/>
  <c r="P84" i="11" a="1"/>
  <c r="P279" i="11" a="1"/>
  <c r="P393" i="11" a="1"/>
  <c r="P510" i="11" a="1"/>
  <c r="Q654" i="11" a="1"/>
  <c r="P24" i="11" a="1"/>
  <c r="P641" i="11" a="1"/>
  <c r="P184" i="11" a="1"/>
  <c r="P388" i="11" a="1"/>
  <c r="P553" i="11" a="1"/>
  <c r="Q619" i="11" a="1"/>
  <c r="P411" i="11" a="1"/>
  <c r="P188" i="11" a="1"/>
  <c r="P423" i="11" a="1"/>
  <c r="Q596" i="11" a="1"/>
  <c r="P438" i="11" a="1"/>
  <c r="P454" i="11" a="1"/>
  <c r="Q656" i="11" a="1"/>
  <c r="P134" i="11" a="1"/>
  <c r="P249" i="11" a="1"/>
  <c r="Q59" i="11" a="1"/>
  <c r="Q132" i="11" a="1"/>
  <c r="Q204" i="11" a="1"/>
  <c r="Q12" i="11" a="1"/>
  <c r="Q84" i="11" a="1"/>
  <c r="Q229" i="11" a="1"/>
  <c r="Q401" i="11" a="1"/>
  <c r="Q473" i="11" a="1"/>
  <c r="Q546" i="11" a="1"/>
  <c r="Q7" i="11" a="1"/>
  <c r="Q79" i="11" a="1"/>
  <c r="Q152" i="11" a="1"/>
  <c r="Q224" i="11" a="1"/>
  <c r="Q396" i="11" a="1"/>
  <c r="Q468" i="11" a="1"/>
  <c r="Q541" i="11" a="1"/>
  <c r="Q613" i="11" a="1"/>
  <c r="Q74" i="11" a="1"/>
  <c r="Q147" i="11" a="1"/>
  <c r="Q219" i="11" a="1"/>
  <c r="Q33" i="11" a="1"/>
  <c r="Q106" i="11" a="1"/>
  <c r="Q178" i="11" a="1"/>
  <c r="Q422" i="11" a="1"/>
  <c r="Q567" i="11" a="1"/>
  <c r="Q28" i="11" a="1"/>
  <c r="Q101" i="11" a="1"/>
  <c r="Q173" i="11" a="1"/>
  <c r="Q417" i="11" a="1"/>
  <c r="Q472" i="11" a="1"/>
  <c r="P410" i="11" a="1"/>
  <c r="P549" i="11" a="1"/>
  <c r="Q512" i="11" a="1"/>
  <c r="P170" i="11" a="1"/>
  <c r="Q406" i="11" a="1"/>
  <c r="P250" i="11" a="1"/>
  <c r="P578" i="11" a="1"/>
  <c r="P34" i="11" a="1"/>
  <c r="P654" i="11" a="1"/>
  <c r="P534" i="11" a="1"/>
  <c r="Q691" i="11" a="1"/>
  <c r="P551" i="11" a="1"/>
  <c r="P83" i="11" a="1"/>
  <c r="P511" i="11" a="1"/>
  <c r="Q418" i="11" a="1"/>
  <c r="P257" i="11" a="1"/>
  <c r="P671" i="11" a="1"/>
  <c r="Q120" i="11" a="1"/>
  <c r="Q72" i="11" a="1"/>
  <c r="Q389" i="11" a="1"/>
  <c r="Q606" i="11" a="1"/>
  <c r="Q212" i="11" a="1"/>
  <c r="Q529" i="11" a="1"/>
  <c r="Q135" i="11" a="1"/>
  <c r="Q94" i="11" a="1"/>
  <c r="Q410" i="11" a="1"/>
  <c r="Q16" i="11" a="1"/>
  <c r="Q233" i="11" a="1"/>
  <c r="Q550" i="11" a="1"/>
  <c r="P166" i="11" a="1"/>
  <c r="P512" i="11" a="1"/>
  <c r="P25" i="11" a="1"/>
  <c r="P413" i="11" a="1"/>
  <c r="P210" i="11" a="1"/>
  <c r="P599" i="11" a="1"/>
  <c r="P189" i="11" a="1"/>
  <c r="Q557" i="11" a="1"/>
  <c r="P43" i="11" a="1"/>
  <c r="Q524" i="11" a="1"/>
  <c r="P561" i="11" a="1"/>
  <c r="Q644" i="11" a="1"/>
  <c r="P271" i="11" a="1"/>
  <c r="P658" i="11" a="1"/>
  <c r="P458" i="11" a="1"/>
  <c r="P542" i="11" a="1"/>
  <c r="P75" i="11" a="1"/>
  <c r="P690" i="11" a="1"/>
  <c r="Q539" i="11" a="1"/>
  <c r="P275" i="11" a="1"/>
  <c r="P207" i="11" a="1"/>
  <c r="P404" i="11" a="1"/>
  <c r="P519" i="11" a="1"/>
  <c r="Q676" i="11" a="1"/>
  <c r="Q484" i="11" a="1"/>
  <c r="Q138" i="11" a="1"/>
  <c r="Q90" i="11" a="1"/>
  <c r="Q407" i="11" a="1"/>
  <c r="Q13" i="11" a="1"/>
  <c r="Q230" i="11" a="1"/>
  <c r="Q547" i="11" a="1"/>
  <c r="Q153" i="11" a="1"/>
  <c r="Q112" i="11" a="1"/>
  <c r="Q428" i="11" a="1"/>
  <c r="Q34" i="11" a="1"/>
  <c r="Q251" i="11" a="1"/>
  <c r="Q568" i="11" a="1"/>
  <c r="P482" i="11" a="1"/>
  <c r="P595" i="11" a="1"/>
  <c r="P242" i="11" a="1"/>
  <c r="Q442" i="11" a="1"/>
  <c r="P97" i="11" a="1"/>
  <c r="P444" i="11" a="1"/>
  <c r="P665" i="11" a="1"/>
  <c r="Q625" i="11" a="1"/>
  <c r="P260" i="11" a="1"/>
  <c r="P51" i="11" a="1"/>
  <c r="P632" i="11" a="1"/>
  <c r="Q662" i="11" a="1"/>
  <c r="P206" i="11" a="1"/>
  <c r="Q424" i="11" a="1"/>
  <c r="P46" i="11" a="1"/>
  <c r="P427" i="11" a="1"/>
  <c r="P148" i="11" a="1"/>
  <c r="P443" i="11" a="1"/>
  <c r="Q611" i="11" a="1"/>
  <c r="P447" i="11" a="1"/>
  <c r="P663" i="11" a="1"/>
  <c r="P476" i="11" a="1"/>
  <c r="P583" i="11" a="1"/>
  <c r="Q192" i="11" a="1"/>
  <c r="Q439" i="11" a="1"/>
  <c r="P667" i="11" a="1"/>
  <c r="P612" i="11" a="1"/>
  <c r="P35" i="11" a="1"/>
  <c r="P79" i="11" a="1"/>
  <c r="Q163" i="11" a="1"/>
  <c r="Q402" i="11" a="1"/>
  <c r="Q225" i="11" a="1"/>
  <c r="Q509" i="11" a="1"/>
  <c r="P567" i="11" a="1"/>
  <c r="P256" i="11" a="1"/>
  <c r="P56" i="11" a="1"/>
  <c r="P485" i="11" a="1"/>
  <c r="Q645" i="11" a="1"/>
  <c r="P152" i="11" a="1"/>
  <c r="P669" i="11" a="1"/>
  <c r="Q200" i="11" a="1"/>
  <c r="Q144" i="11" a="1"/>
  <c r="Q97" i="11" a="1"/>
  <c r="Q413" i="11" a="1"/>
  <c r="Q19" i="11" a="1"/>
  <c r="Q236" i="11" a="1"/>
  <c r="Q553" i="11" a="1"/>
  <c r="Q159" i="11" a="1"/>
  <c r="Q118" i="11" a="1"/>
  <c r="Q434" i="11" a="1"/>
  <c r="Q40" i="11" a="1"/>
  <c r="Q257" i="11" a="1"/>
  <c r="Q574" i="11" a="1"/>
  <c r="P70" i="11" a="1"/>
  <c r="P675" i="11" a="1"/>
  <c r="P414" i="11" a="1"/>
  <c r="Q478" i="11" a="1"/>
  <c r="P169" i="11" a="1"/>
  <c r="P584" i="11" a="1"/>
  <c r="P580" i="11" a="1"/>
  <c r="Q631" i="11" a="1"/>
  <c r="P432" i="11" a="1"/>
  <c r="P124" i="11" a="1"/>
  <c r="P704" i="11" a="1"/>
  <c r="Q668" i="11" a="1"/>
  <c r="P278" i="11" a="1"/>
  <c r="Q460" i="11" a="1"/>
  <c r="P102" i="11" a="1"/>
  <c r="P135" i="11" a="1"/>
  <c r="P220" i="11" a="1"/>
  <c r="P237" i="11" a="1"/>
  <c r="Q622" i="11" a="1"/>
  <c r="P72" i="11" a="1"/>
  <c r="P606" i="11" a="1"/>
  <c r="P64" i="11" a="1"/>
  <c r="Q400" i="11" a="1"/>
  <c r="Q633" i="11" a="1"/>
  <c r="P264" i="11" a="1"/>
  <c r="Q85" i="11" a="1"/>
  <c r="Q548" i="11" a="1"/>
  <c r="Q697" i="11" a="1"/>
  <c r="Q530" i="11" a="1"/>
  <c r="P629" i="11" a="1"/>
  <c r="P17" i="11" a="1"/>
  <c r="Q538" i="11" a="1"/>
  <c r="Q180" i="11" a="1"/>
  <c r="Q133" i="11" a="1"/>
  <c r="Q449" i="11" a="1"/>
  <c r="Q55" i="11" a="1"/>
  <c r="Q272" i="11" a="1"/>
  <c r="Q589" i="11" a="1"/>
  <c r="Q195" i="11" a="1"/>
  <c r="Q154" i="11" a="1"/>
  <c r="Q470" i="11" a="1"/>
  <c r="Q76" i="11" a="1"/>
  <c r="Q393" i="11" a="1"/>
  <c r="Q610" i="11" a="1"/>
  <c r="P126" i="11" a="1"/>
  <c r="Q267" i="11" a="1"/>
  <c r="P195" i="11" a="1"/>
  <c r="Q630" i="11" a="1"/>
  <c r="P420" i="11" a="1"/>
  <c r="Q554" i="11" a="1"/>
  <c r="P20" i="11" a="1"/>
  <c r="Q667" i="11" a="1"/>
  <c r="P397" i="11" a="1"/>
  <c r="P173" i="11" a="1"/>
  <c r="P544" i="11" a="1"/>
  <c r="Q704" i="11" a="1"/>
  <c r="P389" i="11" a="1"/>
  <c r="P246" i="11" a="1"/>
  <c r="P543" i="11" a="1"/>
  <c r="P269" i="11" a="1"/>
  <c r="P656" i="11" a="1"/>
  <c r="Q628" i="11" a="1"/>
  <c r="P217" i="11" a="1"/>
  <c r="P433" i="11" a="1"/>
  <c r="P120" i="11" a="1"/>
  <c r="P243" i="11" a="1"/>
  <c r="Q145" i="11" a="1"/>
  <c r="Q461" i="11" a="1"/>
  <c r="Q67" i="11" a="1"/>
  <c r="Q384" i="11" a="1"/>
  <c r="Q601" i="11" a="1"/>
  <c r="Q207" i="11" a="1"/>
  <c r="Q166" i="11" a="1"/>
  <c r="Q482" i="11" a="1"/>
  <c r="Q405" i="11" a="1"/>
  <c r="P270" i="11" a="1"/>
  <c r="P649" i="11" a="1"/>
  <c r="Q642" i="11" a="1"/>
  <c r="P538" i="11" a="1"/>
  <c r="P39" i="11" a="1"/>
  <c r="P620" i="11" a="1"/>
  <c r="Q679" i="11" a="1"/>
  <c r="P417" i="11" a="1"/>
  <c r="P545" i="11" a="1"/>
  <c r="Q421" i="11" a="1"/>
  <c r="P60" i="11" a="1"/>
  <c r="P651" i="11" a="1"/>
  <c r="P479" i="11" a="1"/>
  <c r="Q664" i="11" a="1"/>
  <c r="P607" i="11" a="1"/>
  <c r="P574" i="11" a="1"/>
  <c r="Q210" i="11" a="1"/>
  <c r="Q479" i="11" a="1"/>
  <c r="Q8" i="11" a="1"/>
  <c r="Q184" i="11" a="1"/>
  <c r="Q107" i="11" a="1"/>
  <c r="P157" i="11" a="1"/>
  <c r="Q660" i="11" a="1"/>
  <c r="P570" i="11" a="1"/>
  <c r="P683" i="11" a="1"/>
  <c r="P156" i="11" a="1"/>
  <c r="P582" i="11" a="1"/>
  <c r="P133" i="11" a="1"/>
  <c r="P546" i="11" a="1"/>
  <c r="P78" i="11" a="1"/>
  <c r="P525" i="11" a="1"/>
  <c r="Q88" i="11" a="1"/>
  <c r="Q423" i="11" a="1"/>
  <c r="P180" i="11" a="1"/>
  <c r="P21" i="11" a="1"/>
  <c r="Q216" i="11" a="1"/>
  <c r="Q169" i="11" a="1"/>
  <c r="Q485" i="11" a="1"/>
  <c r="Q92" i="11" a="1"/>
  <c r="Q408" i="11" a="1"/>
  <c r="Q14" i="11" a="1"/>
  <c r="Q231" i="11" a="1"/>
  <c r="Q190" i="11" a="1"/>
  <c r="Q507" i="11" a="1"/>
  <c r="Q113" i="11" a="1"/>
  <c r="Q429" i="11" a="1"/>
  <c r="Q545" i="11" a="1"/>
  <c r="P229" i="11" a="1"/>
  <c r="Q584" i="11" a="1"/>
  <c r="P445" i="11" a="1"/>
  <c r="Q666" i="11" a="1"/>
  <c r="P231" i="11" a="1"/>
  <c r="P428" i="11" a="1"/>
  <c r="P480" i="11" a="1"/>
  <c r="Q703" i="11" a="1"/>
  <c r="P228" i="11" a="1"/>
  <c r="P556" i="11" a="1"/>
  <c r="Q566" i="11" a="1"/>
  <c r="P165" i="11" a="1"/>
  <c r="Q657" i="11" a="1"/>
  <c r="P205" i="11" a="1"/>
  <c r="P588" i="11" a="1"/>
  <c r="P252" i="11" a="1"/>
  <c r="P409" i="11" a="1"/>
  <c r="Q688" i="11" a="1"/>
  <c r="P224" i="11" a="1"/>
  <c r="P474" i="11" a="1"/>
  <c r="P151" i="11" a="1"/>
  <c r="P701" i="11" a="1"/>
  <c r="P406" i="11" a="1"/>
  <c r="Q24" i="11" a="1"/>
  <c r="Q164" i="11" a="1"/>
  <c r="Q86" i="11" a="1"/>
  <c r="Q262" i="11" a="1"/>
  <c r="Q185" i="11" a="1"/>
  <c r="Q677" i="11" a="1"/>
  <c r="P59" i="11" a="1"/>
  <c r="P10" i="11" a="1"/>
  <c r="P103" i="11" a="1"/>
  <c r="P77" i="11" a="1"/>
  <c r="P664" i="11" a="1"/>
  <c r="P14" i="11" a="1"/>
  <c r="P486" i="11" a="1"/>
  <c r="P58" i="11" a="1"/>
  <c r="P15" i="11" a="1"/>
  <c r="P234" i="11" a="1"/>
  <c r="Q60" i="11" a="1"/>
  <c r="Q594" i="11" a="1"/>
  <c r="Q123" i="11" a="1"/>
  <c r="Q398" i="11" a="1"/>
  <c r="Q221" i="11" a="1"/>
  <c r="P163" i="11" a="1"/>
  <c r="P65" i="11" a="1"/>
  <c r="P254" i="11" a="1"/>
  <c r="Q451" i="11" a="1"/>
  <c r="Q632" i="11" a="1"/>
  <c r="P128" i="11" a="1"/>
  <c r="P475" i="11" a="1"/>
  <c r="P618" i="11" a="1"/>
  <c r="P203" i="11" a="1"/>
  <c r="P123" i="11" a="1"/>
  <c r="Q35" i="11" a="1"/>
  <c r="Q252" i="11" a="1"/>
  <c r="Q205" i="11" a="1"/>
  <c r="Q522" i="11" a="1"/>
  <c r="Q128" i="11" a="1"/>
  <c r="Q444" i="11" a="1"/>
  <c r="Q50" i="11" a="1"/>
  <c r="Q9" i="11" a="1"/>
  <c r="Q226" i="11" a="1"/>
  <c r="Q543" i="11" a="1"/>
  <c r="Q149" i="11" a="1"/>
  <c r="Q465" i="11" a="1"/>
  <c r="Q641" i="11" a="1"/>
  <c r="P80" i="11" a="1"/>
  <c r="P4" i="11" a="1"/>
  <c r="P605" i="11" a="1"/>
  <c r="Q702" i="11" a="1"/>
  <c r="P463" i="11" a="1"/>
  <c r="P477" i="11" a="1"/>
  <c r="P640" i="11" a="1"/>
  <c r="P22" i="11" a="1"/>
  <c r="P627" i="11" a="1"/>
  <c r="P49" i="11" a="1"/>
  <c r="P521" i="11" a="1"/>
  <c r="P452" i="11" a="1"/>
  <c r="P533" i="11" a="1"/>
  <c r="Q663" i="11" a="1"/>
  <c r="P456" i="11" a="1"/>
  <c r="P2" i="11" a="1"/>
  <c r="P424" i="11" a="1"/>
  <c r="P676" i="11" a="1"/>
  <c r="Q694" i="11" a="1"/>
  <c r="P529" i="11" a="1"/>
  <c r="P213" i="11" a="1"/>
  <c r="P223" i="11" a="1"/>
  <c r="P689" i="11" a="1"/>
  <c r="P146" i="11" a="1"/>
  <c r="Q71" i="11" a="1"/>
  <c r="Q558" i="11" a="1"/>
  <c r="Q480" i="11" a="1"/>
  <c r="Q45" i="11" a="1"/>
  <c r="Q579" i="11" a="1"/>
  <c r="P530" i="11" a="1"/>
  <c r="P700" i="11" a="1"/>
  <c r="P615" i="11" a="1"/>
  <c r="P162" i="11" a="1"/>
  <c r="P272" i="11" a="1"/>
  <c r="P23" i="11" a="1"/>
  <c r="P142" i="11" a="1"/>
  <c r="Q536" i="11" a="1"/>
  <c r="P568" i="11" a="1"/>
  <c r="P461" i="11" a="1"/>
  <c r="P539" i="11" a="1"/>
  <c r="Q108" i="11" a="1"/>
  <c r="Q277" i="11" a="1"/>
  <c r="Q517" i="11" a="1"/>
  <c r="Q81" i="11" a="1"/>
  <c r="Q615" i="11" a="1"/>
  <c r="P593" i="11" a="1"/>
  <c r="P193" i="11" a="1"/>
  <c r="P706" i="11" a="1"/>
  <c r="P181" i="11" a="1"/>
  <c r="P673" i="11" a="1"/>
  <c r="P127" i="11" a="1"/>
  <c r="P386" i="11" a="1"/>
  <c r="Q608" i="11" a="1"/>
  <c r="Q466" i="11" a="1"/>
  <c r="P160" i="11" a="1"/>
  <c r="Q47" i="11" a="1"/>
  <c r="Q264" i="11" a="1"/>
  <c r="Q217" i="11" a="1"/>
  <c r="Q534" i="11" a="1"/>
  <c r="Q140" i="11" a="1"/>
  <c r="Q456" i="11" a="1"/>
  <c r="Q62" i="11" a="1"/>
  <c r="Q21" i="11" a="1"/>
  <c r="Q238" i="11" a="1"/>
  <c r="Q555" i="11" a="1"/>
  <c r="Q161" i="11" a="1"/>
  <c r="Q477" i="11" a="1"/>
  <c r="Q653" i="11" a="1"/>
  <c r="P636" i="11" a="1"/>
  <c r="P149" i="11" a="1"/>
  <c r="P106" i="11" a="1"/>
  <c r="P686" i="11" a="1"/>
  <c r="P144" i="11" a="1"/>
  <c r="P455" i="11" a="1"/>
  <c r="P167" i="11" a="1"/>
  <c r="P74" i="11" a="1"/>
  <c r="P194" i="11" a="1"/>
  <c r="P113" i="11" a="1"/>
  <c r="P407" i="11" a="1"/>
  <c r="Q669" i="11" a="1"/>
  <c r="P610" i="11" a="1"/>
  <c r="P537" i="11" a="1"/>
  <c r="Q700" i="11" a="1"/>
  <c r="P509" i="11" a="1"/>
  <c r="Q397" i="11" a="1"/>
  <c r="P44" i="11" a="1"/>
  <c r="P130" i="11" a="1"/>
  <c r="P398" i="11" a="1"/>
  <c r="Q433" i="11" a="1"/>
  <c r="P251" i="11" a="1"/>
  <c r="P579" i="11" a="1"/>
  <c r="Q65" i="11" a="1"/>
  <c r="Q18" i="11" a="1"/>
  <c r="Q235" i="11" a="1"/>
  <c r="Q552" i="11" a="1"/>
  <c r="Q158" i="11" a="1"/>
  <c r="Q474" i="11" a="1"/>
  <c r="Q80" i="11" a="1"/>
  <c r="Q39" i="11" a="1"/>
  <c r="Q256" i="11" a="1"/>
  <c r="Q573" i="11" a="1"/>
  <c r="Q179" i="11" a="1"/>
  <c r="Q671" i="11" a="1"/>
  <c r="P159" i="11" a="1"/>
  <c r="P465" i="11" a="1"/>
  <c r="P628" i="11" a="1"/>
  <c r="P422" i="11" a="1"/>
  <c r="P466" i="11" a="1"/>
  <c r="P30" i="11" a="1"/>
  <c r="P472" i="11" a="1"/>
  <c r="P5" i="11" a="1"/>
  <c r="P121" i="11" a="1"/>
  <c r="P261" i="11" a="1"/>
  <c r="Q454" i="11" a="1"/>
  <c r="P429" i="11" a="1"/>
  <c r="P566" i="11" a="1"/>
  <c r="Q705" i="11" a="1"/>
  <c r="P129" i="11" a="1"/>
  <c r="P390" i="11" a="1"/>
  <c r="P623" i="11" a="1"/>
  <c r="P703" i="11" a="1"/>
  <c r="P630" i="11" a="1"/>
  <c r="Q241" i="11" a="1"/>
  <c r="P494" i="11" a="1"/>
  <c r="Q494" i="11" a="1"/>
  <c r="P492" i="11" a="1"/>
  <c r="Q503" i="11" a="1"/>
  <c r="Q490" i="11" a="1"/>
  <c r="P491" i="11" a="1"/>
  <c r="P490" i="11" a="1"/>
  <c r="Q498" i="11" a="1"/>
  <c r="P499" i="11" a="1"/>
  <c r="P488" i="11" a="1"/>
  <c r="Q502" i="11" a="1"/>
  <c r="Q506" i="11" a="1"/>
  <c r="Q499" i="11" a="1"/>
  <c r="P500" i="11" a="1"/>
  <c r="P495" i="11" a="1"/>
  <c r="Q487" i="11" a="1"/>
  <c r="P487" i="11" a="1"/>
  <c r="Q501" i="11" a="1"/>
  <c r="P498" i="11" a="1"/>
  <c r="P493" i="11" a="1"/>
  <c r="Q489" i="11" a="1"/>
  <c r="P501" i="11" a="1"/>
  <c r="Q497" i="11" a="1"/>
  <c r="Q495" i="11" a="1"/>
  <c r="Q500" i="11" a="1"/>
  <c r="Q488" i="11" a="1"/>
  <c r="P506" i="11" a="1"/>
  <c r="Q492" i="11" a="1"/>
  <c r="Q493" i="11" a="1"/>
  <c r="P502" i="11" a="1"/>
  <c r="P497" i="11" a="1"/>
  <c r="Q505" i="11" a="1"/>
  <c r="P504" i="11" a="1"/>
  <c r="P505" i="11" a="1"/>
  <c r="P489" i="11" a="1"/>
  <c r="P503" i="11" a="1"/>
  <c r="Q491" i="11" a="1"/>
  <c r="Q504" i="11" a="1"/>
  <c r="AB91" i="11" l="1"/>
  <c r="AD91" i="11" s="1"/>
  <c r="Y91" i="11"/>
  <c r="AA91" i="11" s="1"/>
  <c r="X91" i="11"/>
  <c r="Q614" i="11"/>
  <c r="Q578" i="11"/>
  <c r="Q542" i="11"/>
  <c r="Q506" i="11"/>
  <c r="Q469" i="11"/>
  <c r="Q433" i="11"/>
  <c r="S433" i="11" s="1"/>
  <c r="U433" i="11" s="1"/>
  <c r="Q397" i="11"/>
  <c r="S397" i="11" s="1"/>
  <c r="U397" i="11" s="1"/>
  <c r="Q706" i="11"/>
  <c r="Q700" i="11"/>
  <c r="S700" i="11" s="1"/>
  <c r="U700" i="11" s="1"/>
  <c r="Q694" i="11"/>
  <c r="Q688" i="11"/>
  <c r="Q682" i="11"/>
  <c r="Q676" i="11"/>
  <c r="Q670" i="11"/>
  <c r="Q664" i="11"/>
  <c r="Q658" i="11"/>
  <c r="Q652" i="11"/>
  <c r="Q646" i="11"/>
  <c r="Q640" i="11"/>
  <c r="Q634" i="11"/>
  <c r="Q628" i="11"/>
  <c r="S628" i="11" s="1"/>
  <c r="U628" i="11" s="1"/>
  <c r="Q622" i="11"/>
  <c r="S622" i="11" s="1"/>
  <c r="U622" i="11" s="1"/>
  <c r="Q611" i="11"/>
  <c r="Q575" i="11"/>
  <c r="Q539" i="11"/>
  <c r="Q503" i="11"/>
  <c r="Q466" i="11"/>
  <c r="Q430" i="11"/>
  <c r="Q394" i="11"/>
  <c r="Q608" i="11"/>
  <c r="Q572" i="11"/>
  <c r="S572" i="11" s="1"/>
  <c r="U572" i="11" s="1"/>
  <c r="Q536" i="11"/>
  <c r="S536" i="11" s="1"/>
  <c r="U536" i="11" s="1"/>
  <c r="Q500" i="11"/>
  <c r="S500" i="11" s="1"/>
  <c r="U500" i="11" s="1"/>
  <c r="Q463" i="11"/>
  <c r="S463" i="11" s="1"/>
  <c r="U463" i="11" s="1"/>
  <c r="Q427" i="11"/>
  <c r="Q391" i="11"/>
  <c r="Q705" i="11"/>
  <c r="Q699" i="11"/>
  <c r="Q693" i="11"/>
  <c r="Q687" i="11"/>
  <c r="Q681" i="11"/>
  <c r="Q675" i="11"/>
  <c r="S675" i="11" s="1"/>
  <c r="U675" i="11" s="1"/>
  <c r="Q669" i="11"/>
  <c r="Q663" i="11"/>
  <c r="S663" i="11" s="1"/>
  <c r="U663" i="11" s="1"/>
  <c r="Q657" i="11"/>
  <c r="S657" i="11" s="1"/>
  <c r="U657" i="11" s="1"/>
  <c r="Q651" i="11"/>
  <c r="S651" i="11" s="1"/>
  <c r="U651" i="11" s="1"/>
  <c r="Q645" i="11"/>
  <c r="Q639" i="11"/>
  <c r="Q633" i="11"/>
  <c r="Q627" i="11"/>
  <c r="Q621" i="11"/>
  <c r="Q605" i="11"/>
  <c r="Q569" i="11"/>
  <c r="Q533" i="11"/>
  <c r="S533" i="11" s="1"/>
  <c r="U533" i="11" s="1"/>
  <c r="Q497" i="11"/>
  <c r="S497" i="11" s="1"/>
  <c r="U497" i="11" s="1"/>
  <c r="Q460" i="11"/>
  <c r="Q424" i="11"/>
  <c r="S424" i="11" s="1"/>
  <c r="U424" i="11" s="1"/>
  <c r="Q388" i="11"/>
  <c r="S388" i="11" s="1"/>
  <c r="U388" i="11" s="1"/>
  <c r="Q602" i="11"/>
  <c r="Q566" i="11"/>
  <c r="Q530" i="11"/>
  <c r="Q493" i="11"/>
  <c r="Q457" i="11"/>
  <c r="Q421" i="11"/>
  <c r="Q385" i="11"/>
  <c r="Q704" i="11"/>
  <c r="S704" i="11" s="1"/>
  <c r="U704" i="11" s="1"/>
  <c r="Q698" i="11"/>
  <c r="S698" i="11" s="1"/>
  <c r="U698" i="11" s="1"/>
  <c r="Q692" i="11"/>
  <c r="S692" i="11" s="1"/>
  <c r="U692" i="11" s="1"/>
  <c r="Q686" i="11"/>
  <c r="S686" i="11" s="1"/>
  <c r="U686" i="11" s="1"/>
  <c r="Q680" i="11"/>
  <c r="S680" i="11" s="1"/>
  <c r="U680" i="11" s="1"/>
  <c r="Q674" i="11"/>
  <c r="Q668" i="11"/>
  <c r="Q662" i="11"/>
  <c r="Q656" i="11"/>
  <c r="Q650" i="11"/>
  <c r="Q644" i="11"/>
  <c r="Q638" i="11"/>
  <c r="Q632" i="11"/>
  <c r="S632" i="11" s="1"/>
  <c r="U632" i="11" s="1"/>
  <c r="Q626" i="11"/>
  <c r="S626" i="11" s="1"/>
  <c r="U626" i="11" s="1"/>
  <c r="Q620" i="11"/>
  <c r="Q599" i="11"/>
  <c r="S599" i="11" s="1"/>
  <c r="U599" i="11" s="1"/>
  <c r="Q563" i="11"/>
  <c r="S563" i="11" s="1"/>
  <c r="U563" i="11" s="1"/>
  <c r="Q527" i="11"/>
  <c r="Q490" i="11"/>
  <c r="Q454" i="11"/>
  <c r="Q418" i="11"/>
  <c r="Q382" i="11"/>
  <c r="Q596" i="11"/>
  <c r="Q560" i="11"/>
  <c r="Q524" i="11"/>
  <c r="S524" i="11" s="1"/>
  <c r="U524" i="11" s="1"/>
  <c r="Q487" i="11"/>
  <c r="S487" i="11" s="1"/>
  <c r="U487" i="11" s="1"/>
  <c r="Q451" i="11"/>
  <c r="S451" i="11" s="1"/>
  <c r="U451" i="11" s="1"/>
  <c r="Q415" i="11"/>
  <c r="S415" i="11" s="1"/>
  <c r="U415" i="11" s="1"/>
  <c r="Q279" i="11"/>
  <c r="S279" i="11" s="1"/>
  <c r="U279" i="11" s="1"/>
  <c r="Q703" i="11"/>
  <c r="Q697" i="11"/>
  <c r="Q691" i="11"/>
  <c r="Q685" i="11"/>
  <c r="Q679" i="11"/>
  <c r="Q673" i="11"/>
  <c r="Q667" i="11"/>
  <c r="Q661" i="11"/>
  <c r="Q655" i="11"/>
  <c r="S655" i="11" s="1"/>
  <c r="U655" i="11" s="1"/>
  <c r="Q649" i="11"/>
  <c r="S649" i="11" s="1"/>
  <c r="U649" i="11" s="1"/>
  <c r="Q643" i="11"/>
  <c r="S643" i="11" s="1"/>
  <c r="U643" i="11" s="1"/>
  <c r="Q637" i="11"/>
  <c r="S637" i="11" s="1"/>
  <c r="U637" i="11" s="1"/>
  <c r="Q631" i="11"/>
  <c r="Q625" i="11"/>
  <c r="Q619" i="11"/>
  <c r="Q593" i="11"/>
  <c r="Q557" i="11"/>
  <c r="Q521" i="11"/>
  <c r="Q484" i="11"/>
  <c r="Q448" i="11"/>
  <c r="S448" i="11" s="1"/>
  <c r="U448" i="11" s="1"/>
  <c r="Q412" i="11"/>
  <c r="S412" i="11" s="1"/>
  <c r="U412" i="11" s="1"/>
  <c r="Q276" i="11"/>
  <c r="S276" i="11" s="1"/>
  <c r="U276" i="11" s="1"/>
  <c r="Q590" i="11"/>
  <c r="S590" i="11" s="1"/>
  <c r="U590" i="11" s="1"/>
  <c r="Q554" i="11"/>
  <c r="S554" i="11" s="1"/>
  <c r="U554" i="11" s="1"/>
  <c r="Q518" i="11"/>
  <c r="Q481" i="11"/>
  <c r="Q445" i="11"/>
  <c r="Q409" i="11"/>
  <c r="Q273" i="11"/>
  <c r="Q702" i="11"/>
  <c r="Q696" i="11"/>
  <c r="Q690" i="11"/>
  <c r="Q684" i="11"/>
  <c r="Q678" i="11"/>
  <c r="S678" i="11" s="1"/>
  <c r="U678" i="11" s="1"/>
  <c r="Q672" i="11"/>
  <c r="S672" i="11" s="1"/>
  <c r="U672" i="11" s="1"/>
  <c r="Q666" i="11"/>
  <c r="S666" i="11" s="1"/>
  <c r="U666" i="11" s="1"/>
  <c r="Q660" i="11"/>
  <c r="Q654" i="11"/>
  <c r="Q648" i="11"/>
  <c r="Q642" i="11"/>
  <c r="Q636" i="11"/>
  <c r="Q630" i="11"/>
  <c r="Q624" i="11"/>
  <c r="Q618" i="11"/>
  <c r="S618" i="11" s="1"/>
  <c r="U618" i="11" s="1"/>
  <c r="Q587" i="11"/>
  <c r="S587" i="11" s="1"/>
  <c r="U587" i="11" s="1"/>
  <c r="Q551" i="11"/>
  <c r="S551" i="11" s="1"/>
  <c r="U551" i="11" s="1"/>
  <c r="Q515" i="11"/>
  <c r="S515" i="11" s="1"/>
  <c r="U515" i="11" s="1"/>
  <c r="Q478" i="11"/>
  <c r="S478" i="11" s="1"/>
  <c r="U478" i="11" s="1"/>
  <c r="Q442" i="11"/>
  <c r="Q406" i="11"/>
  <c r="Q270" i="11"/>
  <c r="Q584" i="11"/>
  <c r="Q548" i="11"/>
  <c r="Q512" i="11"/>
  <c r="Q475" i="11"/>
  <c r="Q439" i="11"/>
  <c r="S439" i="11" s="1"/>
  <c r="U439" i="11" s="1"/>
  <c r="Q403" i="11"/>
  <c r="S403" i="11" s="1"/>
  <c r="U403" i="11" s="1"/>
  <c r="Q267" i="11"/>
  <c r="S267" i="11" s="1"/>
  <c r="U267" i="11" s="1"/>
  <c r="Q707" i="11"/>
  <c r="S707" i="11" s="1"/>
  <c r="U707" i="11" s="1"/>
  <c r="Q701" i="11"/>
  <c r="S701" i="11" s="1"/>
  <c r="U701" i="11" s="1"/>
  <c r="Q695" i="11"/>
  <c r="Q689" i="11"/>
  <c r="Q683" i="11"/>
  <c r="Q677" i="11"/>
  <c r="Q671" i="11"/>
  <c r="Q665" i="11"/>
  <c r="Q659" i="11"/>
  <c r="Q653" i="11"/>
  <c r="S653" i="11" s="1"/>
  <c r="U653" i="11" s="1"/>
  <c r="Q647" i="11"/>
  <c r="S647" i="11" s="1"/>
  <c r="U647" i="11" s="1"/>
  <c r="Q641" i="11"/>
  <c r="S641" i="11" s="1"/>
  <c r="U641" i="11" s="1"/>
  <c r="Q635" i="11"/>
  <c r="S635" i="11" s="1"/>
  <c r="U635" i="11" s="1"/>
  <c r="Q629" i="11"/>
  <c r="S629" i="11" s="1"/>
  <c r="U629" i="11" s="1"/>
  <c r="Q623" i="11"/>
  <c r="Q617" i="11"/>
  <c r="Q581" i="11"/>
  <c r="Q545" i="11"/>
  <c r="Q509" i="11"/>
  <c r="Q472" i="11"/>
  <c r="Q436" i="11"/>
  <c r="Q400" i="11"/>
  <c r="S400" i="11" s="1"/>
  <c r="U400" i="11" s="1"/>
  <c r="Q616" i="11"/>
  <c r="S616" i="11" s="1"/>
  <c r="U616" i="11" s="1"/>
  <c r="Q610" i="11"/>
  <c r="Q604" i="11"/>
  <c r="S604" i="11" s="1"/>
  <c r="U604" i="11" s="1"/>
  <c r="Q598" i="11"/>
  <c r="S598" i="11" s="1"/>
  <c r="U598" i="11" s="1"/>
  <c r="Q592" i="11"/>
  <c r="Q586" i="11"/>
  <c r="Q580" i="11"/>
  <c r="Q574" i="11"/>
  <c r="Q568" i="11"/>
  <c r="Q562" i="11"/>
  <c r="Q556" i="11"/>
  <c r="Q550" i="11"/>
  <c r="Q544" i="11"/>
  <c r="Q538" i="11"/>
  <c r="S538" i="11" s="1"/>
  <c r="U538" i="11" s="1"/>
  <c r="Q532" i="11"/>
  <c r="S532" i="11" s="1"/>
  <c r="U532" i="11" s="1"/>
  <c r="Q526" i="11"/>
  <c r="S526" i="11" s="1"/>
  <c r="U526" i="11" s="1"/>
  <c r="Q520" i="11"/>
  <c r="Q514" i="11"/>
  <c r="Q508" i="11"/>
  <c r="Q502" i="11"/>
  <c r="Q495" i="11"/>
  <c r="Q489" i="11"/>
  <c r="Q483" i="11"/>
  <c r="S483" i="11" s="1"/>
  <c r="U483" i="11" s="1"/>
  <c r="Q477" i="11"/>
  <c r="S477" i="11" s="1"/>
  <c r="U477" i="11" s="1"/>
  <c r="Q471" i="11"/>
  <c r="S471" i="11" s="1"/>
  <c r="U471" i="11" s="1"/>
  <c r="Q465" i="11"/>
  <c r="S465" i="11" s="1"/>
  <c r="U465" i="11" s="1"/>
  <c r="Q459" i="11"/>
  <c r="S459" i="11" s="1"/>
  <c r="U459" i="11" s="1"/>
  <c r="Q453" i="11"/>
  <c r="S453" i="11" s="1"/>
  <c r="U453" i="11" s="1"/>
  <c r="Q447" i="11"/>
  <c r="Q441" i="11"/>
  <c r="Q435" i="11"/>
  <c r="Q429" i="11"/>
  <c r="Q423" i="11"/>
  <c r="Q417" i="11"/>
  <c r="Q411" i="11"/>
  <c r="Q405" i="11"/>
  <c r="S405" i="11" s="1"/>
  <c r="U405" i="11" s="1"/>
  <c r="Q399" i="11"/>
  <c r="S399" i="11" s="1"/>
  <c r="U399" i="11" s="1"/>
  <c r="Q393" i="11"/>
  <c r="S393" i="11" s="1"/>
  <c r="U393" i="11" s="1"/>
  <c r="Q387" i="11"/>
  <c r="S387" i="11" s="1"/>
  <c r="U387" i="11" s="1"/>
  <c r="Q281" i="11"/>
  <c r="S281" i="11" s="1"/>
  <c r="U281" i="11" s="1"/>
  <c r="Q275" i="11"/>
  <c r="Q269" i="11"/>
  <c r="Q263" i="11"/>
  <c r="Q257" i="11"/>
  <c r="Q251" i="11"/>
  <c r="Q245" i="11"/>
  <c r="Q239" i="11"/>
  <c r="S239" i="11" s="1"/>
  <c r="U239" i="11" s="1"/>
  <c r="Q233" i="11"/>
  <c r="S233" i="11" s="1"/>
  <c r="U233" i="11" s="1"/>
  <c r="Q227" i="11"/>
  <c r="S227" i="11" s="1"/>
  <c r="U227" i="11" s="1"/>
  <c r="Q221" i="11"/>
  <c r="S221" i="11" s="1"/>
  <c r="U221" i="11" s="1"/>
  <c r="Q215" i="11"/>
  <c r="S215" i="11" s="1"/>
  <c r="U215" i="11" s="1"/>
  <c r="Q209" i="11"/>
  <c r="S209" i="11" s="1"/>
  <c r="U209" i="11" s="1"/>
  <c r="Q203" i="11"/>
  <c r="Q197" i="11"/>
  <c r="Q191" i="11"/>
  <c r="Q185" i="11"/>
  <c r="Q179" i="11"/>
  <c r="Q173" i="11"/>
  <c r="Q167" i="11"/>
  <c r="S167" i="11" s="1"/>
  <c r="U167" i="11" s="1"/>
  <c r="Q161" i="11"/>
  <c r="S161" i="11" s="1"/>
  <c r="U161" i="11" s="1"/>
  <c r="Q155" i="11"/>
  <c r="Q149" i="11"/>
  <c r="S149" i="11" s="1"/>
  <c r="U149" i="11" s="1"/>
  <c r="Q143" i="11"/>
  <c r="S143" i="11" s="1"/>
  <c r="U143" i="11" s="1"/>
  <c r="Q137" i="11"/>
  <c r="S137" i="11" s="1"/>
  <c r="U137" i="11" s="1"/>
  <c r="Q131" i="11"/>
  <c r="Q125" i="11"/>
  <c r="Q119" i="11"/>
  <c r="Q113" i="11"/>
  <c r="Q107" i="11"/>
  <c r="Q101" i="11"/>
  <c r="Q95" i="11"/>
  <c r="S95" i="11" s="1"/>
  <c r="U95" i="11" s="1"/>
  <c r="Q88" i="11"/>
  <c r="Q82" i="11"/>
  <c r="S82" i="11" s="1"/>
  <c r="U82" i="11" s="1"/>
  <c r="Q76" i="11"/>
  <c r="S76" i="11" s="1"/>
  <c r="U76" i="11" s="1"/>
  <c r="Q70" i="11"/>
  <c r="S70" i="11" s="1"/>
  <c r="U70" i="11" s="1"/>
  <c r="Q64" i="11"/>
  <c r="S64" i="11" s="1"/>
  <c r="U64" i="11" s="1"/>
  <c r="Q58" i="11"/>
  <c r="Q52" i="11"/>
  <c r="Q46" i="11"/>
  <c r="Q40" i="11"/>
  <c r="Q34" i="11"/>
  <c r="Q28" i="11"/>
  <c r="Q22" i="11"/>
  <c r="S22" i="11" s="1"/>
  <c r="U22" i="11" s="1"/>
  <c r="Q16" i="11"/>
  <c r="S16" i="11" s="1"/>
  <c r="U16" i="11" s="1"/>
  <c r="Q10" i="11"/>
  <c r="S10" i="11" s="1"/>
  <c r="U10" i="11" s="1"/>
  <c r="Q615" i="11"/>
  <c r="S615" i="11" s="1"/>
  <c r="U615" i="11" s="1"/>
  <c r="Q609" i="11"/>
  <c r="S609" i="11" s="1"/>
  <c r="U609" i="11" s="1"/>
  <c r="Q603" i="11"/>
  <c r="S603" i="11" s="1"/>
  <c r="U603" i="11" s="1"/>
  <c r="Q597" i="11"/>
  <c r="Q591" i="11"/>
  <c r="Q585" i="11"/>
  <c r="Q579" i="11"/>
  <c r="Q573" i="11"/>
  <c r="Q567" i="11"/>
  <c r="Q561" i="11"/>
  <c r="Q555" i="11"/>
  <c r="S555" i="11" s="1"/>
  <c r="U555" i="11" s="1"/>
  <c r="Q549" i="11"/>
  <c r="S549" i="11" s="1"/>
  <c r="U549" i="11" s="1"/>
  <c r="Q543" i="11"/>
  <c r="S543" i="11" s="1"/>
  <c r="U543" i="11" s="1"/>
  <c r="Q537" i="11"/>
  <c r="S537" i="11" s="1"/>
  <c r="U537" i="11" s="1"/>
  <c r="Q531" i="11"/>
  <c r="S531" i="11" s="1"/>
  <c r="U531" i="11" s="1"/>
  <c r="Q525" i="11"/>
  <c r="Q519" i="11"/>
  <c r="Q513" i="11"/>
  <c r="Q507" i="11"/>
  <c r="Q501" i="11"/>
  <c r="Q494" i="11"/>
  <c r="Q488" i="11"/>
  <c r="Q482" i="11"/>
  <c r="S482" i="11" s="1"/>
  <c r="U482" i="11" s="1"/>
  <c r="Q476" i="11"/>
  <c r="S476" i="11" s="1"/>
  <c r="U476" i="11" s="1"/>
  <c r="Q470" i="11"/>
  <c r="Q464" i="11"/>
  <c r="S464" i="11" s="1"/>
  <c r="U464" i="11" s="1"/>
  <c r="Q458" i="11"/>
  <c r="S458" i="11" s="1"/>
  <c r="U458" i="11" s="1"/>
  <c r="Q452" i="11"/>
  <c r="Q446" i="11"/>
  <c r="Q440" i="11"/>
  <c r="Q434" i="11"/>
  <c r="Q428" i="11"/>
  <c r="Q422" i="11"/>
  <c r="Q416" i="11"/>
  <c r="S416" i="11" s="1"/>
  <c r="U416" i="11" s="1"/>
  <c r="Q410" i="11"/>
  <c r="S410" i="11" s="1"/>
  <c r="U410" i="11" s="1"/>
  <c r="Q404" i="11"/>
  <c r="S404" i="11" s="1"/>
  <c r="U404" i="11" s="1"/>
  <c r="Q398" i="11"/>
  <c r="S398" i="11" s="1"/>
  <c r="U398" i="11" s="1"/>
  <c r="Q392" i="11"/>
  <c r="S392" i="11" s="1"/>
  <c r="U392" i="11" s="1"/>
  <c r="Q386" i="11"/>
  <c r="S386" i="11" s="1"/>
  <c r="U386" i="11" s="1"/>
  <c r="Q280" i="11"/>
  <c r="Q274" i="11"/>
  <c r="Q268" i="11"/>
  <c r="Q262" i="11"/>
  <c r="Q256" i="11"/>
  <c r="Q250" i="11"/>
  <c r="Q244" i="11"/>
  <c r="S244" i="11" s="1"/>
  <c r="U244" i="11" s="1"/>
  <c r="Q238" i="11"/>
  <c r="S238" i="11" s="1"/>
  <c r="U238" i="11" s="1"/>
  <c r="Q232" i="11"/>
  <c r="S232" i="11" s="1"/>
  <c r="U232" i="11" s="1"/>
  <c r="Q226" i="11"/>
  <c r="S226" i="11" s="1"/>
  <c r="U226" i="11" s="1"/>
  <c r="Q220" i="11"/>
  <c r="S220" i="11" s="1"/>
  <c r="U220" i="11" s="1"/>
  <c r="Q214" i="11"/>
  <c r="S214" i="11" s="1"/>
  <c r="U214" i="11" s="1"/>
  <c r="Q208" i="11"/>
  <c r="Q202" i="11"/>
  <c r="Q196" i="11"/>
  <c r="Q190" i="11"/>
  <c r="Q184" i="11"/>
  <c r="Q178" i="11"/>
  <c r="Q172" i="11"/>
  <c r="Q166" i="11"/>
  <c r="S166" i="11" s="1"/>
  <c r="U166" i="11" s="1"/>
  <c r="Q160" i="11"/>
  <c r="S160" i="11" s="1"/>
  <c r="U160" i="11" s="1"/>
  <c r="Q154" i="11"/>
  <c r="S154" i="11" s="1"/>
  <c r="U154" i="11" s="1"/>
  <c r="Q148" i="11"/>
  <c r="S148" i="11" s="1"/>
  <c r="U148" i="11" s="1"/>
  <c r="Q142" i="11"/>
  <c r="S142" i="11" s="1"/>
  <c r="U142" i="11" s="1"/>
  <c r="Q136" i="11"/>
  <c r="Q130" i="11"/>
  <c r="Q124" i="11"/>
  <c r="Q118" i="11"/>
  <c r="Q112" i="11"/>
  <c r="Q106" i="11"/>
  <c r="Q100" i="11"/>
  <c r="Q94" i="11"/>
  <c r="Q87" i="11"/>
  <c r="S87" i="11" s="1"/>
  <c r="U87" i="11" s="1"/>
  <c r="Q81" i="11"/>
  <c r="S81" i="11" s="1"/>
  <c r="U81" i="11" s="1"/>
  <c r="Q75" i="11"/>
  <c r="S75" i="11" s="1"/>
  <c r="U75" i="11" s="1"/>
  <c r="Q69" i="11"/>
  <c r="S69" i="11" s="1"/>
  <c r="U69" i="11" s="1"/>
  <c r="Q63" i="11"/>
  <c r="Q57" i="11"/>
  <c r="Q51" i="11"/>
  <c r="Q45" i="11"/>
  <c r="Q39" i="11"/>
  <c r="Q33" i="11"/>
  <c r="Q27" i="11"/>
  <c r="Q21" i="11"/>
  <c r="S21" i="11" s="1"/>
  <c r="U21" i="11" s="1"/>
  <c r="Q15" i="11"/>
  <c r="Q9" i="11"/>
  <c r="S9" i="11" s="1"/>
  <c r="U9" i="11" s="1"/>
  <c r="Q261" i="11"/>
  <c r="S261" i="11" s="1"/>
  <c r="U261" i="11" s="1"/>
  <c r="Q255" i="11"/>
  <c r="S255" i="11" s="1"/>
  <c r="U255" i="11" s="1"/>
  <c r="Q249" i="11"/>
  <c r="Q243" i="11"/>
  <c r="Q237" i="11"/>
  <c r="Q231" i="11"/>
  <c r="Q225" i="11"/>
  <c r="Q219" i="11"/>
  <c r="Q213" i="11"/>
  <c r="S213" i="11" s="1"/>
  <c r="U213" i="11" s="1"/>
  <c r="Q207" i="11"/>
  <c r="Q201" i="11"/>
  <c r="Q195" i="11"/>
  <c r="S195" i="11" s="1"/>
  <c r="U195" i="11" s="1"/>
  <c r="Q189" i="11"/>
  <c r="S189" i="11" s="1"/>
  <c r="U189" i="11" s="1"/>
  <c r="Q183" i="11"/>
  <c r="S183" i="11" s="1"/>
  <c r="U183" i="11" s="1"/>
  <c r="Q177" i="11"/>
  <c r="Q171" i="11"/>
  <c r="Q165" i="11"/>
  <c r="Q159" i="11"/>
  <c r="Q153" i="11"/>
  <c r="Q147" i="11"/>
  <c r="Q141" i="11"/>
  <c r="Q135" i="11"/>
  <c r="S135" i="11" s="1"/>
  <c r="U135" i="11" s="1"/>
  <c r="Q129" i="11"/>
  <c r="S129" i="11" s="1"/>
  <c r="U129" i="11" s="1"/>
  <c r="Q123" i="11"/>
  <c r="S123" i="11" s="1"/>
  <c r="U123" i="11" s="1"/>
  <c r="Q117" i="11"/>
  <c r="S117" i="11" s="1"/>
  <c r="U117" i="11" s="1"/>
  <c r="Q111" i="11"/>
  <c r="S111" i="11" s="1"/>
  <c r="U111" i="11" s="1"/>
  <c r="Q105" i="11"/>
  <c r="Q99" i="11"/>
  <c r="Q93" i="11"/>
  <c r="Q86" i="11"/>
  <c r="Q80" i="11"/>
  <c r="Q74" i="11"/>
  <c r="Q68" i="11"/>
  <c r="S68" i="11" s="1"/>
  <c r="U68" i="11" s="1"/>
  <c r="Q62" i="11"/>
  <c r="S62" i="11" s="1"/>
  <c r="U62" i="11" s="1"/>
  <c r="Q56" i="11"/>
  <c r="S56" i="11" s="1"/>
  <c r="U56" i="11" s="1"/>
  <c r="Q50" i="11"/>
  <c r="S50" i="11" s="1"/>
  <c r="U50" i="11" s="1"/>
  <c r="Q44" i="11"/>
  <c r="S44" i="11" s="1"/>
  <c r="U44" i="11" s="1"/>
  <c r="Q38" i="11"/>
  <c r="S38" i="11" s="1"/>
  <c r="U38" i="11" s="1"/>
  <c r="Q32" i="11"/>
  <c r="Q26" i="11"/>
  <c r="Q20" i="11"/>
  <c r="Q14" i="11"/>
  <c r="Q8" i="11"/>
  <c r="Q613" i="11"/>
  <c r="Q607" i="11"/>
  <c r="S607" i="11" s="1"/>
  <c r="U607" i="11" s="1"/>
  <c r="Q601" i="11"/>
  <c r="S601" i="11" s="1"/>
  <c r="U601" i="11" s="1"/>
  <c r="Q595" i="11"/>
  <c r="S595" i="11" s="1"/>
  <c r="U595" i="11" s="1"/>
  <c r="Q589" i="11"/>
  <c r="Q583" i="11"/>
  <c r="S583" i="11" s="1"/>
  <c r="U583" i="11" s="1"/>
  <c r="Q577" i="11"/>
  <c r="S577" i="11" s="1"/>
  <c r="U577" i="11" s="1"/>
  <c r="Q571" i="11"/>
  <c r="Q565" i="11"/>
  <c r="Q559" i="11"/>
  <c r="Q553" i="11"/>
  <c r="Q547" i="11"/>
  <c r="Q541" i="11"/>
  <c r="Q535" i="11"/>
  <c r="S535" i="11" s="1"/>
  <c r="U535" i="11" s="1"/>
  <c r="Q529" i="11"/>
  <c r="Q523" i="11"/>
  <c r="S523" i="11" s="1"/>
  <c r="U523" i="11" s="1"/>
  <c r="Q517" i="11"/>
  <c r="S517" i="11" s="1"/>
  <c r="U517" i="11" s="1"/>
  <c r="Q511" i="11"/>
  <c r="S511" i="11" s="1"/>
  <c r="U511" i="11" s="1"/>
  <c r="Q505" i="11"/>
  <c r="S505" i="11" s="1"/>
  <c r="U505" i="11" s="1"/>
  <c r="Q499" i="11"/>
  <c r="Q492" i="11"/>
  <c r="Q486" i="11"/>
  <c r="Q480" i="11"/>
  <c r="Q474" i="11"/>
  <c r="Q468" i="11"/>
  <c r="Q462" i="11"/>
  <c r="S462" i="11" s="1"/>
  <c r="U462" i="11" s="1"/>
  <c r="Q456" i="11"/>
  <c r="S456" i="11" s="1"/>
  <c r="U456" i="11" s="1"/>
  <c r="Q450" i="11"/>
  <c r="S450" i="11" s="1"/>
  <c r="U450" i="11" s="1"/>
  <c r="Q444" i="11"/>
  <c r="S444" i="11" s="1"/>
  <c r="U444" i="11" s="1"/>
  <c r="Q438" i="11"/>
  <c r="S438" i="11" s="1"/>
  <c r="U438" i="11" s="1"/>
  <c r="Q432" i="11"/>
  <c r="S432" i="11" s="1"/>
  <c r="U432" i="11" s="1"/>
  <c r="Q426" i="11"/>
  <c r="Q420" i="11"/>
  <c r="Q414" i="11"/>
  <c r="Q408" i="11"/>
  <c r="Q402" i="11"/>
  <c r="Q396" i="11"/>
  <c r="Q390" i="11"/>
  <c r="Q384" i="11"/>
  <c r="S384" i="11" s="1"/>
  <c r="U384" i="11" s="1"/>
  <c r="Q278" i="11"/>
  <c r="S278" i="11" s="1"/>
  <c r="U278" i="11" s="1"/>
  <c r="Q272" i="11"/>
  <c r="S272" i="11" s="1"/>
  <c r="U272" i="11" s="1"/>
  <c r="Q266" i="11"/>
  <c r="S266" i="11" s="1"/>
  <c r="U266" i="11" s="1"/>
  <c r="Q260" i="11"/>
  <c r="S260" i="11" s="1"/>
  <c r="U260" i="11" s="1"/>
  <c r="Q254" i="11"/>
  <c r="Q248" i="11"/>
  <c r="Q242" i="11"/>
  <c r="Q236" i="11"/>
  <c r="Q230" i="11"/>
  <c r="Q224" i="11"/>
  <c r="Q218" i="11"/>
  <c r="S218" i="11" s="1"/>
  <c r="U218" i="11" s="1"/>
  <c r="Q212" i="11"/>
  <c r="S212" i="11" s="1"/>
  <c r="U212" i="11" s="1"/>
  <c r="Q206" i="11"/>
  <c r="S206" i="11" s="1"/>
  <c r="U206" i="11" s="1"/>
  <c r="Q200" i="11"/>
  <c r="S200" i="11" s="1"/>
  <c r="U200" i="11" s="1"/>
  <c r="Q194" i="11"/>
  <c r="S194" i="11" s="1"/>
  <c r="U194" i="11" s="1"/>
  <c r="Q188" i="11"/>
  <c r="S188" i="11" s="1"/>
  <c r="U188" i="11" s="1"/>
  <c r="Q182" i="11"/>
  <c r="Q176" i="11"/>
  <c r="Q170" i="11"/>
  <c r="Q164" i="11"/>
  <c r="Q158" i="11"/>
  <c r="Q152" i="11"/>
  <c r="Q146" i="11"/>
  <c r="Q140" i="11"/>
  <c r="S140" i="11" s="1"/>
  <c r="U140" i="11" s="1"/>
  <c r="Q134" i="11"/>
  <c r="S134" i="11" s="1"/>
  <c r="U134" i="11" s="1"/>
  <c r="Q128" i="11"/>
  <c r="S128" i="11" s="1"/>
  <c r="U128" i="11" s="1"/>
  <c r="Q122" i="11"/>
  <c r="S122" i="11" s="1"/>
  <c r="U122" i="11" s="1"/>
  <c r="Q116" i="11"/>
  <c r="S116" i="11" s="1"/>
  <c r="U116" i="11" s="1"/>
  <c r="Q110" i="11"/>
  <c r="Q104" i="11"/>
  <c r="Q98" i="11"/>
  <c r="Q92" i="11"/>
  <c r="Q85" i="11"/>
  <c r="Q79" i="11"/>
  <c r="Q73" i="11"/>
  <c r="Q67" i="11"/>
  <c r="S67" i="11" s="1"/>
  <c r="U67" i="11" s="1"/>
  <c r="Q61" i="11"/>
  <c r="S61" i="11" s="1"/>
  <c r="U61" i="11" s="1"/>
  <c r="Q55" i="11"/>
  <c r="Q49" i="11"/>
  <c r="S49" i="11" s="1"/>
  <c r="U49" i="11" s="1"/>
  <c r="Q43" i="11"/>
  <c r="S43" i="11" s="1"/>
  <c r="U43" i="11" s="1"/>
  <c r="Q37" i="11"/>
  <c r="Q31" i="11"/>
  <c r="Q25" i="11"/>
  <c r="Q19" i="11"/>
  <c r="Q13" i="11"/>
  <c r="Q7" i="11"/>
  <c r="Q612" i="11"/>
  <c r="Q606" i="11"/>
  <c r="S606" i="11" s="1"/>
  <c r="U606" i="11" s="1"/>
  <c r="Q600" i="11"/>
  <c r="Q594" i="11"/>
  <c r="S594" i="11" s="1"/>
  <c r="U594" i="11" s="1"/>
  <c r="Q588" i="11"/>
  <c r="S588" i="11" s="1"/>
  <c r="U588" i="11" s="1"/>
  <c r="Q582" i="11"/>
  <c r="S582" i="11" s="1"/>
  <c r="U582" i="11" s="1"/>
  <c r="Q576" i="11"/>
  <c r="Q570" i="11"/>
  <c r="Q564" i="11"/>
  <c r="Q558" i="11"/>
  <c r="Q552" i="11"/>
  <c r="Q546" i="11"/>
  <c r="Q540" i="11"/>
  <c r="Q534" i="11"/>
  <c r="S534" i="11" s="1"/>
  <c r="U534" i="11" s="1"/>
  <c r="Q528" i="11"/>
  <c r="S528" i="11" s="1"/>
  <c r="U528" i="11" s="1"/>
  <c r="Q522" i="11"/>
  <c r="S522" i="11" s="1"/>
  <c r="U522" i="11" s="1"/>
  <c r="Q516" i="11"/>
  <c r="S516" i="11" s="1"/>
  <c r="U516" i="11" s="1"/>
  <c r="Q510" i="11"/>
  <c r="S510" i="11" s="1"/>
  <c r="U510" i="11" s="1"/>
  <c r="Q504" i="11"/>
  <c r="Q498" i="11"/>
  <c r="Q491" i="11"/>
  <c r="Q485" i="11"/>
  <c r="Q479" i="11"/>
  <c r="Q473" i="11"/>
  <c r="Q467" i="11"/>
  <c r="Q461" i="11"/>
  <c r="S461" i="11" s="1"/>
  <c r="U461" i="11" s="1"/>
  <c r="Q455" i="11"/>
  <c r="Q449" i="11"/>
  <c r="S449" i="11" s="1"/>
  <c r="U449" i="11" s="1"/>
  <c r="Q443" i="11"/>
  <c r="S443" i="11" s="1"/>
  <c r="U443" i="11" s="1"/>
  <c r="Q437" i="11"/>
  <c r="S437" i="11" s="1"/>
  <c r="U437" i="11" s="1"/>
  <c r="Q431" i="11"/>
  <c r="Q425" i="11"/>
  <c r="Q419" i="11"/>
  <c r="Q413" i="11"/>
  <c r="Q407" i="11"/>
  <c r="Q401" i="11"/>
  <c r="Q395" i="11"/>
  <c r="Q389" i="11"/>
  <c r="S389" i="11" s="1"/>
  <c r="U389" i="11" s="1"/>
  <c r="Q383" i="11"/>
  <c r="S383" i="11" s="1"/>
  <c r="U383" i="11" s="1"/>
  <c r="Q277" i="11"/>
  <c r="S277" i="11" s="1"/>
  <c r="U277" i="11" s="1"/>
  <c r="Q271" i="11"/>
  <c r="S271" i="11" s="1"/>
  <c r="U271" i="11" s="1"/>
  <c r="Q265" i="11"/>
  <c r="S265" i="11" s="1"/>
  <c r="U265" i="11" s="1"/>
  <c r="Q259" i="11"/>
  <c r="Q253" i="11"/>
  <c r="Q247" i="11"/>
  <c r="Q241" i="11"/>
  <c r="Q235" i="11"/>
  <c r="Q229" i="11"/>
  <c r="Q223" i="11"/>
  <c r="S223" i="11" s="1"/>
  <c r="U223" i="11" s="1"/>
  <c r="Q217" i="11"/>
  <c r="S217" i="11" s="1"/>
  <c r="U217" i="11" s="1"/>
  <c r="Q211" i="11"/>
  <c r="S211" i="11" s="1"/>
  <c r="U211" i="11" s="1"/>
  <c r="Q205" i="11"/>
  <c r="S205" i="11" s="1"/>
  <c r="U205" i="11" s="1"/>
  <c r="Q199" i="11"/>
  <c r="S199" i="11" s="1"/>
  <c r="U199" i="11" s="1"/>
  <c r="Q193" i="11"/>
  <c r="S193" i="11" s="1"/>
  <c r="U193" i="11" s="1"/>
  <c r="Q187" i="11"/>
  <c r="Q181" i="11"/>
  <c r="Q175" i="11"/>
  <c r="Q169" i="11"/>
  <c r="Q163" i="11"/>
  <c r="Q157" i="11"/>
  <c r="Q151" i="11"/>
  <c r="Q145" i="11"/>
  <c r="S145" i="11" s="1"/>
  <c r="U145" i="11" s="1"/>
  <c r="Q139" i="11"/>
  <c r="S139" i="11" s="1"/>
  <c r="U139" i="11" s="1"/>
  <c r="Q133" i="11"/>
  <c r="S133" i="11" s="1"/>
  <c r="U133" i="11" s="1"/>
  <c r="Q127" i="11"/>
  <c r="S127" i="11" s="1"/>
  <c r="U127" i="11" s="1"/>
  <c r="Q121" i="11"/>
  <c r="S121" i="11" s="1"/>
  <c r="U121" i="11" s="1"/>
  <c r="Q115" i="11"/>
  <c r="Q109" i="11"/>
  <c r="Q103" i="11"/>
  <c r="Q97" i="11"/>
  <c r="Q90" i="11"/>
  <c r="Q84" i="11"/>
  <c r="Q78" i="11"/>
  <c r="Q72" i="11"/>
  <c r="S72" i="11" s="1"/>
  <c r="U72" i="11" s="1"/>
  <c r="Q66" i="11"/>
  <c r="S66" i="11" s="1"/>
  <c r="U66" i="11" s="1"/>
  <c r="Q60" i="11"/>
  <c r="S60" i="11" s="1"/>
  <c r="U60" i="11" s="1"/>
  <c r="Q54" i="11"/>
  <c r="S54" i="11" s="1"/>
  <c r="U54" i="11" s="1"/>
  <c r="Q48" i="11"/>
  <c r="S48" i="11" s="1"/>
  <c r="U48" i="11" s="1"/>
  <c r="Q42" i="11"/>
  <c r="Q36" i="11"/>
  <c r="Q30" i="11"/>
  <c r="Q24" i="11"/>
  <c r="Q18" i="11"/>
  <c r="Q12" i="11"/>
  <c r="Q6" i="11"/>
  <c r="Q264" i="11"/>
  <c r="S264" i="11" s="1"/>
  <c r="U264" i="11" s="1"/>
  <c r="Q258" i="11"/>
  <c r="S258" i="11" s="1"/>
  <c r="U258" i="11" s="1"/>
  <c r="Q252" i="11"/>
  <c r="S252" i="11" s="1"/>
  <c r="U252" i="11" s="1"/>
  <c r="Q246" i="11"/>
  <c r="S246" i="11" s="1"/>
  <c r="U246" i="11" s="1"/>
  <c r="Q240" i="11"/>
  <c r="S240" i="11" s="1"/>
  <c r="U240" i="11" s="1"/>
  <c r="Q234" i="11"/>
  <c r="Q228" i="11"/>
  <c r="Q222" i="11"/>
  <c r="Q216" i="11"/>
  <c r="Q210" i="11"/>
  <c r="Q204" i="11"/>
  <c r="Q198" i="11"/>
  <c r="Q192" i="11"/>
  <c r="S192" i="11" s="1"/>
  <c r="U192" i="11" s="1"/>
  <c r="Q186" i="11"/>
  <c r="S186" i="11" s="1"/>
  <c r="U186" i="11" s="1"/>
  <c r="Q180" i="11"/>
  <c r="S180" i="11" s="1"/>
  <c r="U180" i="11" s="1"/>
  <c r="Q174" i="11"/>
  <c r="S174" i="11" s="1"/>
  <c r="U174" i="11" s="1"/>
  <c r="Q168" i="11"/>
  <c r="S168" i="11" s="1"/>
  <c r="U168" i="11" s="1"/>
  <c r="Q162" i="11"/>
  <c r="Q156" i="11"/>
  <c r="Q150" i="11"/>
  <c r="Q144" i="11"/>
  <c r="Q138" i="11"/>
  <c r="Q132" i="11"/>
  <c r="Q126" i="11"/>
  <c r="Q120" i="11"/>
  <c r="S120" i="11" s="1"/>
  <c r="U120" i="11" s="1"/>
  <c r="Q114" i="11"/>
  <c r="Q108" i="11"/>
  <c r="Q102" i="11"/>
  <c r="S102" i="11" s="1"/>
  <c r="U102" i="11" s="1"/>
  <c r="Q96" i="11"/>
  <c r="S96" i="11" s="1"/>
  <c r="U96" i="11" s="1"/>
  <c r="Q89" i="11"/>
  <c r="Q83" i="11"/>
  <c r="Q77" i="11"/>
  <c r="Q71" i="11"/>
  <c r="Q65" i="11"/>
  <c r="Q59" i="11"/>
  <c r="Q53" i="11"/>
  <c r="S53" i="11" s="1"/>
  <c r="U53" i="11" s="1"/>
  <c r="Q47" i="11"/>
  <c r="Q41" i="11"/>
  <c r="S41" i="11" s="1"/>
  <c r="U41" i="11" s="1"/>
  <c r="Q35" i="11"/>
  <c r="S35" i="11" s="1"/>
  <c r="U35" i="11" s="1"/>
  <c r="Q29" i="11"/>
  <c r="S29" i="11" s="1"/>
  <c r="U29" i="11" s="1"/>
  <c r="Q23" i="11"/>
  <c r="S23" i="11" s="1"/>
  <c r="U23" i="11" s="1"/>
  <c r="Q17" i="11"/>
  <c r="Q11" i="11"/>
  <c r="Q5" i="11"/>
  <c r="S677" i="11"/>
  <c r="U677" i="11" s="1"/>
  <c r="S567" i="11"/>
  <c r="U567" i="11" s="1"/>
  <c r="S556" i="11"/>
  <c r="U556" i="11" s="1"/>
  <c r="S418" i="11"/>
  <c r="U418" i="11" s="1"/>
  <c r="S242" i="11"/>
  <c r="U242" i="11" s="1"/>
  <c r="S589" i="11"/>
  <c r="U589" i="11" s="1"/>
  <c r="S578" i="11"/>
  <c r="U578" i="11" s="1"/>
  <c r="S568" i="11"/>
  <c r="U568" i="11" s="1"/>
  <c r="S558" i="11"/>
  <c r="U558" i="11" s="1"/>
  <c r="S527" i="11"/>
  <c r="U527" i="11" s="1"/>
  <c r="S506" i="11"/>
  <c r="U506" i="11" s="1"/>
  <c r="S495" i="11"/>
  <c r="U495" i="11" s="1"/>
  <c r="S485" i="11"/>
  <c r="U485" i="11" s="1"/>
  <c r="S454" i="11"/>
  <c r="U454" i="11" s="1"/>
  <c r="S420" i="11"/>
  <c r="U420" i="11" s="1"/>
  <c r="S408" i="11"/>
  <c r="U408" i="11" s="1"/>
  <c r="S396" i="11"/>
  <c r="U396" i="11" s="1"/>
  <c r="S243" i="11"/>
  <c r="U243" i="11" s="1"/>
  <c r="S197" i="11"/>
  <c r="U197" i="11" s="1"/>
  <c r="S173" i="11"/>
  <c r="U173" i="11" s="1"/>
  <c r="S125" i="11"/>
  <c r="U125" i="11" s="1"/>
  <c r="S101" i="11"/>
  <c r="U101" i="11" s="1"/>
  <c r="S52" i="11"/>
  <c r="U52" i="11" s="1"/>
  <c r="S28" i="11"/>
  <c r="U28" i="11" s="1"/>
  <c r="S171" i="11"/>
  <c r="U171" i="11" s="1"/>
  <c r="S706" i="11"/>
  <c r="U706" i="11" s="1"/>
  <c r="S694" i="11"/>
  <c r="U694" i="11" s="1"/>
  <c r="S688" i="11"/>
  <c r="U688" i="11" s="1"/>
  <c r="S682" i="11"/>
  <c r="U682" i="11" s="1"/>
  <c r="S676" i="11"/>
  <c r="U676" i="11" s="1"/>
  <c r="S670" i="11"/>
  <c r="U670" i="11" s="1"/>
  <c r="S664" i="11"/>
  <c r="U664" i="11" s="1"/>
  <c r="S658" i="11"/>
  <c r="U658" i="11" s="1"/>
  <c r="S652" i="11"/>
  <c r="U652" i="11" s="1"/>
  <c r="S646" i="11"/>
  <c r="U646" i="11" s="1"/>
  <c r="S640" i="11"/>
  <c r="U640" i="11" s="1"/>
  <c r="S634" i="11"/>
  <c r="U634" i="11" s="1"/>
  <c r="S596" i="11"/>
  <c r="U596" i="11" s="1"/>
  <c r="S586" i="11"/>
  <c r="U586" i="11" s="1"/>
  <c r="S576" i="11"/>
  <c r="U576" i="11" s="1"/>
  <c r="S545" i="11"/>
  <c r="U545" i="11" s="1"/>
  <c r="S514" i="11"/>
  <c r="U514" i="11" s="1"/>
  <c r="S504" i="11"/>
  <c r="U504" i="11" s="1"/>
  <c r="S472" i="11"/>
  <c r="U472" i="11" s="1"/>
  <c r="S441" i="11"/>
  <c r="U441" i="11" s="1"/>
  <c r="S429" i="11"/>
  <c r="U429" i="11" s="1"/>
  <c r="S417" i="11"/>
  <c r="U417" i="11" s="1"/>
  <c r="S275" i="11"/>
  <c r="U275" i="11" s="1"/>
  <c r="S257" i="11"/>
  <c r="U257" i="11" s="1"/>
  <c r="S191" i="11"/>
  <c r="U191" i="11" s="1"/>
  <c r="S119" i="11"/>
  <c r="U119" i="11" s="1"/>
  <c r="S46" i="11"/>
  <c r="U46" i="11" s="1"/>
  <c r="S695" i="11"/>
  <c r="U695" i="11" s="1"/>
  <c r="S671" i="11"/>
  <c r="U671" i="11" s="1"/>
  <c r="S617" i="11"/>
  <c r="U617" i="11" s="1"/>
  <c r="S419" i="11"/>
  <c r="U419" i="11" s="1"/>
  <c r="S99" i="11"/>
  <c r="U99" i="11" s="1"/>
  <c r="S566" i="11"/>
  <c r="U566" i="11" s="1"/>
  <c r="S585" i="11"/>
  <c r="U585" i="11" s="1"/>
  <c r="S575" i="11"/>
  <c r="U575" i="11" s="1"/>
  <c r="S565" i="11"/>
  <c r="U565" i="11" s="1"/>
  <c r="S544" i="11"/>
  <c r="U544" i="11" s="1"/>
  <c r="S513" i="11"/>
  <c r="U513" i="11" s="1"/>
  <c r="S503" i="11"/>
  <c r="U503" i="11" s="1"/>
  <c r="S492" i="11"/>
  <c r="U492" i="11" s="1"/>
  <c r="S481" i="11"/>
  <c r="U481" i="11" s="1"/>
  <c r="S427" i="11"/>
  <c r="U427" i="11" s="1"/>
  <c r="S391" i="11"/>
  <c r="U391" i="11" s="1"/>
  <c r="S273" i="11"/>
  <c r="U273" i="11" s="1"/>
  <c r="S237" i="11"/>
  <c r="U237" i="11" s="1"/>
  <c r="S165" i="11"/>
  <c r="U165" i="11" s="1"/>
  <c r="S141" i="11"/>
  <c r="U141" i="11" s="1"/>
  <c r="S93" i="11"/>
  <c r="U93" i="11" s="1"/>
  <c r="S20" i="11"/>
  <c r="U20" i="11" s="1"/>
  <c r="S665" i="11"/>
  <c r="U665" i="11" s="1"/>
  <c r="S557" i="11"/>
  <c r="U557" i="11" s="1"/>
  <c r="S26" i="11"/>
  <c r="U26" i="11" s="1"/>
  <c r="S546" i="11"/>
  <c r="U546" i="11" s="1"/>
  <c r="S452" i="11"/>
  <c r="U452" i="11" s="1"/>
  <c r="S705" i="11"/>
  <c r="U705" i="11" s="1"/>
  <c r="S699" i="11"/>
  <c r="U699" i="11" s="1"/>
  <c r="S693" i="11"/>
  <c r="U693" i="11" s="1"/>
  <c r="S687" i="11"/>
  <c r="U687" i="11" s="1"/>
  <c r="S681" i="11"/>
  <c r="U681" i="11" s="1"/>
  <c r="S669" i="11"/>
  <c r="U669" i="11" s="1"/>
  <c r="S645" i="11"/>
  <c r="U645" i="11" s="1"/>
  <c r="S639" i="11"/>
  <c r="U639" i="11" s="1"/>
  <c r="S633" i="11"/>
  <c r="U633" i="11" s="1"/>
  <c r="S627" i="11"/>
  <c r="U627" i="11" s="1"/>
  <c r="S621" i="11"/>
  <c r="U621" i="11" s="1"/>
  <c r="S605" i="11"/>
  <c r="U605" i="11" s="1"/>
  <c r="S584" i="11"/>
  <c r="U584" i="11" s="1"/>
  <c r="S574" i="11"/>
  <c r="U574" i="11" s="1"/>
  <c r="S564" i="11"/>
  <c r="U564" i="11" s="1"/>
  <c r="S512" i="11"/>
  <c r="U512" i="11" s="1"/>
  <c r="S502" i="11"/>
  <c r="U502" i="11" s="1"/>
  <c r="S491" i="11"/>
  <c r="U491" i="11" s="1"/>
  <c r="S470" i="11"/>
  <c r="U470" i="11" s="1"/>
  <c r="S460" i="11"/>
  <c r="U460" i="11" s="1"/>
  <c r="S219" i="11"/>
  <c r="U219" i="11" s="1"/>
  <c r="S614" i="11"/>
  <c r="U614" i="11" s="1"/>
  <c r="S573" i="11"/>
  <c r="U573" i="11" s="1"/>
  <c r="S553" i="11"/>
  <c r="U553" i="11" s="1"/>
  <c r="S542" i="11"/>
  <c r="U542" i="11" s="1"/>
  <c r="S501" i="11"/>
  <c r="U501" i="11" s="1"/>
  <c r="S490" i="11"/>
  <c r="U490" i="11" s="1"/>
  <c r="S480" i="11"/>
  <c r="U480" i="11" s="1"/>
  <c r="S469" i="11"/>
  <c r="U469" i="11" s="1"/>
  <c r="S426" i="11"/>
  <c r="U426" i="11" s="1"/>
  <c r="S414" i="11"/>
  <c r="U414" i="11" s="1"/>
  <c r="S402" i="11"/>
  <c r="U402" i="11" s="1"/>
  <c r="S390" i="11"/>
  <c r="U390" i="11" s="1"/>
  <c r="S254" i="11"/>
  <c r="U254" i="11" s="1"/>
  <c r="S185" i="11"/>
  <c r="U185" i="11" s="1"/>
  <c r="S113" i="11"/>
  <c r="U113" i="11" s="1"/>
  <c r="S88" i="11"/>
  <c r="U88" i="11" s="1"/>
  <c r="S40" i="11"/>
  <c r="U40" i="11" s="1"/>
  <c r="S674" i="11"/>
  <c r="U674" i="11" s="1"/>
  <c r="S668" i="11"/>
  <c r="U668" i="11" s="1"/>
  <c r="S662" i="11"/>
  <c r="U662" i="11" s="1"/>
  <c r="S656" i="11"/>
  <c r="U656" i="11" s="1"/>
  <c r="S650" i="11"/>
  <c r="U650" i="11" s="1"/>
  <c r="S644" i="11"/>
  <c r="U644" i="11" s="1"/>
  <c r="S638" i="11"/>
  <c r="U638" i="11" s="1"/>
  <c r="S620" i="11"/>
  <c r="U620" i="11" s="1"/>
  <c r="S593" i="11"/>
  <c r="U593" i="11" s="1"/>
  <c r="S562" i="11"/>
  <c r="U562" i="11" s="1"/>
  <c r="S552" i="11"/>
  <c r="U552" i="11" s="1"/>
  <c r="S521" i="11"/>
  <c r="U521" i="11" s="1"/>
  <c r="S489" i="11"/>
  <c r="U489" i="11" s="1"/>
  <c r="S479" i="11"/>
  <c r="U479" i="11" s="1"/>
  <c r="S425" i="11"/>
  <c r="U425" i="11" s="1"/>
  <c r="S413" i="11"/>
  <c r="U413" i="11" s="1"/>
  <c r="S401" i="11"/>
  <c r="U401" i="11" s="1"/>
  <c r="S269" i="11"/>
  <c r="U269" i="11" s="1"/>
  <c r="S251" i="11"/>
  <c r="U251" i="11" s="1"/>
  <c r="S231" i="11"/>
  <c r="U231" i="11" s="1"/>
  <c r="S207" i="11"/>
  <c r="U207" i="11" s="1"/>
  <c r="S159" i="11"/>
  <c r="U159" i="11" s="1"/>
  <c r="S86" i="11"/>
  <c r="U86" i="11" s="1"/>
  <c r="S14" i="11"/>
  <c r="U14" i="11" s="1"/>
  <c r="S683" i="11"/>
  <c r="U683" i="11" s="1"/>
  <c r="S484" i="11"/>
  <c r="U484" i="11" s="1"/>
  <c r="S407" i="11"/>
  <c r="U407" i="11" s="1"/>
  <c r="S147" i="11"/>
  <c r="U147" i="11" s="1"/>
  <c r="S493" i="11"/>
  <c r="U493" i="11" s="1"/>
  <c r="S442" i="11"/>
  <c r="U442" i="11" s="1"/>
  <c r="S613" i="11"/>
  <c r="U613" i="11" s="1"/>
  <c r="S602" i="11"/>
  <c r="U602" i="11" s="1"/>
  <c r="S592" i="11"/>
  <c r="U592" i="11" s="1"/>
  <c r="S561" i="11"/>
  <c r="U561" i="11" s="1"/>
  <c r="S541" i="11"/>
  <c r="U541" i="11" s="1"/>
  <c r="S530" i="11"/>
  <c r="U530" i="11" s="1"/>
  <c r="S520" i="11"/>
  <c r="U520" i="11" s="1"/>
  <c r="S488" i="11"/>
  <c r="U488" i="11" s="1"/>
  <c r="S468" i="11"/>
  <c r="U468" i="11" s="1"/>
  <c r="S457" i="11"/>
  <c r="U457" i="11" s="1"/>
  <c r="S447" i="11"/>
  <c r="U447" i="11" s="1"/>
  <c r="S436" i="11"/>
  <c r="U436" i="11" s="1"/>
  <c r="S385" i="11"/>
  <c r="U385" i="11" s="1"/>
  <c r="S249" i="11"/>
  <c r="U249" i="11" s="1"/>
  <c r="S597" i="11"/>
  <c r="U597" i="11" s="1"/>
  <c r="S394" i="11"/>
  <c r="U394" i="11" s="1"/>
  <c r="S703" i="11"/>
  <c r="U703" i="11" s="1"/>
  <c r="S697" i="11"/>
  <c r="U697" i="11" s="1"/>
  <c r="S691" i="11"/>
  <c r="U691" i="11" s="1"/>
  <c r="S685" i="11"/>
  <c r="U685" i="11" s="1"/>
  <c r="S679" i="11"/>
  <c r="U679" i="11" s="1"/>
  <c r="S673" i="11"/>
  <c r="U673" i="11" s="1"/>
  <c r="S667" i="11"/>
  <c r="U667" i="11" s="1"/>
  <c r="S661" i="11"/>
  <c r="U661" i="11" s="1"/>
  <c r="S631" i="11"/>
  <c r="U631" i="11" s="1"/>
  <c r="S625" i="11"/>
  <c r="U625" i="11" s="1"/>
  <c r="S619" i="11"/>
  <c r="U619" i="11" s="1"/>
  <c r="S612" i="11"/>
  <c r="U612" i="11" s="1"/>
  <c r="S591" i="11"/>
  <c r="U591" i="11" s="1"/>
  <c r="S581" i="11"/>
  <c r="U581" i="11" s="1"/>
  <c r="S571" i="11"/>
  <c r="U571" i="11" s="1"/>
  <c r="S560" i="11"/>
  <c r="U560" i="11" s="1"/>
  <c r="S550" i="11"/>
  <c r="U550" i="11" s="1"/>
  <c r="S540" i="11"/>
  <c r="U540" i="11" s="1"/>
  <c r="S519" i="11"/>
  <c r="U519" i="11" s="1"/>
  <c r="S509" i="11"/>
  <c r="U509" i="11" s="1"/>
  <c r="S499" i="11"/>
  <c r="U499" i="11" s="1"/>
  <c r="S467" i="11"/>
  <c r="U467" i="11" s="1"/>
  <c r="S446" i="11"/>
  <c r="U446" i="11" s="1"/>
  <c r="S435" i="11"/>
  <c r="U435" i="11" s="1"/>
  <c r="S423" i="11"/>
  <c r="U423" i="11" s="1"/>
  <c r="S411" i="11"/>
  <c r="U411" i="11" s="1"/>
  <c r="S203" i="11"/>
  <c r="U203" i="11" s="1"/>
  <c r="S179" i="11"/>
  <c r="U179" i="11" s="1"/>
  <c r="S155" i="11"/>
  <c r="U155" i="11" s="1"/>
  <c r="S131" i="11"/>
  <c r="U131" i="11" s="1"/>
  <c r="S107" i="11"/>
  <c r="U107" i="11" s="1"/>
  <c r="S58" i="11"/>
  <c r="U58" i="11" s="1"/>
  <c r="S34" i="11"/>
  <c r="U34" i="11" s="1"/>
  <c r="S659" i="11"/>
  <c r="U659" i="11" s="1"/>
  <c r="S608" i="11"/>
  <c r="U608" i="11" s="1"/>
  <c r="S547" i="11"/>
  <c r="U547" i="11" s="1"/>
  <c r="S474" i="11"/>
  <c r="U474" i="11" s="1"/>
  <c r="S431" i="11"/>
  <c r="U431" i="11" s="1"/>
  <c r="S74" i="11"/>
  <c r="U74" i="11" s="1"/>
  <c r="S525" i="11"/>
  <c r="U525" i="11" s="1"/>
  <c r="S406" i="11"/>
  <c r="U406" i="11" s="1"/>
  <c r="S611" i="11"/>
  <c r="U611" i="11" s="1"/>
  <c r="S580" i="11"/>
  <c r="U580" i="11" s="1"/>
  <c r="S570" i="11"/>
  <c r="U570" i="11" s="1"/>
  <c r="S539" i="11"/>
  <c r="U539" i="11" s="1"/>
  <c r="S529" i="11"/>
  <c r="U529" i="11" s="1"/>
  <c r="S518" i="11"/>
  <c r="U518" i="11" s="1"/>
  <c r="S508" i="11"/>
  <c r="U508" i="11" s="1"/>
  <c r="S498" i="11"/>
  <c r="U498" i="11" s="1"/>
  <c r="S466" i="11"/>
  <c r="U466" i="11" s="1"/>
  <c r="S445" i="11"/>
  <c r="U445" i="11" s="1"/>
  <c r="S421" i="11"/>
  <c r="U421" i="11" s="1"/>
  <c r="S409" i="11"/>
  <c r="U409" i="11" s="1"/>
  <c r="S248" i="11"/>
  <c r="U248" i="11" s="1"/>
  <c r="S225" i="11"/>
  <c r="U225" i="11" s="1"/>
  <c r="S201" i="11"/>
  <c r="U201" i="11" s="1"/>
  <c r="S177" i="11"/>
  <c r="U177" i="11" s="1"/>
  <c r="S153" i="11"/>
  <c r="U153" i="11" s="1"/>
  <c r="S105" i="11"/>
  <c r="U105" i="11" s="1"/>
  <c r="S80" i="11"/>
  <c r="U80" i="11" s="1"/>
  <c r="S32" i="11"/>
  <c r="U32" i="11" s="1"/>
  <c r="S8" i="11"/>
  <c r="U8" i="11" s="1"/>
  <c r="S689" i="11"/>
  <c r="U689" i="11" s="1"/>
  <c r="S623" i="11"/>
  <c r="U623" i="11" s="1"/>
  <c r="S494" i="11"/>
  <c r="U494" i="11" s="1"/>
  <c r="S395" i="11"/>
  <c r="U395" i="11" s="1"/>
  <c r="S473" i="11"/>
  <c r="U473" i="11" s="1"/>
  <c r="S430" i="11"/>
  <c r="U430" i="11" s="1"/>
  <c r="S702" i="11"/>
  <c r="U702" i="11" s="1"/>
  <c r="S696" i="11"/>
  <c r="U696" i="11" s="1"/>
  <c r="S690" i="11"/>
  <c r="U690" i="11" s="1"/>
  <c r="S684" i="11"/>
  <c r="U684" i="11" s="1"/>
  <c r="S660" i="11"/>
  <c r="U660" i="11" s="1"/>
  <c r="S654" i="11"/>
  <c r="U654" i="11" s="1"/>
  <c r="S648" i="11"/>
  <c r="U648" i="11" s="1"/>
  <c r="S642" i="11"/>
  <c r="U642" i="11" s="1"/>
  <c r="S636" i="11"/>
  <c r="U636" i="11" s="1"/>
  <c r="S630" i="11"/>
  <c r="U630" i="11" s="1"/>
  <c r="S624" i="11"/>
  <c r="U624" i="11" s="1"/>
  <c r="S610" i="11"/>
  <c r="U610" i="11" s="1"/>
  <c r="S600" i="11"/>
  <c r="U600" i="11" s="1"/>
  <c r="S579" i="11"/>
  <c r="U579" i="11" s="1"/>
  <c r="S569" i="11"/>
  <c r="U569" i="11" s="1"/>
  <c r="S559" i="11"/>
  <c r="U559" i="11" s="1"/>
  <c r="S548" i="11"/>
  <c r="U548" i="11" s="1"/>
  <c r="S507" i="11"/>
  <c r="U507" i="11" s="1"/>
  <c r="S486" i="11"/>
  <c r="U486" i="11" s="1"/>
  <c r="S475" i="11"/>
  <c r="U475" i="11" s="1"/>
  <c r="S455" i="11"/>
  <c r="U455" i="11" s="1"/>
  <c r="S263" i="11"/>
  <c r="U263" i="11" s="1"/>
  <c r="S245" i="11"/>
  <c r="U245" i="11" s="1"/>
  <c r="S236" i="11"/>
  <c r="U236" i="11" s="1"/>
  <c r="S230" i="11"/>
  <c r="U230" i="11" s="1"/>
  <c r="S224" i="11"/>
  <c r="U224" i="11" s="1"/>
  <c r="S182" i="11"/>
  <c r="U182" i="11" s="1"/>
  <c r="S176" i="11"/>
  <c r="U176" i="11" s="1"/>
  <c r="S170" i="11"/>
  <c r="U170" i="11" s="1"/>
  <c r="S164" i="11"/>
  <c r="U164" i="11" s="1"/>
  <c r="S158" i="11"/>
  <c r="U158" i="11" s="1"/>
  <c r="S152" i="11"/>
  <c r="U152" i="11" s="1"/>
  <c r="S146" i="11"/>
  <c r="U146" i="11" s="1"/>
  <c r="S110" i="11"/>
  <c r="U110" i="11" s="1"/>
  <c r="S104" i="11"/>
  <c r="U104" i="11" s="1"/>
  <c r="S98" i="11"/>
  <c r="U98" i="11" s="1"/>
  <c r="S92" i="11"/>
  <c r="U92" i="11" s="1"/>
  <c r="S85" i="11"/>
  <c r="U85" i="11" s="1"/>
  <c r="S79" i="11"/>
  <c r="U79" i="11" s="1"/>
  <c r="S73" i="11"/>
  <c r="U73" i="11" s="1"/>
  <c r="S55" i="11"/>
  <c r="U55" i="11" s="1"/>
  <c r="S37" i="11"/>
  <c r="U37" i="11" s="1"/>
  <c r="S31" i="11"/>
  <c r="U31" i="11" s="1"/>
  <c r="S25" i="11"/>
  <c r="U25" i="11" s="1"/>
  <c r="S19" i="11"/>
  <c r="U19" i="11" s="1"/>
  <c r="S13" i="11"/>
  <c r="U13" i="11" s="1"/>
  <c r="S7" i="11"/>
  <c r="U7" i="11" s="1"/>
  <c r="S259" i="11"/>
  <c r="U259" i="11" s="1"/>
  <c r="S253" i="11"/>
  <c r="U253" i="11" s="1"/>
  <c r="S247" i="11"/>
  <c r="U247" i="11" s="1"/>
  <c r="S241" i="11"/>
  <c r="U241" i="11" s="1"/>
  <c r="S235" i="11"/>
  <c r="U235" i="11" s="1"/>
  <c r="S229" i="11"/>
  <c r="U229" i="11" s="1"/>
  <c r="S187" i="11"/>
  <c r="U187" i="11" s="1"/>
  <c r="S181" i="11"/>
  <c r="U181" i="11" s="1"/>
  <c r="S175" i="11"/>
  <c r="U175" i="11" s="1"/>
  <c r="S169" i="11"/>
  <c r="U169" i="11" s="1"/>
  <c r="S163" i="11"/>
  <c r="U163" i="11" s="1"/>
  <c r="S157" i="11"/>
  <c r="U157" i="11" s="1"/>
  <c r="S151" i="11"/>
  <c r="U151" i="11" s="1"/>
  <c r="S115" i="11"/>
  <c r="U115" i="11" s="1"/>
  <c r="S109" i="11"/>
  <c r="U109" i="11" s="1"/>
  <c r="S103" i="11"/>
  <c r="U103" i="11" s="1"/>
  <c r="S97" i="11"/>
  <c r="U97" i="11" s="1"/>
  <c r="S90" i="11"/>
  <c r="U90" i="11" s="1"/>
  <c r="S84" i="11"/>
  <c r="U84" i="11" s="1"/>
  <c r="S78" i="11"/>
  <c r="U78" i="11" s="1"/>
  <c r="S42" i="11"/>
  <c r="U42" i="11" s="1"/>
  <c r="S36" i="11"/>
  <c r="U36" i="11" s="1"/>
  <c r="S30" i="11"/>
  <c r="U30" i="11" s="1"/>
  <c r="S24" i="11"/>
  <c r="U24" i="11" s="1"/>
  <c r="S18" i="11"/>
  <c r="U18" i="11" s="1"/>
  <c r="S12" i="11"/>
  <c r="U12" i="11" s="1"/>
  <c r="S6" i="11"/>
  <c r="U6" i="11" s="1"/>
  <c r="S382" i="11"/>
  <c r="U382" i="11" s="1"/>
  <c r="S270" i="11"/>
  <c r="U270" i="11" s="1"/>
  <c r="S234" i="11"/>
  <c r="U234" i="11" s="1"/>
  <c r="S228" i="11"/>
  <c r="U228" i="11" s="1"/>
  <c r="S222" i="11"/>
  <c r="U222" i="11" s="1"/>
  <c r="S216" i="11"/>
  <c r="U216" i="11" s="1"/>
  <c r="S210" i="11"/>
  <c r="U210" i="11" s="1"/>
  <c r="S204" i="11"/>
  <c r="U204" i="11" s="1"/>
  <c r="S198" i="11"/>
  <c r="U198" i="11" s="1"/>
  <c r="S162" i="11"/>
  <c r="U162" i="11" s="1"/>
  <c r="S156" i="11"/>
  <c r="U156" i="11" s="1"/>
  <c r="S150" i="11"/>
  <c r="U150" i="11" s="1"/>
  <c r="S144" i="11"/>
  <c r="U144" i="11" s="1"/>
  <c r="S138" i="11"/>
  <c r="U138" i="11" s="1"/>
  <c r="S132" i="11"/>
  <c r="U132" i="11" s="1"/>
  <c r="S126" i="11"/>
  <c r="U126" i="11" s="1"/>
  <c r="S114" i="11"/>
  <c r="U114" i="11" s="1"/>
  <c r="S108" i="11"/>
  <c r="U108" i="11" s="1"/>
  <c r="S89" i="11"/>
  <c r="U89" i="11" s="1"/>
  <c r="S83" i="11"/>
  <c r="U83" i="11" s="1"/>
  <c r="S77" i="11"/>
  <c r="U77" i="11" s="1"/>
  <c r="S71" i="11"/>
  <c r="U71" i="11" s="1"/>
  <c r="S65" i="11"/>
  <c r="U65" i="11" s="1"/>
  <c r="S59" i="11"/>
  <c r="U59" i="11" s="1"/>
  <c r="S47" i="11"/>
  <c r="U47" i="11" s="1"/>
  <c r="S17" i="11"/>
  <c r="U17" i="11" s="1"/>
  <c r="S11" i="11"/>
  <c r="U11" i="11" s="1"/>
  <c r="S5" i="11"/>
  <c r="U5" i="11" s="1"/>
  <c r="S4" i="11"/>
  <c r="U4" i="11" s="1"/>
  <c r="S440" i="11"/>
  <c r="U440" i="11" s="1"/>
  <c r="S434" i="11"/>
  <c r="U434" i="11" s="1"/>
  <c r="S428" i="11"/>
  <c r="U428" i="11" s="1"/>
  <c r="S422" i="11"/>
  <c r="U422" i="11" s="1"/>
  <c r="S280" i="11"/>
  <c r="U280" i="11" s="1"/>
  <c r="S274" i="11"/>
  <c r="U274" i="11" s="1"/>
  <c r="S268" i="11"/>
  <c r="U268" i="11" s="1"/>
  <c r="S262" i="11"/>
  <c r="U262" i="11" s="1"/>
  <c r="S256" i="11"/>
  <c r="U256" i="11" s="1"/>
  <c r="S250" i="11"/>
  <c r="U250" i="11" s="1"/>
  <c r="S208" i="11"/>
  <c r="U208" i="11" s="1"/>
  <c r="S202" i="11"/>
  <c r="U202" i="11" s="1"/>
  <c r="S196" i="11"/>
  <c r="U196" i="11" s="1"/>
  <c r="S190" i="11"/>
  <c r="U190" i="11" s="1"/>
  <c r="S184" i="11"/>
  <c r="U184" i="11" s="1"/>
  <c r="S178" i="11"/>
  <c r="U178" i="11" s="1"/>
  <c r="S172" i="11"/>
  <c r="U172" i="11" s="1"/>
  <c r="S136" i="11"/>
  <c r="U136" i="11" s="1"/>
  <c r="S130" i="11"/>
  <c r="U130" i="11" s="1"/>
  <c r="S124" i="11"/>
  <c r="U124" i="11" s="1"/>
  <c r="S118" i="11"/>
  <c r="U118" i="11" s="1"/>
  <c r="S112" i="11"/>
  <c r="U112" i="11" s="1"/>
  <c r="S106" i="11"/>
  <c r="U106" i="11" s="1"/>
  <c r="S100" i="11"/>
  <c r="U100" i="11" s="1"/>
  <c r="S94" i="11"/>
  <c r="U94" i="11" s="1"/>
  <c r="S63" i="11"/>
  <c r="U63" i="11" s="1"/>
  <c r="S57" i="11"/>
  <c r="U57" i="11" s="1"/>
  <c r="S51" i="11"/>
  <c r="U51" i="11" s="1"/>
  <c r="S45" i="11"/>
  <c r="U45" i="11" s="1"/>
  <c r="S39" i="11"/>
  <c r="U39" i="11" s="1"/>
  <c r="S33" i="11"/>
  <c r="U33" i="11" s="1"/>
  <c r="S27" i="11"/>
  <c r="U27" i="11" s="1"/>
  <c r="S15" i="11"/>
  <c r="U15" i="11" s="1"/>
  <c r="S3" i="11"/>
  <c r="U3" i="11" s="1"/>
  <c r="S2" i="11"/>
  <c r="U2" i="11" s="1"/>
  <c r="P689" i="11"/>
  <c r="R689" i="11" s="1"/>
  <c r="T689" i="11" s="1"/>
  <c r="P653" i="11"/>
  <c r="R653" i="11" s="1"/>
  <c r="T653" i="11" s="1"/>
  <c r="P623" i="11"/>
  <c r="R623" i="11" s="1"/>
  <c r="T623" i="11" s="1"/>
  <c r="P588" i="11"/>
  <c r="R588" i="11" s="1"/>
  <c r="T588" i="11" s="1"/>
  <c r="P484" i="11"/>
  <c r="R484" i="11" s="1"/>
  <c r="T484" i="11" s="1"/>
  <c r="P219" i="11"/>
  <c r="R219" i="11" s="1"/>
  <c r="T219" i="11" s="1"/>
  <c r="W219" i="11" s="1"/>
  <c r="P556" i="11"/>
  <c r="R556" i="11" s="1"/>
  <c r="T556" i="11" s="1"/>
  <c r="W556" i="11" s="1"/>
  <c r="P483" i="11"/>
  <c r="R483" i="11" s="1"/>
  <c r="T483" i="11" s="1"/>
  <c r="P609" i="11"/>
  <c r="R609" i="11" s="1"/>
  <c r="T609" i="11" s="1"/>
  <c r="P599" i="11"/>
  <c r="R599" i="11" s="1"/>
  <c r="T599" i="11" s="1"/>
  <c r="P589" i="11"/>
  <c r="R589" i="11" s="1"/>
  <c r="T589" i="11" s="1"/>
  <c r="P568" i="11"/>
  <c r="R568" i="11" s="1"/>
  <c r="T568" i="11" s="1"/>
  <c r="P558" i="11"/>
  <c r="R558" i="11" s="1"/>
  <c r="T558" i="11" s="1"/>
  <c r="W558" i="11" s="1"/>
  <c r="P548" i="11"/>
  <c r="R548" i="11" s="1"/>
  <c r="T548" i="11" s="1"/>
  <c r="W548" i="11" s="1"/>
  <c r="P537" i="11"/>
  <c r="R537" i="11" s="1"/>
  <c r="T537" i="11" s="1"/>
  <c r="P527" i="11"/>
  <c r="R527" i="11" s="1"/>
  <c r="T527" i="11" s="1"/>
  <c r="W527" i="11" s="1"/>
  <c r="P517" i="11"/>
  <c r="R517" i="11" s="1"/>
  <c r="T517" i="11" s="1"/>
  <c r="P495" i="11"/>
  <c r="R495" i="11" s="1"/>
  <c r="T495" i="11" s="1"/>
  <c r="W495" i="11" s="1"/>
  <c r="P485" i="11"/>
  <c r="R485" i="11" s="1"/>
  <c r="T485" i="11" s="1"/>
  <c r="W485" i="11" s="1"/>
  <c r="P472" i="11"/>
  <c r="R472" i="11" s="1"/>
  <c r="T472" i="11" s="1"/>
  <c r="P455" i="11"/>
  <c r="R455" i="11" s="1"/>
  <c r="T455" i="11" s="1"/>
  <c r="P437" i="11"/>
  <c r="R437" i="11" s="1"/>
  <c r="T437" i="11" s="1"/>
  <c r="P415" i="11"/>
  <c r="R415" i="11" s="1"/>
  <c r="T415" i="11" s="1"/>
  <c r="P391" i="11"/>
  <c r="R391" i="11" s="1"/>
  <c r="T391" i="11" s="1"/>
  <c r="P701" i="11"/>
  <c r="R701" i="11" s="1"/>
  <c r="T701" i="11" s="1"/>
  <c r="P677" i="11"/>
  <c r="R677" i="11" s="1"/>
  <c r="T677" i="11" s="1"/>
  <c r="W677" i="11" s="1"/>
  <c r="P647" i="11"/>
  <c r="R647" i="11" s="1"/>
  <c r="T647" i="11" s="1"/>
  <c r="P629" i="11"/>
  <c r="R629" i="11" s="1"/>
  <c r="T629" i="11" s="1"/>
  <c r="P547" i="11"/>
  <c r="R547" i="11" s="1"/>
  <c r="T547" i="11" s="1"/>
  <c r="P516" i="11"/>
  <c r="R516" i="11" s="1"/>
  <c r="T516" i="11" s="1"/>
  <c r="P454" i="11"/>
  <c r="R454" i="11" s="1"/>
  <c r="T454" i="11" s="1"/>
  <c r="W454" i="11" s="1"/>
  <c r="P74" i="11"/>
  <c r="R74" i="11" s="1"/>
  <c r="T74" i="11" s="1"/>
  <c r="P577" i="11"/>
  <c r="R577" i="11" s="1"/>
  <c r="T577" i="11" s="1"/>
  <c r="P706" i="11"/>
  <c r="R706" i="11" s="1"/>
  <c r="T706" i="11" s="1"/>
  <c r="P700" i="11"/>
  <c r="R700" i="11" s="1"/>
  <c r="T700" i="11" s="1"/>
  <c r="P694" i="11"/>
  <c r="R694" i="11" s="1"/>
  <c r="T694" i="11" s="1"/>
  <c r="P688" i="11"/>
  <c r="R688" i="11" s="1"/>
  <c r="T688" i="11" s="1"/>
  <c r="W688" i="11" s="1"/>
  <c r="P682" i="11"/>
  <c r="R682" i="11" s="1"/>
  <c r="T682" i="11" s="1"/>
  <c r="P676" i="11"/>
  <c r="R676" i="11" s="1"/>
  <c r="T676" i="11" s="1"/>
  <c r="W676" i="11" s="1"/>
  <c r="P670" i="11"/>
  <c r="R670" i="11" s="1"/>
  <c r="T670" i="11" s="1"/>
  <c r="P664" i="11"/>
  <c r="R664" i="11" s="1"/>
  <c r="T664" i="11" s="1"/>
  <c r="P658" i="11"/>
  <c r="R658" i="11" s="1"/>
  <c r="T658" i="11" s="1"/>
  <c r="W658" i="11" s="1"/>
  <c r="P652" i="11"/>
  <c r="R652" i="11" s="1"/>
  <c r="T652" i="11" s="1"/>
  <c r="W652" i="11" s="1"/>
  <c r="P646" i="11"/>
  <c r="R646" i="11" s="1"/>
  <c r="T646" i="11" s="1"/>
  <c r="P640" i="11"/>
  <c r="R640" i="11" s="1"/>
  <c r="T640" i="11" s="1"/>
  <c r="W640" i="11" s="1"/>
  <c r="P634" i="11"/>
  <c r="R634" i="11" s="1"/>
  <c r="T634" i="11" s="1"/>
  <c r="P628" i="11"/>
  <c r="R628" i="11" s="1"/>
  <c r="T628" i="11" s="1"/>
  <c r="P622" i="11"/>
  <c r="R622" i="11" s="1"/>
  <c r="T622" i="11" s="1"/>
  <c r="P616" i="11"/>
  <c r="R616" i="11" s="1"/>
  <c r="T616" i="11" s="1"/>
  <c r="P607" i="11"/>
  <c r="R607" i="11" s="1"/>
  <c r="T607" i="11" s="1"/>
  <c r="P586" i="11"/>
  <c r="R586" i="11" s="1"/>
  <c r="T586" i="11" s="1"/>
  <c r="P576" i="11"/>
  <c r="R576" i="11" s="1"/>
  <c r="T576" i="11" s="1"/>
  <c r="W576" i="11" s="1"/>
  <c r="P566" i="11"/>
  <c r="R566" i="11" s="1"/>
  <c r="T566" i="11" s="1"/>
  <c r="W566" i="11" s="1"/>
  <c r="P555" i="11"/>
  <c r="R555" i="11" s="1"/>
  <c r="T555" i="11" s="1"/>
  <c r="P545" i="11"/>
  <c r="R545" i="11" s="1"/>
  <c r="T545" i="11" s="1"/>
  <c r="P535" i="11"/>
  <c r="R535" i="11" s="1"/>
  <c r="T535" i="11" s="1"/>
  <c r="P514" i="11"/>
  <c r="R514" i="11" s="1"/>
  <c r="T514" i="11" s="1"/>
  <c r="W514" i="11" s="1"/>
  <c r="P504" i="11"/>
  <c r="R504" i="11" s="1"/>
  <c r="T504" i="11" s="1"/>
  <c r="P493" i="11"/>
  <c r="R493" i="11" s="1"/>
  <c r="T493" i="11" s="1"/>
  <c r="W493" i="11" s="1"/>
  <c r="P468" i="11"/>
  <c r="R468" i="11" s="1"/>
  <c r="T468" i="11" s="1"/>
  <c r="P451" i="11"/>
  <c r="R451" i="11" s="1"/>
  <c r="T451" i="11" s="1"/>
  <c r="P433" i="11"/>
  <c r="R433" i="11" s="1"/>
  <c r="T433" i="11" s="1"/>
  <c r="P409" i="11"/>
  <c r="R409" i="11" s="1"/>
  <c r="T409" i="11" s="1"/>
  <c r="P385" i="11"/>
  <c r="R385" i="11" s="1"/>
  <c r="T385" i="11" s="1"/>
  <c r="P249" i="11"/>
  <c r="R249" i="11" s="1"/>
  <c r="T249" i="11" s="1"/>
  <c r="P213" i="11"/>
  <c r="R213" i="11" s="1"/>
  <c r="T213" i="11" s="1"/>
  <c r="P177" i="11"/>
  <c r="R177" i="11" s="1"/>
  <c r="T177" i="11" s="1"/>
  <c r="P141" i="11"/>
  <c r="R141" i="11" s="1"/>
  <c r="T141" i="11" s="1"/>
  <c r="P105" i="11"/>
  <c r="R105" i="11" s="1"/>
  <c r="T105" i="11" s="1"/>
  <c r="P68" i="11"/>
  <c r="R68" i="11" s="1"/>
  <c r="T68" i="11" s="1"/>
  <c r="P32" i="11"/>
  <c r="R32" i="11" s="1"/>
  <c r="T32" i="11" s="1"/>
  <c r="P255" i="11"/>
  <c r="R255" i="11" s="1"/>
  <c r="T255" i="11" s="1"/>
  <c r="P597" i="11"/>
  <c r="R597" i="11" s="1"/>
  <c r="T597" i="11" s="1"/>
  <c r="P606" i="11"/>
  <c r="R606" i="11" s="1"/>
  <c r="T606" i="11" s="1"/>
  <c r="P596" i="11"/>
  <c r="R596" i="11" s="1"/>
  <c r="T596" i="11" s="1"/>
  <c r="P585" i="11"/>
  <c r="R585" i="11" s="1"/>
  <c r="T585" i="11" s="1"/>
  <c r="W585" i="11" s="1"/>
  <c r="P575" i="11"/>
  <c r="R575" i="11" s="1"/>
  <c r="T575" i="11" s="1"/>
  <c r="W575" i="11" s="1"/>
  <c r="P565" i="11"/>
  <c r="R565" i="11" s="1"/>
  <c r="T565" i="11" s="1"/>
  <c r="W565" i="11" s="1"/>
  <c r="P544" i="11"/>
  <c r="R544" i="11" s="1"/>
  <c r="T544" i="11" s="1"/>
  <c r="W544" i="11" s="1"/>
  <c r="P534" i="11"/>
  <c r="R534" i="11" s="1"/>
  <c r="T534" i="11" s="1"/>
  <c r="P524" i="11"/>
  <c r="R524" i="11" s="1"/>
  <c r="T524" i="11" s="1"/>
  <c r="P513" i="11"/>
  <c r="R513" i="11" s="1"/>
  <c r="T513" i="11" s="1"/>
  <c r="P503" i="11"/>
  <c r="R503" i="11" s="1"/>
  <c r="T503" i="11" s="1"/>
  <c r="W503" i="11" s="1"/>
  <c r="P492" i="11"/>
  <c r="R492" i="11" s="1"/>
  <c r="T492" i="11" s="1"/>
  <c r="P481" i="11"/>
  <c r="R481" i="11" s="1"/>
  <c r="T481" i="11" s="1"/>
  <c r="W481" i="11" s="1"/>
  <c r="P467" i="11"/>
  <c r="R467" i="11" s="1"/>
  <c r="T467" i="11" s="1"/>
  <c r="W467" i="11" s="1"/>
  <c r="P449" i="11"/>
  <c r="R449" i="11" s="1"/>
  <c r="T449" i="11" s="1"/>
  <c r="P431" i="11"/>
  <c r="R431" i="11" s="1"/>
  <c r="T431" i="11" s="1"/>
  <c r="P407" i="11"/>
  <c r="R407" i="11" s="1"/>
  <c r="T407" i="11" s="1"/>
  <c r="W407" i="11" s="1"/>
  <c r="P413" i="11"/>
  <c r="R413" i="11" s="1"/>
  <c r="T413" i="11" s="1"/>
  <c r="P705" i="11"/>
  <c r="R705" i="11" s="1"/>
  <c r="T705" i="11" s="1"/>
  <c r="P699" i="11"/>
  <c r="R699" i="11" s="1"/>
  <c r="T699" i="11" s="1"/>
  <c r="W699" i="11" s="1"/>
  <c r="P693" i="11"/>
  <c r="R693" i="11" s="1"/>
  <c r="T693" i="11" s="1"/>
  <c r="W693" i="11" s="1"/>
  <c r="P687" i="11"/>
  <c r="R687" i="11" s="1"/>
  <c r="T687" i="11" s="1"/>
  <c r="P681" i="11"/>
  <c r="R681" i="11" s="1"/>
  <c r="T681" i="11" s="1"/>
  <c r="P675" i="11"/>
  <c r="R675" i="11" s="1"/>
  <c r="T675" i="11" s="1"/>
  <c r="P669" i="11"/>
  <c r="R669" i="11" s="1"/>
  <c r="T669" i="11" s="1"/>
  <c r="P663" i="11"/>
  <c r="R663" i="11" s="1"/>
  <c r="T663" i="11" s="1"/>
  <c r="P657" i="11"/>
  <c r="R657" i="11" s="1"/>
  <c r="T657" i="11" s="1"/>
  <c r="P651" i="11"/>
  <c r="R651" i="11" s="1"/>
  <c r="T651" i="11" s="1"/>
  <c r="P645" i="11"/>
  <c r="R645" i="11" s="1"/>
  <c r="T645" i="11" s="1"/>
  <c r="P639" i="11"/>
  <c r="R639" i="11" s="1"/>
  <c r="T639" i="11" s="1"/>
  <c r="W639" i="11" s="1"/>
  <c r="P633" i="11"/>
  <c r="R633" i="11" s="1"/>
  <c r="T633" i="11" s="1"/>
  <c r="P627" i="11"/>
  <c r="R627" i="11" s="1"/>
  <c r="T627" i="11" s="1"/>
  <c r="P621" i="11"/>
  <c r="R621" i="11" s="1"/>
  <c r="T621" i="11" s="1"/>
  <c r="P615" i="11"/>
  <c r="R615" i="11" s="1"/>
  <c r="T615" i="11" s="1"/>
  <c r="P605" i="11"/>
  <c r="R605" i="11" s="1"/>
  <c r="T605" i="11" s="1"/>
  <c r="P595" i="11"/>
  <c r="R595" i="11" s="1"/>
  <c r="T595" i="11" s="1"/>
  <c r="P574" i="11"/>
  <c r="R574" i="11" s="1"/>
  <c r="T574" i="11" s="1"/>
  <c r="P564" i="11"/>
  <c r="R564" i="11" s="1"/>
  <c r="T564" i="11" s="1"/>
  <c r="P554" i="11"/>
  <c r="R554" i="11" s="1"/>
  <c r="T554" i="11" s="1"/>
  <c r="P543" i="11"/>
  <c r="R543" i="11" s="1"/>
  <c r="T543" i="11" s="1"/>
  <c r="P533" i="11"/>
  <c r="R533" i="11" s="1"/>
  <c r="T533" i="11" s="1"/>
  <c r="P523" i="11"/>
  <c r="R523" i="11" s="1"/>
  <c r="T523" i="11" s="1"/>
  <c r="P502" i="11"/>
  <c r="R502" i="11" s="1"/>
  <c r="T502" i="11" s="1"/>
  <c r="W502" i="11" s="1"/>
  <c r="P491" i="11"/>
  <c r="R491" i="11" s="1"/>
  <c r="T491" i="11" s="1"/>
  <c r="P480" i="11"/>
  <c r="R480" i="11" s="1"/>
  <c r="T480" i="11" s="1"/>
  <c r="P466" i="11"/>
  <c r="R466" i="11" s="1"/>
  <c r="T466" i="11" s="1"/>
  <c r="P448" i="11"/>
  <c r="R448" i="11" s="1"/>
  <c r="T448" i="11" s="1"/>
  <c r="P279" i="11"/>
  <c r="R279" i="11" s="1"/>
  <c r="T279" i="11" s="1"/>
  <c r="P243" i="11"/>
  <c r="R243" i="11" s="1"/>
  <c r="T243" i="11" s="1"/>
  <c r="W243" i="11" s="1"/>
  <c r="P207" i="11"/>
  <c r="R207" i="11" s="1"/>
  <c r="T207" i="11" s="1"/>
  <c r="P171" i="11"/>
  <c r="R171" i="11" s="1"/>
  <c r="T171" i="11" s="1"/>
  <c r="P135" i="11"/>
  <c r="R135" i="11" s="1"/>
  <c r="T135" i="11" s="1"/>
  <c r="P99" i="11"/>
  <c r="R99" i="11" s="1"/>
  <c r="T99" i="11" s="1"/>
  <c r="P62" i="11"/>
  <c r="R62" i="11" s="1"/>
  <c r="T62" i="11" s="1"/>
  <c r="P26" i="11"/>
  <c r="R26" i="11" s="1"/>
  <c r="T26" i="11" s="1"/>
  <c r="W26" i="11" s="1"/>
  <c r="P707" i="11"/>
  <c r="R707" i="11" s="1"/>
  <c r="T707" i="11" s="1"/>
  <c r="P683" i="11"/>
  <c r="R683" i="11" s="1"/>
  <c r="T683" i="11" s="1"/>
  <c r="P641" i="11"/>
  <c r="R641" i="11" s="1"/>
  <c r="T641" i="11" s="1"/>
  <c r="P617" i="11"/>
  <c r="R617" i="11" s="1"/>
  <c r="T617" i="11" s="1"/>
  <c r="P557" i="11"/>
  <c r="R557" i="11" s="1"/>
  <c r="T557" i="11" s="1"/>
  <c r="P506" i="11"/>
  <c r="R506" i="11" s="1"/>
  <c r="T506" i="11" s="1"/>
  <c r="W506" i="11" s="1"/>
  <c r="P183" i="11"/>
  <c r="R183" i="11" s="1"/>
  <c r="T183" i="11" s="1"/>
  <c r="P546" i="11"/>
  <c r="R546" i="11" s="1"/>
  <c r="T546" i="11" s="1"/>
  <c r="P604" i="11"/>
  <c r="R604" i="11" s="1"/>
  <c r="T604" i="11" s="1"/>
  <c r="P594" i="11"/>
  <c r="R594" i="11" s="1"/>
  <c r="T594" i="11" s="1"/>
  <c r="P584" i="11"/>
  <c r="R584" i="11" s="1"/>
  <c r="T584" i="11" s="1"/>
  <c r="W584" i="11" s="1"/>
  <c r="P573" i="11"/>
  <c r="R573" i="11" s="1"/>
  <c r="T573" i="11" s="1"/>
  <c r="P563" i="11"/>
  <c r="R563" i="11" s="1"/>
  <c r="T563" i="11" s="1"/>
  <c r="P553" i="11"/>
  <c r="R553" i="11" s="1"/>
  <c r="T553" i="11" s="1"/>
  <c r="W553" i="11" s="1"/>
  <c r="P532" i="11"/>
  <c r="R532" i="11" s="1"/>
  <c r="T532" i="11" s="1"/>
  <c r="P522" i="11"/>
  <c r="R522" i="11" s="1"/>
  <c r="T522" i="11" s="1"/>
  <c r="P512" i="11"/>
  <c r="R512" i="11" s="1"/>
  <c r="T512" i="11" s="1"/>
  <c r="W512" i="11" s="1"/>
  <c r="P501" i="11"/>
  <c r="R501" i="11" s="1"/>
  <c r="T501" i="11" s="1"/>
  <c r="P490" i="11"/>
  <c r="R490" i="11" s="1"/>
  <c r="T490" i="11" s="1"/>
  <c r="P479" i="11"/>
  <c r="R479" i="11" s="1"/>
  <c r="T479" i="11" s="1"/>
  <c r="P427" i="11"/>
  <c r="R427" i="11" s="1"/>
  <c r="T427" i="11" s="1"/>
  <c r="W427" i="11" s="1"/>
  <c r="P403" i="11"/>
  <c r="R403" i="11" s="1"/>
  <c r="T403" i="11" s="1"/>
  <c r="P436" i="11"/>
  <c r="R436" i="11" s="1"/>
  <c r="T436" i="11" s="1"/>
  <c r="P704" i="11"/>
  <c r="R704" i="11" s="1"/>
  <c r="T704" i="11" s="1"/>
  <c r="P698" i="11"/>
  <c r="R698" i="11" s="1"/>
  <c r="T698" i="11" s="1"/>
  <c r="P692" i="11"/>
  <c r="R692" i="11" s="1"/>
  <c r="T692" i="11" s="1"/>
  <c r="P686" i="11"/>
  <c r="R686" i="11" s="1"/>
  <c r="T686" i="11" s="1"/>
  <c r="P680" i="11"/>
  <c r="R680" i="11" s="1"/>
  <c r="T680" i="11" s="1"/>
  <c r="P674" i="11"/>
  <c r="R674" i="11" s="1"/>
  <c r="T674" i="11" s="1"/>
  <c r="P668" i="11"/>
  <c r="R668" i="11" s="1"/>
  <c r="T668" i="11" s="1"/>
  <c r="W668" i="11" s="1"/>
  <c r="P662" i="11"/>
  <c r="R662" i="11" s="1"/>
  <c r="T662" i="11" s="1"/>
  <c r="P656" i="11"/>
  <c r="R656" i="11" s="1"/>
  <c r="T656" i="11" s="1"/>
  <c r="P650" i="11"/>
  <c r="R650" i="11" s="1"/>
  <c r="T650" i="11" s="1"/>
  <c r="P644" i="11"/>
  <c r="R644" i="11" s="1"/>
  <c r="T644" i="11" s="1"/>
  <c r="W644" i="11" s="1"/>
  <c r="P638" i="11"/>
  <c r="R638" i="11" s="1"/>
  <c r="T638" i="11" s="1"/>
  <c r="P632" i="11"/>
  <c r="R632" i="11" s="1"/>
  <c r="T632" i="11" s="1"/>
  <c r="P626" i="11"/>
  <c r="R626" i="11" s="1"/>
  <c r="T626" i="11" s="1"/>
  <c r="P620" i="11"/>
  <c r="R620" i="11" s="1"/>
  <c r="T620" i="11" s="1"/>
  <c r="P614" i="11"/>
  <c r="R614" i="11" s="1"/>
  <c r="T614" i="11" s="1"/>
  <c r="P603" i="11"/>
  <c r="R603" i="11" s="1"/>
  <c r="T603" i="11" s="1"/>
  <c r="P593" i="11"/>
  <c r="R593" i="11" s="1"/>
  <c r="T593" i="11" s="1"/>
  <c r="W593" i="11" s="1"/>
  <c r="P583" i="11"/>
  <c r="R583" i="11" s="1"/>
  <c r="T583" i="11" s="1"/>
  <c r="P562" i="11"/>
  <c r="R562" i="11" s="1"/>
  <c r="T562" i="11" s="1"/>
  <c r="P552" i="11"/>
  <c r="R552" i="11" s="1"/>
  <c r="T552" i="11" s="1"/>
  <c r="W552" i="11" s="1"/>
  <c r="P542" i="11"/>
  <c r="R542" i="11" s="1"/>
  <c r="T542" i="11" s="1"/>
  <c r="W542" i="11" s="1"/>
  <c r="P531" i="11"/>
  <c r="R531" i="11" s="1"/>
  <c r="T531" i="11" s="1"/>
  <c r="P521" i="11"/>
  <c r="R521" i="11" s="1"/>
  <c r="T521" i="11" s="1"/>
  <c r="P511" i="11"/>
  <c r="R511" i="11" s="1"/>
  <c r="T511" i="11" s="1"/>
  <c r="P489" i="11"/>
  <c r="R489" i="11" s="1"/>
  <c r="T489" i="11" s="1"/>
  <c r="P478" i="11"/>
  <c r="R478" i="11" s="1"/>
  <c r="T478" i="11" s="1"/>
  <c r="P463" i="11"/>
  <c r="R463" i="11" s="1"/>
  <c r="T463" i="11" s="1"/>
  <c r="P445" i="11"/>
  <c r="R445" i="11" s="1"/>
  <c r="T445" i="11" s="1"/>
  <c r="P425" i="11"/>
  <c r="R425" i="11" s="1"/>
  <c r="T425" i="11" s="1"/>
  <c r="P401" i="11"/>
  <c r="R401" i="11" s="1"/>
  <c r="T401" i="11" s="1"/>
  <c r="P273" i="11"/>
  <c r="R273" i="11" s="1"/>
  <c r="T273" i="11" s="1"/>
  <c r="P237" i="11"/>
  <c r="R237" i="11" s="1"/>
  <c r="T237" i="11" s="1"/>
  <c r="P201" i="11"/>
  <c r="R201" i="11" s="1"/>
  <c r="T201" i="11" s="1"/>
  <c r="P165" i="11"/>
  <c r="R165" i="11" s="1"/>
  <c r="T165" i="11" s="1"/>
  <c r="P129" i="11"/>
  <c r="R129" i="11" s="1"/>
  <c r="T129" i="11" s="1"/>
  <c r="P93" i="11"/>
  <c r="R93" i="11" s="1"/>
  <c r="T93" i="11" s="1"/>
  <c r="W93" i="11" s="1"/>
  <c r="P56" i="11"/>
  <c r="R56" i="11" s="1"/>
  <c r="T56" i="11" s="1"/>
  <c r="P20" i="11"/>
  <c r="R20" i="11" s="1"/>
  <c r="T20" i="11" s="1"/>
  <c r="W20" i="11" s="1"/>
  <c r="P659" i="11"/>
  <c r="R659" i="11" s="1"/>
  <c r="T659" i="11" s="1"/>
  <c r="W659" i="11" s="1"/>
  <c r="P567" i="11"/>
  <c r="R567" i="11" s="1"/>
  <c r="T567" i="11" s="1"/>
  <c r="W567" i="11" s="1"/>
  <c r="P147" i="11"/>
  <c r="R147" i="11" s="1"/>
  <c r="T147" i="11" s="1"/>
  <c r="P608" i="11"/>
  <c r="R608" i="11" s="1"/>
  <c r="T608" i="11" s="1"/>
  <c r="P525" i="11"/>
  <c r="R525" i="11" s="1"/>
  <c r="T525" i="11" s="1"/>
  <c r="W525" i="11" s="1"/>
  <c r="P613" i="11"/>
  <c r="R613" i="11" s="1"/>
  <c r="T613" i="11" s="1"/>
  <c r="W613" i="11" s="1"/>
  <c r="P592" i="11"/>
  <c r="R592" i="11" s="1"/>
  <c r="T592" i="11" s="1"/>
  <c r="P582" i="11"/>
  <c r="R582" i="11" s="1"/>
  <c r="T582" i="11" s="1"/>
  <c r="P572" i="11"/>
  <c r="R572" i="11" s="1"/>
  <c r="T572" i="11" s="1"/>
  <c r="P561" i="11"/>
  <c r="R561" i="11" s="1"/>
  <c r="T561" i="11" s="1"/>
  <c r="W561" i="11" s="1"/>
  <c r="P551" i="11"/>
  <c r="R551" i="11" s="1"/>
  <c r="T551" i="11" s="1"/>
  <c r="P541" i="11"/>
  <c r="R541" i="11" s="1"/>
  <c r="T541" i="11" s="1"/>
  <c r="P520" i="11"/>
  <c r="R520" i="11" s="1"/>
  <c r="T520" i="11" s="1"/>
  <c r="P510" i="11"/>
  <c r="R510" i="11" s="1"/>
  <c r="T510" i="11" s="1"/>
  <c r="P500" i="11"/>
  <c r="R500" i="11" s="1"/>
  <c r="T500" i="11" s="1"/>
  <c r="P488" i="11"/>
  <c r="R488" i="11" s="1"/>
  <c r="T488" i="11" s="1"/>
  <c r="W488" i="11" s="1"/>
  <c r="P461" i="11"/>
  <c r="R461" i="11" s="1"/>
  <c r="T461" i="11" s="1"/>
  <c r="P443" i="11"/>
  <c r="R443" i="11" s="1"/>
  <c r="T443" i="11" s="1"/>
  <c r="P695" i="11"/>
  <c r="R695" i="11" s="1"/>
  <c r="T695" i="11" s="1"/>
  <c r="P671" i="11"/>
  <c r="R671" i="11" s="1"/>
  <c r="T671" i="11" s="1"/>
  <c r="P635" i="11"/>
  <c r="R635" i="11" s="1"/>
  <c r="T635" i="11" s="1"/>
  <c r="P598" i="11"/>
  <c r="R598" i="11" s="1"/>
  <c r="T598" i="11" s="1"/>
  <c r="P526" i="11"/>
  <c r="R526" i="11" s="1"/>
  <c r="T526" i="11" s="1"/>
  <c r="P494" i="11"/>
  <c r="R494" i="11" s="1"/>
  <c r="T494" i="11" s="1"/>
  <c r="P38" i="11"/>
  <c r="R38" i="11" s="1"/>
  <c r="T38" i="11" s="1"/>
  <c r="P587" i="11"/>
  <c r="R587" i="11" s="1"/>
  <c r="T587" i="11" s="1"/>
  <c r="P536" i="11"/>
  <c r="R536" i="11" s="1"/>
  <c r="T536" i="11" s="1"/>
  <c r="P469" i="11"/>
  <c r="R469" i="11" s="1"/>
  <c r="T469" i="11" s="1"/>
  <c r="P703" i="11"/>
  <c r="R703" i="11" s="1"/>
  <c r="T703" i="11" s="1"/>
  <c r="P697" i="11"/>
  <c r="R697" i="11" s="1"/>
  <c r="T697" i="11" s="1"/>
  <c r="W697" i="11" s="1"/>
  <c r="P691" i="11"/>
  <c r="R691" i="11" s="1"/>
  <c r="T691" i="11" s="1"/>
  <c r="W691" i="11" s="1"/>
  <c r="P685" i="11"/>
  <c r="R685" i="11" s="1"/>
  <c r="T685" i="11" s="1"/>
  <c r="W685" i="11" s="1"/>
  <c r="P679" i="11"/>
  <c r="R679" i="11" s="1"/>
  <c r="T679" i="11" s="1"/>
  <c r="P673" i="11"/>
  <c r="R673" i="11" s="1"/>
  <c r="T673" i="11" s="1"/>
  <c r="P667" i="11"/>
  <c r="R667" i="11" s="1"/>
  <c r="T667" i="11" s="1"/>
  <c r="P661" i="11"/>
  <c r="R661" i="11" s="1"/>
  <c r="T661" i="11" s="1"/>
  <c r="W661" i="11" s="1"/>
  <c r="P655" i="11"/>
  <c r="R655" i="11" s="1"/>
  <c r="T655" i="11" s="1"/>
  <c r="P649" i="11"/>
  <c r="R649" i="11" s="1"/>
  <c r="T649" i="11" s="1"/>
  <c r="P643" i="11"/>
  <c r="R643" i="11" s="1"/>
  <c r="T643" i="11" s="1"/>
  <c r="P637" i="11"/>
  <c r="R637" i="11" s="1"/>
  <c r="T637" i="11" s="1"/>
  <c r="P631" i="11"/>
  <c r="R631" i="11" s="1"/>
  <c r="T631" i="11" s="1"/>
  <c r="P625" i="11"/>
  <c r="R625" i="11" s="1"/>
  <c r="T625" i="11" s="1"/>
  <c r="W625" i="11" s="1"/>
  <c r="P619" i="11"/>
  <c r="R619" i="11" s="1"/>
  <c r="T619" i="11" s="1"/>
  <c r="W619" i="11" s="1"/>
  <c r="P612" i="11"/>
  <c r="R612" i="11" s="1"/>
  <c r="T612" i="11" s="1"/>
  <c r="W612" i="11" s="1"/>
  <c r="P602" i="11"/>
  <c r="R602" i="11" s="1"/>
  <c r="T602" i="11" s="1"/>
  <c r="P591" i="11"/>
  <c r="R591" i="11" s="1"/>
  <c r="T591" i="11" s="1"/>
  <c r="W591" i="11" s="1"/>
  <c r="P581" i="11"/>
  <c r="R581" i="11" s="1"/>
  <c r="T581" i="11" s="1"/>
  <c r="P571" i="11"/>
  <c r="R571" i="11" s="1"/>
  <c r="T571" i="11" s="1"/>
  <c r="P550" i="11"/>
  <c r="R550" i="11" s="1"/>
  <c r="T550" i="11" s="1"/>
  <c r="P540" i="11"/>
  <c r="R540" i="11" s="1"/>
  <c r="T540" i="11" s="1"/>
  <c r="W540" i="11" s="1"/>
  <c r="P530" i="11"/>
  <c r="R530" i="11" s="1"/>
  <c r="T530" i="11" s="1"/>
  <c r="P519" i="11"/>
  <c r="R519" i="11" s="1"/>
  <c r="T519" i="11" s="1"/>
  <c r="P509" i="11"/>
  <c r="R509" i="11" s="1"/>
  <c r="T509" i="11" s="1"/>
  <c r="W509" i="11" s="1"/>
  <c r="P499" i="11"/>
  <c r="R499" i="11" s="1"/>
  <c r="T499" i="11" s="1"/>
  <c r="P475" i="11"/>
  <c r="R475" i="11" s="1"/>
  <c r="T475" i="11" s="1"/>
  <c r="P460" i="11"/>
  <c r="R460" i="11" s="1"/>
  <c r="T460" i="11" s="1"/>
  <c r="P442" i="11"/>
  <c r="R442" i="11" s="1"/>
  <c r="T442" i="11" s="1"/>
  <c r="W442" i="11" s="1"/>
  <c r="P421" i="11"/>
  <c r="R421" i="11" s="1"/>
  <c r="T421" i="11" s="1"/>
  <c r="P397" i="11"/>
  <c r="R397" i="11" s="1"/>
  <c r="T397" i="11" s="1"/>
  <c r="P267" i="11"/>
  <c r="R267" i="11" s="1"/>
  <c r="T267" i="11" s="1"/>
  <c r="P231" i="11"/>
  <c r="R231" i="11" s="1"/>
  <c r="T231" i="11" s="1"/>
  <c r="P195" i="11"/>
  <c r="R195" i="11" s="1"/>
  <c r="T195" i="11" s="1"/>
  <c r="P159" i="11"/>
  <c r="R159" i="11" s="1"/>
  <c r="T159" i="11" s="1"/>
  <c r="P123" i="11"/>
  <c r="R123" i="11" s="1"/>
  <c r="T123" i="11" s="1"/>
  <c r="P86" i="11"/>
  <c r="R86" i="11" s="1"/>
  <c r="T86" i="11" s="1"/>
  <c r="P50" i="11"/>
  <c r="R50" i="11" s="1"/>
  <c r="T50" i="11" s="1"/>
  <c r="P14" i="11"/>
  <c r="R14" i="11" s="1"/>
  <c r="T14" i="11" s="1"/>
  <c r="W14" i="11" s="1"/>
  <c r="P389" i="11"/>
  <c r="R389" i="11" s="1"/>
  <c r="T389" i="11" s="1"/>
  <c r="P515" i="11"/>
  <c r="R515" i="11" s="1"/>
  <c r="T515" i="11" s="1"/>
  <c r="P611" i="11"/>
  <c r="R611" i="11" s="1"/>
  <c r="T611" i="11" s="1"/>
  <c r="W611" i="11" s="1"/>
  <c r="P601" i="11"/>
  <c r="R601" i="11" s="1"/>
  <c r="T601" i="11" s="1"/>
  <c r="P580" i="11"/>
  <c r="R580" i="11" s="1"/>
  <c r="T580" i="11" s="1"/>
  <c r="W580" i="11" s="1"/>
  <c r="P570" i="11"/>
  <c r="R570" i="11" s="1"/>
  <c r="T570" i="11" s="1"/>
  <c r="W570" i="11" s="1"/>
  <c r="P560" i="11"/>
  <c r="R560" i="11" s="1"/>
  <c r="T560" i="11" s="1"/>
  <c r="P549" i="11"/>
  <c r="R549" i="11" s="1"/>
  <c r="T549" i="11" s="1"/>
  <c r="P539" i="11"/>
  <c r="R539" i="11" s="1"/>
  <c r="T539" i="11" s="1"/>
  <c r="P529" i="11"/>
  <c r="R529" i="11" s="1"/>
  <c r="T529" i="11" s="1"/>
  <c r="P508" i="11"/>
  <c r="R508" i="11" s="1"/>
  <c r="T508" i="11" s="1"/>
  <c r="P498" i="11"/>
  <c r="R498" i="11" s="1"/>
  <c r="T498" i="11" s="1"/>
  <c r="P487" i="11"/>
  <c r="R487" i="11" s="1"/>
  <c r="T487" i="11" s="1"/>
  <c r="P474" i="11"/>
  <c r="R474" i="11" s="1"/>
  <c r="T474" i="11" s="1"/>
  <c r="P419" i="11"/>
  <c r="R419" i="11" s="1"/>
  <c r="T419" i="11" s="1"/>
  <c r="P395" i="11"/>
  <c r="R395" i="11" s="1"/>
  <c r="T395" i="11" s="1"/>
  <c r="P665" i="11"/>
  <c r="R665" i="11" s="1"/>
  <c r="T665" i="11" s="1"/>
  <c r="W665" i="11" s="1"/>
  <c r="P578" i="11"/>
  <c r="R578" i="11" s="1"/>
  <c r="T578" i="11" s="1"/>
  <c r="P111" i="11"/>
  <c r="R111" i="11" s="1"/>
  <c r="T111" i="11" s="1"/>
  <c r="P505" i="11"/>
  <c r="R505" i="11" s="1"/>
  <c r="T505" i="11" s="1"/>
  <c r="P702" i="11"/>
  <c r="R702" i="11" s="1"/>
  <c r="T702" i="11" s="1"/>
  <c r="P696" i="11"/>
  <c r="R696" i="11" s="1"/>
  <c r="T696" i="11" s="1"/>
  <c r="P690" i="11"/>
  <c r="R690" i="11" s="1"/>
  <c r="T690" i="11" s="1"/>
  <c r="P684" i="11"/>
  <c r="R684" i="11" s="1"/>
  <c r="T684" i="11" s="1"/>
  <c r="P678" i="11"/>
  <c r="R678" i="11" s="1"/>
  <c r="T678" i="11" s="1"/>
  <c r="P672" i="11"/>
  <c r="R672" i="11" s="1"/>
  <c r="T672" i="11" s="1"/>
  <c r="P666" i="11"/>
  <c r="R666" i="11" s="1"/>
  <c r="T666" i="11" s="1"/>
  <c r="P660" i="11"/>
  <c r="R660" i="11" s="1"/>
  <c r="T660" i="11" s="1"/>
  <c r="W660" i="11" s="1"/>
  <c r="P654" i="11"/>
  <c r="R654" i="11" s="1"/>
  <c r="T654" i="11" s="1"/>
  <c r="P648" i="11"/>
  <c r="R648" i="11" s="1"/>
  <c r="T648" i="11" s="1"/>
  <c r="W648" i="11" s="1"/>
  <c r="P642" i="11"/>
  <c r="R642" i="11" s="1"/>
  <c r="T642" i="11" s="1"/>
  <c r="P636" i="11"/>
  <c r="R636" i="11" s="1"/>
  <c r="T636" i="11" s="1"/>
  <c r="W636" i="11" s="1"/>
  <c r="P630" i="11"/>
  <c r="R630" i="11" s="1"/>
  <c r="T630" i="11" s="1"/>
  <c r="W630" i="11" s="1"/>
  <c r="P624" i="11"/>
  <c r="R624" i="11" s="1"/>
  <c r="T624" i="11" s="1"/>
  <c r="P618" i="11"/>
  <c r="R618" i="11" s="1"/>
  <c r="T618" i="11" s="1"/>
  <c r="P610" i="11"/>
  <c r="R610" i="11" s="1"/>
  <c r="T610" i="11" s="1"/>
  <c r="P600" i="11"/>
  <c r="R600" i="11" s="1"/>
  <c r="T600" i="11" s="1"/>
  <c r="P590" i="11"/>
  <c r="R590" i="11" s="1"/>
  <c r="T590" i="11" s="1"/>
  <c r="P579" i="11"/>
  <c r="R579" i="11" s="1"/>
  <c r="T579" i="11" s="1"/>
  <c r="W579" i="11" s="1"/>
  <c r="P569" i="11"/>
  <c r="R569" i="11" s="1"/>
  <c r="T569" i="11" s="1"/>
  <c r="P559" i="11"/>
  <c r="R559" i="11" s="1"/>
  <c r="T559" i="11" s="1"/>
  <c r="W559" i="11" s="1"/>
  <c r="P538" i="11"/>
  <c r="R538" i="11" s="1"/>
  <c r="T538" i="11" s="1"/>
  <c r="P528" i="11"/>
  <c r="R528" i="11" s="1"/>
  <c r="T528" i="11" s="1"/>
  <c r="P518" i="11"/>
  <c r="R518" i="11" s="1"/>
  <c r="T518" i="11" s="1"/>
  <c r="W518" i="11" s="1"/>
  <c r="P507" i="11"/>
  <c r="R507" i="11" s="1"/>
  <c r="T507" i="11" s="1"/>
  <c r="W507" i="11" s="1"/>
  <c r="P497" i="11"/>
  <c r="R497" i="11" s="1"/>
  <c r="T497" i="11" s="1"/>
  <c r="P486" i="11"/>
  <c r="R486" i="11" s="1"/>
  <c r="T486" i="11" s="1"/>
  <c r="W486" i="11" s="1"/>
  <c r="P473" i="11"/>
  <c r="R473" i="11" s="1"/>
  <c r="T473" i="11" s="1"/>
  <c r="W473" i="11" s="1"/>
  <c r="P457" i="11"/>
  <c r="R457" i="11" s="1"/>
  <c r="T457" i="11" s="1"/>
  <c r="W457" i="11" s="1"/>
  <c r="P439" i="11"/>
  <c r="R439" i="11" s="1"/>
  <c r="T439" i="11" s="1"/>
  <c r="P261" i="11"/>
  <c r="R261" i="11" s="1"/>
  <c r="T261" i="11" s="1"/>
  <c r="P225" i="11"/>
  <c r="R225" i="11" s="1"/>
  <c r="T225" i="11" s="1"/>
  <c r="P189" i="11"/>
  <c r="R189" i="11" s="1"/>
  <c r="T189" i="11" s="1"/>
  <c r="P153" i="11"/>
  <c r="R153" i="11" s="1"/>
  <c r="T153" i="11" s="1"/>
  <c r="P117" i="11"/>
  <c r="R117" i="11" s="1"/>
  <c r="T117" i="11" s="1"/>
  <c r="P80" i="11"/>
  <c r="R80" i="11" s="1"/>
  <c r="T80" i="11" s="1"/>
  <c r="W80" i="11" s="1"/>
  <c r="P44" i="11"/>
  <c r="R44" i="11" s="1"/>
  <c r="T44" i="11" s="1"/>
  <c r="P8" i="11"/>
  <c r="R8" i="11" s="1"/>
  <c r="T8" i="11" s="1"/>
  <c r="P462" i="11"/>
  <c r="R462" i="11" s="1"/>
  <c r="T462" i="11" s="1"/>
  <c r="P456" i="11"/>
  <c r="R456" i="11" s="1"/>
  <c r="T456" i="11" s="1"/>
  <c r="P450" i="11"/>
  <c r="R450" i="11" s="1"/>
  <c r="T450" i="11" s="1"/>
  <c r="P444" i="11"/>
  <c r="R444" i="11" s="1"/>
  <c r="T444" i="11" s="1"/>
  <c r="P438" i="11"/>
  <c r="R438" i="11" s="1"/>
  <c r="T438" i="11" s="1"/>
  <c r="P432" i="11"/>
  <c r="R432" i="11" s="1"/>
  <c r="T432" i="11" s="1"/>
  <c r="P426" i="11"/>
  <c r="R426" i="11" s="1"/>
  <c r="T426" i="11" s="1"/>
  <c r="W426" i="11" s="1"/>
  <c r="P420" i="11"/>
  <c r="R420" i="11" s="1"/>
  <c r="T420" i="11" s="1"/>
  <c r="P414" i="11"/>
  <c r="R414" i="11" s="1"/>
  <c r="T414" i="11" s="1"/>
  <c r="P408" i="11"/>
  <c r="R408" i="11" s="1"/>
  <c r="T408" i="11" s="1"/>
  <c r="P402" i="11"/>
  <c r="R402" i="11" s="1"/>
  <c r="T402" i="11" s="1"/>
  <c r="P396" i="11"/>
  <c r="R396" i="11" s="1"/>
  <c r="T396" i="11" s="1"/>
  <c r="P390" i="11"/>
  <c r="R390" i="11" s="1"/>
  <c r="T390" i="11" s="1"/>
  <c r="W390" i="11" s="1"/>
  <c r="P384" i="11"/>
  <c r="R384" i="11" s="1"/>
  <c r="T384" i="11" s="1"/>
  <c r="P278" i="11"/>
  <c r="R278" i="11" s="1"/>
  <c r="T278" i="11" s="1"/>
  <c r="P272" i="11"/>
  <c r="R272" i="11" s="1"/>
  <c r="T272" i="11" s="1"/>
  <c r="P266" i="11"/>
  <c r="R266" i="11" s="1"/>
  <c r="T266" i="11" s="1"/>
  <c r="P260" i="11"/>
  <c r="R260" i="11" s="1"/>
  <c r="T260" i="11" s="1"/>
  <c r="P254" i="11"/>
  <c r="R254" i="11" s="1"/>
  <c r="T254" i="11" s="1"/>
  <c r="P248" i="11"/>
  <c r="R248" i="11" s="1"/>
  <c r="T248" i="11" s="1"/>
  <c r="P242" i="11"/>
  <c r="R242" i="11" s="1"/>
  <c r="T242" i="11" s="1"/>
  <c r="P236" i="11"/>
  <c r="R236" i="11" s="1"/>
  <c r="T236" i="11" s="1"/>
  <c r="W236" i="11" s="1"/>
  <c r="P230" i="11"/>
  <c r="R230" i="11" s="1"/>
  <c r="T230" i="11" s="1"/>
  <c r="W230" i="11" s="1"/>
  <c r="P224" i="11"/>
  <c r="R224" i="11" s="1"/>
  <c r="T224" i="11" s="1"/>
  <c r="P218" i="11"/>
  <c r="R218" i="11" s="1"/>
  <c r="T218" i="11" s="1"/>
  <c r="P212" i="11"/>
  <c r="R212" i="11" s="1"/>
  <c r="T212" i="11" s="1"/>
  <c r="P206" i="11"/>
  <c r="R206" i="11" s="1"/>
  <c r="T206" i="11" s="1"/>
  <c r="P200" i="11"/>
  <c r="R200" i="11" s="1"/>
  <c r="T200" i="11" s="1"/>
  <c r="P194" i="11"/>
  <c r="R194" i="11" s="1"/>
  <c r="T194" i="11" s="1"/>
  <c r="P188" i="11"/>
  <c r="R188" i="11" s="1"/>
  <c r="T188" i="11" s="1"/>
  <c r="P182" i="11"/>
  <c r="R182" i="11" s="1"/>
  <c r="T182" i="11" s="1"/>
  <c r="P176" i="11"/>
  <c r="R176" i="11" s="1"/>
  <c r="T176" i="11" s="1"/>
  <c r="P170" i="11"/>
  <c r="R170" i="11" s="1"/>
  <c r="T170" i="11" s="1"/>
  <c r="P164" i="11"/>
  <c r="R164" i="11" s="1"/>
  <c r="T164" i="11" s="1"/>
  <c r="W164" i="11" s="1"/>
  <c r="P158" i="11"/>
  <c r="R158" i="11" s="1"/>
  <c r="T158" i="11" s="1"/>
  <c r="P152" i="11"/>
  <c r="R152" i="11" s="1"/>
  <c r="T152" i="11" s="1"/>
  <c r="P146" i="11"/>
  <c r="R146" i="11" s="1"/>
  <c r="T146" i="11" s="1"/>
  <c r="P140" i="11"/>
  <c r="R140" i="11" s="1"/>
  <c r="T140" i="11" s="1"/>
  <c r="P134" i="11"/>
  <c r="R134" i="11" s="1"/>
  <c r="T134" i="11" s="1"/>
  <c r="P128" i="11"/>
  <c r="R128" i="11" s="1"/>
  <c r="T128" i="11" s="1"/>
  <c r="P122" i="11"/>
  <c r="R122" i="11" s="1"/>
  <c r="T122" i="11" s="1"/>
  <c r="P116" i="11"/>
  <c r="R116" i="11" s="1"/>
  <c r="T116" i="11" s="1"/>
  <c r="P110" i="11"/>
  <c r="R110" i="11" s="1"/>
  <c r="T110" i="11" s="1"/>
  <c r="P104" i="11"/>
  <c r="R104" i="11" s="1"/>
  <c r="T104" i="11" s="1"/>
  <c r="W104" i="11" s="1"/>
  <c r="P98" i="11"/>
  <c r="R98" i="11" s="1"/>
  <c r="T98" i="11" s="1"/>
  <c r="P92" i="11"/>
  <c r="R92" i="11" s="1"/>
  <c r="T92" i="11" s="1"/>
  <c r="P85" i="11"/>
  <c r="R85" i="11" s="1"/>
  <c r="T85" i="11" s="1"/>
  <c r="W85" i="11" s="1"/>
  <c r="P79" i="11"/>
  <c r="R79" i="11" s="1"/>
  <c r="T79" i="11" s="1"/>
  <c r="P73" i="11"/>
  <c r="R73" i="11" s="1"/>
  <c r="T73" i="11" s="1"/>
  <c r="W73" i="11" s="1"/>
  <c r="P67" i="11"/>
  <c r="R67" i="11" s="1"/>
  <c r="T67" i="11" s="1"/>
  <c r="P61" i="11"/>
  <c r="R61" i="11" s="1"/>
  <c r="T61" i="11" s="1"/>
  <c r="P55" i="11"/>
  <c r="R55" i="11" s="1"/>
  <c r="T55" i="11" s="1"/>
  <c r="P49" i="11"/>
  <c r="R49" i="11" s="1"/>
  <c r="T49" i="11" s="1"/>
  <c r="P43" i="11"/>
  <c r="R43" i="11" s="1"/>
  <c r="T43" i="11" s="1"/>
  <c r="P37" i="11"/>
  <c r="R37" i="11" s="1"/>
  <c r="T37" i="11" s="1"/>
  <c r="P31" i="11"/>
  <c r="R31" i="11" s="1"/>
  <c r="T31" i="11" s="1"/>
  <c r="W31" i="11" s="1"/>
  <c r="P25" i="11"/>
  <c r="R25" i="11" s="1"/>
  <c r="T25" i="11" s="1"/>
  <c r="W25" i="11" s="1"/>
  <c r="P19" i="11"/>
  <c r="R19" i="11" s="1"/>
  <c r="T19" i="11" s="1"/>
  <c r="P13" i="11"/>
  <c r="R13" i="11" s="1"/>
  <c r="T13" i="11" s="1"/>
  <c r="P7" i="11"/>
  <c r="R7" i="11" s="1"/>
  <c r="T7" i="11" s="1"/>
  <c r="P383" i="11"/>
  <c r="R383" i="11" s="1"/>
  <c r="T383" i="11" s="1"/>
  <c r="P277" i="11"/>
  <c r="R277" i="11" s="1"/>
  <c r="T277" i="11" s="1"/>
  <c r="P271" i="11"/>
  <c r="R271" i="11" s="1"/>
  <c r="T271" i="11" s="1"/>
  <c r="P265" i="11"/>
  <c r="R265" i="11" s="1"/>
  <c r="T265" i="11" s="1"/>
  <c r="P259" i="11"/>
  <c r="R259" i="11" s="1"/>
  <c r="T259" i="11" s="1"/>
  <c r="W259" i="11" s="1"/>
  <c r="P253" i="11"/>
  <c r="R253" i="11" s="1"/>
  <c r="T253" i="11" s="1"/>
  <c r="W253" i="11" s="1"/>
  <c r="P247" i="11"/>
  <c r="R247" i="11" s="1"/>
  <c r="T247" i="11" s="1"/>
  <c r="W247" i="11" s="1"/>
  <c r="P241" i="11"/>
  <c r="R241" i="11" s="1"/>
  <c r="T241" i="11" s="1"/>
  <c r="P235" i="11"/>
  <c r="R235" i="11" s="1"/>
  <c r="T235" i="11" s="1"/>
  <c r="P229" i="11"/>
  <c r="R229" i="11" s="1"/>
  <c r="T229" i="11" s="1"/>
  <c r="P223" i="11"/>
  <c r="R223" i="11" s="1"/>
  <c r="T223" i="11" s="1"/>
  <c r="P217" i="11"/>
  <c r="R217" i="11" s="1"/>
  <c r="T217" i="11" s="1"/>
  <c r="P211" i="11"/>
  <c r="R211" i="11" s="1"/>
  <c r="T211" i="11" s="1"/>
  <c r="P205" i="11"/>
  <c r="R205" i="11" s="1"/>
  <c r="T205" i="11" s="1"/>
  <c r="P199" i="11"/>
  <c r="R199" i="11" s="1"/>
  <c r="T199" i="11" s="1"/>
  <c r="P193" i="11"/>
  <c r="R193" i="11" s="1"/>
  <c r="T193" i="11" s="1"/>
  <c r="P187" i="11"/>
  <c r="R187" i="11" s="1"/>
  <c r="T187" i="11" s="1"/>
  <c r="W187" i="11" s="1"/>
  <c r="P181" i="11"/>
  <c r="R181" i="11" s="1"/>
  <c r="T181" i="11" s="1"/>
  <c r="W181" i="11" s="1"/>
  <c r="P175" i="11"/>
  <c r="R175" i="11" s="1"/>
  <c r="T175" i="11" s="1"/>
  <c r="P169" i="11"/>
  <c r="R169" i="11" s="1"/>
  <c r="T169" i="11" s="1"/>
  <c r="P163" i="11"/>
  <c r="R163" i="11" s="1"/>
  <c r="T163" i="11" s="1"/>
  <c r="W163" i="11" s="1"/>
  <c r="P157" i="11"/>
  <c r="R157" i="11" s="1"/>
  <c r="T157" i="11" s="1"/>
  <c r="W157" i="11" s="1"/>
  <c r="P151" i="11"/>
  <c r="R151" i="11" s="1"/>
  <c r="T151" i="11" s="1"/>
  <c r="W151" i="11" s="1"/>
  <c r="P145" i="11"/>
  <c r="R145" i="11" s="1"/>
  <c r="T145" i="11" s="1"/>
  <c r="P139" i="11"/>
  <c r="R139" i="11" s="1"/>
  <c r="T139" i="11" s="1"/>
  <c r="P133" i="11"/>
  <c r="R133" i="11" s="1"/>
  <c r="T133" i="11" s="1"/>
  <c r="P127" i="11"/>
  <c r="R127" i="11" s="1"/>
  <c r="T127" i="11" s="1"/>
  <c r="P121" i="11"/>
  <c r="R121" i="11" s="1"/>
  <c r="T121" i="11" s="1"/>
  <c r="P115" i="11"/>
  <c r="R115" i="11" s="1"/>
  <c r="T115" i="11" s="1"/>
  <c r="P109" i="11"/>
  <c r="R109" i="11" s="1"/>
  <c r="T109" i="11" s="1"/>
  <c r="P103" i="11"/>
  <c r="R103" i="11" s="1"/>
  <c r="T103" i="11" s="1"/>
  <c r="P97" i="11"/>
  <c r="R97" i="11" s="1"/>
  <c r="T97" i="11" s="1"/>
  <c r="W97" i="11" s="1"/>
  <c r="P90" i="11"/>
  <c r="R90" i="11" s="1"/>
  <c r="T90" i="11" s="1"/>
  <c r="P84" i="11"/>
  <c r="R84" i="11" s="1"/>
  <c r="T84" i="11" s="1"/>
  <c r="W84" i="11" s="1"/>
  <c r="P78" i="11"/>
  <c r="R78" i="11" s="1"/>
  <c r="T78" i="11" s="1"/>
  <c r="W78" i="11" s="1"/>
  <c r="P72" i="11"/>
  <c r="R72" i="11" s="1"/>
  <c r="T72" i="11" s="1"/>
  <c r="P66" i="11"/>
  <c r="R66" i="11" s="1"/>
  <c r="T66" i="11" s="1"/>
  <c r="P60" i="11"/>
  <c r="R60" i="11" s="1"/>
  <c r="T60" i="11" s="1"/>
  <c r="P54" i="11"/>
  <c r="R54" i="11" s="1"/>
  <c r="T54" i="11" s="1"/>
  <c r="P48" i="11"/>
  <c r="R48" i="11" s="1"/>
  <c r="T48" i="11" s="1"/>
  <c r="P42" i="11"/>
  <c r="R42" i="11" s="1"/>
  <c r="T42" i="11" s="1"/>
  <c r="W42" i="11" s="1"/>
  <c r="P36" i="11"/>
  <c r="R36" i="11" s="1"/>
  <c r="T36" i="11" s="1"/>
  <c r="W36" i="11" s="1"/>
  <c r="P30" i="11"/>
  <c r="R30" i="11" s="1"/>
  <c r="T30" i="11" s="1"/>
  <c r="W30" i="11" s="1"/>
  <c r="P24" i="11"/>
  <c r="R24" i="11" s="1"/>
  <c r="T24" i="11" s="1"/>
  <c r="P18" i="11"/>
  <c r="R18" i="11" s="1"/>
  <c r="T18" i="11" s="1"/>
  <c r="P12" i="11"/>
  <c r="R12" i="11" s="1"/>
  <c r="T12" i="11" s="1"/>
  <c r="P6" i="11"/>
  <c r="R6" i="11" s="1"/>
  <c r="T6" i="11" s="1"/>
  <c r="W6" i="11" s="1"/>
  <c r="P430" i="11"/>
  <c r="R430" i="11" s="1"/>
  <c r="T430" i="11" s="1"/>
  <c r="P424" i="11"/>
  <c r="R424" i="11" s="1"/>
  <c r="T424" i="11" s="1"/>
  <c r="P418" i="11"/>
  <c r="R418" i="11" s="1"/>
  <c r="T418" i="11" s="1"/>
  <c r="P412" i="11"/>
  <c r="R412" i="11" s="1"/>
  <c r="T412" i="11" s="1"/>
  <c r="P406" i="11"/>
  <c r="R406" i="11" s="1"/>
  <c r="T406" i="11" s="1"/>
  <c r="P400" i="11"/>
  <c r="R400" i="11" s="1"/>
  <c r="T400" i="11" s="1"/>
  <c r="P394" i="11"/>
  <c r="R394" i="11" s="1"/>
  <c r="T394" i="11" s="1"/>
  <c r="P388" i="11"/>
  <c r="R388" i="11" s="1"/>
  <c r="T388" i="11" s="1"/>
  <c r="P382" i="11"/>
  <c r="R382" i="11" s="1"/>
  <c r="T382" i="11" s="1"/>
  <c r="W382" i="11" s="1"/>
  <c r="P276" i="11"/>
  <c r="R276" i="11" s="1"/>
  <c r="T276" i="11" s="1"/>
  <c r="P270" i="11"/>
  <c r="R270" i="11" s="1"/>
  <c r="T270" i="11" s="1"/>
  <c r="P264" i="11"/>
  <c r="R264" i="11" s="1"/>
  <c r="T264" i="11" s="1"/>
  <c r="P258" i="11"/>
  <c r="R258" i="11" s="1"/>
  <c r="T258" i="11" s="1"/>
  <c r="P252" i="11"/>
  <c r="R252" i="11" s="1"/>
  <c r="T252" i="11" s="1"/>
  <c r="P246" i="11"/>
  <c r="R246" i="11" s="1"/>
  <c r="T246" i="11" s="1"/>
  <c r="P240" i="11"/>
  <c r="R240" i="11" s="1"/>
  <c r="T240" i="11" s="1"/>
  <c r="P234" i="11"/>
  <c r="R234" i="11" s="1"/>
  <c r="T234" i="11" s="1"/>
  <c r="P228" i="11"/>
  <c r="R228" i="11" s="1"/>
  <c r="T228" i="11" s="1"/>
  <c r="P222" i="11"/>
  <c r="R222" i="11" s="1"/>
  <c r="T222" i="11" s="1"/>
  <c r="P216" i="11"/>
  <c r="R216" i="11" s="1"/>
  <c r="T216" i="11" s="1"/>
  <c r="W216" i="11" s="1"/>
  <c r="P210" i="11"/>
  <c r="R210" i="11" s="1"/>
  <c r="T210" i="11" s="1"/>
  <c r="P204" i="11"/>
  <c r="R204" i="11" s="1"/>
  <c r="T204" i="11" s="1"/>
  <c r="P198" i="11"/>
  <c r="R198" i="11" s="1"/>
  <c r="T198" i="11" s="1"/>
  <c r="P192" i="11"/>
  <c r="R192" i="11" s="1"/>
  <c r="T192" i="11" s="1"/>
  <c r="P186" i="11"/>
  <c r="R186" i="11" s="1"/>
  <c r="T186" i="11" s="1"/>
  <c r="P180" i="11"/>
  <c r="R180" i="11" s="1"/>
  <c r="T180" i="11" s="1"/>
  <c r="P174" i="11"/>
  <c r="R174" i="11" s="1"/>
  <c r="T174" i="11" s="1"/>
  <c r="P168" i="11"/>
  <c r="R168" i="11" s="1"/>
  <c r="T168" i="11" s="1"/>
  <c r="P162" i="11"/>
  <c r="R162" i="11" s="1"/>
  <c r="T162" i="11" s="1"/>
  <c r="P156" i="11"/>
  <c r="R156" i="11" s="1"/>
  <c r="T156" i="11" s="1"/>
  <c r="P150" i="11"/>
  <c r="R150" i="11" s="1"/>
  <c r="T150" i="11" s="1"/>
  <c r="P144" i="11"/>
  <c r="R144" i="11" s="1"/>
  <c r="T144" i="11" s="1"/>
  <c r="P138" i="11"/>
  <c r="R138" i="11" s="1"/>
  <c r="T138" i="11" s="1"/>
  <c r="P132" i="11"/>
  <c r="R132" i="11" s="1"/>
  <c r="T132" i="11" s="1"/>
  <c r="P126" i="11"/>
  <c r="R126" i="11" s="1"/>
  <c r="T126" i="11" s="1"/>
  <c r="P120" i="11"/>
  <c r="R120" i="11" s="1"/>
  <c r="T120" i="11" s="1"/>
  <c r="P114" i="11"/>
  <c r="R114" i="11" s="1"/>
  <c r="T114" i="11" s="1"/>
  <c r="P108" i="11"/>
  <c r="R108" i="11" s="1"/>
  <c r="T108" i="11" s="1"/>
  <c r="P102" i="11"/>
  <c r="R102" i="11" s="1"/>
  <c r="T102" i="11" s="1"/>
  <c r="P96" i="11"/>
  <c r="R96" i="11" s="1"/>
  <c r="T96" i="11" s="1"/>
  <c r="P89" i="11"/>
  <c r="R89" i="11" s="1"/>
  <c r="T89" i="11" s="1"/>
  <c r="P83" i="11"/>
  <c r="R83" i="11" s="1"/>
  <c r="T83" i="11" s="1"/>
  <c r="W83" i="11" s="1"/>
  <c r="P77" i="11"/>
  <c r="R77" i="11" s="1"/>
  <c r="T77" i="11" s="1"/>
  <c r="P71" i="11"/>
  <c r="R71" i="11" s="1"/>
  <c r="T71" i="11" s="1"/>
  <c r="W71" i="11" s="1"/>
  <c r="P65" i="11"/>
  <c r="R65" i="11" s="1"/>
  <c r="T65" i="11" s="1"/>
  <c r="W65" i="11" s="1"/>
  <c r="P59" i="11"/>
  <c r="R59" i="11" s="1"/>
  <c r="T59" i="11" s="1"/>
  <c r="P53" i="11"/>
  <c r="R53" i="11" s="1"/>
  <c r="T53" i="11" s="1"/>
  <c r="P47" i="11"/>
  <c r="R47" i="11" s="1"/>
  <c r="T47" i="11" s="1"/>
  <c r="P41" i="11"/>
  <c r="R41" i="11" s="1"/>
  <c r="T41" i="11" s="1"/>
  <c r="P35" i="11"/>
  <c r="R35" i="11" s="1"/>
  <c r="T35" i="11" s="1"/>
  <c r="P29" i="11"/>
  <c r="R29" i="11" s="1"/>
  <c r="T29" i="11" s="1"/>
  <c r="P23" i="11"/>
  <c r="R23" i="11" s="1"/>
  <c r="T23" i="11" s="1"/>
  <c r="P17" i="11"/>
  <c r="R17" i="11" s="1"/>
  <c r="T17" i="11" s="1"/>
  <c r="P11" i="11"/>
  <c r="R11" i="11" s="1"/>
  <c r="T11" i="11" s="1"/>
  <c r="P5" i="11"/>
  <c r="R5" i="11" s="1"/>
  <c r="T5" i="11" s="1"/>
  <c r="P477" i="11"/>
  <c r="R477" i="11" s="1"/>
  <c r="T477" i="11" s="1"/>
  <c r="P471" i="11"/>
  <c r="R471" i="11" s="1"/>
  <c r="T471" i="11" s="1"/>
  <c r="P465" i="11"/>
  <c r="R465" i="11" s="1"/>
  <c r="T465" i="11" s="1"/>
  <c r="P459" i="11"/>
  <c r="R459" i="11" s="1"/>
  <c r="T459" i="11" s="1"/>
  <c r="P453" i="11"/>
  <c r="R453" i="11" s="1"/>
  <c r="T453" i="11" s="1"/>
  <c r="P447" i="11"/>
  <c r="R447" i="11" s="1"/>
  <c r="T447" i="11" s="1"/>
  <c r="P441" i="11"/>
  <c r="R441" i="11" s="1"/>
  <c r="T441" i="11" s="1"/>
  <c r="P435" i="11"/>
  <c r="R435" i="11" s="1"/>
  <c r="T435" i="11" s="1"/>
  <c r="W435" i="11" s="1"/>
  <c r="P429" i="11"/>
  <c r="R429" i="11" s="1"/>
  <c r="T429" i="11" s="1"/>
  <c r="W429" i="11" s="1"/>
  <c r="P423" i="11"/>
  <c r="R423" i="11" s="1"/>
  <c r="T423" i="11" s="1"/>
  <c r="P417" i="11"/>
  <c r="R417" i="11" s="1"/>
  <c r="T417" i="11" s="1"/>
  <c r="P411" i="11"/>
  <c r="R411" i="11" s="1"/>
  <c r="T411" i="11" s="1"/>
  <c r="P405" i="11"/>
  <c r="R405" i="11" s="1"/>
  <c r="T405" i="11" s="1"/>
  <c r="P399" i="11"/>
  <c r="R399" i="11" s="1"/>
  <c r="T399" i="11" s="1"/>
  <c r="P393" i="11"/>
  <c r="R393" i="11" s="1"/>
  <c r="T393" i="11" s="1"/>
  <c r="P387" i="11"/>
  <c r="R387" i="11" s="1"/>
  <c r="T387" i="11" s="1"/>
  <c r="P281" i="11"/>
  <c r="R281" i="11" s="1"/>
  <c r="T281" i="11" s="1"/>
  <c r="P275" i="11"/>
  <c r="R275" i="11" s="1"/>
  <c r="T275" i="11" s="1"/>
  <c r="P269" i="11"/>
  <c r="R269" i="11" s="1"/>
  <c r="T269" i="11" s="1"/>
  <c r="P263" i="11"/>
  <c r="R263" i="11" s="1"/>
  <c r="T263" i="11" s="1"/>
  <c r="P257" i="11"/>
  <c r="R257" i="11" s="1"/>
  <c r="T257" i="11" s="1"/>
  <c r="W257" i="11" s="1"/>
  <c r="P251" i="11"/>
  <c r="R251" i="11" s="1"/>
  <c r="T251" i="11" s="1"/>
  <c r="P245" i="11"/>
  <c r="R245" i="11" s="1"/>
  <c r="T245" i="11" s="1"/>
  <c r="W245" i="11" s="1"/>
  <c r="P239" i="11"/>
  <c r="R239" i="11" s="1"/>
  <c r="T239" i="11" s="1"/>
  <c r="P233" i="11"/>
  <c r="R233" i="11" s="1"/>
  <c r="T233" i="11" s="1"/>
  <c r="P227" i="11"/>
  <c r="R227" i="11" s="1"/>
  <c r="T227" i="11" s="1"/>
  <c r="P221" i="11"/>
  <c r="R221" i="11" s="1"/>
  <c r="T221" i="11" s="1"/>
  <c r="P215" i="11"/>
  <c r="R215" i="11" s="1"/>
  <c r="T215" i="11" s="1"/>
  <c r="P209" i="11"/>
  <c r="R209" i="11" s="1"/>
  <c r="T209" i="11" s="1"/>
  <c r="P203" i="11"/>
  <c r="R203" i="11" s="1"/>
  <c r="T203" i="11" s="1"/>
  <c r="P197" i="11"/>
  <c r="R197" i="11" s="1"/>
  <c r="T197" i="11" s="1"/>
  <c r="W197" i="11" s="1"/>
  <c r="P191" i="11"/>
  <c r="R191" i="11" s="1"/>
  <c r="T191" i="11" s="1"/>
  <c r="W191" i="11" s="1"/>
  <c r="P185" i="11"/>
  <c r="R185" i="11" s="1"/>
  <c r="T185" i="11" s="1"/>
  <c r="W185" i="11" s="1"/>
  <c r="P179" i="11"/>
  <c r="R179" i="11" s="1"/>
  <c r="T179" i="11" s="1"/>
  <c r="P173" i="11"/>
  <c r="R173" i="11" s="1"/>
  <c r="T173" i="11" s="1"/>
  <c r="W173" i="11" s="1"/>
  <c r="P167" i="11"/>
  <c r="R167" i="11" s="1"/>
  <c r="T167" i="11" s="1"/>
  <c r="P161" i="11"/>
  <c r="R161" i="11" s="1"/>
  <c r="T161" i="11" s="1"/>
  <c r="P155" i="11"/>
  <c r="R155" i="11" s="1"/>
  <c r="T155" i="11" s="1"/>
  <c r="P149" i="11"/>
  <c r="R149" i="11" s="1"/>
  <c r="T149" i="11" s="1"/>
  <c r="P143" i="11"/>
  <c r="R143" i="11" s="1"/>
  <c r="T143" i="11" s="1"/>
  <c r="P137" i="11"/>
  <c r="R137" i="11" s="1"/>
  <c r="T137" i="11" s="1"/>
  <c r="P131" i="11"/>
  <c r="R131" i="11" s="1"/>
  <c r="T131" i="11" s="1"/>
  <c r="P125" i="11"/>
  <c r="R125" i="11" s="1"/>
  <c r="T125" i="11" s="1"/>
  <c r="P119" i="11"/>
  <c r="R119" i="11" s="1"/>
  <c r="T119" i="11" s="1"/>
  <c r="P113" i="11"/>
  <c r="R113" i="11" s="1"/>
  <c r="T113" i="11" s="1"/>
  <c r="P107" i="11"/>
  <c r="R107" i="11" s="1"/>
  <c r="T107" i="11" s="1"/>
  <c r="W107" i="11" s="1"/>
  <c r="P101" i="11"/>
  <c r="R101" i="11" s="1"/>
  <c r="T101" i="11" s="1"/>
  <c r="P95" i="11"/>
  <c r="R95" i="11" s="1"/>
  <c r="T95" i="11" s="1"/>
  <c r="P88" i="11"/>
  <c r="R88" i="11" s="1"/>
  <c r="T88" i="11" s="1"/>
  <c r="P82" i="11"/>
  <c r="R82" i="11" s="1"/>
  <c r="T82" i="11" s="1"/>
  <c r="P76" i="11"/>
  <c r="R76" i="11" s="1"/>
  <c r="T76" i="11" s="1"/>
  <c r="P70" i="11"/>
  <c r="R70" i="11" s="1"/>
  <c r="T70" i="11" s="1"/>
  <c r="P64" i="11"/>
  <c r="R64" i="11" s="1"/>
  <c r="T64" i="11" s="1"/>
  <c r="P58" i="11"/>
  <c r="R58" i="11" s="1"/>
  <c r="T58" i="11" s="1"/>
  <c r="P52" i="11"/>
  <c r="R52" i="11" s="1"/>
  <c r="T52" i="11" s="1"/>
  <c r="P46" i="11"/>
  <c r="R46" i="11" s="1"/>
  <c r="T46" i="11" s="1"/>
  <c r="W46" i="11" s="1"/>
  <c r="P40" i="11"/>
  <c r="R40" i="11" s="1"/>
  <c r="T40" i="11" s="1"/>
  <c r="P34" i="11"/>
  <c r="R34" i="11" s="1"/>
  <c r="T34" i="11" s="1"/>
  <c r="P28" i="11"/>
  <c r="R28" i="11" s="1"/>
  <c r="T28" i="11" s="1"/>
  <c r="W28" i="11" s="1"/>
  <c r="P22" i="11"/>
  <c r="R22" i="11" s="1"/>
  <c r="T22" i="11" s="1"/>
  <c r="P16" i="11"/>
  <c r="R16" i="11" s="1"/>
  <c r="T16" i="11" s="1"/>
  <c r="P10" i="11"/>
  <c r="R10" i="11" s="1"/>
  <c r="T10" i="11" s="1"/>
  <c r="P4" i="11"/>
  <c r="R4" i="11" s="1"/>
  <c r="T4" i="11" s="1"/>
  <c r="W4" i="11" s="1"/>
  <c r="P482" i="11"/>
  <c r="R482" i="11" s="1"/>
  <c r="T482" i="11" s="1"/>
  <c r="P476" i="11"/>
  <c r="R476" i="11" s="1"/>
  <c r="T476" i="11" s="1"/>
  <c r="P470" i="11"/>
  <c r="R470" i="11" s="1"/>
  <c r="T470" i="11" s="1"/>
  <c r="P464" i="11"/>
  <c r="R464" i="11" s="1"/>
  <c r="T464" i="11" s="1"/>
  <c r="P458" i="11"/>
  <c r="R458" i="11" s="1"/>
  <c r="T458" i="11" s="1"/>
  <c r="P452" i="11"/>
  <c r="R452" i="11" s="1"/>
  <c r="T452" i="11" s="1"/>
  <c r="P446" i="11"/>
  <c r="R446" i="11" s="1"/>
  <c r="T446" i="11" s="1"/>
  <c r="W446" i="11" s="1"/>
  <c r="P440" i="11"/>
  <c r="R440" i="11" s="1"/>
  <c r="T440" i="11" s="1"/>
  <c r="P434" i="11"/>
  <c r="R434" i="11" s="1"/>
  <c r="T434" i="11" s="1"/>
  <c r="W434" i="11" s="1"/>
  <c r="P428" i="11"/>
  <c r="R428" i="11" s="1"/>
  <c r="T428" i="11" s="1"/>
  <c r="W428" i="11" s="1"/>
  <c r="P422" i="11"/>
  <c r="R422" i="11" s="1"/>
  <c r="T422" i="11" s="1"/>
  <c r="P416" i="11"/>
  <c r="R416" i="11" s="1"/>
  <c r="T416" i="11" s="1"/>
  <c r="P410" i="11"/>
  <c r="R410" i="11" s="1"/>
  <c r="T410" i="11" s="1"/>
  <c r="P404" i="11"/>
  <c r="R404" i="11" s="1"/>
  <c r="T404" i="11" s="1"/>
  <c r="P398" i="11"/>
  <c r="R398" i="11" s="1"/>
  <c r="T398" i="11" s="1"/>
  <c r="P392" i="11"/>
  <c r="R392" i="11" s="1"/>
  <c r="T392" i="11" s="1"/>
  <c r="P386" i="11"/>
  <c r="R386" i="11" s="1"/>
  <c r="T386" i="11" s="1"/>
  <c r="P280" i="11"/>
  <c r="R280" i="11" s="1"/>
  <c r="T280" i="11" s="1"/>
  <c r="P274" i="11"/>
  <c r="R274" i="11" s="1"/>
  <c r="T274" i="11" s="1"/>
  <c r="W274" i="11" s="1"/>
  <c r="P268" i="11"/>
  <c r="R268" i="11" s="1"/>
  <c r="T268" i="11" s="1"/>
  <c r="P262" i="11"/>
  <c r="R262" i="11" s="1"/>
  <c r="T262" i="11" s="1"/>
  <c r="P256" i="11"/>
  <c r="R256" i="11" s="1"/>
  <c r="T256" i="11" s="1"/>
  <c r="P250" i="11"/>
  <c r="R250" i="11" s="1"/>
  <c r="T250" i="11" s="1"/>
  <c r="P244" i="11"/>
  <c r="R244" i="11" s="1"/>
  <c r="T244" i="11" s="1"/>
  <c r="P238" i="11"/>
  <c r="R238" i="11" s="1"/>
  <c r="T238" i="11" s="1"/>
  <c r="P232" i="11"/>
  <c r="R232" i="11" s="1"/>
  <c r="T232" i="11" s="1"/>
  <c r="P226" i="11"/>
  <c r="R226" i="11" s="1"/>
  <c r="T226" i="11" s="1"/>
  <c r="P220" i="11"/>
  <c r="R220" i="11" s="1"/>
  <c r="T220" i="11" s="1"/>
  <c r="P214" i="11"/>
  <c r="R214" i="11" s="1"/>
  <c r="T214" i="11" s="1"/>
  <c r="P208" i="11"/>
  <c r="R208" i="11" s="1"/>
  <c r="T208" i="11" s="1"/>
  <c r="P202" i="11"/>
  <c r="R202" i="11" s="1"/>
  <c r="T202" i="11" s="1"/>
  <c r="P196" i="11"/>
  <c r="R196" i="11" s="1"/>
  <c r="T196" i="11" s="1"/>
  <c r="P190" i="11"/>
  <c r="R190" i="11" s="1"/>
  <c r="T190" i="11" s="1"/>
  <c r="W190" i="11" s="1"/>
  <c r="P184" i="11"/>
  <c r="R184" i="11" s="1"/>
  <c r="T184" i="11" s="1"/>
  <c r="P178" i="11"/>
  <c r="R178" i="11" s="1"/>
  <c r="T178" i="11" s="1"/>
  <c r="P172" i="11"/>
  <c r="R172" i="11" s="1"/>
  <c r="T172" i="11" s="1"/>
  <c r="P166" i="11"/>
  <c r="R166" i="11" s="1"/>
  <c r="T166" i="11" s="1"/>
  <c r="P160" i="11"/>
  <c r="R160" i="11" s="1"/>
  <c r="T160" i="11" s="1"/>
  <c r="P154" i="11"/>
  <c r="R154" i="11" s="1"/>
  <c r="T154" i="11" s="1"/>
  <c r="P148" i="11"/>
  <c r="R148" i="11" s="1"/>
  <c r="T148" i="11" s="1"/>
  <c r="P142" i="11"/>
  <c r="R142" i="11" s="1"/>
  <c r="T142" i="11" s="1"/>
  <c r="P136" i="11"/>
  <c r="R136" i="11" s="1"/>
  <c r="T136" i="11" s="1"/>
  <c r="P130" i="11"/>
  <c r="R130" i="11" s="1"/>
  <c r="T130" i="11" s="1"/>
  <c r="P124" i="11"/>
  <c r="R124" i="11" s="1"/>
  <c r="T124" i="11" s="1"/>
  <c r="W124" i="11" s="1"/>
  <c r="P118" i="11"/>
  <c r="R118" i="11" s="1"/>
  <c r="T118" i="11" s="1"/>
  <c r="W118" i="11" s="1"/>
  <c r="P112" i="11"/>
  <c r="R112" i="11" s="1"/>
  <c r="T112" i="11" s="1"/>
  <c r="P106" i="11"/>
  <c r="R106" i="11" s="1"/>
  <c r="T106" i="11" s="1"/>
  <c r="P100" i="11"/>
  <c r="R100" i="11" s="1"/>
  <c r="T100" i="11" s="1"/>
  <c r="P94" i="11"/>
  <c r="R94" i="11" s="1"/>
  <c r="T94" i="11" s="1"/>
  <c r="P87" i="11"/>
  <c r="R87" i="11" s="1"/>
  <c r="T87" i="11" s="1"/>
  <c r="P81" i="11"/>
  <c r="R81" i="11" s="1"/>
  <c r="T81" i="11" s="1"/>
  <c r="P75" i="11"/>
  <c r="R75" i="11" s="1"/>
  <c r="T75" i="11" s="1"/>
  <c r="P69" i="11"/>
  <c r="R69" i="11" s="1"/>
  <c r="T69" i="11" s="1"/>
  <c r="P63" i="11"/>
  <c r="R63" i="11" s="1"/>
  <c r="T63" i="11" s="1"/>
  <c r="P57" i="11"/>
  <c r="R57" i="11" s="1"/>
  <c r="T57" i="11" s="1"/>
  <c r="P51" i="11"/>
  <c r="R51" i="11" s="1"/>
  <c r="T51" i="11" s="1"/>
  <c r="P45" i="11"/>
  <c r="R45" i="11" s="1"/>
  <c r="T45" i="11" s="1"/>
  <c r="P39" i="11"/>
  <c r="R39" i="11" s="1"/>
  <c r="T39" i="11" s="1"/>
  <c r="P33" i="11"/>
  <c r="R33" i="11" s="1"/>
  <c r="T33" i="11" s="1"/>
  <c r="P27" i="11"/>
  <c r="R27" i="11" s="1"/>
  <c r="T27" i="11" s="1"/>
  <c r="P21" i="11"/>
  <c r="R21" i="11" s="1"/>
  <c r="T21" i="11" s="1"/>
  <c r="P15" i="11"/>
  <c r="R15" i="11" s="1"/>
  <c r="T15" i="11" s="1"/>
  <c r="P9" i="11"/>
  <c r="R9" i="11" s="1"/>
  <c r="T9" i="11" s="1"/>
  <c r="P3" i="11"/>
  <c r="R3" i="11" s="1"/>
  <c r="T3" i="11" s="1"/>
  <c r="W3" i="11" s="1"/>
  <c r="P2" i="11"/>
  <c r="R2" i="11" s="1"/>
  <c r="T2" i="11" s="1"/>
  <c r="W2" i="11" s="1"/>
  <c r="V57" i="10"/>
  <c r="J57" i="10"/>
  <c r="U57" i="10"/>
  <c r="I57" i="10"/>
  <c r="T57" i="10"/>
  <c r="H57" i="10"/>
  <c r="S57" i="10"/>
  <c r="G57" i="10"/>
  <c r="R57" i="10"/>
  <c r="F57" i="10"/>
  <c r="Q57" i="10"/>
  <c r="E57" i="10"/>
  <c r="P57" i="10"/>
  <c r="D57" i="10"/>
  <c r="M57" i="10"/>
  <c r="W57" i="10"/>
  <c r="O57" i="10"/>
  <c r="N57" i="10"/>
  <c r="L57" i="10"/>
  <c r="K57" i="10"/>
  <c r="U190" i="10"/>
  <c r="I190" i="10"/>
  <c r="T190" i="10"/>
  <c r="H190" i="10"/>
  <c r="S190" i="10"/>
  <c r="G190" i="10"/>
  <c r="R190" i="10"/>
  <c r="F190" i="10"/>
  <c r="Q190" i="10"/>
  <c r="E190" i="10"/>
  <c r="P190" i="10"/>
  <c r="D190" i="10"/>
  <c r="L190" i="10"/>
  <c r="W190" i="10"/>
  <c r="V190" i="10"/>
  <c r="O190" i="10"/>
  <c r="N190" i="10"/>
  <c r="M190" i="10"/>
  <c r="K190" i="10"/>
  <c r="J190" i="10"/>
  <c r="M274" i="10"/>
  <c r="L274" i="10"/>
  <c r="W274" i="10"/>
  <c r="K274" i="10"/>
  <c r="V274" i="10"/>
  <c r="J274" i="10"/>
  <c r="U274" i="10"/>
  <c r="I274" i="10"/>
  <c r="T274" i="10"/>
  <c r="H274" i="10"/>
  <c r="R274" i="10"/>
  <c r="F274" i="10"/>
  <c r="P274" i="10"/>
  <c r="O274" i="10"/>
  <c r="N274" i="10"/>
  <c r="G274" i="10"/>
  <c r="E274" i="10"/>
  <c r="D274" i="10"/>
  <c r="S274" i="10"/>
  <c r="M326" i="10"/>
  <c r="L326" i="10"/>
  <c r="W326" i="10"/>
  <c r="K326" i="10"/>
  <c r="V326" i="10"/>
  <c r="J326" i="10"/>
  <c r="U326" i="10"/>
  <c r="I326" i="10"/>
  <c r="T326" i="10"/>
  <c r="H326" i="10"/>
  <c r="S326" i="10"/>
  <c r="G326" i="10"/>
  <c r="R326" i="10"/>
  <c r="F326" i="10"/>
  <c r="P326" i="10"/>
  <c r="D326" i="10"/>
  <c r="Q326" i="10"/>
  <c r="O326" i="10"/>
  <c r="N326" i="10"/>
  <c r="U178" i="10"/>
  <c r="I178" i="10"/>
  <c r="Q178" i="10"/>
  <c r="E178" i="10"/>
  <c r="L178" i="10"/>
  <c r="K178" i="10"/>
  <c r="J178" i="10"/>
  <c r="W178" i="10"/>
  <c r="H178" i="10"/>
  <c r="V178" i="10"/>
  <c r="G178" i="10"/>
  <c r="T178" i="10"/>
  <c r="F178" i="10"/>
  <c r="S178" i="10"/>
  <c r="D178" i="10"/>
  <c r="O178" i="10"/>
  <c r="R178" i="10"/>
  <c r="P178" i="10"/>
  <c r="N178" i="10"/>
  <c r="M178" i="10"/>
  <c r="M306" i="10"/>
  <c r="L306" i="10"/>
  <c r="W306" i="10"/>
  <c r="K306" i="10"/>
  <c r="V306" i="10"/>
  <c r="J306" i="10"/>
  <c r="U306" i="10"/>
  <c r="I306" i="10"/>
  <c r="T306" i="10"/>
  <c r="H306" i="10"/>
  <c r="S306" i="10"/>
  <c r="G306" i="10"/>
  <c r="R306" i="10"/>
  <c r="F306" i="10"/>
  <c r="P306" i="10"/>
  <c r="D306" i="10"/>
  <c r="Q306" i="10"/>
  <c r="O306" i="10"/>
  <c r="N306" i="10"/>
  <c r="M38" i="10"/>
  <c r="L38" i="10"/>
  <c r="W38" i="10"/>
  <c r="K38" i="10"/>
  <c r="V38" i="10"/>
  <c r="J38" i="10"/>
  <c r="U38" i="10"/>
  <c r="I38" i="10"/>
  <c r="T38" i="10"/>
  <c r="H38" i="10"/>
  <c r="S38" i="10"/>
  <c r="G38" i="10"/>
  <c r="P38" i="10"/>
  <c r="D38" i="10"/>
  <c r="R38" i="10"/>
  <c r="Q38" i="10"/>
  <c r="O38" i="10"/>
  <c r="E38" i="10"/>
  <c r="N38" i="10"/>
  <c r="F38" i="10"/>
  <c r="M78" i="10"/>
  <c r="L78" i="10"/>
  <c r="W78" i="10"/>
  <c r="K78" i="10"/>
  <c r="V78" i="10"/>
  <c r="J78" i="10"/>
  <c r="U78" i="10"/>
  <c r="I78" i="10"/>
  <c r="T78" i="10"/>
  <c r="H78" i="10"/>
  <c r="S78" i="10"/>
  <c r="G78" i="10"/>
  <c r="P78" i="10"/>
  <c r="D78" i="10"/>
  <c r="R78" i="10"/>
  <c r="Q78" i="10"/>
  <c r="O78" i="10"/>
  <c r="N78" i="10"/>
  <c r="F78" i="10"/>
  <c r="E78" i="10"/>
  <c r="V45" i="10"/>
  <c r="J45" i="10"/>
  <c r="U45" i="10"/>
  <c r="I45" i="10"/>
  <c r="T45" i="10"/>
  <c r="H45" i="10"/>
  <c r="S45" i="10"/>
  <c r="G45" i="10"/>
  <c r="R45" i="10"/>
  <c r="F45" i="10"/>
  <c r="Q45" i="10"/>
  <c r="E45" i="10"/>
  <c r="P45" i="10"/>
  <c r="D45" i="10"/>
  <c r="M45" i="10"/>
  <c r="W45" i="10"/>
  <c r="L45" i="10"/>
  <c r="M70" i="10"/>
  <c r="L70" i="10"/>
  <c r="W70" i="10"/>
  <c r="K70" i="10"/>
  <c r="V70" i="10"/>
  <c r="J70" i="10"/>
  <c r="U70" i="10"/>
  <c r="I70" i="10"/>
  <c r="T70" i="10"/>
  <c r="H70" i="10"/>
  <c r="S70" i="10"/>
  <c r="G70" i="10"/>
  <c r="P70" i="10"/>
  <c r="D70" i="10"/>
  <c r="R70" i="10"/>
  <c r="Q70" i="10"/>
  <c r="O70" i="10"/>
  <c r="E70" i="10"/>
  <c r="V25" i="10"/>
  <c r="J25" i="10"/>
  <c r="U25" i="10"/>
  <c r="I25" i="10"/>
  <c r="T25" i="10"/>
  <c r="H25" i="10"/>
  <c r="S25" i="10"/>
  <c r="G25" i="10"/>
  <c r="R25" i="10"/>
  <c r="F25" i="10"/>
  <c r="Q25" i="10"/>
  <c r="E25" i="10"/>
  <c r="P25" i="10"/>
  <c r="D25" i="10"/>
  <c r="M25" i="10"/>
  <c r="W25" i="10"/>
  <c r="O25" i="10"/>
  <c r="K25" i="10"/>
  <c r="O45" i="10"/>
  <c r="V53" i="10"/>
  <c r="J53" i="10"/>
  <c r="U53" i="10"/>
  <c r="I53" i="10"/>
  <c r="T53" i="10"/>
  <c r="H53" i="10"/>
  <c r="S53" i="10"/>
  <c r="G53" i="10"/>
  <c r="R53" i="10"/>
  <c r="F53" i="10"/>
  <c r="Q53" i="10"/>
  <c r="E53" i="10"/>
  <c r="P53" i="10"/>
  <c r="D53" i="10"/>
  <c r="M53" i="10"/>
  <c r="W53" i="10"/>
  <c r="O53" i="10"/>
  <c r="N53" i="10"/>
  <c r="L53" i="10"/>
  <c r="M66" i="10"/>
  <c r="L66" i="10"/>
  <c r="W66" i="10"/>
  <c r="K66" i="10"/>
  <c r="V66" i="10"/>
  <c r="J66" i="10"/>
  <c r="U66" i="10"/>
  <c r="I66" i="10"/>
  <c r="T66" i="10"/>
  <c r="H66" i="10"/>
  <c r="S66" i="10"/>
  <c r="G66" i="10"/>
  <c r="P66" i="10"/>
  <c r="D66" i="10"/>
  <c r="R66" i="10"/>
  <c r="Q66" i="10"/>
  <c r="F66" i="10"/>
  <c r="M30" i="10"/>
  <c r="L30" i="10"/>
  <c r="W30" i="10"/>
  <c r="K30" i="10"/>
  <c r="V30" i="10"/>
  <c r="J30" i="10"/>
  <c r="U30" i="10"/>
  <c r="I30" i="10"/>
  <c r="T30" i="10"/>
  <c r="H30" i="10"/>
  <c r="S30" i="10"/>
  <c r="G30" i="10"/>
  <c r="P30" i="10"/>
  <c r="D30" i="10"/>
  <c r="R30" i="10"/>
  <c r="Q30" i="10"/>
  <c r="F30" i="10"/>
  <c r="V13" i="10"/>
  <c r="J13" i="10"/>
  <c r="U13" i="10"/>
  <c r="I13" i="10"/>
  <c r="T13" i="10"/>
  <c r="H13" i="10"/>
  <c r="S13" i="10"/>
  <c r="G13" i="10"/>
  <c r="R13" i="10"/>
  <c r="F13" i="10"/>
  <c r="Q13" i="10"/>
  <c r="E13" i="10"/>
  <c r="P13" i="10"/>
  <c r="D13" i="10"/>
  <c r="M13" i="10"/>
  <c r="W13" i="10"/>
  <c r="L13" i="10"/>
  <c r="V81" i="10"/>
  <c r="J81" i="10"/>
  <c r="U81" i="10"/>
  <c r="I81" i="10"/>
  <c r="T81" i="10"/>
  <c r="H81" i="10"/>
  <c r="S81" i="10"/>
  <c r="G81" i="10"/>
  <c r="R81" i="10"/>
  <c r="F81" i="10"/>
  <c r="Q81" i="10"/>
  <c r="E81" i="10"/>
  <c r="P81" i="10"/>
  <c r="D81" i="10"/>
  <c r="M81" i="10"/>
  <c r="W81" i="10"/>
  <c r="L81" i="10"/>
  <c r="M6" i="10"/>
  <c r="L6" i="10"/>
  <c r="W6" i="10"/>
  <c r="K6" i="10"/>
  <c r="V6" i="10"/>
  <c r="J6" i="10"/>
  <c r="U6" i="10"/>
  <c r="I6" i="10"/>
  <c r="T6" i="10"/>
  <c r="H6" i="10"/>
  <c r="S6" i="10"/>
  <c r="G6" i="10"/>
  <c r="P6" i="10"/>
  <c r="D6" i="10"/>
  <c r="R6" i="10"/>
  <c r="Q6" i="10"/>
  <c r="O6" i="10"/>
  <c r="N6" i="10"/>
  <c r="F6" i="10"/>
  <c r="E6" i="10"/>
  <c r="N13" i="10"/>
  <c r="O30" i="10"/>
  <c r="N81" i="10"/>
  <c r="O13" i="10"/>
  <c r="O81" i="10"/>
  <c r="M18" i="10"/>
  <c r="L18" i="10"/>
  <c r="W18" i="10"/>
  <c r="K18" i="10"/>
  <c r="V18" i="10"/>
  <c r="J18" i="10"/>
  <c r="U18" i="10"/>
  <c r="I18" i="10"/>
  <c r="T18" i="10"/>
  <c r="H18" i="10"/>
  <c r="S18" i="10"/>
  <c r="G18" i="10"/>
  <c r="P18" i="10"/>
  <c r="D18" i="10"/>
  <c r="V33" i="10"/>
  <c r="J33" i="10"/>
  <c r="U33" i="10"/>
  <c r="I33" i="10"/>
  <c r="T33" i="10"/>
  <c r="H33" i="10"/>
  <c r="S33" i="10"/>
  <c r="G33" i="10"/>
  <c r="R33" i="10"/>
  <c r="F33" i="10"/>
  <c r="Q33" i="10"/>
  <c r="E33" i="10"/>
  <c r="P33" i="10"/>
  <c r="D33" i="10"/>
  <c r="M33" i="10"/>
  <c r="V49" i="10"/>
  <c r="J49" i="10"/>
  <c r="U49" i="10"/>
  <c r="I49" i="10"/>
  <c r="T49" i="10"/>
  <c r="H49" i="10"/>
  <c r="S49" i="10"/>
  <c r="G49" i="10"/>
  <c r="R49" i="10"/>
  <c r="F49" i="10"/>
  <c r="Q49" i="10"/>
  <c r="E49" i="10"/>
  <c r="P49" i="10"/>
  <c r="D49" i="10"/>
  <c r="M49" i="10"/>
  <c r="M74" i="10"/>
  <c r="L74" i="10"/>
  <c r="W74" i="10"/>
  <c r="K74" i="10"/>
  <c r="V74" i="10"/>
  <c r="J74" i="10"/>
  <c r="U74" i="10"/>
  <c r="I74" i="10"/>
  <c r="T74" i="10"/>
  <c r="H74" i="10"/>
  <c r="S74" i="10"/>
  <c r="G74" i="10"/>
  <c r="P74" i="10"/>
  <c r="D74" i="10"/>
  <c r="L167" i="10"/>
  <c r="T167" i="10"/>
  <c r="H167" i="10"/>
  <c r="P167" i="10"/>
  <c r="O167" i="10"/>
  <c r="N167" i="10"/>
  <c r="M167" i="10"/>
  <c r="K167" i="10"/>
  <c r="J167" i="10"/>
  <c r="W167" i="10"/>
  <c r="I167" i="10"/>
  <c r="S167" i="10"/>
  <c r="E167" i="10"/>
  <c r="V167" i="10"/>
  <c r="U167" i="10"/>
  <c r="R167" i="10"/>
  <c r="F167" i="10"/>
  <c r="V9" i="10"/>
  <c r="J9" i="10"/>
  <c r="U9" i="10"/>
  <c r="I9" i="10"/>
  <c r="T9" i="10"/>
  <c r="H9" i="10"/>
  <c r="S9" i="10"/>
  <c r="G9" i="10"/>
  <c r="R9" i="10"/>
  <c r="F9" i="10"/>
  <c r="Q9" i="10"/>
  <c r="E9" i="10"/>
  <c r="P9" i="10"/>
  <c r="D9" i="10"/>
  <c r="M9" i="10"/>
  <c r="V21" i="10"/>
  <c r="J21" i="10"/>
  <c r="U21" i="10"/>
  <c r="I21" i="10"/>
  <c r="T21" i="10"/>
  <c r="H21" i="10"/>
  <c r="S21" i="10"/>
  <c r="G21" i="10"/>
  <c r="R21" i="10"/>
  <c r="F21" i="10"/>
  <c r="Q21" i="10"/>
  <c r="E21" i="10"/>
  <c r="P21" i="10"/>
  <c r="D21" i="10"/>
  <c r="M21" i="10"/>
  <c r="N33" i="10"/>
  <c r="M42" i="10"/>
  <c r="L42" i="10"/>
  <c r="W42" i="10"/>
  <c r="K42" i="10"/>
  <c r="V42" i="10"/>
  <c r="J42" i="10"/>
  <c r="U42" i="10"/>
  <c r="I42" i="10"/>
  <c r="T42" i="10"/>
  <c r="H42" i="10"/>
  <c r="S42" i="10"/>
  <c r="G42" i="10"/>
  <c r="P42" i="10"/>
  <c r="D42" i="10"/>
  <c r="N49" i="10"/>
  <c r="V61" i="10"/>
  <c r="J61" i="10"/>
  <c r="U61" i="10"/>
  <c r="I61" i="10"/>
  <c r="T61" i="10"/>
  <c r="H61" i="10"/>
  <c r="S61" i="10"/>
  <c r="G61" i="10"/>
  <c r="R61" i="10"/>
  <c r="F61" i="10"/>
  <c r="Q61" i="10"/>
  <c r="E61" i="10"/>
  <c r="P61" i="10"/>
  <c r="D61" i="10"/>
  <c r="M61" i="10"/>
  <c r="N74" i="10"/>
  <c r="Q167" i="10"/>
  <c r="M14" i="10"/>
  <c r="L14" i="10"/>
  <c r="W14" i="10"/>
  <c r="K14" i="10"/>
  <c r="V14" i="10"/>
  <c r="J14" i="10"/>
  <c r="U14" i="10"/>
  <c r="I14" i="10"/>
  <c r="T14" i="10"/>
  <c r="H14" i="10"/>
  <c r="S14" i="10"/>
  <c r="G14" i="10"/>
  <c r="P14" i="10"/>
  <c r="D14" i="10"/>
  <c r="V29" i="10"/>
  <c r="J29" i="10"/>
  <c r="U29" i="10"/>
  <c r="I29" i="10"/>
  <c r="T29" i="10"/>
  <c r="H29" i="10"/>
  <c r="S29" i="10"/>
  <c r="G29" i="10"/>
  <c r="R29" i="10"/>
  <c r="F29" i="10"/>
  <c r="Q29" i="10"/>
  <c r="E29" i="10"/>
  <c r="P29" i="10"/>
  <c r="D29" i="10"/>
  <c r="M29" i="10"/>
  <c r="M46" i="10"/>
  <c r="L46" i="10"/>
  <c r="W46" i="10"/>
  <c r="K46" i="10"/>
  <c r="V46" i="10"/>
  <c r="J46" i="10"/>
  <c r="U46" i="10"/>
  <c r="I46" i="10"/>
  <c r="T46" i="10"/>
  <c r="H46" i="10"/>
  <c r="S46" i="10"/>
  <c r="G46" i="10"/>
  <c r="P46" i="10"/>
  <c r="D46" i="10"/>
  <c r="V65" i="10"/>
  <c r="J65" i="10"/>
  <c r="U65" i="10"/>
  <c r="I65" i="10"/>
  <c r="T65" i="10"/>
  <c r="H65" i="10"/>
  <c r="S65" i="10"/>
  <c r="G65" i="10"/>
  <c r="R65" i="10"/>
  <c r="F65" i="10"/>
  <c r="Q65" i="10"/>
  <c r="E65" i="10"/>
  <c r="P65" i="10"/>
  <c r="D65" i="10"/>
  <c r="M65" i="10"/>
  <c r="U82" i="10"/>
  <c r="M82" i="10"/>
  <c r="L82" i="10"/>
  <c r="K82" i="10"/>
  <c r="W82" i="10"/>
  <c r="J82" i="10"/>
  <c r="V82" i="10"/>
  <c r="I82" i="10"/>
  <c r="T82" i="10"/>
  <c r="H82" i="10"/>
  <c r="S82" i="10"/>
  <c r="G82" i="10"/>
  <c r="P82" i="10"/>
  <c r="D82" i="10"/>
  <c r="L9" i="10"/>
  <c r="E14" i="10"/>
  <c r="Q18" i="10"/>
  <c r="L21" i="10"/>
  <c r="M26" i="10"/>
  <c r="L26" i="10"/>
  <c r="W26" i="10"/>
  <c r="K26" i="10"/>
  <c r="V26" i="10"/>
  <c r="J26" i="10"/>
  <c r="U26" i="10"/>
  <c r="I26" i="10"/>
  <c r="T26" i="10"/>
  <c r="H26" i="10"/>
  <c r="S26" i="10"/>
  <c r="G26" i="10"/>
  <c r="P26" i="10"/>
  <c r="D26" i="10"/>
  <c r="K29" i="10"/>
  <c r="W33" i="10"/>
  <c r="V37" i="10"/>
  <c r="J37" i="10"/>
  <c r="U37" i="10"/>
  <c r="I37" i="10"/>
  <c r="T37" i="10"/>
  <c r="H37" i="10"/>
  <c r="S37" i="10"/>
  <c r="G37" i="10"/>
  <c r="R37" i="10"/>
  <c r="F37" i="10"/>
  <c r="Q37" i="10"/>
  <c r="E37" i="10"/>
  <c r="P37" i="10"/>
  <c r="D37" i="10"/>
  <c r="M37" i="10"/>
  <c r="F42" i="10"/>
  <c r="E46" i="10"/>
  <c r="W49" i="10"/>
  <c r="L61" i="10"/>
  <c r="K65" i="10"/>
  <c r="V69" i="10"/>
  <c r="J69" i="10"/>
  <c r="U69" i="10"/>
  <c r="I69" i="10"/>
  <c r="T69" i="10"/>
  <c r="H69" i="10"/>
  <c r="S69" i="10"/>
  <c r="G69" i="10"/>
  <c r="R69" i="10"/>
  <c r="F69" i="10"/>
  <c r="Q69" i="10"/>
  <c r="E69" i="10"/>
  <c r="P69" i="10"/>
  <c r="D69" i="10"/>
  <c r="M69" i="10"/>
  <c r="Q74" i="10"/>
  <c r="E82" i="10"/>
  <c r="N9" i="10"/>
  <c r="F14" i="10"/>
  <c r="V17" i="10"/>
  <c r="J17" i="10"/>
  <c r="U17" i="10"/>
  <c r="I17" i="10"/>
  <c r="T17" i="10"/>
  <c r="H17" i="10"/>
  <c r="S17" i="10"/>
  <c r="G17" i="10"/>
  <c r="R17" i="10"/>
  <c r="F17" i="10"/>
  <c r="Q17" i="10"/>
  <c r="E17" i="10"/>
  <c r="P17" i="10"/>
  <c r="D17" i="10"/>
  <c r="M17" i="10"/>
  <c r="R18" i="10"/>
  <c r="N21" i="10"/>
  <c r="L29" i="10"/>
  <c r="M34" i="10"/>
  <c r="L34" i="10"/>
  <c r="W34" i="10"/>
  <c r="K34" i="10"/>
  <c r="V34" i="10"/>
  <c r="J34" i="10"/>
  <c r="U34" i="10"/>
  <c r="I34" i="10"/>
  <c r="T34" i="10"/>
  <c r="H34" i="10"/>
  <c r="S34" i="10"/>
  <c r="G34" i="10"/>
  <c r="P34" i="10"/>
  <c r="D34" i="10"/>
  <c r="N42" i="10"/>
  <c r="F46" i="10"/>
  <c r="M50" i="10"/>
  <c r="L50" i="10"/>
  <c r="W50" i="10"/>
  <c r="K50" i="10"/>
  <c r="V50" i="10"/>
  <c r="J50" i="10"/>
  <c r="U50" i="10"/>
  <c r="I50" i="10"/>
  <c r="T50" i="10"/>
  <c r="H50" i="10"/>
  <c r="S50" i="10"/>
  <c r="G50" i="10"/>
  <c r="P50" i="10"/>
  <c r="D50" i="10"/>
  <c r="N61" i="10"/>
  <c r="L65" i="10"/>
  <c r="V73" i="10"/>
  <c r="J73" i="10"/>
  <c r="U73" i="10"/>
  <c r="I73" i="10"/>
  <c r="T73" i="10"/>
  <c r="H73" i="10"/>
  <c r="S73" i="10"/>
  <c r="G73" i="10"/>
  <c r="R73" i="10"/>
  <c r="F73" i="10"/>
  <c r="Q73" i="10"/>
  <c r="E73" i="10"/>
  <c r="P73" i="10"/>
  <c r="D73" i="10"/>
  <c r="M73" i="10"/>
  <c r="R74" i="10"/>
  <c r="F82" i="10"/>
  <c r="O9" i="10"/>
  <c r="N14" i="10"/>
  <c r="K17" i="10"/>
  <c r="O21" i="10"/>
  <c r="N29" i="10"/>
  <c r="E34" i="10"/>
  <c r="O42" i="10"/>
  <c r="N46" i="10"/>
  <c r="E50" i="10"/>
  <c r="M54" i="10"/>
  <c r="L54" i="10"/>
  <c r="W54" i="10"/>
  <c r="K54" i="10"/>
  <c r="V54" i="10"/>
  <c r="J54" i="10"/>
  <c r="U54" i="10"/>
  <c r="I54" i="10"/>
  <c r="T54" i="10"/>
  <c r="H54" i="10"/>
  <c r="S54" i="10"/>
  <c r="G54" i="10"/>
  <c r="P54" i="10"/>
  <c r="D54" i="10"/>
  <c r="O61" i="10"/>
  <c r="N65" i="10"/>
  <c r="K73" i="10"/>
  <c r="V77" i="10"/>
  <c r="J77" i="10"/>
  <c r="U77" i="10"/>
  <c r="I77" i="10"/>
  <c r="T77" i="10"/>
  <c r="H77" i="10"/>
  <c r="S77" i="10"/>
  <c r="G77" i="10"/>
  <c r="R77" i="10"/>
  <c r="F77" i="10"/>
  <c r="Q77" i="10"/>
  <c r="E77" i="10"/>
  <c r="P77" i="10"/>
  <c r="D77" i="10"/>
  <c r="M77" i="10"/>
  <c r="N82" i="10"/>
  <c r="V5" i="10"/>
  <c r="J5" i="10"/>
  <c r="U5" i="10"/>
  <c r="I5" i="10"/>
  <c r="T5" i="10"/>
  <c r="H5" i="10"/>
  <c r="S5" i="10"/>
  <c r="G5" i="10"/>
  <c r="R5" i="10"/>
  <c r="F5" i="10"/>
  <c r="Q5" i="10"/>
  <c r="E5" i="10"/>
  <c r="P5" i="10"/>
  <c r="D5" i="10"/>
  <c r="M5" i="10"/>
  <c r="W9" i="10"/>
  <c r="O14" i="10"/>
  <c r="L17" i="10"/>
  <c r="W21" i="10"/>
  <c r="O29" i="10"/>
  <c r="F34" i="10"/>
  <c r="Q42" i="10"/>
  <c r="O46" i="10"/>
  <c r="F50" i="10"/>
  <c r="E54" i="10"/>
  <c r="M58" i="10"/>
  <c r="L58" i="10"/>
  <c r="W58" i="10"/>
  <c r="K58" i="10"/>
  <c r="V58" i="10"/>
  <c r="J58" i="10"/>
  <c r="U58" i="10"/>
  <c r="I58" i="10"/>
  <c r="T58" i="10"/>
  <c r="H58" i="10"/>
  <c r="S58" i="10"/>
  <c r="G58" i="10"/>
  <c r="P58" i="10"/>
  <c r="D58" i="10"/>
  <c r="W61" i="10"/>
  <c r="O65" i="10"/>
  <c r="L73" i="10"/>
  <c r="K77" i="10"/>
  <c r="O82" i="10"/>
  <c r="M2" i="10"/>
  <c r="L2" i="10"/>
  <c r="W2" i="10"/>
  <c r="K2" i="10"/>
  <c r="V2" i="10"/>
  <c r="J2" i="10"/>
  <c r="U2" i="10"/>
  <c r="I2" i="10"/>
  <c r="T2" i="10"/>
  <c r="H2" i="10"/>
  <c r="S2" i="10"/>
  <c r="G2" i="10"/>
  <c r="P2" i="10"/>
  <c r="D2" i="10"/>
  <c r="K5" i="10"/>
  <c r="M10" i="10"/>
  <c r="L10" i="10"/>
  <c r="W10" i="10"/>
  <c r="K10" i="10"/>
  <c r="V10" i="10"/>
  <c r="J10" i="10"/>
  <c r="U10" i="10"/>
  <c r="I10" i="10"/>
  <c r="T10" i="10"/>
  <c r="H10" i="10"/>
  <c r="S10" i="10"/>
  <c r="G10" i="10"/>
  <c r="P10" i="10"/>
  <c r="D10" i="10"/>
  <c r="Q14" i="10"/>
  <c r="N17" i="10"/>
  <c r="M22" i="10"/>
  <c r="L22" i="10"/>
  <c r="W22" i="10"/>
  <c r="K22" i="10"/>
  <c r="V22" i="10"/>
  <c r="J22" i="10"/>
  <c r="U22" i="10"/>
  <c r="I22" i="10"/>
  <c r="T22" i="10"/>
  <c r="H22" i="10"/>
  <c r="S22" i="10"/>
  <c r="G22" i="10"/>
  <c r="P22" i="10"/>
  <c r="D22" i="10"/>
  <c r="O26" i="10"/>
  <c r="W29" i="10"/>
  <c r="N34" i="10"/>
  <c r="V41" i="10"/>
  <c r="J41" i="10"/>
  <c r="U41" i="10"/>
  <c r="I41" i="10"/>
  <c r="T41" i="10"/>
  <c r="H41" i="10"/>
  <c r="S41" i="10"/>
  <c r="G41" i="10"/>
  <c r="R41" i="10"/>
  <c r="F41" i="10"/>
  <c r="Q41" i="10"/>
  <c r="E41" i="10"/>
  <c r="P41" i="10"/>
  <c r="D41" i="10"/>
  <c r="M41" i="10"/>
  <c r="R42" i="10"/>
  <c r="Q46" i="10"/>
  <c r="N50" i="10"/>
  <c r="F54" i="10"/>
  <c r="E58" i="10"/>
  <c r="M62" i="10"/>
  <c r="L62" i="10"/>
  <c r="W62" i="10"/>
  <c r="K62" i="10"/>
  <c r="V62" i="10"/>
  <c r="J62" i="10"/>
  <c r="U62" i="10"/>
  <c r="I62" i="10"/>
  <c r="T62" i="10"/>
  <c r="H62" i="10"/>
  <c r="S62" i="10"/>
  <c r="G62" i="10"/>
  <c r="P62" i="10"/>
  <c r="D62" i="10"/>
  <c r="W65" i="10"/>
  <c r="O69" i="10"/>
  <c r="N73" i="10"/>
  <c r="L77" i="10"/>
  <c r="Q82" i="10"/>
  <c r="G3" i="10"/>
  <c r="S3" i="10"/>
  <c r="J4" i="10"/>
  <c r="V4" i="10"/>
  <c r="G7" i="10"/>
  <c r="S7" i="10"/>
  <c r="J8" i="10"/>
  <c r="V8" i="10"/>
  <c r="G11" i="10"/>
  <c r="S11" i="10"/>
  <c r="J12" i="10"/>
  <c r="V12" i="10"/>
  <c r="S15" i="10"/>
  <c r="J16" i="10"/>
  <c r="V16" i="10"/>
  <c r="G19" i="10"/>
  <c r="S19" i="10"/>
  <c r="J20" i="10"/>
  <c r="V20" i="10"/>
  <c r="G23" i="10"/>
  <c r="S23" i="10"/>
  <c r="J24" i="10"/>
  <c r="V24" i="10"/>
  <c r="G27" i="10"/>
  <c r="S27" i="10"/>
  <c r="J28" i="10"/>
  <c r="V28" i="10"/>
  <c r="G31" i="10"/>
  <c r="S31" i="10"/>
  <c r="J32" i="10"/>
  <c r="V32" i="10"/>
  <c r="G35" i="10"/>
  <c r="S35" i="10"/>
  <c r="J36" i="10"/>
  <c r="V36" i="10"/>
  <c r="S39" i="10"/>
  <c r="J40" i="10"/>
  <c r="V40" i="10"/>
  <c r="G43" i="10"/>
  <c r="S43" i="10"/>
  <c r="J44" i="10"/>
  <c r="V44" i="10"/>
  <c r="G47" i="10"/>
  <c r="S47" i="10"/>
  <c r="J48" i="10"/>
  <c r="V48" i="10"/>
  <c r="G51" i="10"/>
  <c r="S51" i="10"/>
  <c r="J52" i="10"/>
  <c r="V52" i="10"/>
  <c r="G55" i="10"/>
  <c r="S55" i="10"/>
  <c r="J56" i="10"/>
  <c r="V56" i="10"/>
  <c r="G59" i="10"/>
  <c r="S59" i="10"/>
  <c r="J60" i="10"/>
  <c r="V60" i="10"/>
  <c r="G63" i="10"/>
  <c r="S63" i="10"/>
  <c r="J64" i="10"/>
  <c r="V64" i="10"/>
  <c r="G67" i="10"/>
  <c r="S67" i="10"/>
  <c r="J68" i="10"/>
  <c r="V68" i="10"/>
  <c r="G71" i="10"/>
  <c r="S71" i="10"/>
  <c r="J72" i="10"/>
  <c r="V72" i="10"/>
  <c r="G75" i="10"/>
  <c r="S75" i="10"/>
  <c r="J76" i="10"/>
  <c r="V76" i="10"/>
  <c r="G79" i="10"/>
  <c r="S79" i="10"/>
  <c r="J80" i="10"/>
  <c r="V80" i="10"/>
  <c r="O86" i="10"/>
  <c r="R169" i="10"/>
  <c r="F169" i="10"/>
  <c r="N169" i="10"/>
  <c r="P169" i="10"/>
  <c r="O169" i="10"/>
  <c r="M169" i="10"/>
  <c r="L169" i="10"/>
  <c r="K169" i="10"/>
  <c r="J169" i="10"/>
  <c r="W169" i="10"/>
  <c r="I169" i="10"/>
  <c r="T169" i="10"/>
  <c r="E169" i="10"/>
  <c r="J3" i="10"/>
  <c r="V3" i="10"/>
  <c r="M4" i="10"/>
  <c r="J7" i="10"/>
  <c r="V7" i="10"/>
  <c r="M8" i="10"/>
  <c r="J11" i="10"/>
  <c r="V11" i="10"/>
  <c r="M12" i="10"/>
  <c r="J15" i="10"/>
  <c r="V15" i="10"/>
  <c r="M16" i="10"/>
  <c r="J19" i="10"/>
  <c r="V19" i="10"/>
  <c r="J23" i="10"/>
  <c r="V23" i="10"/>
  <c r="M24" i="10"/>
  <c r="J27" i="10"/>
  <c r="V27" i="10"/>
  <c r="M28" i="10"/>
  <c r="J31" i="10"/>
  <c r="V31" i="10"/>
  <c r="M32" i="10"/>
  <c r="J35" i="10"/>
  <c r="V35" i="10"/>
  <c r="M36" i="10"/>
  <c r="J39" i="10"/>
  <c r="V39" i="10"/>
  <c r="M40" i="10"/>
  <c r="J43" i="10"/>
  <c r="V43" i="10"/>
  <c r="M44" i="10"/>
  <c r="J47" i="10"/>
  <c r="V47" i="10"/>
  <c r="M48" i="10"/>
  <c r="J51" i="10"/>
  <c r="V51" i="10"/>
  <c r="M52" i="10"/>
  <c r="J55" i="10"/>
  <c r="V55" i="10"/>
  <c r="M56" i="10"/>
  <c r="J59" i="10"/>
  <c r="V59" i="10"/>
  <c r="M60" i="10"/>
  <c r="J63" i="10"/>
  <c r="V63" i="10"/>
  <c r="M64" i="10"/>
  <c r="J67" i="10"/>
  <c r="V67" i="10"/>
  <c r="M68" i="10"/>
  <c r="J71" i="10"/>
  <c r="V71" i="10"/>
  <c r="M72" i="10"/>
  <c r="J75" i="10"/>
  <c r="V75" i="10"/>
  <c r="M76" i="10"/>
  <c r="J79" i="10"/>
  <c r="V79" i="10"/>
  <c r="U86" i="10"/>
  <c r="I86" i="10"/>
  <c r="R86" i="10"/>
  <c r="F86" i="10"/>
  <c r="Q86" i="10"/>
  <c r="E86" i="10"/>
  <c r="L86" i="10"/>
  <c r="V86" i="10"/>
  <c r="U186" i="10"/>
  <c r="I186" i="10"/>
  <c r="T186" i="10"/>
  <c r="H186" i="10"/>
  <c r="S186" i="10"/>
  <c r="G186" i="10"/>
  <c r="Q186" i="10"/>
  <c r="E186" i="10"/>
  <c r="P186" i="10"/>
  <c r="D186" i="10"/>
  <c r="L186" i="10"/>
  <c r="W186" i="10"/>
  <c r="V186" i="10"/>
  <c r="R186" i="10"/>
  <c r="O186" i="10"/>
  <c r="N186" i="10"/>
  <c r="M186" i="10"/>
  <c r="F186" i="10"/>
  <c r="U214" i="10"/>
  <c r="I214" i="10"/>
  <c r="T214" i="10"/>
  <c r="H214" i="10"/>
  <c r="S214" i="10"/>
  <c r="G214" i="10"/>
  <c r="R214" i="10"/>
  <c r="F214" i="10"/>
  <c r="Q214" i="10"/>
  <c r="E214" i="10"/>
  <c r="P214" i="10"/>
  <c r="D214" i="10"/>
  <c r="L214" i="10"/>
  <c r="W214" i="10"/>
  <c r="K214" i="10"/>
  <c r="V214" i="10"/>
  <c r="O214" i="10"/>
  <c r="N214" i="10"/>
  <c r="M214" i="10"/>
  <c r="J214" i="10"/>
  <c r="M262" i="10"/>
  <c r="L262" i="10"/>
  <c r="W262" i="10"/>
  <c r="K262" i="10"/>
  <c r="U262" i="10"/>
  <c r="I262" i="10"/>
  <c r="T262" i="10"/>
  <c r="H262" i="10"/>
  <c r="R262" i="10"/>
  <c r="F262" i="10"/>
  <c r="P262" i="10"/>
  <c r="O262" i="10"/>
  <c r="N262" i="10"/>
  <c r="J262" i="10"/>
  <c r="G262" i="10"/>
  <c r="E262" i="10"/>
  <c r="V262" i="10"/>
  <c r="S262" i="10"/>
  <c r="Q262" i="10"/>
  <c r="D262" i="10"/>
  <c r="L3" i="10"/>
  <c r="O4" i="10"/>
  <c r="L7" i="10"/>
  <c r="O8" i="10"/>
  <c r="L11" i="10"/>
  <c r="O12" i="10"/>
  <c r="L15" i="10"/>
  <c r="O16" i="10"/>
  <c r="L19" i="10"/>
  <c r="O20" i="10"/>
  <c r="L23" i="10"/>
  <c r="O24" i="10"/>
  <c r="L27" i="10"/>
  <c r="O28" i="10"/>
  <c r="L31" i="10"/>
  <c r="O32" i="10"/>
  <c r="L35" i="10"/>
  <c r="O36" i="10"/>
  <c r="L39" i="10"/>
  <c r="O40" i="10"/>
  <c r="L43" i="10"/>
  <c r="O44" i="10"/>
  <c r="O48" i="10"/>
  <c r="O52" i="10"/>
  <c r="O56" i="10"/>
  <c r="O60" i="10"/>
  <c r="O64" i="10"/>
  <c r="O68" i="10"/>
  <c r="O72" i="10"/>
  <c r="O76" i="10"/>
  <c r="L79" i="10"/>
  <c r="O80" i="10"/>
  <c r="D86" i="10"/>
  <c r="W86" i="10"/>
  <c r="U90" i="10"/>
  <c r="I90" i="10"/>
  <c r="R90" i="10"/>
  <c r="F90" i="10"/>
  <c r="Q90" i="10"/>
  <c r="E90" i="10"/>
  <c r="L90" i="10"/>
  <c r="V90" i="10"/>
  <c r="S169" i="10"/>
  <c r="J186" i="10"/>
  <c r="U194" i="10"/>
  <c r="I194" i="10"/>
  <c r="T194" i="10"/>
  <c r="H194" i="10"/>
  <c r="S194" i="10"/>
  <c r="G194" i="10"/>
  <c r="R194" i="10"/>
  <c r="F194" i="10"/>
  <c r="Q194" i="10"/>
  <c r="E194" i="10"/>
  <c r="P194" i="10"/>
  <c r="D194" i="10"/>
  <c r="L194" i="10"/>
  <c r="W194" i="10"/>
  <c r="V194" i="10"/>
  <c r="O194" i="10"/>
  <c r="N194" i="10"/>
  <c r="M194" i="10"/>
  <c r="K194" i="10"/>
  <c r="P4" i="10"/>
  <c r="P28" i="10"/>
  <c r="P36" i="10"/>
  <c r="M39" i="10"/>
  <c r="D40" i="10"/>
  <c r="P40" i="10"/>
  <c r="M43" i="10"/>
  <c r="D44" i="10"/>
  <c r="P44" i="10"/>
  <c r="M47" i="10"/>
  <c r="D48" i="10"/>
  <c r="P48" i="10"/>
  <c r="M51" i="10"/>
  <c r="D52" i="10"/>
  <c r="P52" i="10"/>
  <c r="M55" i="10"/>
  <c r="D56" i="10"/>
  <c r="P56" i="10"/>
  <c r="M59" i="10"/>
  <c r="D60" i="10"/>
  <c r="P60" i="10"/>
  <c r="M63" i="10"/>
  <c r="D64" i="10"/>
  <c r="P64" i="10"/>
  <c r="M67" i="10"/>
  <c r="D68" i="10"/>
  <c r="P68" i="10"/>
  <c r="M71" i="10"/>
  <c r="D72" i="10"/>
  <c r="P72" i="10"/>
  <c r="M75" i="10"/>
  <c r="D76" i="10"/>
  <c r="P76" i="10"/>
  <c r="M79" i="10"/>
  <c r="D80" i="10"/>
  <c r="P80" i="10"/>
  <c r="G86" i="10"/>
  <c r="D90" i="10"/>
  <c r="W90" i="10"/>
  <c r="U169" i="10"/>
  <c r="K186" i="10"/>
  <c r="J194" i="10"/>
  <c r="U202" i="10"/>
  <c r="I202" i="10"/>
  <c r="T202" i="10"/>
  <c r="H202" i="10"/>
  <c r="S202" i="10"/>
  <c r="G202" i="10"/>
  <c r="R202" i="10"/>
  <c r="F202" i="10"/>
  <c r="Q202" i="10"/>
  <c r="E202" i="10"/>
  <c r="P202" i="10"/>
  <c r="D202" i="10"/>
  <c r="L202" i="10"/>
  <c r="W202" i="10"/>
  <c r="K202" i="10"/>
  <c r="V202" i="10"/>
  <c r="O202" i="10"/>
  <c r="J202" i="10"/>
  <c r="U226" i="10"/>
  <c r="I226" i="10"/>
  <c r="T226" i="10"/>
  <c r="H226" i="10"/>
  <c r="S226" i="10"/>
  <c r="G226" i="10"/>
  <c r="R226" i="10"/>
  <c r="F226" i="10"/>
  <c r="Q226" i="10"/>
  <c r="E226" i="10"/>
  <c r="P226" i="10"/>
  <c r="D226" i="10"/>
  <c r="L226" i="10"/>
  <c r="W226" i="10"/>
  <c r="K226" i="10"/>
  <c r="V226" i="10"/>
  <c r="O226" i="10"/>
  <c r="J226" i="10"/>
  <c r="U230" i="10"/>
  <c r="I230" i="10"/>
  <c r="T230" i="10"/>
  <c r="H230" i="10"/>
  <c r="S230" i="10"/>
  <c r="G230" i="10"/>
  <c r="R230" i="10"/>
  <c r="F230" i="10"/>
  <c r="Q230" i="10"/>
  <c r="E230" i="10"/>
  <c r="P230" i="10"/>
  <c r="D230" i="10"/>
  <c r="L230" i="10"/>
  <c r="W230" i="10"/>
  <c r="K230" i="10"/>
  <c r="V230" i="10"/>
  <c r="O230" i="10"/>
  <c r="N230" i="10"/>
  <c r="M230" i="10"/>
  <c r="J230" i="10"/>
  <c r="H86" i="10"/>
  <c r="F4" i="10"/>
  <c r="R4" i="10"/>
  <c r="F8" i="10"/>
  <c r="F12" i="10"/>
  <c r="F16" i="10"/>
  <c r="F28" i="10"/>
  <c r="R28" i="10"/>
  <c r="F36" i="10"/>
  <c r="R36" i="10"/>
  <c r="F40" i="10"/>
  <c r="R40" i="10"/>
  <c r="O43" i="10"/>
  <c r="F44" i="10"/>
  <c r="R44" i="10"/>
  <c r="O47" i="10"/>
  <c r="F48" i="10"/>
  <c r="R48" i="10"/>
  <c r="O51" i="10"/>
  <c r="F52" i="10"/>
  <c r="R52" i="10"/>
  <c r="O55" i="10"/>
  <c r="F56" i="10"/>
  <c r="R56" i="10"/>
  <c r="O59" i="10"/>
  <c r="F60" i="10"/>
  <c r="R60" i="10"/>
  <c r="O63" i="10"/>
  <c r="F64" i="10"/>
  <c r="R64" i="10"/>
  <c r="O67" i="10"/>
  <c r="F68" i="10"/>
  <c r="R68" i="10"/>
  <c r="O71" i="10"/>
  <c r="F72" i="10"/>
  <c r="R72" i="10"/>
  <c r="O75" i="10"/>
  <c r="F76" i="10"/>
  <c r="R76" i="10"/>
  <c r="O79" i="10"/>
  <c r="J86" i="10"/>
  <c r="G44" i="10"/>
  <c r="G48" i="10"/>
  <c r="D51" i="10"/>
  <c r="G52" i="10"/>
  <c r="D55" i="10"/>
  <c r="G56" i="10"/>
  <c r="D59" i="10"/>
  <c r="G60" i="10"/>
  <c r="D63" i="10"/>
  <c r="G64" i="10"/>
  <c r="D67" i="10"/>
  <c r="G68" i="10"/>
  <c r="D71" i="10"/>
  <c r="G72" i="10"/>
  <c r="D75" i="10"/>
  <c r="G76" i="10"/>
  <c r="D79" i="10"/>
  <c r="G80" i="10"/>
  <c r="K86" i="10"/>
  <c r="J90" i="10"/>
  <c r="U242" i="10"/>
  <c r="I242" i="10"/>
  <c r="T242" i="10"/>
  <c r="H242" i="10"/>
  <c r="S242" i="10"/>
  <c r="G242" i="10"/>
  <c r="R242" i="10"/>
  <c r="F242" i="10"/>
  <c r="Q242" i="10"/>
  <c r="E242" i="10"/>
  <c r="P242" i="10"/>
  <c r="D242" i="10"/>
  <c r="L242" i="10"/>
  <c r="W242" i="10"/>
  <c r="K242" i="10"/>
  <c r="V242" i="10"/>
  <c r="O242" i="10"/>
  <c r="J242" i="10"/>
  <c r="U246" i="10"/>
  <c r="I246" i="10"/>
  <c r="T246" i="10"/>
  <c r="H246" i="10"/>
  <c r="S246" i="10"/>
  <c r="G246" i="10"/>
  <c r="R246" i="10"/>
  <c r="F246" i="10"/>
  <c r="Q246" i="10"/>
  <c r="E246" i="10"/>
  <c r="P246" i="10"/>
  <c r="D246" i="10"/>
  <c r="L246" i="10"/>
  <c r="W246" i="10"/>
  <c r="K246" i="10"/>
  <c r="V246" i="10"/>
  <c r="O246" i="10"/>
  <c r="N246" i="10"/>
  <c r="M246" i="10"/>
  <c r="J246" i="10"/>
  <c r="O83" i="10"/>
  <c r="F84" i="10"/>
  <c r="R84" i="10"/>
  <c r="I85" i="10"/>
  <c r="U85" i="10"/>
  <c r="O87" i="10"/>
  <c r="F88" i="10"/>
  <c r="R88" i="10"/>
  <c r="I89" i="10"/>
  <c r="U89" i="10"/>
  <c r="O91" i="10"/>
  <c r="F92" i="10"/>
  <c r="R92" i="10"/>
  <c r="I93" i="10"/>
  <c r="U93" i="10"/>
  <c r="L94" i="10"/>
  <c r="O95" i="10"/>
  <c r="F96" i="10"/>
  <c r="R96" i="10"/>
  <c r="I97" i="10"/>
  <c r="U97" i="10"/>
  <c r="L98" i="10"/>
  <c r="O99" i="10"/>
  <c r="F100" i="10"/>
  <c r="R100" i="10"/>
  <c r="I101" i="10"/>
  <c r="U101" i="10"/>
  <c r="L102" i="10"/>
  <c r="O103" i="10"/>
  <c r="F104" i="10"/>
  <c r="R104" i="10"/>
  <c r="I105" i="10"/>
  <c r="U105" i="10"/>
  <c r="L106" i="10"/>
  <c r="O107" i="10"/>
  <c r="R108" i="10"/>
  <c r="I109" i="10"/>
  <c r="U109" i="10"/>
  <c r="L110" i="10"/>
  <c r="O111" i="10"/>
  <c r="I113" i="10"/>
  <c r="U113" i="10"/>
  <c r="L114" i="10"/>
  <c r="O115" i="10"/>
  <c r="I117" i="10"/>
  <c r="U117" i="10"/>
  <c r="L118" i="10"/>
  <c r="O119" i="10"/>
  <c r="I121" i="10"/>
  <c r="U121" i="10"/>
  <c r="L122" i="10"/>
  <c r="O123" i="10"/>
  <c r="I125" i="10"/>
  <c r="U125" i="10"/>
  <c r="L126" i="10"/>
  <c r="O127" i="10"/>
  <c r="I129" i="10"/>
  <c r="U129" i="10"/>
  <c r="L130" i="10"/>
  <c r="O131" i="10"/>
  <c r="I133" i="10"/>
  <c r="U133" i="10"/>
  <c r="L134" i="10"/>
  <c r="O135" i="10"/>
  <c r="I137" i="10"/>
  <c r="U137" i="10"/>
  <c r="L138" i="10"/>
  <c r="O139" i="10"/>
  <c r="I141" i="10"/>
  <c r="U141" i="10"/>
  <c r="L142" i="10"/>
  <c r="O143" i="10"/>
  <c r="I145" i="10"/>
  <c r="U145" i="10"/>
  <c r="L146" i="10"/>
  <c r="O147" i="10"/>
  <c r="I149" i="10"/>
  <c r="U149" i="10"/>
  <c r="L150" i="10"/>
  <c r="O151" i="10"/>
  <c r="U153" i="10"/>
  <c r="L154" i="10"/>
  <c r="O155" i="10"/>
  <c r="U157" i="10"/>
  <c r="L158" i="10"/>
  <c r="O159" i="10"/>
  <c r="I161" i="10"/>
  <c r="U161" i="10"/>
  <c r="L162" i="10"/>
  <c r="O163" i="10"/>
  <c r="I165" i="10"/>
  <c r="U165" i="10"/>
  <c r="M170" i="10"/>
  <c r="G175" i="10"/>
  <c r="V175" i="10"/>
  <c r="H177" i="10"/>
  <c r="V177" i="10"/>
  <c r="I179" i="10"/>
  <c r="M182" i="10"/>
  <c r="R185" i="10"/>
  <c r="F185" i="10"/>
  <c r="Q185" i="10"/>
  <c r="E185" i="10"/>
  <c r="P185" i="10"/>
  <c r="D185" i="10"/>
  <c r="N185" i="10"/>
  <c r="M185" i="10"/>
  <c r="U185" i="10"/>
  <c r="I185" i="10"/>
  <c r="U198" i="10"/>
  <c r="I198" i="10"/>
  <c r="T198" i="10"/>
  <c r="H198" i="10"/>
  <c r="S198" i="10"/>
  <c r="G198" i="10"/>
  <c r="R198" i="10"/>
  <c r="F198" i="10"/>
  <c r="Q198" i="10"/>
  <c r="E198" i="10"/>
  <c r="P198" i="10"/>
  <c r="D198" i="10"/>
  <c r="L198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U166" i="10"/>
  <c r="Q166" i="10"/>
  <c r="O166" i="10"/>
  <c r="U174" i="10"/>
  <c r="I174" i="10"/>
  <c r="Q174" i="10"/>
  <c r="E174" i="10"/>
  <c r="R174" i="10"/>
  <c r="K175" i="10"/>
  <c r="K177" i="10"/>
  <c r="N179" i="10"/>
  <c r="R182" i="10"/>
  <c r="M198" i="10"/>
  <c r="M302" i="10"/>
  <c r="L302" i="10"/>
  <c r="W302" i="10"/>
  <c r="K302" i="10"/>
  <c r="V302" i="10"/>
  <c r="J302" i="10"/>
  <c r="U302" i="10"/>
  <c r="I302" i="10"/>
  <c r="T302" i="10"/>
  <c r="H302" i="10"/>
  <c r="S302" i="10"/>
  <c r="G302" i="10"/>
  <c r="R302" i="10"/>
  <c r="F302" i="10"/>
  <c r="P302" i="10"/>
  <c r="D302" i="10"/>
  <c r="Q302" i="10"/>
  <c r="O302" i="10"/>
  <c r="N302" i="10"/>
  <c r="E302" i="10"/>
  <c r="U170" i="10"/>
  <c r="I170" i="10"/>
  <c r="Q170" i="10"/>
  <c r="E170" i="10"/>
  <c r="R170" i="10"/>
  <c r="H83" i="10"/>
  <c r="T83" i="10"/>
  <c r="K84" i="10"/>
  <c r="W84" i="10"/>
  <c r="N85" i="10"/>
  <c r="T87" i="10"/>
  <c r="K88" i="10"/>
  <c r="W88" i="10"/>
  <c r="N89" i="10"/>
  <c r="H91" i="10"/>
  <c r="T91" i="10"/>
  <c r="K92" i="10"/>
  <c r="W92" i="10"/>
  <c r="N93" i="10"/>
  <c r="E94" i="10"/>
  <c r="Q94" i="10"/>
  <c r="H95" i="10"/>
  <c r="T95" i="10"/>
  <c r="K96" i="10"/>
  <c r="W96" i="10"/>
  <c r="N97" i="10"/>
  <c r="E98" i="10"/>
  <c r="Q98" i="10"/>
  <c r="H99" i="10"/>
  <c r="T99" i="10"/>
  <c r="K100" i="10"/>
  <c r="W100" i="10"/>
  <c r="N101" i="10"/>
  <c r="E102" i="10"/>
  <c r="Q102" i="10"/>
  <c r="H103" i="10"/>
  <c r="T103" i="10"/>
  <c r="K104" i="10"/>
  <c r="W104" i="10"/>
  <c r="N105" i="10"/>
  <c r="E106" i="10"/>
  <c r="Q106" i="10"/>
  <c r="H107" i="10"/>
  <c r="T107" i="10"/>
  <c r="K108" i="10"/>
  <c r="W108" i="10"/>
  <c r="N109" i="10"/>
  <c r="E110" i="10"/>
  <c r="Q110" i="10"/>
  <c r="H111" i="10"/>
  <c r="T111" i="10"/>
  <c r="K112" i="10"/>
  <c r="W112" i="10"/>
  <c r="N113" i="10"/>
  <c r="E114" i="10"/>
  <c r="Q114" i="10"/>
  <c r="H115" i="10"/>
  <c r="T115" i="10"/>
  <c r="K116" i="10"/>
  <c r="W116" i="10"/>
  <c r="N117" i="10"/>
  <c r="E118" i="10"/>
  <c r="Q118" i="10"/>
  <c r="H119" i="10"/>
  <c r="T119" i="10"/>
  <c r="K120" i="10"/>
  <c r="W120" i="10"/>
  <c r="N121" i="10"/>
  <c r="E122" i="10"/>
  <c r="Q122" i="10"/>
  <c r="H123" i="10"/>
  <c r="T123" i="10"/>
  <c r="K124" i="10"/>
  <c r="W124" i="10"/>
  <c r="N125" i="10"/>
  <c r="E126" i="10"/>
  <c r="Q126" i="10"/>
  <c r="H127" i="10"/>
  <c r="T127" i="10"/>
  <c r="K128" i="10"/>
  <c r="W128" i="10"/>
  <c r="N129" i="10"/>
  <c r="E130" i="10"/>
  <c r="Q130" i="10"/>
  <c r="H131" i="10"/>
  <c r="T131" i="10"/>
  <c r="K132" i="10"/>
  <c r="W132" i="10"/>
  <c r="N133" i="10"/>
  <c r="E134" i="10"/>
  <c r="Q134" i="10"/>
  <c r="H135" i="10"/>
  <c r="T135" i="10"/>
  <c r="K136" i="10"/>
  <c r="W136" i="10"/>
  <c r="N137" i="10"/>
  <c r="E138" i="10"/>
  <c r="Q138" i="10"/>
  <c r="H139" i="10"/>
  <c r="T139" i="10"/>
  <c r="K140" i="10"/>
  <c r="W140" i="10"/>
  <c r="N141" i="10"/>
  <c r="E142" i="10"/>
  <c r="Q142" i="10"/>
  <c r="H143" i="10"/>
  <c r="T143" i="10"/>
  <c r="K144" i="10"/>
  <c r="W144" i="10"/>
  <c r="N145" i="10"/>
  <c r="E146" i="10"/>
  <c r="Q146" i="10"/>
  <c r="H147" i="10"/>
  <c r="T147" i="10"/>
  <c r="K148" i="10"/>
  <c r="W148" i="10"/>
  <c r="N149" i="10"/>
  <c r="E150" i="10"/>
  <c r="Q150" i="10"/>
  <c r="H151" i="10"/>
  <c r="T151" i="10"/>
  <c r="K152" i="10"/>
  <c r="W152" i="10"/>
  <c r="N153" i="10"/>
  <c r="E154" i="10"/>
  <c r="Q154" i="10"/>
  <c r="H155" i="10"/>
  <c r="T155" i="10"/>
  <c r="K156" i="10"/>
  <c r="W156" i="10"/>
  <c r="N157" i="10"/>
  <c r="E158" i="10"/>
  <c r="Q158" i="10"/>
  <c r="H159" i="10"/>
  <c r="T159" i="10"/>
  <c r="K160" i="10"/>
  <c r="W160" i="10"/>
  <c r="N161" i="10"/>
  <c r="E162" i="10"/>
  <c r="Q162" i="10"/>
  <c r="H163" i="10"/>
  <c r="T163" i="10"/>
  <c r="K164" i="10"/>
  <c r="W164" i="10"/>
  <c r="N165" i="10"/>
  <c r="E166" i="10"/>
  <c r="R166" i="10"/>
  <c r="D170" i="10"/>
  <c r="S170" i="10"/>
  <c r="F174" i="10"/>
  <c r="T174" i="10"/>
  <c r="N175" i="10"/>
  <c r="M177" i="10"/>
  <c r="P179" i="10"/>
  <c r="R181" i="10"/>
  <c r="F181" i="10"/>
  <c r="Q181" i="10"/>
  <c r="E181" i="10"/>
  <c r="N181" i="10"/>
  <c r="M181" i="10"/>
  <c r="U181" i="10"/>
  <c r="V181" i="10"/>
  <c r="L185" i="10"/>
  <c r="O198" i="10"/>
  <c r="U210" i="10"/>
  <c r="I210" i="10"/>
  <c r="T210" i="10"/>
  <c r="H210" i="10"/>
  <c r="S210" i="10"/>
  <c r="G210" i="10"/>
  <c r="R210" i="10"/>
  <c r="F210" i="10"/>
  <c r="Q210" i="10"/>
  <c r="E210" i="10"/>
  <c r="P210" i="10"/>
  <c r="D210" i="10"/>
  <c r="L210" i="10"/>
  <c r="W210" i="10"/>
  <c r="K210" i="10"/>
  <c r="U218" i="10"/>
  <c r="I218" i="10"/>
  <c r="T218" i="10"/>
  <c r="H218" i="10"/>
  <c r="S218" i="10"/>
  <c r="G218" i="10"/>
  <c r="R218" i="10"/>
  <c r="F218" i="10"/>
  <c r="Q218" i="10"/>
  <c r="E218" i="10"/>
  <c r="P218" i="10"/>
  <c r="D218" i="10"/>
  <c r="L218" i="10"/>
  <c r="W218" i="10"/>
  <c r="K218" i="10"/>
  <c r="U234" i="10"/>
  <c r="I234" i="10"/>
  <c r="T234" i="10"/>
  <c r="H234" i="10"/>
  <c r="S234" i="10"/>
  <c r="G234" i="10"/>
  <c r="R234" i="10"/>
  <c r="F234" i="10"/>
  <c r="Q234" i="10"/>
  <c r="E234" i="10"/>
  <c r="P234" i="10"/>
  <c r="D234" i="10"/>
  <c r="L234" i="10"/>
  <c r="W234" i="10"/>
  <c r="K234" i="10"/>
  <c r="I83" i="10"/>
  <c r="U83" i="10"/>
  <c r="L84" i="10"/>
  <c r="O85" i="10"/>
  <c r="I87" i="10"/>
  <c r="L88" i="10"/>
  <c r="O89" i="10"/>
  <c r="I91" i="10"/>
  <c r="U91" i="10"/>
  <c r="L92" i="10"/>
  <c r="O93" i="10"/>
  <c r="F94" i="10"/>
  <c r="R94" i="10"/>
  <c r="I95" i="10"/>
  <c r="U95" i="10"/>
  <c r="L96" i="10"/>
  <c r="O97" i="10"/>
  <c r="F98" i="10"/>
  <c r="R98" i="10"/>
  <c r="I99" i="10"/>
  <c r="U99" i="10"/>
  <c r="L100" i="10"/>
  <c r="O101" i="10"/>
  <c r="F102" i="10"/>
  <c r="R102" i="10"/>
  <c r="I103" i="10"/>
  <c r="U103" i="10"/>
  <c r="L104" i="10"/>
  <c r="O105" i="10"/>
  <c r="F106" i="10"/>
  <c r="R106" i="10"/>
  <c r="I107" i="10"/>
  <c r="U107" i="10"/>
  <c r="O109" i="10"/>
  <c r="F110" i="10"/>
  <c r="R110" i="10"/>
  <c r="I111" i="10"/>
  <c r="U111" i="10"/>
  <c r="O113" i="10"/>
  <c r="F114" i="10"/>
  <c r="R114" i="10"/>
  <c r="I115" i="10"/>
  <c r="U115" i="10"/>
  <c r="O117" i="10"/>
  <c r="F118" i="10"/>
  <c r="R118" i="10"/>
  <c r="I119" i="10"/>
  <c r="U119" i="10"/>
  <c r="O121" i="10"/>
  <c r="F122" i="10"/>
  <c r="R122" i="10"/>
  <c r="I123" i="10"/>
  <c r="U123" i="10"/>
  <c r="O125" i="10"/>
  <c r="F126" i="10"/>
  <c r="R126" i="10"/>
  <c r="I127" i="10"/>
  <c r="U127" i="10"/>
  <c r="O129" i="10"/>
  <c r="F130" i="10"/>
  <c r="R130" i="10"/>
  <c r="I131" i="10"/>
  <c r="U131" i="10"/>
  <c r="O133" i="10"/>
  <c r="F134" i="10"/>
  <c r="R134" i="10"/>
  <c r="I135" i="10"/>
  <c r="U135" i="10"/>
  <c r="O137" i="10"/>
  <c r="F138" i="10"/>
  <c r="R138" i="10"/>
  <c r="I139" i="10"/>
  <c r="U139" i="10"/>
  <c r="O141" i="10"/>
  <c r="F142" i="10"/>
  <c r="R142" i="10"/>
  <c r="I143" i="10"/>
  <c r="U143" i="10"/>
  <c r="O145" i="10"/>
  <c r="F146" i="10"/>
  <c r="R146" i="10"/>
  <c r="I147" i="10"/>
  <c r="U147" i="10"/>
  <c r="O149" i="10"/>
  <c r="F150" i="10"/>
  <c r="R150" i="10"/>
  <c r="I151" i="10"/>
  <c r="U151" i="10"/>
  <c r="O153" i="10"/>
  <c r="F154" i="10"/>
  <c r="R154" i="10"/>
  <c r="I155" i="10"/>
  <c r="U155" i="10"/>
  <c r="O157" i="10"/>
  <c r="F158" i="10"/>
  <c r="R158" i="10"/>
  <c r="I159" i="10"/>
  <c r="U159" i="10"/>
  <c r="O161" i="10"/>
  <c r="F162" i="10"/>
  <c r="R162" i="10"/>
  <c r="I163" i="10"/>
  <c r="U163" i="10"/>
  <c r="O165" i="10"/>
  <c r="F166" i="10"/>
  <c r="S166" i="10"/>
  <c r="F170" i="10"/>
  <c r="T170" i="10"/>
  <c r="G174" i="10"/>
  <c r="V174" i="10"/>
  <c r="O185" i="10"/>
  <c r="V198" i="10"/>
  <c r="M310" i="10"/>
  <c r="L310" i="10"/>
  <c r="W310" i="10"/>
  <c r="K310" i="10"/>
  <c r="V310" i="10"/>
  <c r="J310" i="10"/>
  <c r="U310" i="10"/>
  <c r="I310" i="10"/>
  <c r="T310" i="10"/>
  <c r="H310" i="10"/>
  <c r="S310" i="10"/>
  <c r="G310" i="10"/>
  <c r="R310" i="10"/>
  <c r="F310" i="10"/>
  <c r="P310" i="10"/>
  <c r="D310" i="10"/>
  <c r="Q310" i="10"/>
  <c r="O310" i="10"/>
  <c r="N347" i="10"/>
  <c r="M347" i="10"/>
  <c r="L347" i="10"/>
  <c r="W347" i="10"/>
  <c r="K347" i="10"/>
  <c r="V347" i="10"/>
  <c r="J347" i="10"/>
  <c r="U347" i="10"/>
  <c r="I347" i="10"/>
  <c r="T347" i="10"/>
  <c r="H347" i="10"/>
  <c r="S347" i="10"/>
  <c r="G347" i="10"/>
  <c r="R347" i="10"/>
  <c r="Q347" i="10"/>
  <c r="P347" i="10"/>
  <c r="O347" i="10"/>
  <c r="F347" i="10"/>
  <c r="D347" i="10"/>
  <c r="G170" i="10"/>
  <c r="V170" i="10"/>
  <c r="L179" i="10"/>
  <c r="W179" i="10"/>
  <c r="K179" i="10"/>
  <c r="T179" i="10"/>
  <c r="H179" i="10"/>
  <c r="R179" i="10"/>
  <c r="U182" i="10"/>
  <c r="I182" i="10"/>
  <c r="T182" i="10"/>
  <c r="H182" i="10"/>
  <c r="S182" i="10"/>
  <c r="Q182" i="10"/>
  <c r="E182" i="10"/>
  <c r="P182" i="10"/>
  <c r="D182" i="10"/>
  <c r="L182" i="10"/>
  <c r="H94" i="10"/>
  <c r="T94" i="10"/>
  <c r="H98" i="10"/>
  <c r="T98" i="10"/>
  <c r="H102" i="10"/>
  <c r="T102" i="10"/>
  <c r="H134" i="10"/>
  <c r="T134" i="10"/>
  <c r="H138" i="10"/>
  <c r="T138" i="10"/>
  <c r="H142" i="10"/>
  <c r="T142" i="10"/>
  <c r="H146" i="10"/>
  <c r="T146" i="10"/>
  <c r="H150" i="10"/>
  <c r="T150" i="10"/>
  <c r="H154" i="10"/>
  <c r="T154" i="10"/>
  <c r="H158" i="10"/>
  <c r="T158" i="10"/>
  <c r="W159" i="10"/>
  <c r="H162" i="10"/>
  <c r="T162" i="10"/>
  <c r="W163" i="10"/>
  <c r="Q165" i="10"/>
  <c r="H166" i="10"/>
  <c r="V166" i="10"/>
  <c r="H170" i="10"/>
  <c r="W170" i="10"/>
  <c r="J174" i="10"/>
  <c r="L175" i="10"/>
  <c r="T175" i="10"/>
  <c r="H175" i="10"/>
  <c r="Q175" i="10"/>
  <c r="R177" i="10"/>
  <c r="F177" i="10"/>
  <c r="N177" i="10"/>
  <c r="Q177" i="10"/>
  <c r="D179" i="10"/>
  <c r="S179" i="10"/>
  <c r="F182" i="10"/>
  <c r="U206" i="10"/>
  <c r="I206" i="10"/>
  <c r="T206" i="10"/>
  <c r="H206" i="10"/>
  <c r="S206" i="10"/>
  <c r="G206" i="10"/>
  <c r="R206" i="10"/>
  <c r="F206" i="10"/>
  <c r="Q206" i="10"/>
  <c r="E206" i="10"/>
  <c r="P206" i="10"/>
  <c r="D206" i="10"/>
  <c r="L206" i="10"/>
  <c r="W206" i="10"/>
  <c r="K206" i="10"/>
  <c r="U222" i="10"/>
  <c r="I222" i="10"/>
  <c r="T222" i="10"/>
  <c r="H222" i="10"/>
  <c r="S222" i="10"/>
  <c r="G222" i="10"/>
  <c r="R222" i="10"/>
  <c r="F222" i="10"/>
  <c r="Q222" i="10"/>
  <c r="E222" i="10"/>
  <c r="P222" i="10"/>
  <c r="D222" i="10"/>
  <c r="L222" i="10"/>
  <c r="W222" i="10"/>
  <c r="K222" i="10"/>
  <c r="U238" i="10"/>
  <c r="I238" i="10"/>
  <c r="T238" i="10"/>
  <c r="H238" i="10"/>
  <c r="S238" i="10"/>
  <c r="G238" i="10"/>
  <c r="R238" i="10"/>
  <c r="F238" i="10"/>
  <c r="Q238" i="10"/>
  <c r="E238" i="10"/>
  <c r="P238" i="10"/>
  <c r="D238" i="10"/>
  <c r="L238" i="10"/>
  <c r="W238" i="10"/>
  <c r="K238" i="10"/>
  <c r="F85" i="10"/>
  <c r="F89" i="10"/>
  <c r="F93" i="10"/>
  <c r="I94" i="10"/>
  <c r="F97" i="10"/>
  <c r="I98" i="10"/>
  <c r="F101" i="10"/>
  <c r="I102" i="10"/>
  <c r="F105" i="10"/>
  <c r="I106" i="10"/>
  <c r="F109" i="10"/>
  <c r="I110" i="10"/>
  <c r="F113" i="10"/>
  <c r="I114" i="10"/>
  <c r="F117" i="10"/>
  <c r="I118" i="10"/>
  <c r="F121" i="10"/>
  <c r="I122" i="10"/>
  <c r="F125" i="10"/>
  <c r="I126" i="10"/>
  <c r="F129" i="10"/>
  <c r="I130" i="10"/>
  <c r="F133" i="10"/>
  <c r="I134" i="10"/>
  <c r="F137" i="10"/>
  <c r="I138" i="10"/>
  <c r="F141" i="10"/>
  <c r="I142" i="10"/>
  <c r="F145" i="10"/>
  <c r="I146" i="10"/>
  <c r="F149" i="10"/>
  <c r="I150" i="10"/>
  <c r="F153" i="10"/>
  <c r="I154" i="10"/>
  <c r="F157" i="10"/>
  <c r="I158" i="10"/>
  <c r="F161" i="10"/>
  <c r="I162" i="10"/>
  <c r="F165" i="10"/>
  <c r="I166" i="10"/>
  <c r="W166" i="10"/>
  <c r="J170" i="10"/>
  <c r="L171" i="10"/>
  <c r="T171" i="10"/>
  <c r="H171" i="10"/>
  <c r="Q171" i="10"/>
  <c r="R173" i="10"/>
  <c r="F173" i="10"/>
  <c r="N173" i="10"/>
  <c r="Q173" i="10"/>
  <c r="K174" i="10"/>
  <c r="D175" i="10"/>
  <c r="R175" i="10"/>
  <c r="D177" i="10"/>
  <c r="S177" i="10"/>
  <c r="E179" i="10"/>
  <c r="U179" i="10"/>
  <c r="I181" i="10"/>
  <c r="G182" i="10"/>
  <c r="V185" i="10"/>
  <c r="J206" i="10"/>
  <c r="O210" i="10"/>
  <c r="J222" i="10"/>
  <c r="J238" i="10"/>
  <c r="M254" i="10"/>
  <c r="U254" i="10"/>
  <c r="I254" i="10"/>
  <c r="Q254" i="10"/>
  <c r="M314" i="10"/>
  <c r="L314" i="10"/>
  <c r="W314" i="10"/>
  <c r="K314" i="10"/>
  <c r="V314" i="10"/>
  <c r="J314" i="10"/>
  <c r="U314" i="10"/>
  <c r="I314" i="10"/>
  <c r="T314" i="10"/>
  <c r="H314" i="10"/>
  <c r="S314" i="10"/>
  <c r="G314" i="10"/>
  <c r="R314" i="10"/>
  <c r="F314" i="10"/>
  <c r="P314" i="10"/>
  <c r="D314" i="10"/>
  <c r="M330" i="10"/>
  <c r="L330" i="10"/>
  <c r="W330" i="10"/>
  <c r="K330" i="10"/>
  <c r="V330" i="10"/>
  <c r="J330" i="10"/>
  <c r="U330" i="10"/>
  <c r="I330" i="10"/>
  <c r="T330" i="10"/>
  <c r="H330" i="10"/>
  <c r="S330" i="10"/>
  <c r="G330" i="10"/>
  <c r="R330" i="10"/>
  <c r="F330" i="10"/>
  <c r="P330" i="10"/>
  <c r="D330" i="10"/>
  <c r="N379" i="10"/>
  <c r="M379" i="10"/>
  <c r="L379" i="10"/>
  <c r="W379" i="10"/>
  <c r="K379" i="10"/>
  <c r="V379" i="10"/>
  <c r="J379" i="10"/>
  <c r="U379" i="10"/>
  <c r="I379" i="10"/>
  <c r="T379" i="10"/>
  <c r="H379" i="10"/>
  <c r="S379" i="10"/>
  <c r="G379" i="10"/>
  <c r="R379" i="10"/>
  <c r="Q379" i="10"/>
  <c r="P379" i="10"/>
  <c r="O379" i="10"/>
  <c r="E379" i="10"/>
  <c r="O183" i="10"/>
  <c r="O187" i="10"/>
  <c r="I189" i="10"/>
  <c r="U189" i="10"/>
  <c r="O191" i="10"/>
  <c r="I193" i="10"/>
  <c r="U193" i="10"/>
  <c r="O195" i="10"/>
  <c r="I197" i="10"/>
  <c r="U197" i="10"/>
  <c r="O199" i="10"/>
  <c r="I201" i="10"/>
  <c r="U201" i="10"/>
  <c r="O203" i="10"/>
  <c r="I205" i="10"/>
  <c r="U205" i="10"/>
  <c r="O207" i="10"/>
  <c r="I209" i="10"/>
  <c r="U209" i="10"/>
  <c r="O211" i="10"/>
  <c r="I213" i="10"/>
  <c r="U213" i="10"/>
  <c r="O215" i="10"/>
  <c r="I217" i="10"/>
  <c r="U217" i="10"/>
  <c r="O219" i="10"/>
  <c r="I221" i="10"/>
  <c r="U221" i="10"/>
  <c r="O223" i="10"/>
  <c r="I225" i="10"/>
  <c r="U225" i="10"/>
  <c r="O227" i="10"/>
  <c r="I229" i="10"/>
  <c r="U229" i="10"/>
  <c r="O231" i="10"/>
  <c r="I233" i="10"/>
  <c r="U233" i="10"/>
  <c r="O235" i="10"/>
  <c r="I237" i="10"/>
  <c r="U237" i="10"/>
  <c r="O239" i="10"/>
  <c r="I241" i="10"/>
  <c r="U241" i="10"/>
  <c r="O243" i="10"/>
  <c r="I245" i="10"/>
  <c r="U245" i="10"/>
  <c r="O247" i="10"/>
  <c r="J249" i="10"/>
  <c r="M250" i="10"/>
  <c r="U250" i="10"/>
  <c r="I250" i="10"/>
  <c r="Q250" i="10"/>
  <c r="J251" i="10"/>
  <c r="K253" i="10"/>
  <c r="D254" i="10"/>
  <c r="R254" i="10"/>
  <c r="L258" i="10"/>
  <c r="N266" i="10"/>
  <c r="M270" i="10"/>
  <c r="L270" i="10"/>
  <c r="W270" i="10"/>
  <c r="K270" i="10"/>
  <c r="V270" i="10"/>
  <c r="J270" i="10"/>
  <c r="U270" i="10"/>
  <c r="I270" i="10"/>
  <c r="T270" i="10"/>
  <c r="H270" i="10"/>
  <c r="R270" i="10"/>
  <c r="F270" i="10"/>
  <c r="E314" i="10"/>
  <c r="E330" i="10"/>
  <c r="D379" i="10"/>
  <c r="G183" i="10"/>
  <c r="S183" i="10"/>
  <c r="G187" i="10"/>
  <c r="S187" i="10"/>
  <c r="M189" i="10"/>
  <c r="G191" i="10"/>
  <c r="S191" i="10"/>
  <c r="M193" i="10"/>
  <c r="G195" i="10"/>
  <c r="S195" i="10"/>
  <c r="M197" i="10"/>
  <c r="G199" i="10"/>
  <c r="S199" i="10"/>
  <c r="M201" i="10"/>
  <c r="G203" i="10"/>
  <c r="S203" i="10"/>
  <c r="M205" i="10"/>
  <c r="G207" i="10"/>
  <c r="S207" i="10"/>
  <c r="M209" i="10"/>
  <c r="G211" i="10"/>
  <c r="S211" i="10"/>
  <c r="M213" i="10"/>
  <c r="M217" i="10"/>
  <c r="M221" i="10"/>
  <c r="M225" i="10"/>
  <c r="M229" i="10"/>
  <c r="M233" i="10"/>
  <c r="M237" i="10"/>
  <c r="M241" i="10"/>
  <c r="M245" i="10"/>
  <c r="N249" i="10"/>
  <c r="O251" i="10"/>
  <c r="O253" i="10"/>
  <c r="H254" i="10"/>
  <c r="W254" i="10"/>
  <c r="Q258" i="10"/>
  <c r="V261" i="10"/>
  <c r="J261" i="10"/>
  <c r="U261" i="10"/>
  <c r="I261" i="10"/>
  <c r="T261" i="10"/>
  <c r="H261" i="10"/>
  <c r="R261" i="10"/>
  <c r="F261" i="10"/>
  <c r="Q261" i="10"/>
  <c r="E261" i="10"/>
  <c r="O261" i="10"/>
  <c r="S266" i="10"/>
  <c r="M298" i="10"/>
  <c r="L298" i="10"/>
  <c r="W298" i="10"/>
  <c r="K298" i="10"/>
  <c r="V298" i="10"/>
  <c r="J298" i="10"/>
  <c r="U298" i="10"/>
  <c r="I298" i="10"/>
  <c r="T298" i="10"/>
  <c r="H298" i="10"/>
  <c r="S298" i="10"/>
  <c r="G298" i="10"/>
  <c r="R298" i="10"/>
  <c r="F298" i="10"/>
  <c r="P298" i="10"/>
  <c r="D298" i="10"/>
  <c r="N355" i="10"/>
  <c r="M355" i="10"/>
  <c r="L355" i="10"/>
  <c r="W355" i="10"/>
  <c r="K355" i="10"/>
  <c r="V355" i="10"/>
  <c r="J355" i="10"/>
  <c r="U355" i="10"/>
  <c r="I355" i="10"/>
  <c r="T355" i="10"/>
  <c r="H355" i="10"/>
  <c r="S355" i="10"/>
  <c r="G355" i="10"/>
  <c r="R355" i="10"/>
  <c r="Q355" i="10"/>
  <c r="P355" i="10"/>
  <c r="O355" i="10"/>
  <c r="F355" i="10"/>
  <c r="E355" i="10"/>
  <c r="D355" i="10"/>
  <c r="W362" i="10"/>
  <c r="K362" i="10"/>
  <c r="V362" i="10"/>
  <c r="J362" i="10"/>
  <c r="U362" i="10"/>
  <c r="I362" i="10"/>
  <c r="T362" i="10"/>
  <c r="H362" i="10"/>
  <c r="S362" i="10"/>
  <c r="G362" i="10"/>
  <c r="R362" i="10"/>
  <c r="F362" i="10"/>
  <c r="Q362" i="10"/>
  <c r="E362" i="10"/>
  <c r="P362" i="10"/>
  <c r="D362" i="10"/>
  <c r="O362" i="10"/>
  <c r="N362" i="10"/>
  <c r="L362" i="10"/>
  <c r="T422" i="10"/>
  <c r="R422" i="10"/>
  <c r="F422" i="10"/>
  <c r="M422" i="10"/>
  <c r="L422" i="10"/>
  <c r="K422" i="10"/>
  <c r="J422" i="10"/>
  <c r="I422" i="10"/>
  <c r="W422" i="10"/>
  <c r="H422" i="10"/>
  <c r="V422" i="10"/>
  <c r="G422" i="10"/>
  <c r="U422" i="10"/>
  <c r="E422" i="10"/>
  <c r="S422" i="10"/>
  <c r="D422" i="10"/>
  <c r="P422" i="10"/>
  <c r="Q422" i="10"/>
  <c r="N422" i="10"/>
  <c r="T430" i="10"/>
  <c r="H430" i="10"/>
  <c r="S430" i="10"/>
  <c r="G430" i="10"/>
  <c r="R430" i="10"/>
  <c r="F430" i="10"/>
  <c r="Q430" i="10"/>
  <c r="E430" i="10"/>
  <c r="P430" i="10"/>
  <c r="M430" i="10"/>
  <c r="W430" i="10"/>
  <c r="V430" i="10"/>
  <c r="U430" i="10"/>
  <c r="O430" i="10"/>
  <c r="N430" i="10"/>
  <c r="L430" i="10"/>
  <c r="K430" i="10"/>
  <c r="I430" i="10"/>
  <c r="J430" i="10"/>
  <c r="D430" i="10"/>
  <c r="K168" i="10"/>
  <c r="W168" i="10"/>
  <c r="K172" i="10"/>
  <c r="W172" i="10"/>
  <c r="K176" i="10"/>
  <c r="W176" i="10"/>
  <c r="K180" i="10"/>
  <c r="W180" i="10"/>
  <c r="H183" i="10"/>
  <c r="T183" i="10"/>
  <c r="K184" i="10"/>
  <c r="W184" i="10"/>
  <c r="H187" i="10"/>
  <c r="T187" i="10"/>
  <c r="K188" i="10"/>
  <c r="W188" i="10"/>
  <c r="N189" i="10"/>
  <c r="H191" i="10"/>
  <c r="T191" i="10"/>
  <c r="K192" i="10"/>
  <c r="W192" i="10"/>
  <c r="N193" i="10"/>
  <c r="H195" i="10"/>
  <c r="T195" i="10"/>
  <c r="K196" i="10"/>
  <c r="W196" i="10"/>
  <c r="N197" i="10"/>
  <c r="H199" i="10"/>
  <c r="T199" i="10"/>
  <c r="K200" i="10"/>
  <c r="W200" i="10"/>
  <c r="N201" i="10"/>
  <c r="H203" i="10"/>
  <c r="T203" i="10"/>
  <c r="K204" i="10"/>
  <c r="W204" i="10"/>
  <c r="N205" i="10"/>
  <c r="H207" i="10"/>
  <c r="T207" i="10"/>
  <c r="K208" i="10"/>
  <c r="W208" i="10"/>
  <c r="N209" i="10"/>
  <c r="H211" i="10"/>
  <c r="T211" i="10"/>
  <c r="K212" i="10"/>
  <c r="W212" i="10"/>
  <c r="N213" i="10"/>
  <c r="H215" i="10"/>
  <c r="T215" i="10"/>
  <c r="K216" i="10"/>
  <c r="W216" i="10"/>
  <c r="N217" i="10"/>
  <c r="H219" i="10"/>
  <c r="T219" i="10"/>
  <c r="K220" i="10"/>
  <c r="W220" i="10"/>
  <c r="N221" i="10"/>
  <c r="H223" i="10"/>
  <c r="T223" i="10"/>
  <c r="K224" i="10"/>
  <c r="W224" i="10"/>
  <c r="N225" i="10"/>
  <c r="H227" i="10"/>
  <c r="T227" i="10"/>
  <c r="K228" i="10"/>
  <c r="W228" i="10"/>
  <c r="N229" i="10"/>
  <c r="H231" i="10"/>
  <c r="T231" i="10"/>
  <c r="K232" i="10"/>
  <c r="W232" i="10"/>
  <c r="N233" i="10"/>
  <c r="H235" i="10"/>
  <c r="T235" i="10"/>
  <c r="K236" i="10"/>
  <c r="W236" i="10"/>
  <c r="N237" i="10"/>
  <c r="H239" i="10"/>
  <c r="T239" i="10"/>
  <c r="K240" i="10"/>
  <c r="W240" i="10"/>
  <c r="N241" i="10"/>
  <c r="H243" i="10"/>
  <c r="T243" i="10"/>
  <c r="K244" i="10"/>
  <c r="W244" i="10"/>
  <c r="N245" i="10"/>
  <c r="H247" i="10"/>
  <c r="T247" i="10"/>
  <c r="K248" i="10"/>
  <c r="W248" i="10"/>
  <c r="H250" i="10"/>
  <c r="W250" i="10"/>
  <c r="J254" i="10"/>
  <c r="P255" i="10"/>
  <c r="D255" i="10"/>
  <c r="L255" i="10"/>
  <c r="R255" i="10"/>
  <c r="V257" i="10"/>
  <c r="J257" i="10"/>
  <c r="T257" i="10"/>
  <c r="H257" i="10"/>
  <c r="R257" i="10"/>
  <c r="F257" i="10"/>
  <c r="Q257" i="10"/>
  <c r="E257" i="10"/>
  <c r="W257" i="10"/>
  <c r="D261" i="10"/>
  <c r="O270" i="10"/>
  <c r="M294" i="10"/>
  <c r="L294" i="10"/>
  <c r="W294" i="10"/>
  <c r="K294" i="10"/>
  <c r="V294" i="10"/>
  <c r="J294" i="10"/>
  <c r="U294" i="10"/>
  <c r="I294" i="10"/>
  <c r="T294" i="10"/>
  <c r="H294" i="10"/>
  <c r="S294" i="10"/>
  <c r="G294" i="10"/>
  <c r="R294" i="10"/>
  <c r="F294" i="10"/>
  <c r="P294" i="10"/>
  <c r="D294" i="10"/>
  <c r="E298" i="10"/>
  <c r="M322" i="10"/>
  <c r="L322" i="10"/>
  <c r="W322" i="10"/>
  <c r="K322" i="10"/>
  <c r="V322" i="10"/>
  <c r="J322" i="10"/>
  <c r="U322" i="10"/>
  <c r="I322" i="10"/>
  <c r="T322" i="10"/>
  <c r="H322" i="10"/>
  <c r="S322" i="10"/>
  <c r="G322" i="10"/>
  <c r="R322" i="10"/>
  <c r="F322" i="10"/>
  <c r="P322" i="10"/>
  <c r="D322" i="10"/>
  <c r="M362" i="10"/>
  <c r="O422" i="10"/>
  <c r="O189" i="10"/>
  <c r="O193" i="10"/>
  <c r="O197" i="10"/>
  <c r="O201" i="10"/>
  <c r="O205" i="10"/>
  <c r="O209" i="10"/>
  <c r="O213" i="10"/>
  <c r="O217" i="10"/>
  <c r="O221" i="10"/>
  <c r="O225" i="10"/>
  <c r="O229" i="10"/>
  <c r="O233" i="10"/>
  <c r="O237" i="10"/>
  <c r="O241" i="10"/>
  <c r="O245" i="10"/>
  <c r="V249" i="10"/>
  <c r="R249" i="10"/>
  <c r="F249" i="10"/>
  <c r="P249" i="10"/>
  <c r="P251" i="10"/>
  <c r="D251" i="10"/>
  <c r="L251" i="10"/>
  <c r="R251" i="10"/>
  <c r="V253" i="10"/>
  <c r="J253" i="10"/>
  <c r="R253" i="10"/>
  <c r="F253" i="10"/>
  <c r="Q253" i="10"/>
  <c r="K254" i="10"/>
  <c r="M258" i="10"/>
  <c r="W258" i="10"/>
  <c r="K258" i="10"/>
  <c r="U258" i="10"/>
  <c r="I258" i="10"/>
  <c r="T258" i="10"/>
  <c r="H258" i="10"/>
  <c r="S258" i="10"/>
  <c r="M278" i="10"/>
  <c r="L278" i="10"/>
  <c r="W278" i="10"/>
  <c r="K278" i="10"/>
  <c r="V278" i="10"/>
  <c r="J278" i="10"/>
  <c r="U278" i="10"/>
  <c r="I278" i="10"/>
  <c r="T278" i="10"/>
  <c r="H278" i="10"/>
  <c r="S278" i="10"/>
  <c r="R278" i="10"/>
  <c r="F278" i="10"/>
  <c r="M290" i="10"/>
  <c r="L290" i="10"/>
  <c r="W290" i="10"/>
  <c r="K290" i="10"/>
  <c r="V290" i="10"/>
  <c r="J290" i="10"/>
  <c r="U290" i="10"/>
  <c r="I290" i="10"/>
  <c r="T290" i="10"/>
  <c r="H290" i="10"/>
  <c r="S290" i="10"/>
  <c r="G290" i="10"/>
  <c r="R290" i="10"/>
  <c r="F290" i="10"/>
  <c r="P290" i="10"/>
  <c r="D290" i="10"/>
  <c r="V183" i="10"/>
  <c r="V187" i="10"/>
  <c r="D189" i="10"/>
  <c r="P189" i="10"/>
  <c r="V191" i="10"/>
  <c r="D193" i="10"/>
  <c r="P193" i="10"/>
  <c r="J195" i="10"/>
  <c r="V195" i="10"/>
  <c r="D197" i="10"/>
  <c r="P197" i="10"/>
  <c r="J199" i="10"/>
  <c r="V199" i="10"/>
  <c r="D201" i="10"/>
  <c r="P201" i="10"/>
  <c r="J203" i="10"/>
  <c r="V203" i="10"/>
  <c r="D205" i="10"/>
  <c r="P205" i="10"/>
  <c r="J207" i="10"/>
  <c r="V207" i="10"/>
  <c r="D209" i="10"/>
  <c r="P209" i="10"/>
  <c r="J211" i="10"/>
  <c r="V211" i="10"/>
  <c r="D213" i="10"/>
  <c r="P213" i="10"/>
  <c r="D217" i="10"/>
  <c r="P217" i="10"/>
  <c r="D221" i="10"/>
  <c r="P221" i="10"/>
  <c r="D225" i="10"/>
  <c r="P225" i="10"/>
  <c r="D229" i="10"/>
  <c r="P229" i="10"/>
  <c r="D233" i="10"/>
  <c r="P233" i="10"/>
  <c r="D237" i="10"/>
  <c r="P237" i="10"/>
  <c r="D241" i="10"/>
  <c r="P241" i="10"/>
  <c r="D245" i="10"/>
  <c r="P245" i="10"/>
  <c r="D249" i="10"/>
  <c r="Q249" i="10"/>
  <c r="E251" i="10"/>
  <c r="S251" i="10"/>
  <c r="D253" i="10"/>
  <c r="S253" i="10"/>
  <c r="L254" i="10"/>
  <c r="D258" i="10"/>
  <c r="V258" i="10"/>
  <c r="M266" i="10"/>
  <c r="L266" i="10"/>
  <c r="W266" i="10"/>
  <c r="K266" i="10"/>
  <c r="U266" i="10"/>
  <c r="I266" i="10"/>
  <c r="T266" i="10"/>
  <c r="H266" i="10"/>
  <c r="R266" i="10"/>
  <c r="F266" i="10"/>
  <c r="D278" i="10"/>
  <c r="M286" i="10"/>
  <c r="L286" i="10"/>
  <c r="W286" i="10"/>
  <c r="K286" i="10"/>
  <c r="V286" i="10"/>
  <c r="J286" i="10"/>
  <c r="U286" i="10"/>
  <c r="I286" i="10"/>
  <c r="T286" i="10"/>
  <c r="H286" i="10"/>
  <c r="S286" i="10"/>
  <c r="G286" i="10"/>
  <c r="R286" i="10"/>
  <c r="F286" i="10"/>
  <c r="P286" i="10"/>
  <c r="D286" i="10"/>
  <c r="E290" i="10"/>
  <c r="O298" i="10"/>
  <c r="W390" i="10"/>
  <c r="K390" i="10"/>
  <c r="V390" i="10"/>
  <c r="J390" i="10"/>
  <c r="U390" i="10"/>
  <c r="I390" i="10"/>
  <c r="T390" i="10"/>
  <c r="H390" i="10"/>
  <c r="S390" i="10"/>
  <c r="G390" i="10"/>
  <c r="R390" i="10"/>
  <c r="F390" i="10"/>
  <c r="Q390" i="10"/>
  <c r="E390" i="10"/>
  <c r="P390" i="10"/>
  <c r="D390" i="10"/>
  <c r="O390" i="10"/>
  <c r="N390" i="10"/>
  <c r="M390" i="10"/>
  <c r="L390" i="10"/>
  <c r="N395" i="10"/>
  <c r="M395" i="10"/>
  <c r="L395" i="10"/>
  <c r="W395" i="10"/>
  <c r="K395" i="10"/>
  <c r="V395" i="10"/>
  <c r="J395" i="10"/>
  <c r="U395" i="10"/>
  <c r="I395" i="10"/>
  <c r="T395" i="10"/>
  <c r="H395" i="10"/>
  <c r="S395" i="10"/>
  <c r="G395" i="10"/>
  <c r="R395" i="10"/>
  <c r="Q395" i="10"/>
  <c r="P395" i="10"/>
  <c r="O395" i="10"/>
  <c r="F395" i="10"/>
  <c r="D395" i="10"/>
  <c r="K183" i="10"/>
  <c r="W183" i="10"/>
  <c r="K187" i="10"/>
  <c r="W187" i="10"/>
  <c r="E189" i="10"/>
  <c r="Q189" i="10"/>
  <c r="K191" i="10"/>
  <c r="W191" i="10"/>
  <c r="E193" i="10"/>
  <c r="Q193" i="10"/>
  <c r="K195" i="10"/>
  <c r="W195" i="10"/>
  <c r="E197" i="10"/>
  <c r="Q197" i="10"/>
  <c r="K199" i="10"/>
  <c r="W199" i="10"/>
  <c r="E201" i="10"/>
  <c r="Q201" i="10"/>
  <c r="K203" i="10"/>
  <c r="W203" i="10"/>
  <c r="E205" i="10"/>
  <c r="Q205" i="10"/>
  <c r="K207" i="10"/>
  <c r="W207" i="10"/>
  <c r="E209" i="10"/>
  <c r="Q209" i="10"/>
  <c r="K211" i="10"/>
  <c r="W211" i="10"/>
  <c r="E213" i="10"/>
  <c r="Q213" i="10"/>
  <c r="E217" i="10"/>
  <c r="Q217" i="10"/>
  <c r="E221" i="10"/>
  <c r="Q221" i="10"/>
  <c r="E225" i="10"/>
  <c r="Q225" i="10"/>
  <c r="E229" i="10"/>
  <c r="Q229" i="10"/>
  <c r="E233" i="10"/>
  <c r="Q233" i="10"/>
  <c r="E237" i="10"/>
  <c r="Q237" i="10"/>
  <c r="E241" i="10"/>
  <c r="Q241" i="10"/>
  <c r="E245" i="10"/>
  <c r="Q245" i="10"/>
  <c r="E249" i="10"/>
  <c r="S249" i="10"/>
  <c r="F251" i="10"/>
  <c r="T251" i="10"/>
  <c r="E253" i="10"/>
  <c r="T253" i="10"/>
  <c r="N254" i="10"/>
  <c r="E258" i="10"/>
  <c r="L261" i="10"/>
  <c r="D266" i="10"/>
  <c r="E278" i="10"/>
  <c r="M282" i="10"/>
  <c r="L282" i="10"/>
  <c r="W282" i="10"/>
  <c r="K282" i="10"/>
  <c r="V282" i="10"/>
  <c r="J282" i="10"/>
  <c r="U282" i="10"/>
  <c r="I282" i="10"/>
  <c r="T282" i="10"/>
  <c r="H282" i="10"/>
  <c r="S282" i="10"/>
  <c r="G282" i="10"/>
  <c r="R282" i="10"/>
  <c r="F282" i="10"/>
  <c r="P282" i="10"/>
  <c r="D282" i="10"/>
  <c r="E286" i="10"/>
  <c r="N290" i="10"/>
  <c r="Q298" i="10"/>
  <c r="M318" i="10"/>
  <c r="L318" i="10"/>
  <c r="W318" i="10"/>
  <c r="K318" i="10"/>
  <c r="V318" i="10"/>
  <c r="J318" i="10"/>
  <c r="U318" i="10"/>
  <c r="I318" i="10"/>
  <c r="T318" i="10"/>
  <c r="H318" i="10"/>
  <c r="S318" i="10"/>
  <c r="G318" i="10"/>
  <c r="R318" i="10"/>
  <c r="F318" i="10"/>
  <c r="P318" i="10"/>
  <c r="D318" i="10"/>
  <c r="V334" i="10"/>
  <c r="J334" i="10"/>
  <c r="U334" i="10"/>
  <c r="R334" i="10"/>
  <c r="F334" i="10"/>
  <c r="O334" i="10"/>
  <c r="N334" i="10"/>
  <c r="M334" i="10"/>
  <c r="L334" i="10"/>
  <c r="K334" i="10"/>
  <c r="I334" i="10"/>
  <c r="H334" i="10"/>
  <c r="W334" i="10"/>
  <c r="G334" i="10"/>
  <c r="S334" i="10"/>
  <c r="D334" i="10"/>
  <c r="W374" i="10"/>
  <c r="K374" i="10"/>
  <c r="V374" i="10"/>
  <c r="J374" i="10"/>
  <c r="U374" i="10"/>
  <c r="I374" i="10"/>
  <c r="T374" i="10"/>
  <c r="H374" i="10"/>
  <c r="S374" i="10"/>
  <c r="G374" i="10"/>
  <c r="R374" i="10"/>
  <c r="F374" i="10"/>
  <c r="Q374" i="10"/>
  <c r="E374" i="10"/>
  <c r="P374" i="10"/>
  <c r="D374" i="10"/>
  <c r="O374" i="10"/>
  <c r="M374" i="10"/>
  <c r="E39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G249" i="10"/>
  <c r="T249" i="10"/>
  <c r="N250" i="10"/>
  <c r="G251" i="10"/>
  <c r="U251" i="10"/>
  <c r="G253" i="10"/>
  <c r="U253" i="10"/>
  <c r="O254" i="10"/>
  <c r="H255" i="10"/>
  <c r="V255" i="10"/>
  <c r="K257" i="10"/>
  <c r="F258" i="10"/>
  <c r="M261" i="10"/>
  <c r="E266" i="10"/>
  <c r="G278" i="10"/>
  <c r="E282" i="10"/>
  <c r="N286" i="10"/>
  <c r="O290" i="10"/>
  <c r="Q294" i="10"/>
  <c r="E318" i="10"/>
  <c r="Q322" i="10"/>
  <c r="E334" i="10"/>
  <c r="W342" i="10"/>
  <c r="K342" i="10"/>
  <c r="V342" i="10"/>
  <c r="J342" i="10"/>
  <c r="U342" i="10"/>
  <c r="I342" i="10"/>
  <c r="T342" i="10"/>
  <c r="S342" i="10"/>
  <c r="G342" i="10"/>
  <c r="R342" i="10"/>
  <c r="F342" i="10"/>
  <c r="Q342" i="10"/>
  <c r="E342" i="10"/>
  <c r="P342" i="10"/>
  <c r="D342" i="10"/>
  <c r="O342" i="10"/>
  <c r="N342" i="10"/>
  <c r="M342" i="10"/>
  <c r="H342" i="10"/>
  <c r="L374" i="10"/>
  <c r="W382" i="10"/>
  <c r="K382" i="10"/>
  <c r="V382" i="10"/>
  <c r="J382" i="10"/>
  <c r="U382" i="10"/>
  <c r="I382" i="10"/>
  <c r="T382" i="10"/>
  <c r="H382" i="10"/>
  <c r="S382" i="10"/>
  <c r="G382" i="10"/>
  <c r="R382" i="10"/>
  <c r="F382" i="10"/>
  <c r="Q382" i="10"/>
  <c r="E382" i="10"/>
  <c r="P382" i="10"/>
  <c r="D382" i="10"/>
  <c r="O382" i="10"/>
  <c r="N382" i="10"/>
  <c r="M382" i="10"/>
  <c r="L382" i="10"/>
  <c r="W418" i="10"/>
  <c r="K418" i="10"/>
  <c r="V418" i="10"/>
  <c r="J418" i="10"/>
  <c r="U418" i="10"/>
  <c r="I418" i="10"/>
  <c r="T418" i="10"/>
  <c r="H418" i="10"/>
  <c r="S418" i="10"/>
  <c r="G418" i="10"/>
  <c r="R418" i="10"/>
  <c r="F418" i="10"/>
  <c r="Q418" i="10"/>
  <c r="E418" i="10"/>
  <c r="P418" i="10"/>
  <c r="D418" i="10"/>
  <c r="N418" i="10"/>
  <c r="O418" i="10"/>
  <c r="M418" i="10"/>
  <c r="L418" i="10"/>
  <c r="N367" i="10"/>
  <c r="M367" i="10"/>
  <c r="L367" i="10"/>
  <c r="W367" i="10"/>
  <c r="K367" i="10"/>
  <c r="V367" i="10"/>
  <c r="J367" i="10"/>
  <c r="U367" i="10"/>
  <c r="I367" i="10"/>
  <c r="T367" i="10"/>
  <c r="H367" i="10"/>
  <c r="S367" i="10"/>
  <c r="G367" i="10"/>
  <c r="N387" i="10"/>
  <c r="M387" i="10"/>
  <c r="L387" i="10"/>
  <c r="W387" i="10"/>
  <c r="K387" i="10"/>
  <c r="V387" i="10"/>
  <c r="J387" i="10"/>
  <c r="U387" i="10"/>
  <c r="I387" i="10"/>
  <c r="T387" i="10"/>
  <c r="H387" i="10"/>
  <c r="S387" i="10"/>
  <c r="G387" i="10"/>
  <c r="W398" i="10"/>
  <c r="K398" i="10"/>
  <c r="V398" i="10"/>
  <c r="J398" i="10"/>
  <c r="U398" i="10"/>
  <c r="I398" i="10"/>
  <c r="T398" i="10"/>
  <c r="H398" i="10"/>
  <c r="S398" i="10"/>
  <c r="G398" i="10"/>
  <c r="R398" i="10"/>
  <c r="F398" i="10"/>
  <c r="Q398" i="10"/>
  <c r="E398" i="10"/>
  <c r="P398" i="10"/>
  <c r="D398" i="10"/>
  <c r="N398" i="10"/>
  <c r="O265" i="10"/>
  <c r="O269" i="10"/>
  <c r="O273" i="10"/>
  <c r="O277" i="10"/>
  <c r="O281" i="10"/>
  <c r="O285" i="10"/>
  <c r="O289" i="10"/>
  <c r="O293" i="10"/>
  <c r="O297" i="10"/>
  <c r="O301" i="10"/>
  <c r="O305" i="10"/>
  <c r="O309" i="10"/>
  <c r="O313" i="10"/>
  <c r="O317" i="10"/>
  <c r="O321" i="10"/>
  <c r="O325" i="10"/>
  <c r="O329" i="10"/>
  <c r="O333" i="10"/>
  <c r="W350" i="10"/>
  <c r="K350" i="10"/>
  <c r="V350" i="10"/>
  <c r="J350" i="10"/>
  <c r="U350" i="10"/>
  <c r="I350" i="10"/>
  <c r="T350" i="10"/>
  <c r="H350" i="10"/>
  <c r="S350" i="10"/>
  <c r="G350" i="10"/>
  <c r="R350" i="10"/>
  <c r="F350" i="10"/>
  <c r="Q350" i="10"/>
  <c r="E350" i="10"/>
  <c r="P350" i="10"/>
  <c r="D350" i="10"/>
  <c r="E367" i="10"/>
  <c r="E387" i="10"/>
  <c r="M398" i="10"/>
  <c r="W402" i="10"/>
  <c r="K402" i="10"/>
  <c r="V402" i="10"/>
  <c r="J402" i="10"/>
  <c r="U402" i="10"/>
  <c r="I402" i="10"/>
  <c r="T402" i="10"/>
  <c r="H402" i="10"/>
  <c r="S402" i="10"/>
  <c r="G402" i="10"/>
  <c r="R402" i="10"/>
  <c r="F402" i="10"/>
  <c r="Q402" i="10"/>
  <c r="E402" i="10"/>
  <c r="P402" i="10"/>
  <c r="D402" i="10"/>
  <c r="N402" i="10"/>
  <c r="N486" i="10"/>
  <c r="M486" i="10"/>
  <c r="L486" i="10"/>
  <c r="W486" i="10"/>
  <c r="K486" i="10"/>
  <c r="V486" i="10"/>
  <c r="J486" i="10"/>
  <c r="U486" i="10"/>
  <c r="I486" i="10"/>
  <c r="S486" i="10"/>
  <c r="G486" i="10"/>
  <c r="Q486" i="10"/>
  <c r="E486" i="10"/>
  <c r="P486" i="10"/>
  <c r="D486" i="10"/>
  <c r="T486" i="10"/>
  <c r="R486" i="10"/>
  <c r="O486" i="10"/>
  <c r="H486" i="10"/>
  <c r="F486" i="10"/>
  <c r="M335" i="10"/>
  <c r="L335" i="10"/>
  <c r="U335" i="10"/>
  <c r="I335" i="10"/>
  <c r="R335" i="10"/>
  <c r="N339" i="10"/>
  <c r="M339" i="10"/>
  <c r="L339" i="10"/>
  <c r="U339" i="10"/>
  <c r="I339" i="10"/>
  <c r="T339" i="10"/>
  <c r="S339" i="10"/>
  <c r="G339" i="10"/>
  <c r="W339" i="10"/>
  <c r="F367" i="10"/>
  <c r="W370" i="10"/>
  <c r="K370" i="10"/>
  <c r="V370" i="10"/>
  <c r="J370" i="10"/>
  <c r="U370" i="10"/>
  <c r="I370" i="10"/>
  <c r="T370" i="10"/>
  <c r="H370" i="10"/>
  <c r="S370" i="10"/>
  <c r="G370" i="10"/>
  <c r="R370" i="10"/>
  <c r="F370" i="10"/>
  <c r="Q370" i="10"/>
  <c r="E370" i="10"/>
  <c r="P370" i="10"/>
  <c r="D370" i="10"/>
  <c r="N375" i="10"/>
  <c r="M375" i="10"/>
  <c r="L375" i="10"/>
  <c r="W375" i="10"/>
  <c r="K375" i="10"/>
  <c r="V375" i="10"/>
  <c r="J375" i="10"/>
  <c r="U375" i="10"/>
  <c r="I375" i="10"/>
  <c r="T375" i="10"/>
  <c r="H375" i="10"/>
  <c r="S375" i="10"/>
  <c r="G375" i="10"/>
  <c r="F387" i="10"/>
  <c r="O398" i="10"/>
  <c r="L402" i="10"/>
  <c r="W414" i="10"/>
  <c r="K414" i="10"/>
  <c r="V414" i="10"/>
  <c r="J414" i="10"/>
  <c r="U414" i="10"/>
  <c r="I414" i="10"/>
  <c r="T414" i="10"/>
  <c r="H414" i="10"/>
  <c r="S414" i="10"/>
  <c r="G414" i="10"/>
  <c r="R414" i="10"/>
  <c r="F414" i="10"/>
  <c r="Q414" i="10"/>
  <c r="E414" i="10"/>
  <c r="P414" i="10"/>
  <c r="D414" i="10"/>
  <c r="N414" i="10"/>
  <c r="W439" i="10"/>
  <c r="K439" i="10"/>
  <c r="V439" i="10"/>
  <c r="J439" i="10"/>
  <c r="U439" i="10"/>
  <c r="I439" i="10"/>
  <c r="T439" i="10"/>
  <c r="H439" i="10"/>
  <c r="S439" i="10"/>
  <c r="G439" i="10"/>
  <c r="P439" i="10"/>
  <c r="D439" i="10"/>
  <c r="N439" i="10"/>
  <c r="M439" i="10"/>
  <c r="R439" i="10"/>
  <c r="Q439" i="10"/>
  <c r="O439" i="10"/>
  <c r="L439" i="10"/>
  <c r="F439" i="10"/>
  <c r="E439" i="10"/>
  <c r="K259" i="10"/>
  <c r="W259" i="10"/>
  <c r="K263" i="10"/>
  <c r="W263" i="10"/>
  <c r="E265" i="10"/>
  <c r="Q265" i="10"/>
  <c r="K267" i="10"/>
  <c r="W267" i="10"/>
  <c r="E269" i="10"/>
  <c r="Q269" i="10"/>
  <c r="K271" i="10"/>
  <c r="W271" i="10"/>
  <c r="E273" i="10"/>
  <c r="Q273" i="10"/>
  <c r="K275" i="10"/>
  <c r="W275" i="10"/>
  <c r="E277" i="10"/>
  <c r="Q277" i="10"/>
  <c r="K279" i="10"/>
  <c r="W279" i="10"/>
  <c r="E281" i="10"/>
  <c r="Q281" i="10"/>
  <c r="K283" i="10"/>
  <c r="W283" i="10"/>
  <c r="E285" i="10"/>
  <c r="Q285" i="10"/>
  <c r="K287" i="10"/>
  <c r="W287" i="10"/>
  <c r="E289" i="10"/>
  <c r="Q289" i="10"/>
  <c r="K291" i="10"/>
  <c r="W291" i="10"/>
  <c r="E293" i="10"/>
  <c r="Q293" i="10"/>
  <c r="K295" i="10"/>
  <c r="W295" i="10"/>
  <c r="E297" i="10"/>
  <c r="Q297" i="10"/>
  <c r="K299" i="10"/>
  <c r="W299" i="10"/>
  <c r="E301" i="10"/>
  <c r="Q301" i="10"/>
  <c r="K303" i="10"/>
  <c r="W303" i="10"/>
  <c r="E305" i="10"/>
  <c r="Q305" i="10"/>
  <c r="K307" i="10"/>
  <c r="W307" i="10"/>
  <c r="E309" i="10"/>
  <c r="Q309" i="10"/>
  <c r="K311" i="10"/>
  <c r="W311" i="10"/>
  <c r="E313" i="10"/>
  <c r="Q313" i="10"/>
  <c r="K315" i="10"/>
  <c r="W315" i="10"/>
  <c r="E317" i="10"/>
  <c r="Q317" i="10"/>
  <c r="K319" i="10"/>
  <c r="W319" i="10"/>
  <c r="E321" i="10"/>
  <c r="Q321" i="10"/>
  <c r="K323" i="10"/>
  <c r="W323" i="10"/>
  <c r="E325" i="10"/>
  <c r="Q325" i="10"/>
  <c r="K327" i="10"/>
  <c r="W327" i="10"/>
  <c r="E329" i="10"/>
  <c r="Q329" i="10"/>
  <c r="K331" i="10"/>
  <c r="W331" i="10"/>
  <c r="E333" i="10"/>
  <c r="Q333" i="10"/>
  <c r="D335" i="10"/>
  <c r="S335" i="10"/>
  <c r="W338" i="10"/>
  <c r="K338" i="10"/>
  <c r="V338" i="10"/>
  <c r="J338" i="10"/>
  <c r="U338" i="10"/>
  <c r="I338" i="10"/>
  <c r="R338" i="10"/>
  <c r="F338" i="10"/>
  <c r="P338" i="10"/>
  <c r="D338" i="10"/>
  <c r="D339" i="10"/>
  <c r="M350" i="10"/>
  <c r="W358" i="10"/>
  <c r="K358" i="10"/>
  <c r="V358" i="10"/>
  <c r="J358" i="10"/>
  <c r="U358" i="10"/>
  <c r="I358" i="10"/>
  <c r="T358" i="10"/>
  <c r="H358" i="10"/>
  <c r="S358" i="10"/>
  <c r="G358" i="10"/>
  <c r="R358" i="10"/>
  <c r="F358" i="10"/>
  <c r="Q358" i="10"/>
  <c r="E358" i="10"/>
  <c r="P358" i="10"/>
  <c r="D358" i="10"/>
  <c r="N363" i="10"/>
  <c r="M363" i="10"/>
  <c r="L363" i="10"/>
  <c r="W363" i="10"/>
  <c r="K363" i="10"/>
  <c r="V363" i="10"/>
  <c r="J363" i="10"/>
  <c r="U363" i="10"/>
  <c r="I363" i="10"/>
  <c r="T363" i="10"/>
  <c r="H363" i="10"/>
  <c r="S363" i="10"/>
  <c r="G363" i="10"/>
  <c r="O367" i="10"/>
  <c r="L370" i="10"/>
  <c r="D375" i="10"/>
  <c r="O387" i="10"/>
  <c r="N399" i="10"/>
  <c r="M399" i="10"/>
  <c r="L399" i="10"/>
  <c r="W399" i="10"/>
  <c r="K399" i="10"/>
  <c r="V399" i="10"/>
  <c r="J399" i="10"/>
  <c r="U399" i="10"/>
  <c r="I399" i="10"/>
  <c r="T399" i="10"/>
  <c r="H399" i="10"/>
  <c r="S399" i="10"/>
  <c r="G399" i="10"/>
  <c r="Q399" i="10"/>
  <c r="E399" i="10"/>
  <c r="M402" i="10"/>
  <c r="W406" i="10"/>
  <c r="K406" i="10"/>
  <c r="V406" i="10"/>
  <c r="J406" i="10"/>
  <c r="U406" i="10"/>
  <c r="I406" i="10"/>
  <c r="T406" i="10"/>
  <c r="H406" i="10"/>
  <c r="S406" i="10"/>
  <c r="G406" i="10"/>
  <c r="R406" i="10"/>
  <c r="F406" i="10"/>
  <c r="Q406" i="10"/>
  <c r="E406" i="10"/>
  <c r="P406" i="10"/>
  <c r="D406" i="10"/>
  <c r="N406" i="10"/>
  <c r="L414" i="10"/>
  <c r="O252" i="10"/>
  <c r="O256" i="10"/>
  <c r="L259" i="10"/>
  <c r="O260" i="10"/>
  <c r="L263" i="10"/>
  <c r="O264" i="10"/>
  <c r="F265" i="10"/>
  <c r="R265" i="10"/>
  <c r="L267" i="10"/>
  <c r="O268" i="10"/>
  <c r="F269" i="10"/>
  <c r="R269" i="10"/>
  <c r="L271" i="10"/>
  <c r="O272" i="10"/>
  <c r="F273" i="10"/>
  <c r="R273" i="10"/>
  <c r="L275" i="10"/>
  <c r="O276" i="10"/>
  <c r="F277" i="10"/>
  <c r="R277" i="10"/>
  <c r="L279" i="10"/>
  <c r="O280" i="10"/>
  <c r="F281" i="10"/>
  <c r="R281" i="10"/>
  <c r="L283" i="10"/>
  <c r="O284" i="10"/>
  <c r="F285" i="10"/>
  <c r="R285" i="10"/>
  <c r="L287" i="10"/>
  <c r="O288" i="10"/>
  <c r="F289" i="10"/>
  <c r="R289" i="10"/>
  <c r="L291" i="10"/>
  <c r="O292" i="10"/>
  <c r="F293" i="10"/>
  <c r="R293" i="10"/>
  <c r="L295" i="10"/>
  <c r="O296" i="10"/>
  <c r="F297" i="10"/>
  <c r="R297" i="10"/>
  <c r="L299" i="10"/>
  <c r="O300" i="10"/>
  <c r="F301" i="10"/>
  <c r="R301" i="10"/>
  <c r="L303" i="10"/>
  <c r="O304" i="10"/>
  <c r="F305" i="10"/>
  <c r="R305" i="10"/>
  <c r="L307" i="10"/>
  <c r="O308" i="10"/>
  <c r="F309" i="10"/>
  <c r="R309" i="10"/>
  <c r="L311" i="10"/>
  <c r="O312" i="10"/>
  <c r="F313" i="10"/>
  <c r="R313" i="10"/>
  <c r="L315" i="10"/>
  <c r="O316" i="10"/>
  <c r="F317" i="10"/>
  <c r="R317" i="10"/>
  <c r="L319" i="10"/>
  <c r="O320" i="10"/>
  <c r="F321" i="10"/>
  <c r="R321" i="10"/>
  <c r="L323" i="10"/>
  <c r="O324" i="10"/>
  <c r="F325" i="10"/>
  <c r="R325" i="10"/>
  <c r="L327" i="10"/>
  <c r="O328" i="10"/>
  <c r="F329" i="10"/>
  <c r="R329" i="10"/>
  <c r="L331" i="10"/>
  <c r="O332" i="10"/>
  <c r="F333" i="10"/>
  <c r="R333" i="10"/>
  <c r="E335" i="10"/>
  <c r="T335" i="10"/>
  <c r="E338" i="10"/>
  <c r="E339" i="10"/>
  <c r="N343" i="10"/>
  <c r="M343" i="10"/>
  <c r="L343" i="10"/>
  <c r="W343" i="10"/>
  <c r="K343" i="10"/>
  <c r="V343" i="10"/>
  <c r="J343" i="10"/>
  <c r="U343" i="10"/>
  <c r="I343" i="10"/>
  <c r="T343" i="10"/>
  <c r="H343" i="10"/>
  <c r="S343" i="10"/>
  <c r="G343" i="10"/>
  <c r="N350" i="10"/>
  <c r="L358" i="10"/>
  <c r="D363" i="10"/>
  <c r="P367" i="10"/>
  <c r="M370" i="10"/>
  <c r="E375" i="10"/>
  <c r="W378" i="10"/>
  <c r="K378" i="10"/>
  <c r="V378" i="10"/>
  <c r="J378" i="10"/>
  <c r="U378" i="10"/>
  <c r="I378" i="10"/>
  <c r="T378" i="10"/>
  <c r="H378" i="10"/>
  <c r="S378" i="10"/>
  <c r="G378" i="10"/>
  <c r="R378" i="10"/>
  <c r="F378" i="10"/>
  <c r="Q378" i="10"/>
  <c r="E378" i="10"/>
  <c r="P378" i="10"/>
  <c r="D378" i="10"/>
  <c r="P387" i="10"/>
  <c r="D399" i="10"/>
  <c r="O402" i="10"/>
  <c r="L406" i="10"/>
  <c r="W410" i="10"/>
  <c r="K410" i="10"/>
  <c r="V410" i="10"/>
  <c r="J410" i="10"/>
  <c r="U410" i="10"/>
  <c r="I410" i="10"/>
  <c r="T410" i="10"/>
  <c r="H410" i="10"/>
  <c r="S410" i="10"/>
  <c r="G410" i="10"/>
  <c r="R410" i="10"/>
  <c r="F410" i="10"/>
  <c r="Q410" i="10"/>
  <c r="E410" i="10"/>
  <c r="P410" i="10"/>
  <c r="D410" i="10"/>
  <c r="N410" i="10"/>
  <c r="M414" i="10"/>
  <c r="N419" i="10"/>
  <c r="M419" i="10"/>
  <c r="L419" i="10"/>
  <c r="W419" i="10"/>
  <c r="K419" i="10"/>
  <c r="V419" i="10"/>
  <c r="J419" i="10"/>
  <c r="U419" i="10"/>
  <c r="I419" i="10"/>
  <c r="T419" i="10"/>
  <c r="H419" i="10"/>
  <c r="S419" i="10"/>
  <c r="G419" i="10"/>
  <c r="Q419" i="10"/>
  <c r="E419" i="10"/>
  <c r="S313" i="10"/>
  <c r="G317" i="10"/>
  <c r="S317" i="10"/>
  <c r="G321" i="10"/>
  <c r="S321" i="10"/>
  <c r="G325" i="10"/>
  <c r="S325" i="10"/>
  <c r="G329" i="10"/>
  <c r="S329" i="10"/>
  <c r="G333" i="10"/>
  <c r="S333" i="10"/>
  <c r="F335" i="10"/>
  <c r="V335" i="10"/>
  <c r="F339" i="10"/>
  <c r="W346" i="10"/>
  <c r="K346" i="10"/>
  <c r="V346" i="10"/>
  <c r="J346" i="10"/>
  <c r="U346" i="10"/>
  <c r="I346" i="10"/>
  <c r="T346" i="10"/>
  <c r="H346" i="10"/>
  <c r="S346" i="10"/>
  <c r="G346" i="10"/>
  <c r="R346" i="10"/>
  <c r="F346" i="10"/>
  <c r="Q346" i="10"/>
  <c r="E346" i="10"/>
  <c r="P346" i="10"/>
  <c r="D346" i="10"/>
  <c r="O350" i="10"/>
  <c r="Q367" i="10"/>
  <c r="N370" i="10"/>
  <c r="F375" i="10"/>
  <c r="N383" i="10"/>
  <c r="M383" i="10"/>
  <c r="L383" i="10"/>
  <c r="W383" i="10"/>
  <c r="K383" i="10"/>
  <c r="V383" i="10"/>
  <c r="J383" i="10"/>
  <c r="U383" i="10"/>
  <c r="I383" i="10"/>
  <c r="T383" i="10"/>
  <c r="H383" i="10"/>
  <c r="S383" i="10"/>
  <c r="G383" i="10"/>
  <c r="Q387" i="10"/>
  <c r="N391" i="10"/>
  <c r="M391" i="10"/>
  <c r="L391" i="10"/>
  <c r="W391" i="10"/>
  <c r="K391" i="10"/>
  <c r="V391" i="10"/>
  <c r="J391" i="10"/>
  <c r="U391" i="10"/>
  <c r="I391" i="10"/>
  <c r="T391" i="10"/>
  <c r="H391" i="10"/>
  <c r="S391" i="10"/>
  <c r="G391" i="10"/>
  <c r="W394" i="10"/>
  <c r="K394" i="10"/>
  <c r="V394" i="10"/>
  <c r="J394" i="10"/>
  <c r="U394" i="10"/>
  <c r="I394" i="10"/>
  <c r="T394" i="10"/>
  <c r="H394" i="10"/>
  <c r="S394" i="10"/>
  <c r="G394" i="10"/>
  <c r="R394" i="10"/>
  <c r="F394" i="10"/>
  <c r="Q394" i="10"/>
  <c r="E394" i="10"/>
  <c r="P394" i="10"/>
  <c r="D394" i="10"/>
  <c r="N403" i="10"/>
  <c r="M403" i="10"/>
  <c r="L403" i="10"/>
  <c r="W403" i="10"/>
  <c r="K403" i="10"/>
  <c r="V403" i="10"/>
  <c r="J403" i="10"/>
  <c r="U403" i="10"/>
  <c r="I403" i="10"/>
  <c r="T403" i="10"/>
  <c r="H403" i="10"/>
  <c r="S403" i="10"/>
  <c r="G403" i="10"/>
  <c r="Q403" i="10"/>
  <c r="E403" i="10"/>
  <c r="O414" i="10"/>
  <c r="N259" i="10"/>
  <c r="N263" i="10"/>
  <c r="H265" i="10"/>
  <c r="T265" i="10"/>
  <c r="N267" i="10"/>
  <c r="H269" i="10"/>
  <c r="T269" i="10"/>
  <c r="N271" i="10"/>
  <c r="H273" i="10"/>
  <c r="T273" i="10"/>
  <c r="N275" i="10"/>
  <c r="H277" i="10"/>
  <c r="T277" i="10"/>
  <c r="N279" i="10"/>
  <c r="H281" i="10"/>
  <c r="T281" i="10"/>
  <c r="N283" i="10"/>
  <c r="H285" i="10"/>
  <c r="T285" i="10"/>
  <c r="N287" i="10"/>
  <c r="H289" i="10"/>
  <c r="T289" i="10"/>
  <c r="N291" i="10"/>
  <c r="H293" i="10"/>
  <c r="T293" i="10"/>
  <c r="N295" i="10"/>
  <c r="H297" i="10"/>
  <c r="T297" i="10"/>
  <c r="N299" i="10"/>
  <c r="H301" i="10"/>
  <c r="T301" i="10"/>
  <c r="N303" i="10"/>
  <c r="H305" i="10"/>
  <c r="T305" i="10"/>
  <c r="N307" i="10"/>
  <c r="H309" i="10"/>
  <c r="T309" i="10"/>
  <c r="N311" i="10"/>
  <c r="H313" i="10"/>
  <c r="T313" i="10"/>
  <c r="N315" i="10"/>
  <c r="H317" i="10"/>
  <c r="T317" i="10"/>
  <c r="N319" i="10"/>
  <c r="H321" i="10"/>
  <c r="T321" i="10"/>
  <c r="N323" i="10"/>
  <c r="H325" i="10"/>
  <c r="T325" i="10"/>
  <c r="N327" i="10"/>
  <c r="H329" i="10"/>
  <c r="T329" i="10"/>
  <c r="N331" i="10"/>
  <c r="H333" i="10"/>
  <c r="T333" i="10"/>
  <c r="G335" i="10"/>
  <c r="W335" i="10"/>
  <c r="H338" i="10"/>
  <c r="H339" i="10"/>
  <c r="L346" i="10"/>
  <c r="N351" i="10"/>
  <c r="M351" i="10"/>
  <c r="L351" i="10"/>
  <c r="W351" i="10"/>
  <c r="K351" i="10"/>
  <c r="V351" i="10"/>
  <c r="J351" i="10"/>
  <c r="U351" i="10"/>
  <c r="I351" i="10"/>
  <c r="T351" i="10"/>
  <c r="H351" i="10"/>
  <c r="S351" i="10"/>
  <c r="G351" i="10"/>
  <c r="N358" i="10"/>
  <c r="F363" i="10"/>
  <c r="W366" i="10"/>
  <c r="K366" i="10"/>
  <c r="V366" i="10"/>
  <c r="J366" i="10"/>
  <c r="U366" i="10"/>
  <c r="I366" i="10"/>
  <c r="T366" i="10"/>
  <c r="H366" i="10"/>
  <c r="S366" i="10"/>
  <c r="G366" i="10"/>
  <c r="R366" i="10"/>
  <c r="F366" i="10"/>
  <c r="Q366" i="10"/>
  <c r="E366" i="10"/>
  <c r="P366" i="10"/>
  <c r="D366" i="10"/>
  <c r="R367" i="10"/>
  <c r="O370" i="10"/>
  <c r="O375" i="10"/>
  <c r="D383" i="10"/>
  <c r="W386" i="10"/>
  <c r="K386" i="10"/>
  <c r="V386" i="10"/>
  <c r="J386" i="10"/>
  <c r="U386" i="10"/>
  <c r="I386" i="10"/>
  <c r="T386" i="10"/>
  <c r="H386" i="10"/>
  <c r="S386" i="10"/>
  <c r="G386" i="10"/>
  <c r="R386" i="10"/>
  <c r="F386" i="10"/>
  <c r="Q386" i="10"/>
  <c r="E386" i="10"/>
  <c r="P386" i="10"/>
  <c r="D386" i="10"/>
  <c r="R387" i="10"/>
  <c r="D391" i="10"/>
  <c r="L394" i="10"/>
  <c r="O399" i="10"/>
  <c r="D403" i="10"/>
  <c r="O406" i="10"/>
  <c r="N415" i="10"/>
  <c r="M415" i="10"/>
  <c r="L415" i="10"/>
  <c r="W415" i="10"/>
  <c r="K415" i="10"/>
  <c r="V415" i="10"/>
  <c r="J415" i="10"/>
  <c r="U415" i="10"/>
  <c r="I415" i="10"/>
  <c r="T415" i="10"/>
  <c r="H415" i="10"/>
  <c r="S415" i="10"/>
  <c r="G415" i="10"/>
  <c r="Q415" i="10"/>
  <c r="E415" i="10"/>
  <c r="O259" i="10"/>
  <c r="O263" i="10"/>
  <c r="I265" i="10"/>
  <c r="U265" i="10"/>
  <c r="O267" i="10"/>
  <c r="I269" i="10"/>
  <c r="U269" i="10"/>
  <c r="O271" i="10"/>
  <c r="I273" i="10"/>
  <c r="U273" i="10"/>
  <c r="O275" i="10"/>
  <c r="I277" i="10"/>
  <c r="U277" i="10"/>
  <c r="O279" i="10"/>
  <c r="I281" i="10"/>
  <c r="U281" i="10"/>
  <c r="O283" i="10"/>
  <c r="I285" i="10"/>
  <c r="U285" i="10"/>
  <c r="O287" i="10"/>
  <c r="I289" i="10"/>
  <c r="U289" i="10"/>
  <c r="O291" i="10"/>
  <c r="I293" i="10"/>
  <c r="U293" i="10"/>
  <c r="O295" i="10"/>
  <c r="I297" i="10"/>
  <c r="U297" i="10"/>
  <c r="O299" i="10"/>
  <c r="I301" i="10"/>
  <c r="U301" i="10"/>
  <c r="O303" i="10"/>
  <c r="I305" i="10"/>
  <c r="U305" i="10"/>
  <c r="O307" i="10"/>
  <c r="I309" i="10"/>
  <c r="U309" i="10"/>
  <c r="O311" i="10"/>
  <c r="I313" i="10"/>
  <c r="U313" i="10"/>
  <c r="O315" i="10"/>
  <c r="I317" i="10"/>
  <c r="U317" i="10"/>
  <c r="O319" i="10"/>
  <c r="I321" i="10"/>
  <c r="U321" i="10"/>
  <c r="O323" i="10"/>
  <c r="I325" i="10"/>
  <c r="U325" i="10"/>
  <c r="O327" i="10"/>
  <c r="I329" i="10"/>
  <c r="U329" i="10"/>
  <c r="O331" i="10"/>
  <c r="I333" i="10"/>
  <c r="U333" i="10"/>
  <c r="H335" i="10"/>
  <c r="L338" i="10"/>
  <c r="J339" i="10"/>
  <c r="M346" i="10"/>
  <c r="W354" i="10"/>
  <c r="K354" i="10"/>
  <c r="V354" i="10"/>
  <c r="J354" i="10"/>
  <c r="U354" i="10"/>
  <c r="I354" i="10"/>
  <c r="T354" i="10"/>
  <c r="H354" i="10"/>
  <c r="S354" i="10"/>
  <c r="G354" i="10"/>
  <c r="R354" i="10"/>
  <c r="F354" i="10"/>
  <c r="Q354" i="10"/>
  <c r="E354" i="10"/>
  <c r="P354" i="10"/>
  <c r="D354" i="10"/>
  <c r="O358" i="10"/>
  <c r="O363" i="10"/>
  <c r="N371" i="10"/>
  <c r="M371" i="10"/>
  <c r="L371" i="10"/>
  <c r="W371" i="10"/>
  <c r="K371" i="10"/>
  <c r="V371" i="10"/>
  <c r="J371" i="10"/>
  <c r="U371" i="10"/>
  <c r="I371" i="10"/>
  <c r="T371" i="10"/>
  <c r="H371" i="10"/>
  <c r="S371" i="10"/>
  <c r="G371" i="10"/>
  <c r="P375" i="10"/>
  <c r="E383" i="10"/>
  <c r="E391" i="10"/>
  <c r="M394" i="10"/>
  <c r="F403" i="10"/>
  <c r="N407" i="10"/>
  <c r="M407" i="10"/>
  <c r="L407" i="10"/>
  <c r="W407" i="10"/>
  <c r="K407" i="10"/>
  <c r="V407" i="10"/>
  <c r="J407" i="10"/>
  <c r="U407" i="10"/>
  <c r="I407" i="10"/>
  <c r="T407" i="10"/>
  <c r="H407" i="10"/>
  <c r="S407" i="10"/>
  <c r="G407" i="10"/>
  <c r="Q407" i="10"/>
  <c r="E407" i="10"/>
  <c r="T464" i="10"/>
  <c r="H464" i="10"/>
  <c r="S464" i="10"/>
  <c r="G464" i="10"/>
  <c r="Q464" i="10"/>
  <c r="E464" i="10"/>
  <c r="M464" i="10"/>
  <c r="W464" i="10"/>
  <c r="K464" i="10"/>
  <c r="P464" i="10"/>
  <c r="O464" i="10"/>
  <c r="N464" i="10"/>
  <c r="L464" i="10"/>
  <c r="J464" i="10"/>
  <c r="D464" i="10"/>
  <c r="V464" i="10"/>
  <c r="U464" i="10"/>
  <c r="I464" i="10"/>
  <c r="G252" i="10"/>
  <c r="G256" i="10"/>
  <c r="D259" i="10"/>
  <c r="G260" i="10"/>
  <c r="D263" i="10"/>
  <c r="G264" i="10"/>
  <c r="J265" i="10"/>
  <c r="D267" i="10"/>
  <c r="G268" i="10"/>
  <c r="J269" i="10"/>
  <c r="D271" i="10"/>
  <c r="G272" i="10"/>
  <c r="J273" i="10"/>
  <c r="D275" i="10"/>
  <c r="G276" i="10"/>
  <c r="J277" i="10"/>
  <c r="D279" i="10"/>
  <c r="G280" i="10"/>
  <c r="J281" i="10"/>
  <c r="D283" i="10"/>
  <c r="G284" i="10"/>
  <c r="J285" i="10"/>
  <c r="D287" i="10"/>
  <c r="G288" i="10"/>
  <c r="J289" i="10"/>
  <c r="D291" i="10"/>
  <c r="G292" i="10"/>
  <c r="J293" i="10"/>
  <c r="D295" i="10"/>
  <c r="G296" i="10"/>
  <c r="J297" i="10"/>
  <c r="D299" i="10"/>
  <c r="G300" i="10"/>
  <c r="J301" i="10"/>
  <c r="D303" i="10"/>
  <c r="G304" i="10"/>
  <c r="J305" i="10"/>
  <c r="D307" i="10"/>
  <c r="G308" i="10"/>
  <c r="J309" i="10"/>
  <c r="D311" i="10"/>
  <c r="G312" i="10"/>
  <c r="J313" i="10"/>
  <c r="D315" i="10"/>
  <c r="G316" i="10"/>
  <c r="J317" i="10"/>
  <c r="D319" i="10"/>
  <c r="G320" i="10"/>
  <c r="J321" i="10"/>
  <c r="D323" i="10"/>
  <c r="G324" i="10"/>
  <c r="J325" i="10"/>
  <c r="D327" i="10"/>
  <c r="G328" i="10"/>
  <c r="J329" i="10"/>
  <c r="D331" i="10"/>
  <c r="G332" i="10"/>
  <c r="J333" i="10"/>
  <c r="J335" i="10"/>
  <c r="M338" i="10"/>
  <c r="K339" i="10"/>
  <c r="O343" i="10"/>
  <c r="N346" i="10"/>
  <c r="E351" i="10"/>
  <c r="L354" i="10"/>
  <c r="N359" i="10"/>
  <c r="M359" i="10"/>
  <c r="L359" i="10"/>
  <c r="W359" i="10"/>
  <c r="K359" i="10"/>
  <c r="V359" i="10"/>
  <c r="J359" i="10"/>
  <c r="U359" i="10"/>
  <c r="I359" i="10"/>
  <c r="T359" i="10"/>
  <c r="H359" i="10"/>
  <c r="S359" i="10"/>
  <c r="G359" i="10"/>
  <c r="P363" i="10"/>
  <c r="M366" i="10"/>
  <c r="D371" i="10"/>
  <c r="Q375" i="10"/>
  <c r="O378" i="10"/>
  <c r="F383" i="10"/>
  <c r="M386" i="10"/>
  <c r="F391" i="10"/>
  <c r="N394" i="10"/>
  <c r="R399" i="10"/>
  <c r="O403" i="10"/>
  <c r="D407" i="10"/>
  <c r="N411" i="10"/>
  <c r="M411" i="10"/>
  <c r="L411" i="10"/>
  <c r="W411" i="10"/>
  <c r="K411" i="10"/>
  <c r="V411" i="10"/>
  <c r="J411" i="10"/>
  <c r="U411" i="10"/>
  <c r="I411" i="10"/>
  <c r="T411" i="10"/>
  <c r="H411" i="10"/>
  <c r="S411" i="10"/>
  <c r="G411" i="10"/>
  <c r="Q411" i="10"/>
  <c r="E411" i="10"/>
  <c r="F415" i="10"/>
  <c r="F464" i="10"/>
  <c r="N494" i="10"/>
  <c r="M494" i="10"/>
  <c r="L494" i="10"/>
  <c r="W494" i="10"/>
  <c r="K494" i="10"/>
  <c r="V494" i="10"/>
  <c r="J494" i="10"/>
  <c r="U494" i="10"/>
  <c r="I494" i="10"/>
  <c r="S494" i="10"/>
  <c r="G494" i="10"/>
  <c r="Q494" i="10"/>
  <c r="E494" i="10"/>
  <c r="P494" i="10"/>
  <c r="D494" i="10"/>
  <c r="T494" i="10"/>
  <c r="R494" i="10"/>
  <c r="F494" i="10"/>
  <c r="J352" i="10"/>
  <c r="V352" i="10"/>
  <c r="M353" i="10"/>
  <c r="J356" i="10"/>
  <c r="V356" i="10"/>
  <c r="M357" i="10"/>
  <c r="J360" i="10"/>
  <c r="V360" i="10"/>
  <c r="M361" i="10"/>
  <c r="J364" i="10"/>
  <c r="V364" i="10"/>
  <c r="M365" i="10"/>
  <c r="J368" i="10"/>
  <c r="V368" i="10"/>
  <c r="M369" i="10"/>
  <c r="J372" i="10"/>
  <c r="V372" i="10"/>
  <c r="M373" i="10"/>
  <c r="J376" i="10"/>
  <c r="V376" i="10"/>
  <c r="M377" i="10"/>
  <c r="J380" i="10"/>
  <c r="V380" i="10"/>
  <c r="M381" i="10"/>
  <c r="J384" i="10"/>
  <c r="V384" i="10"/>
  <c r="M385" i="10"/>
  <c r="J388" i="10"/>
  <c r="V388" i="10"/>
  <c r="M389" i="10"/>
  <c r="J392" i="10"/>
  <c r="V392" i="10"/>
  <c r="M393" i="10"/>
  <c r="J396" i="10"/>
  <c r="V396" i="10"/>
  <c r="M397" i="10"/>
  <c r="J400" i="10"/>
  <c r="V400" i="10"/>
  <c r="M401" i="10"/>
  <c r="J404" i="10"/>
  <c r="V404" i="10"/>
  <c r="M405" i="10"/>
  <c r="J408" i="10"/>
  <c r="V408" i="10"/>
  <c r="M409" i="10"/>
  <c r="J412" i="10"/>
  <c r="V412" i="10"/>
  <c r="M413" i="10"/>
  <c r="J416" i="10"/>
  <c r="V416" i="10"/>
  <c r="M417" i="10"/>
  <c r="J420" i="10"/>
  <c r="V420" i="10"/>
  <c r="M421" i="10"/>
  <c r="T426" i="10"/>
  <c r="H426" i="10"/>
  <c r="R426" i="10"/>
  <c r="F426" i="10"/>
  <c r="Q426" i="10"/>
  <c r="E426" i="10"/>
  <c r="M426" i="10"/>
  <c r="V426" i="10"/>
  <c r="Q428" i="10"/>
  <c r="W443" i="10"/>
  <c r="K443" i="10"/>
  <c r="V443" i="10"/>
  <c r="J443" i="10"/>
  <c r="U443" i="10"/>
  <c r="I443" i="10"/>
  <c r="T443" i="10"/>
  <c r="H443" i="10"/>
  <c r="S443" i="10"/>
  <c r="G443" i="10"/>
  <c r="P443" i="10"/>
  <c r="D443" i="10"/>
  <c r="N443" i="10"/>
  <c r="M443" i="10"/>
  <c r="W447" i="10"/>
  <c r="K447" i="10"/>
  <c r="V447" i="10"/>
  <c r="J447" i="10"/>
  <c r="U447" i="10"/>
  <c r="I447" i="10"/>
  <c r="T447" i="10"/>
  <c r="H447" i="10"/>
  <c r="S447" i="10"/>
  <c r="G447" i="10"/>
  <c r="P447" i="10"/>
  <c r="D447" i="10"/>
  <c r="N447" i="10"/>
  <c r="M447" i="10"/>
  <c r="W451" i="10"/>
  <c r="K451" i="10"/>
  <c r="V451" i="10"/>
  <c r="J451" i="10"/>
  <c r="U451" i="10"/>
  <c r="I451" i="10"/>
  <c r="T451" i="10"/>
  <c r="H451" i="10"/>
  <c r="S451" i="10"/>
  <c r="G451" i="10"/>
  <c r="P451" i="10"/>
  <c r="D451" i="10"/>
  <c r="N451" i="10"/>
  <c r="M451" i="10"/>
  <c r="W455" i="10"/>
  <c r="K455" i="10"/>
  <c r="V455" i="10"/>
  <c r="J455" i="10"/>
  <c r="U455" i="10"/>
  <c r="I455" i="10"/>
  <c r="T455" i="10"/>
  <c r="H455" i="10"/>
  <c r="S455" i="10"/>
  <c r="G455" i="10"/>
  <c r="P455" i="10"/>
  <c r="D455" i="10"/>
  <c r="N455" i="10"/>
  <c r="M455" i="10"/>
  <c r="W459" i="10"/>
  <c r="K459" i="10"/>
  <c r="V459" i="10"/>
  <c r="J459" i="10"/>
  <c r="U459" i="10"/>
  <c r="I459" i="10"/>
  <c r="T459" i="10"/>
  <c r="H459" i="10"/>
  <c r="S459" i="10"/>
  <c r="G459" i="10"/>
  <c r="P459" i="10"/>
  <c r="D459" i="10"/>
  <c r="N459" i="10"/>
  <c r="M459" i="10"/>
  <c r="W465" i="10"/>
  <c r="K465" i="10"/>
  <c r="V465" i="10"/>
  <c r="J465" i="10"/>
  <c r="T465" i="10"/>
  <c r="H465" i="10"/>
  <c r="P465" i="10"/>
  <c r="D465" i="10"/>
  <c r="N465" i="10"/>
  <c r="Q465" i="10"/>
  <c r="O465" i="10"/>
  <c r="M465" i="10"/>
  <c r="L465" i="10"/>
  <c r="I465" i="10"/>
  <c r="E465" i="10"/>
  <c r="U465" i="10"/>
  <c r="S465" i="10"/>
  <c r="O494" i="10"/>
  <c r="L336" i="10"/>
  <c r="O337" i="10"/>
  <c r="L340" i="10"/>
  <c r="O341" i="10"/>
  <c r="L344" i="10"/>
  <c r="O345" i="10"/>
  <c r="L348" i="10"/>
  <c r="O349" i="10"/>
  <c r="L352" i="10"/>
  <c r="O353" i="10"/>
  <c r="L356" i="10"/>
  <c r="O357" i="10"/>
  <c r="L360" i="10"/>
  <c r="O361" i="10"/>
  <c r="O365" i="10"/>
  <c r="O369" i="10"/>
  <c r="O373" i="10"/>
  <c r="O377" i="10"/>
  <c r="O381" i="10"/>
  <c r="O385" i="10"/>
  <c r="O389" i="10"/>
  <c r="O393" i="10"/>
  <c r="O397" i="10"/>
  <c r="O401" i="10"/>
  <c r="O405" i="10"/>
  <c r="O409" i="10"/>
  <c r="O413" i="10"/>
  <c r="O417" i="10"/>
  <c r="O421" i="10"/>
  <c r="W427" i="10"/>
  <c r="K427" i="10"/>
  <c r="U427" i="10"/>
  <c r="I427" i="10"/>
  <c r="T427" i="10"/>
  <c r="H427" i="10"/>
  <c r="P427" i="10"/>
  <c r="D427" i="10"/>
  <c r="V427" i="10"/>
  <c r="N436" i="10"/>
  <c r="M436" i="10"/>
  <c r="L436" i="10"/>
  <c r="W436" i="10"/>
  <c r="K436" i="10"/>
  <c r="V436" i="10"/>
  <c r="J436" i="10"/>
  <c r="S436" i="10"/>
  <c r="G436" i="10"/>
  <c r="M579" i="10"/>
  <c r="L579" i="10"/>
  <c r="W579" i="10"/>
  <c r="K579" i="10"/>
  <c r="V579" i="10"/>
  <c r="J579" i="10"/>
  <c r="U579" i="10"/>
  <c r="I579" i="10"/>
  <c r="T579" i="10"/>
  <c r="H579" i="10"/>
  <c r="S579" i="10"/>
  <c r="G579" i="10"/>
  <c r="R579" i="10"/>
  <c r="F579" i="10"/>
  <c r="P579" i="10"/>
  <c r="D579" i="10"/>
  <c r="O579" i="10"/>
  <c r="N579" i="10"/>
  <c r="E579" i="10"/>
  <c r="Q579" i="10"/>
  <c r="P413" i="10"/>
  <c r="P417" i="10"/>
  <c r="P421" i="10"/>
  <c r="E427" i="10"/>
  <c r="N428" i="10"/>
  <c r="M428" i="10"/>
  <c r="L428" i="10"/>
  <c r="W428" i="10"/>
  <c r="K428" i="10"/>
  <c r="S428" i="10"/>
  <c r="G428" i="10"/>
  <c r="U428" i="10"/>
  <c r="D436" i="10"/>
  <c r="E385" i="10"/>
  <c r="Q385" i="10"/>
  <c r="E389" i="10"/>
  <c r="Q389" i="10"/>
  <c r="E393" i="10"/>
  <c r="Q393" i="10"/>
  <c r="E397" i="10"/>
  <c r="Q397" i="10"/>
  <c r="E401" i="10"/>
  <c r="Q401" i="10"/>
  <c r="E405" i="10"/>
  <c r="Q405" i="10"/>
  <c r="E409" i="10"/>
  <c r="Q409" i="10"/>
  <c r="E413" i="10"/>
  <c r="Q413" i="10"/>
  <c r="E417" i="10"/>
  <c r="Q417" i="10"/>
  <c r="E421" i="10"/>
  <c r="Q421" i="10"/>
  <c r="W423" i="10"/>
  <c r="K423" i="10"/>
  <c r="U423" i="10"/>
  <c r="I423" i="10"/>
  <c r="T423" i="10"/>
  <c r="H423" i="10"/>
  <c r="P423" i="10"/>
  <c r="D423" i="10"/>
  <c r="V423" i="10"/>
  <c r="F427" i="10"/>
  <c r="D428" i="10"/>
  <c r="V428" i="10"/>
  <c r="N432" i="10"/>
  <c r="M432" i="10"/>
  <c r="L432" i="10"/>
  <c r="W432" i="10"/>
  <c r="K432" i="10"/>
  <c r="V432" i="10"/>
  <c r="J432" i="10"/>
  <c r="S432" i="10"/>
  <c r="G432" i="10"/>
  <c r="E436" i="10"/>
  <c r="N466" i="10"/>
  <c r="M466" i="10"/>
  <c r="W466" i="10"/>
  <c r="K466" i="10"/>
  <c r="S466" i="10"/>
  <c r="G466" i="10"/>
  <c r="Q466" i="10"/>
  <c r="E466" i="10"/>
  <c r="P466" i="10"/>
  <c r="O466" i="10"/>
  <c r="L466" i="10"/>
  <c r="J466" i="10"/>
  <c r="I466" i="10"/>
  <c r="D466" i="10"/>
  <c r="U466" i="10"/>
  <c r="T466" i="10"/>
  <c r="W481" i="10"/>
  <c r="K481" i="10"/>
  <c r="V481" i="10"/>
  <c r="J481" i="10"/>
  <c r="U481" i="10"/>
  <c r="I481" i="10"/>
  <c r="T481" i="10"/>
  <c r="H481" i="10"/>
  <c r="S481" i="10"/>
  <c r="G481" i="10"/>
  <c r="R481" i="10"/>
  <c r="F481" i="10"/>
  <c r="P481" i="10"/>
  <c r="D481" i="10"/>
  <c r="N481" i="10"/>
  <c r="Q481" i="10"/>
  <c r="O481" i="10"/>
  <c r="M481" i="10"/>
  <c r="L481" i="10"/>
  <c r="M504" i="10"/>
  <c r="L504" i="10"/>
  <c r="W504" i="10"/>
  <c r="K504" i="10"/>
  <c r="V504" i="10"/>
  <c r="J504" i="10"/>
  <c r="O504" i="10"/>
  <c r="N504" i="10"/>
  <c r="I504" i="10"/>
  <c r="H504" i="10"/>
  <c r="G504" i="10"/>
  <c r="F504" i="10"/>
  <c r="T504" i="10"/>
  <c r="D504" i="10"/>
  <c r="R504" i="10"/>
  <c r="Q504" i="10"/>
  <c r="U504" i="10"/>
  <c r="S504" i="10"/>
  <c r="P504" i="10"/>
  <c r="O336" i="10"/>
  <c r="R337" i="10"/>
  <c r="O340" i="10"/>
  <c r="R341" i="10"/>
  <c r="O344" i="10"/>
  <c r="F345" i="10"/>
  <c r="R345" i="10"/>
  <c r="O348" i="10"/>
  <c r="F349" i="10"/>
  <c r="R349" i="10"/>
  <c r="O352" i="10"/>
  <c r="F353" i="10"/>
  <c r="R353" i="10"/>
  <c r="O356" i="10"/>
  <c r="R357" i="10"/>
  <c r="O360" i="10"/>
  <c r="F361" i="10"/>
  <c r="R361" i="10"/>
  <c r="F365" i="10"/>
  <c r="R365" i="10"/>
  <c r="F369" i="10"/>
  <c r="R369" i="10"/>
  <c r="O372" i="10"/>
  <c r="F373" i="10"/>
  <c r="R373" i="10"/>
  <c r="O376" i="10"/>
  <c r="F377" i="10"/>
  <c r="R377" i="10"/>
  <c r="F381" i="10"/>
  <c r="R381" i="10"/>
  <c r="F385" i="10"/>
  <c r="R385" i="10"/>
  <c r="F389" i="10"/>
  <c r="R389" i="10"/>
  <c r="O392" i="10"/>
  <c r="F393" i="10"/>
  <c r="R393" i="10"/>
  <c r="F397" i="10"/>
  <c r="R397" i="10"/>
  <c r="O400" i="10"/>
  <c r="F401" i="10"/>
  <c r="R401" i="10"/>
  <c r="O404" i="10"/>
  <c r="F405" i="10"/>
  <c r="R405" i="10"/>
  <c r="O408" i="10"/>
  <c r="F409" i="10"/>
  <c r="R409" i="10"/>
  <c r="O412" i="10"/>
  <c r="F413" i="10"/>
  <c r="R413" i="10"/>
  <c r="O416" i="10"/>
  <c r="F417" i="10"/>
  <c r="R417" i="10"/>
  <c r="O420" i="10"/>
  <c r="F421" i="10"/>
  <c r="R421" i="10"/>
  <c r="E423" i="10"/>
  <c r="N424" i="10"/>
  <c r="L424" i="10"/>
  <c r="W424" i="10"/>
  <c r="K424" i="10"/>
  <c r="S424" i="10"/>
  <c r="G424" i="10"/>
  <c r="T424" i="10"/>
  <c r="K426" i="10"/>
  <c r="G427" i="10"/>
  <c r="E428" i="10"/>
  <c r="D432" i="10"/>
  <c r="W435" i="10"/>
  <c r="K435" i="10"/>
  <c r="V435" i="10"/>
  <c r="J435" i="10"/>
  <c r="U435" i="10"/>
  <c r="I435" i="10"/>
  <c r="T435" i="10"/>
  <c r="H435" i="10"/>
  <c r="S435" i="10"/>
  <c r="G435" i="10"/>
  <c r="P435" i="10"/>
  <c r="D435" i="10"/>
  <c r="F436" i="10"/>
  <c r="T438" i="10"/>
  <c r="H438" i="10"/>
  <c r="S438" i="10"/>
  <c r="G438" i="10"/>
  <c r="R438" i="10"/>
  <c r="F438" i="10"/>
  <c r="Q438" i="10"/>
  <c r="E438" i="10"/>
  <c r="P438" i="10"/>
  <c r="D438" i="10"/>
  <c r="M438" i="10"/>
  <c r="W438" i="10"/>
  <c r="K438" i="10"/>
  <c r="V438" i="10"/>
  <c r="J438" i="10"/>
  <c r="F466" i="10"/>
  <c r="N470" i="10"/>
  <c r="M470" i="10"/>
  <c r="L470" i="10"/>
  <c r="W470" i="10"/>
  <c r="K470" i="10"/>
  <c r="S470" i="10"/>
  <c r="G470" i="10"/>
  <c r="Q470" i="10"/>
  <c r="E470" i="10"/>
  <c r="V470" i="10"/>
  <c r="U470" i="10"/>
  <c r="T470" i="10"/>
  <c r="R470" i="10"/>
  <c r="P470" i="10"/>
  <c r="I470" i="10"/>
  <c r="F470" i="10"/>
  <c r="D470" i="10"/>
  <c r="E481" i="10"/>
  <c r="W489" i="10"/>
  <c r="K489" i="10"/>
  <c r="V489" i="10"/>
  <c r="J489" i="10"/>
  <c r="U489" i="10"/>
  <c r="I489" i="10"/>
  <c r="T489" i="10"/>
  <c r="H489" i="10"/>
  <c r="S489" i="10"/>
  <c r="G489" i="10"/>
  <c r="R489" i="10"/>
  <c r="F489" i="10"/>
  <c r="P489" i="10"/>
  <c r="D489" i="10"/>
  <c r="N489" i="10"/>
  <c r="M489" i="10"/>
  <c r="Q489" i="10"/>
  <c r="O489" i="10"/>
  <c r="L489" i="10"/>
  <c r="D336" i="10"/>
  <c r="P336" i="10"/>
  <c r="G337" i="10"/>
  <c r="S337" i="10"/>
  <c r="D340" i="10"/>
  <c r="P340" i="10"/>
  <c r="G341" i="10"/>
  <c r="S341" i="10"/>
  <c r="D344" i="10"/>
  <c r="P344" i="10"/>
  <c r="G345" i="10"/>
  <c r="S345" i="10"/>
  <c r="D348" i="10"/>
  <c r="P348" i="10"/>
  <c r="G349" i="10"/>
  <c r="D352" i="10"/>
  <c r="P352" i="10"/>
  <c r="G353" i="10"/>
  <c r="D356" i="10"/>
  <c r="G357" i="10"/>
  <c r="G361" i="10"/>
  <c r="S361" i="10"/>
  <c r="G365" i="10"/>
  <c r="S365" i="10"/>
  <c r="G369" i="10"/>
  <c r="S369" i="10"/>
  <c r="G373" i="10"/>
  <c r="S373" i="10"/>
  <c r="G377" i="10"/>
  <c r="S377" i="10"/>
  <c r="G381" i="10"/>
  <c r="S381" i="10"/>
  <c r="G385" i="10"/>
  <c r="S385" i="10"/>
  <c r="G389" i="10"/>
  <c r="S389" i="10"/>
  <c r="G393" i="10"/>
  <c r="S393" i="10"/>
  <c r="G397" i="10"/>
  <c r="S397" i="10"/>
  <c r="G401" i="10"/>
  <c r="S401" i="10"/>
  <c r="G405" i="10"/>
  <c r="S405" i="10"/>
  <c r="G409" i="10"/>
  <c r="S409" i="10"/>
  <c r="D412" i="10"/>
  <c r="P412" i="10"/>
  <c r="G413" i="10"/>
  <c r="S413" i="10"/>
  <c r="D416" i="10"/>
  <c r="P416" i="10"/>
  <c r="G417" i="10"/>
  <c r="S417" i="10"/>
  <c r="D420" i="10"/>
  <c r="P420" i="10"/>
  <c r="G421" i="10"/>
  <c r="S421" i="10"/>
  <c r="F423" i="10"/>
  <c r="D424" i="10"/>
  <c r="U424" i="10"/>
  <c r="L426" i="10"/>
  <c r="J427" i="10"/>
  <c r="F428" i="10"/>
  <c r="E432" i="10"/>
  <c r="E435" i="10"/>
  <c r="H436" i="10"/>
  <c r="I438" i="10"/>
  <c r="N440" i="10"/>
  <c r="M440" i="10"/>
  <c r="L440" i="10"/>
  <c r="W440" i="10"/>
  <c r="K440" i="10"/>
  <c r="V440" i="10"/>
  <c r="J440" i="10"/>
  <c r="S440" i="10"/>
  <c r="G440" i="10"/>
  <c r="Q440" i="10"/>
  <c r="E440" i="10"/>
  <c r="P440" i="10"/>
  <c r="D440" i="10"/>
  <c r="T442" i="10"/>
  <c r="H442" i="10"/>
  <c r="S442" i="10"/>
  <c r="G442" i="10"/>
  <c r="R442" i="10"/>
  <c r="F442" i="10"/>
  <c r="Q442" i="10"/>
  <c r="E442" i="10"/>
  <c r="P442" i="10"/>
  <c r="D442" i="10"/>
  <c r="M442" i="10"/>
  <c r="W442" i="10"/>
  <c r="K442" i="10"/>
  <c r="V442" i="10"/>
  <c r="J442" i="10"/>
  <c r="R443" i="10"/>
  <c r="T446" i="10"/>
  <c r="H446" i="10"/>
  <c r="S446" i="10"/>
  <c r="G446" i="10"/>
  <c r="R446" i="10"/>
  <c r="F446" i="10"/>
  <c r="Q446" i="10"/>
  <c r="E446" i="10"/>
  <c r="P446" i="10"/>
  <c r="D446" i="10"/>
  <c r="M446" i="10"/>
  <c r="W446" i="10"/>
  <c r="K446" i="10"/>
  <c r="V446" i="10"/>
  <c r="J446" i="10"/>
  <c r="R447" i="10"/>
  <c r="T450" i="10"/>
  <c r="H450" i="10"/>
  <c r="S450" i="10"/>
  <c r="G450" i="10"/>
  <c r="R450" i="10"/>
  <c r="F450" i="10"/>
  <c r="Q450" i="10"/>
  <c r="E450" i="10"/>
  <c r="P450" i="10"/>
  <c r="D450" i="10"/>
  <c r="M450" i="10"/>
  <c r="W450" i="10"/>
  <c r="K450" i="10"/>
  <c r="V450" i="10"/>
  <c r="J450" i="10"/>
  <c r="R451" i="10"/>
  <c r="T454" i="10"/>
  <c r="H454" i="10"/>
  <c r="S454" i="10"/>
  <c r="G454" i="10"/>
  <c r="R454" i="10"/>
  <c r="F454" i="10"/>
  <c r="Q454" i="10"/>
  <c r="E454" i="10"/>
  <c r="P454" i="10"/>
  <c r="D454" i="10"/>
  <c r="M454" i="10"/>
  <c r="W454" i="10"/>
  <c r="K454" i="10"/>
  <c r="V454" i="10"/>
  <c r="J454" i="10"/>
  <c r="R455" i="10"/>
  <c r="T458" i="10"/>
  <c r="H458" i="10"/>
  <c r="S458" i="10"/>
  <c r="G458" i="10"/>
  <c r="R458" i="10"/>
  <c r="F458" i="10"/>
  <c r="Q458" i="10"/>
  <c r="E458" i="10"/>
  <c r="P458" i="10"/>
  <c r="D458" i="10"/>
  <c r="M458" i="10"/>
  <c r="W458" i="10"/>
  <c r="K458" i="10"/>
  <c r="V458" i="10"/>
  <c r="J458" i="10"/>
  <c r="R459" i="10"/>
  <c r="H466" i="10"/>
  <c r="H470" i="10"/>
  <c r="E489" i="10"/>
  <c r="E340" i="10"/>
  <c r="E344" i="10"/>
  <c r="H345" i="10"/>
  <c r="E348" i="10"/>
  <c r="H365" i="10"/>
  <c r="H369" i="10"/>
  <c r="H373" i="10"/>
  <c r="H377" i="10"/>
  <c r="H381" i="10"/>
  <c r="H385" i="10"/>
  <c r="H389" i="10"/>
  <c r="H393" i="10"/>
  <c r="H397" i="10"/>
  <c r="H401" i="10"/>
  <c r="H405" i="10"/>
  <c r="E408" i="10"/>
  <c r="H409" i="10"/>
  <c r="E412" i="10"/>
  <c r="H413" i="10"/>
  <c r="E416" i="10"/>
  <c r="H417" i="10"/>
  <c r="E420" i="10"/>
  <c r="H421" i="10"/>
  <c r="G423" i="10"/>
  <c r="E424" i="10"/>
  <c r="V424" i="10"/>
  <c r="N426" i="10"/>
  <c r="L427" i="10"/>
  <c r="H428" i="10"/>
  <c r="W431" i="10"/>
  <c r="K431" i="10"/>
  <c r="V431" i="10"/>
  <c r="J431" i="10"/>
  <c r="U431" i="10"/>
  <c r="I431" i="10"/>
  <c r="T431" i="10"/>
  <c r="H431" i="10"/>
  <c r="S431" i="10"/>
  <c r="G431" i="10"/>
  <c r="P431" i="10"/>
  <c r="D431" i="10"/>
  <c r="F432" i="10"/>
  <c r="T434" i="10"/>
  <c r="H434" i="10"/>
  <c r="S434" i="10"/>
  <c r="G434" i="10"/>
  <c r="R434" i="10"/>
  <c r="F434" i="10"/>
  <c r="Q434" i="10"/>
  <c r="E434" i="10"/>
  <c r="P434" i="10"/>
  <c r="D434" i="10"/>
  <c r="M434" i="10"/>
  <c r="F435" i="10"/>
  <c r="I436" i="10"/>
  <c r="L438" i="10"/>
  <c r="N444" i="10"/>
  <c r="M444" i="10"/>
  <c r="L444" i="10"/>
  <c r="W444" i="10"/>
  <c r="K444" i="10"/>
  <c r="V444" i="10"/>
  <c r="J444" i="10"/>
  <c r="S444" i="10"/>
  <c r="G444" i="10"/>
  <c r="Q444" i="10"/>
  <c r="E444" i="10"/>
  <c r="P444" i="10"/>
  <c r="D444" i="10"/>
  <c r="N448" i="10"/>
  <c r="M448" i="10"/>
  <c r="L448" i="10"/>
  <c r="W448" i="10"/>
  <c r="K448" i="10"/>
  <c r="V448" i="10"/>
  <c r="J448" i="10"/>
  <c r="S448" i="10"/>
  <c r="G448" i="10"/>
  <c r="Q448" i="10"/>
  <c r="E448" i="10"/>
  <c r="P448" i="10"/>
  <c r="D448" i="10"/>
  <c r="N452" i="10"/>
  <c r="M452" i="10"/>
  <c r="L452" i="10"/>
  <c r="W452" i="10"/>
  <c r="K452" i="10"/>
  <c r="V452" i="10"/>
  <c r="J452" i="10"/>
  <c r="S452" i="10"/>
  <c r="G452" i="10"/>
  <c r="Q452" i="10"/>
  <c r="E452" i="10"/>
  <c r="P452" i="10"/>
  <c r="D452" i="10"/>
  <c r="N456" i="10"/>
  <c r="M456" i="10"/>
  <c r="L456" i="10"/>
  <c r="W456" i="10"/>
  <c r="K456" i="10"/>
  <c r="V456" i="10"/>
  <c r="J456" i="10"/>
  <c r="S456" i="10"/>
  <c r="G456" i="10"/>
  <c r="Q456" i="10"/>
  <c r="E456" i="10"/>
  <c r="P456" i="10"/>
  <c r="D456" i="10"/>
  <c r="S460" i="10"/>
  <c r="N460" i="10"/>
  <c r="M460" i="10"/>
  <c r="L460" i="10"/>
  <c r="K460" i="10"/>
  <c r="W460" i="10"/>
  <c r="J460" i="10"/>
  <c r="T460" i="10"/>
  <c r="G460" i="10"/>
  <c r="Q460" i="10"/>
  <c r="E460" i="10"/>
  <c r="P460" i="10"/>
  <c r="D460" i="10"/>
  <c r="R466" i="10"/>
  <c r="J470" i="10"/>
  <c r="N478" i="10"/>
  <c r="M478" i="10"/>
  <c r="L478" i="10"/>
  <c r="W478" i="10"/>
  <c r="K478" i="10"/>
  <c r="V478" i="10"/>
  <c r="J478" i="10"/>
  <c r="U478" i="10"/>
  <c r="I478" i="10"/>
  <c r="S478" i="10"/>
  <c r="G478" i="10"/>
  <c r="Q478" i="10"/>
  <c r="E478" i="10"/>
  <c r="T478" i="10"/>
  <c r="R478" i="10"/>
  <c r="P478" i="10"/>
  <c r="O478" i="10"/>
  <c r="D478" i="10"/>
  <c r="W485" i="10"/>
  <c r="K485" i="10"/>
  <c r="V485" i="10"/>
  <c r="J485" i="10"/>
  <c r="U485" i="10"/>
  <c r="I485" i="10"/>
  <c r="T485" i="10"/>
  <c r="H485" i="10"/>
  <c r="S485" i="10"/>
  <c r="G485" i="10"/>
  <c r="R485" i="10"/>
  <c r="F485" i="10"/>
  <c r="P485" i="10"/>
  <c r="D485" i="10"/>
  <c r="N485" i="10"/>
  <c r="M485" i="10"/>
  <c r="Q485" i="10"/>
  <c r="L485" i="10"/>
  <c r="E485" i="10"/>
  <c r="W497" i="10"/>
  <c r="K497" i="10"/>
  <c r="V497" i="10"/>
  <c r="J497" i="10"/>
  <c r="U497" i="10"/>
  <c r="I497" i="10"/>
  <c r="T497" i="10"/>
  <c r="H497" i="10"/>
  <c r="S497" i="10"/>
  <c r="G497" i="10"/>
  <c r="R497" i="10"/>
  <c r="F497" i="10"/>
  <c r="P497" i="10"/>
  <c r="D497" i="10"/>
  <c r="N497" i="10"/>
  <c r="M497" i="10"/>
  <c r="Q497" i="10"/>
  <c r="E497" i="10"/>
  <c r="U518" i="10"/>
  <c r="I518" i="10"/>
  <c r="T518" i="10"/>
  <c r="H518" i="10"/>
  <c r="S518" i="10"/>
  <c r="G518" i="10"/>
  <c r="R518" i="10"/>
  <c r="F518" i="10"/>
  <c r="Q518" i="10"/>
  <c r="E518" i="10"/>
  <c r="P518" i="10"/>
  <c r="D518" i="10"/>
  <c r="N518" i="10"/>
  <c r="V518" i="10"/>
  <c r="O518" i="10"/>
  <c r="M518" i="10"/>
  <c r="L518" i="10"/>
  <c r="K518" i="10"/>
  <c r="J518" i="10"/>
  <c r="M654" i="10"/>
  <c r="L654" i="10"/>
  <c r="W654" i="10"/>
  <c r="K654" i="10"/>
  <c r="V654" i="10"/>
  <c r="J654" i="10"/>
  <c r="R654" i="10"/>
  <c r="Q654" i="10"/>
  <c r="P654" i="10"/>
  <c r="O654" i="10"/>
  <c r="N654" i="10"/>
  <c r="I654" i="10"/>
  <c r="G654" i="10"/>
  <c r="U654" i="10"/>
  <c r="E654" i="10"/>
  <c r="T654" i="10"/>
  <c r="D654" i="10"/>
  <c r="S654" i="10"/>
  <c r="F654" i="10"/>
  <c r="H654" i="10"/>
  <c r="Q463" i="10"/>
  <c r="E463" i="10"/>
  <c r="P463" i="10"/>
  <c r="D463" i="10"/>
  <c r="V463" i="10"/>
  <c r="J463" i="10"/>
  <c r="T463" i="10"/>
  <c r="H463" i="10"/>
  <c r="W463" i="10"/>
  <c r="W469" i="10"/>
  <c r="K469" i="10"/>
  <c r="V469" i="10"/>
  <c r="J469" i="10"/>
  <c r="U469" i="10"/>
  <c r="I469" i="10"/>
  <c r="T469" i="10"/>
  <c r="H469" i="10"/>
  <c r="P469" i="10"/>
  <c r="D469" i="10"/>
  <c r="N469" i="10"/>
  <c r="J425" i="10"/>
  <c r="V425" i="10"/>
  <c r="J429" i="10"/>
  <c r="V429" i="10"/>
  <c r="J433" i="10"/>
  <c r="V433" i="10"/>
  <c r="J437" i="10"/>
  <c r="V437" i="10"/>
  <c r="J441" i="10"/>
  <c r="V441" i="10"/>
  <c r="J445" i="10"/>
  <c r="V445" i="10"/>
  <c r="J449" i="10"/>
  <c r="V449" i="10"/>
  <c r="J453" i="10"/>
  <c r="V453" i="10"/>
  <c r="J457" i="10"/>
  <c r="V457" i="10"/>
  <c r="G463" i="10"/>
  <c r="Q467" i="10"/>
  <c r="E467" i="10"/>
  <c r="P467" i="10"/>
  <c r="D467" i="10"/>
  <c r="N467" i="10"/>
  <c r="V467" i="10"/>
  <c r="J467" i="10"/>
  <c r="T467" i="10"/>
  <c r="H467" i="10"/>
  <c r="T468" i="10"/>
  <c r="H468" i="10"/>
  <c r="S468" i="10"/>
  <c r="G468" i="10"/>
  <c r="R468" i="10"/>
  <c r="F468" i="10"/>
  <c r="Q468" i="10"/>
  <c r="E468" i="10"/>
  <c r="M468" i="10"/>
  <c r="W468" i="10"/>
  <c r="K468" i="10"/>
  <c r="F469" i="10"/>
  <c r="N474" i="10"/>
  <c r="M474" i="10"/>
  <c r="L474" i="10"/>
  <c r="W474" i="10"/>
  <c r="K474" i="10"/>
  <c r="V474" i="10"/>
  <c r="U474" i="10"/>
  <c r="I474" i="10"/>
  <c r="S474" i="10"/>
  <c r="G474" i="10"/>
  <c r="Q474" i="10"/>
  <c r="E474" i="10"/>
  <c r="N502" i="10"/>
  <c r="M502" i="10"/>
  <c r="L502" i="10"/>
  <c r="W502" i="10"/>
  <c r="K502" i="10"/>
  <c r="V502" i="10"/>
  <c r="J502" i="10"/>
  <c r="U502" i="10"/>
  <c r="I502" i="10"/>
  <c r="S502" i="10"/>
  <c r="G502" i="10"/>
  <c r="Q502" i="10"/>
  <c r="E502" i="10"/>
  <c r="P502" i="10"/>
  <c r="D502" i="10"/>
  <c r="L463" i="10"/>
  <c r="M469" i="10"/>
  <c r="N425" i="10"/>
  <c r="N429" i="10"/>
  <c r="N433" i="10"/>
  <c r="N437" i="10"/>
  <c r="N441" i="10"/>
  <c r="N445" i="10"/>
  <c r="N449" i="10"/>
  <c r="N453" i="10"/>
  <c r="N457" i="10"/>
  <c r="W461" i="10"/>
  <c r="K461" i="10"/>
  <c r="V461" i="10"/>
  <c r="J461" i="10"/>
  <c r="P461" i="10"/>
  <c r="D461" i="10"/>
  <c r="S461" i="10"/>
  <c r="M463" i="10"/>
  <c r="K467" i="10"/>
  <c r="L468" i="10"/>
  <c r="O469" i="10"/>
  <c r="W473" i="10"/>
  <c r="K473" i="10"/>
  <c r="V473" i="10"/>
  <c r="J473" i="10"/>
  <c r="U473" i="10"/>
  <c r="I473" i="10"/>
  <c r="T473" i="10"/>
  <c r="H473" i="10"/>
  <c r="R473" i="10"/>
  <c r="F473" i="10"/>
  <c r="P473" i="10"/>
  <c r="D473" i="10"/>
  <c r="N473" i="10"/>
  <c r="J474" i="10"/>
  <c r="N498" i="10"/>
  <c r="M498" i="10"/>
  <c r="L498" i="10"/>
  <c r="W498" i="10"/>
  <c r="K498" i="10"/>
  <c r="V498" i="10"/>
  <c r="J498" i="10"/>
  <c r="U498" i="10"/>
  <c r="I498" i="10"/>
  <c r="S498" i="10"/>
  <c r="G498" i="10"/>
  <c r="Q498" i="10"/>
  <c r="E498" i="10"/>
  <c r="P498" i="10"/>
  <c r="D498" i="10"/>
  <c r="R502" i="10"/>
  <c r="U542" i="10"/>
  <c r="I542" i="10"/>
  <c r="T542" i="10"/>
  <c r="H542" i="10"/>
  <c r="S542" i="10"/>
  <c r="G542" i="10"/>
  <c r="R542" i="10"/>
  <c r="F542" i="10"/>
  <c r="Q542" i="10"/>
  <c r="E542" i="10"/>
  <c r="P542" i="10"/>
  <c r="D542" i="10"/>
  <c r="N542" i="10"/>
  <c r="L542" i="10"/>
  <c r="W542" i="10"/>
  <c r="V542" i="10"/>
  <c r="O542" i="10"/>
  <c r="M542" i="10"/>
  <c r="K542" i="10"/>
  <c r="J542" i="10"/>
  <c r="L555" i="10"/>
  <c r="W555" i="10"/>
  <c r="K555" i="10"/>
  <c r="V555" i="10"/>
  <c r="J555" i="10"/>
  <c r="U555" i="10"/>
  <c r="I555" i="10"/>
  <c r="R555" i="10"/>
  <c r="F555" i="10"/>
  <c r="T555" i="10"/>
  <c r="S555" i="10"/>
  <c r="Q555" i="10"/>
  <c r="P555" i="10"/>
  <c r="O555" i="10"/>
  <c r="N555" i="10"/>
  <c r="H555" i="10"/>
  <c r="G555" i="10"/>
  <c r="E555" i="10"/>
  <c r="D555" i="10"/>
  <c r="O425" i="10"/>
  <c r="O429" i="10"/>
  <c r="O433" i="10"/>
  <c r="O437" i="10"/>
  <c r="O441" i="10"/>
  <c r="O445" i="10"/>
  <c r="O449" i="10"/>
  <c r="O453" i="10"/>
  <c r="O457" i="10"/>
  <c r="E461" i="10"/>
  <c r="T461" i="10"/>
  <c r="N463" i="10"/>
  <c r="L467" i="10"/>
  <c r="N468" i="10"/>
  <c r="Q469" i="10"/>
  <c r="O474" i="10"/>
  <c r="W477" i="10"/>
  <c r="K477" i="10"/>
  <c r="V477" i="10"/>
  <c r="J477" i="10"/>
  <c r="U477" i="10"/>
  <c r="I477" i="10"/>
  <c r="T477" i="10"/>
  <c r="H477" i="10"/>
  <c r="S477" i="10"/>
  <c r="G477" i="10"/>
  <c r="R477" i="10"/>
  <c r="F477" i="10"/>
  <c r="P477" i="10"/>
  <c r="D477" i="10"/>
  <c r="N477" i="10"/>
  <c r="T502" i="10"/>
  <c r="U530" i="10"/>
  <c r="I530" i="10"/>
  <c r="T530" i="10"/>
  <c r="H530" i="10"/>
  <c r="S530" i="10"/>
  <c r="G530" i="10"/>
  <c r="R530" i="10"/>
  <c r="F530" i="10"/>
  <c r="Q530" i="10"/>
  <c r="E530" i="10"/>
  <c r="P530" i="10"/>
  <c r="D530" i="10"/>
  <c r="N530" i="10"/>
  <c r="L530" i="10"/>
  <c r="W530" i="10"/>
  <c r="V530" i="10"/>
  <c r="O530" i="10"/>
  <c r="M530" i="10"/>
  <c r="K530" i="10"/>
  <c r="J530" i="10"/>
  <c r="O463" i="10"/>
  <c r="R469" i="10"/>
  <c r="N490" i="10"/>
  <c r="M490" i="10"/>
  <c r="L490" i="10"/>
  <c r="W490" i="10"/>
  <c r="K490" i="10"/>
  <c r="V490" i="10"/>
  <c r="J490" i="10"/>
  <c r="U490" i="10"/>
  <c r="I490" i="10"/>
  <c r="S490" i="10"/>
  <c r="G490" i="10"/>
  <c r="Q490" i="10"/>
  <c r="E490" i="10"/>
  <c r="P490" i="10"/>
  <c r="D490" i="10"/>
  <c r="W493" i="10"/>
  <c r="K493" i="10"/>
  <c r="V493" i="10"/>
  <c r="J493" i="10"/>
  <c r="U493" i="10"/>
  <c r="I493" i="10"/>
  <c r="T493" i="10"/>
  <c r="H493" i="10"/>
  <c r="S493" i="10"/>
  <c r="G493" i="10"/>
  <c r="R493" i="10"/>
  <c r="F493" i="10"/>
  <c r="P493" i="10"/>
  <c r="D493" i="10"/>
  <c r="N493" i="10"/>
  <c r="M493" i="10"/>
  <c r="E429" i="10"/>
  <c r="E433" i="10"/>
  <c r="E437" i="10"/>
  <c r="E445" i="10"/>
  <c r="E449" i="10"/>
  <c r="E453" i="10"/>
  <c r="E457" i="10"/>
  <c r="G461" i="10"/>
  <c r="N462" i="10"/>
  <c r="M462" i="10"/>
  <c r="S462" i="10"/>
  <c r="G462" i="10"/>
  <c r="Q462" i="10"/>
  <c r="E462" i="10"/>
  <c r="U462" i="10"/>
  <c r="R463" i="10"/>
  <c r="O467" i="10"/>
  <c r="P468" i="10"/>
  <c r="S469" i="10"/>
  <c r="T472" i="10"/>
  <c r="H472" i="10"/>
  <c r="S472" i="10"/>
  <c r="G472" i="10"/>
  <c r="R472" i="10"/>
  <c r="F472" i="10"/>
  <c r="Q472" i="10"/>
  <c r="E472" i="10"/>
  <c r="O472" i="10"/>
  <c r="M472" i="10"/>
  <c r="W472" i="10"/>
  <c r="K472" i="10"/>
  <c r="L473" i="10"/>
  <c r="R474" i="10"/>
  <c r="L477" i="10"/>
  <c r="N482" i="10"/>
  <c r="M482" i="10"/>
  <c r="L482" i="10"/>
  <c r="W482" i="10"/>
  <c r="K482" i="10"/>
  <c r="V482" i="10"/>
  <c r="J482" i="10"/>
  <c r="U482" i="10"/>
  <c r="I482" i="10"/>
  <c r="S482" i="10"/>
  <c r="G482" i="10"/>
  <c r="Q482" i="10"/>
  <c r="E482" i="10"/>
  <c r="P482" i="10"/>
  <c r="F490" i="10"/>
  <c r="E493" i="10"/>
  <c r="O498" i="10"/>
  <c r="W501" i="10"/>
  <c r="K501" i="10"/>
  <c r="V501" i="10"/>
  <c r="J501" i="10"/>
  <c r="U501" i="10"/>
  <c r="I501" i="10"/>
  <c r="T501" i="10"/>
  <c r="H501" i="10"/>
  <c r="S501" i="10"/>
  <c r="G501" i="10"/>
  <c r="R501" i="10"/>
  <c r="F501" i="10"/>
  <c r="P501" i="10"/>
  <c r="D501" i="10"/>
  <c r="N501" i="10"/>
  <c r="M501" i="10"/>
  <c r="L519" i="10"/>
  <c r="W519" i="10"/>
  <c r="K519" i="10"/>
  <c r="V519" i="10"/>
  <c r="J519" i="10"/>
  <c r="U519" i="10"/>
  <c r="I519" i="10"/>
  <c r="T519" i="10"/>
  <c r="H519" i="10"/>
  <c r="S519" i="10"/>
  <c r="G519" i="10"/>
  <c r="Q519" i="10"/>
  <c r="E519" i="10"/>
  <c r="U534" i="10"/>
  <c r="I534" i="10"/>
  <c r="T534" i="10"/>
  <c r="H534" i="10"/>
  <c r="S534" i="10"/>
  <c r="G534" i="10"/>
  <c r="R534" i="10"/>
  <c r="F534" i="10"/>
  <c r="Q534" i="10"/>
  <c r="E534" i="10"/>
  <c r="P534" i="10"/>
  <c r="D534" i="10"/>
  <c r="N534" i="10"/>
  <c r="L534" i="10"/>
  <c r="M603" i="10"/>
  <c r="L603" i="10"/>
  <c r="W603" i="10"/>
  <c r="K603" i="10"/>
  <c r="V603" i="10"/>
  <c r="J603" i="10"/>
  <c r="U603" i="10"/>
  <c r="I603" i="10"/>
  <c r="T603" i="10"/>
  <c r="H603" i="10"/>
  <c r="S603" i="10"/>
  <c r="G603" i="10"/>
  <c r="R603" i="10"/>
  <c r="F603" i="10"/>
  <c r="P603" i="10"/>
  <c r="D603" i="10"/>
  <c r="O603" i="10"/>
  <c r="N603" i="10"/>
  <c r="E603" i="10"/>
  <c r="H471" i="10"/>
  <c r="T471" i="10"/>
  <c r="H475" i="10"/>
  <c r="T475" i="10"/>
  <c r="K476" i="10"/>
  <c r="W476" i="10"/>
  <c r="H479" i="10"/>
  <c r="T479" i="10"/>
  <c r="K480" i="10"/>
  <c r="W480" i="10"/>
  <c r="H483" i="10"/>
  <c r="T483" i="10"/>
  <c r="K484" i="10"/>
  <c r="W484" i="10"/>
  <c r="H487" i="10"/>
  <c r="T487" i="10"/>
  <c r="K488" i="10"/>
  <c r="W488" i="10"/>
  <c r="H491" i="10"/>
  <c r="T491" i="10"/>
  <c r="K492" i="10"/>
  <c r="W492" i="10"/>
  <c r="H495" i="10"/>
  <c r="T495" i="10"/>
  <c r="K496" i="10"/>
  <c r="W496" i="10"/>
  <c r="H499" i="10"/>
  <c r="T499" i="10"/>
  <c r="K500" i="10"/>
  <c r="W500" i="10"/>
  <c r="H503" i="10"/>
  <c r="W503" i="10"/>
  <c r="N506" i="10"/>
  <c r="N510" i="10"/>
  <c r="D519" i="10"/>
  <c r="U522" i="10"/>
  <c r="I522" i="10"/>
  <c r="T522" i="10"/>
  <c r="H522" i="10"/>
  <c r="S522" i="10"/>
  <c r="G522" i="10"/>
  <c r="R522" i="10"/>
  <c r="F522" i="10"/>
  <c r="Q522" i="10"/>
  <c r="E522" i="10"/>
  <c r="P522" i="10"/>
  <c r="D522" i="10"/>
  <c r="N522" i="10"/>
  <c r="L522" i="10"/>
  <c r="J534" i="10"/>
  <c r="Q603" i="10"/>
  <c r="M607" i="10"/>
  <c r="L607" i="10"/>
  <c r="W607" i="10"/>
  <c r="K607" i="10"/>
  <c r="V607" i="10"/>
  <c r="J607" i="10"/>
  <c r="U607" i="10"/>
  <c r="I607" i="10"/>
  <c r="T607" i="10"/>
  <c r="H607" i="10"/>
  <c r="S607" i="10"/>
  <c r="G607" i="10"/>
  <c r="R607" i="10"/>
  <c r="F607" i="10"/>
  <c r="P607" i="10"/>
  <c r="D607" i="10"/>
  <c r="Q607" i="10"/>
  <c r="O607" i="10"/>
  <c r="N607" i="10"/>
  <c r="E607" i="10"/>
  <c r="J471" i="10"/>
  <c r="V471" i="10"/>
  <c r="J475" i="10"/>
  <c r="V475" i="10"/>
  <c r="M476" i="10"/>
  <c r="J479" i="10"/>
  <c r="V479" i="10"/>
  <c r="M480" i="10"/>
  <c r="J483" i="10"/>
  <c r="V483" i="10"/>
  <c r="M484" i="10"/>
  <c r="J487" i="10"/>
  <c r="V487" i="10"/>
  <c r="M488" i="10"/>
  <c r="J491" i="10"/>
  <c r="V491" i="10"/>
  <c r="M492" i="10"/>
  <c r="J495" i="10"/>
  <c r="V495" i="10"/>
  <c r="M496" i="10"/>
  <c r="J499" i="10"/>
  <c r="V499" i="10"/>
  <c r="M500" i="10"/>
  <c r="J503" i="10"/>
  <c r="L515" i="10"/>
  <c r="W515" i="10"/>
  <c r="K515" i="10"/>
  <c r="V515" i="10"/>
  <c r="J515" i="10"/>
  <c r="U515" i="10"/>
  <c r="I515" i="10"/>
  <c r="T515" i="10"/>
  <c r="H515" i="10"/>
  <c r="S515" i="10"/>
  <c r="G515" i="10"/>
  <c r="Q515" i="10"/>
  <c r="E515" i="10"/>
  <c r="M519" i="10"/>
  <c r="K522" i="10"/>
  <c r="M534" i="10"/>
  <c r="M583" i="10"/>
  <c r="L583" i="10"/>
  <c r="W583" i="10"/>
  <c r="K583" i="10"/>
  <c r="V583" i="10"/>
  <c r="J583" i="10"/>
  <c r="U583" i="10"/>
  <c r="I583" i="10"/>
  <c r="T583" i="10"/>
  <c r="H583" i="10"/>
  <c r="S583" i="10"/>
  <c r="G583" i="10"/>
  <c r="R583" i="10"/>
  <c r="F583" i="10"/>
  <c r="P583" i="10"/>
  <c r="D583" i="10"/>
  <c r="Q583" i="10"/>
  <c r="O583" i="10"/>
  <c r="N583" i="10"/>
  <c r="E583" i="10"/>
  <c r="O476" i="10"/>
  <c r="O480" i="10"/>
  <c r="O484" i="10"/>
  <c r="O488" i="10"/>
  <c r="O492" i="10"/>
  <c r="O496" i="10"/>
  <c r="L499" i="10"/>
  <c r="O500" i="10"/>
  <c r="L503" i="10"/>
  <c r="L507" i="10"/>
  <c r="W507" i="10"/>
  <c r="K507" i="10"/>
  <c r="V507" i="10"/>
  <c r="J507" i="10"/>
  <c r="U507" i="10"/>
  <c r="I507" i="10"/>
  <c r="T507" i="10"/>
  <c r="H507" i="10"/>
  <c r="S507" i="10"/>
  <c r="G507" i="10"/>
  <c r="L511" i="10"/>
  <c r="W511" i="10"/>
  <c r="K511" i="10"/>
  <c r="V511" i="10"/>
  <c r="J511" i="10"/>
  <c r="U511" i="10"/>
  <c r="I511" i="10"/>
  <c r="T511" i="10"/>
  <c r="H511" i="10"/>
  <c r="S511" i="10"/>
  <c r="G511" i="10"/>
  <c r="O519" i="10"/>
  <c r="V534" i="10"/>
  <c r="D480" i="10"/>
  <c r="P480" i="10"/>
  <c r="D484" i="10"/>
  <c r="P484" i="10"/>
  <c r="D488" i="10"/>
  <c r="P488" i="10"/>
  <c r="D492" i="10"/>
  <c r="P492" i="10"/>
  <c r="D496" i="10"/>
  <c r="P496" i="10"/>
  <c r="M503" i="10"/>
  <c r="P519" i="10"/>
  <c r="W534" i="10"/>
  <c r="U550" i="10"/>
  <c r="I550" i="10"/>
  <c r="T550" i="10"/>
  <c r="R550" i="10"/>
  <c r="F550" i="10"/>
  <c r="M550" i="10"/>
  <c r="L550" i="10"/>
  <c r="K550" i="10"/>
  <c r="J550" i="10"/>
  <c r="H550" i="10"/>
  <c r="W550" i="10"/>
  <c r="G550" i="10"/>
  <c r="S550" i="10"/>
  <c r="D550" i="10"/>
  <c r="P550" i="10"/>
  <c r="M559" i="10"/>
  <c r="L559" i="10"/>
  <c r="W559" i="10"/>
  <c r="K559" i="10"/>
  <c r="V559" i="10"/>
  <c r="J559" i="10"/>
  <c r="U559" i="10"/>
  <c r="I559" i="10"/>
  <c r="T559" i="10"/>
  <c r="H559" i="10"/>
  <c r="R559" i="10"/>
  <c r="F559" i="10"/>
  <c r="S559" i="10"/>
  <c r="Q559" i="10"/>
  <c r="P559" i="10"/>
  <c r="O559" i="10"/>
  <c r="G559" i="10"/>
  <c r="E559" i="10"/>
  <c r="D559" i="10"/>
  <c r="N471" i="10"/>
  <c r="N475" i="10"/>
  <c r="E476" i="10"/>
  <c r="Q476" i="10"/>
  <c r="N479" i="10"/>
  <c r="E480" i="10"/>
  <c r="Q480" i="10"/>
  <c r="N483" i="10"/>
  <c r="E484" i="10"/>
  <c r="Q484" i="10"/>
  <c r="N487" i="10"/>
  <c r="E488" i="10"/>
  <c r="Q488" i="10"/>
  <c r="N491" i="10"/>
  <c r="E492" i="10"/>
  <c r="Q492" i="10"/>
  <c r="N495" i="10"/>
  <c r="E496" i="10"/>
  <c r="Q496" i="10"/>
  <c r="N499" i="10"/>
  <c r="E500" i="10"/>
  <c r="Q500" i="10"/>
  <c r="E507" i="10"/>
  <c r="E511" i="10"/>
  <c r="U514" i="10"/>
  <c r="I514" i="10"/>
  <c r="T514" i="10"/>
  <c r="H514" i="10"/>
  <c r="S514" i="10"/>
  <c r="G514" i="10"/>
  <c r="R514" i="10"/>
  <c r="F514" i="10"/>
  <c r="Q514" i="10"/>
  <c r="E514" i="10"/>
  <c r="P514" i="10"/>
  <c r="D514" i="10"/>
  <c r="N514" i="10"/>
  <c r="R519" i="10"/>
  <c r="W522" i="10"/>
  <c r="E550" i="10"/>
  <c r="N559" i="10"/>
  <c r="M591" i="10"/>
  <c r="L591" i="10"/>
  <c r="W591" i="10"/>
  <c r="K591" i="10"/>
  <c r="V591" i="10"/>
  <c r="J591" i="10"/>
  <c r="U591" i="10"/>
  <c r="I591" i="10"/>
  <c r="T591" i="10"/>
  <c r="H591" i="10"/>
  <c r="S591" i="10"/>
  <c r="G591" i="10"/>
  <c r="R591" i="10"/>
  <c r="F591" i="10"/>
  <c r="P591" i="10"/>
  <c r="D591" i="10"/>
  <c r="O591" i="10"/>
  <c r="N591" i="10"/>
  <c r="E591" i="10"/>
  <c r="O471" i="10"/>
  <c r="O475" i="10"/>
  <c r="F476" i="10"/>
  <c r="R476" i="10"/>
  <c r="O479" i="10"/>
  <c r="F480" i="10"/>
  <c r="R480" i="10"/>
  <c r="O483" i="10"/>
  <c r="F484" i="10"/>
  <c r="R484" i="10"/>
  <c r="O487" i="10"/>
  <c r="F488" i="10"/>
  <c r="R488" i="10"/>
  <c r="O491" i="10"/>
  <c r="F492" i="10"/>
  <c r="R492" i="10"/>
  <c r="O495" i="10"/>
  <c r="F496" i="10"/>
  <c r="R496" i="10"/>
  <c r="O499" i="10"/>
  <c r="V503" i="10"/>
  <c r="U503" i="10"/>
  <c r="T503" i="10"/>
  <c r="O503" i="10"/>
  <c r="U506" i="10"/>
  <c r="I506" i="10"/>
  <c r="T506" i="10"/>
  <c r="H506" i="10"/>
  <c r="S506" i="10"/>
  <c r="G506" i="10"/>
  <c r="R506" i="10"/>
  <c r="F506" i="10"/>
  <c r="Q506" i="10"/>
  <c r="E506" i="10"/>
  <c r="P506" i="10"/>
  <c r="D506" i="10"/>
  <c r="U510" i="10"/>
  <c r="I510" i="10"/>
  <c r="T510" i="10"/>
  <c r="H510" i="10"/>
  <c r="S510" i="10"/>
  <c r="G510" i="10"/>
  <c r="R510" i="10"/>
  <c r="F510" i="10"/>
  <c r="Q510" i="10"/>
  <c r="E510" i="10"/>
  <c r="P510" i="10"/>
  <c r="D510" i="10"/>
  <c r="U526" i="10"/>
  <c r="I526" i="10"/>
  <c r="T526" i="10"/>
  <c r="H526" i="10"/>
  <c r="S526" i="10"/>
  <c r="G526" i="10"/>
  <c r="R526" i="10"/>
  <c r="F526" i="10"/>
  <c r="Q526" i="10"/>
  <c r="E526" i="10"/>
  <c r="P526" i="10"/>
  <c r="D526" i="10"/>
  <c r="N526" i="10"/>
  <c r="L526" i="10"/>
  <c r="U538" i="10"/>
  <c r="I538" i="10"/>
  <c r="T538" i="10"/>
  <c r="H538" i="10"/>
  <c r="S538" i="10"/>
  <c r="G538" i="10"/>
  <c r="R538" i="10"/>
  <c r="F538" i="10"/>
  <c r="Q538" i="10"/>
  <c r="E538" i="10"/>
  <c r="P538" i="10"/>
  <c r="D538" i="10"/>
  <c r="N538" i="10"/>
  <c r="L538" i="10"/>
  <c r="N550" i="10"/>
  <c r="M595" i="10"/>
  <c r="L595" i="10"/>
  <c r="W595" i="10"/>
  <c r="K595" i="10"/>
  <c r="V595" i="10"/>
  <c r="J595" i="10"/>
  <c r="U595" i="10"/>
  <c r="I595" i="10"/>
  <c r="T595" i="10"/>
  <c r="H595" i="10"/>
  <c r="S595" i="10"/>
  <c r="G595" i="10"/>
  <c r="R595" i="10"/>
  <c r="F595" i="10"/>
  <c r="P595" i="10"/>
  <c r="D595" i="10"/>
  <c r="Q595" i="10"/>
  <c r="O595" i="10"/>
  <c r="N595" i="10"/>
  <c r="E595" i="10"/>
  <c r="D471" i="10"/>
  <c r="P471" i="10"/>
  <c r="D475" i="10"/>
  <c r="P475" i="10"/>
  <c r="G476" i="10"/>
  <c r="S476" i="10"/>
  <c r="D479" i="10"/>
  <c r="P479" i="10"/>
  <c r="G480" i="10"/>
  <c r="S480" i="10"/>
  <c r="D483" i="10"/>
  <c r="P483" i="10"/>
  <c r="G484" i="10"/>
  <c r="S484" i="10"/>
  <c r="D487" i="10"/>
  <c r="P487" i="10"/>
  <c r="G488" i="10"/>
  <c r="S488" i="10"/>
  <c r="D491" i="10"/>
  <c r="P491" i="10"/>
  <c r="G492" i="10"/>
  <c r="S492" i="10"/>
  <c r="D495" i="10"/>
  <c r="P495" i="10"/>
  <c r="G496" i="10"/>
  <c r="S496" i="10"/>
  <c r="D499" i="10"/>
  <c r="P499" i="10"/>
  <c r="G500" i="10"/>
  <c r="S500" i="10"/>
  <c r="D503" i="10"/>
  <c r="P503" i="10"/>
  <c r="J506" i="10"/>
  <c r="M507" i="10"/>
  <c r="J510" i="10"/>
  <c r="M511" i="10"/>
  <c r="K514" i="10"/>
  <c r="P515" i="10"/>
  <c r="J526" i="10"/>
  <c r="J538" i="10"/>
  <c r="O550" i="10"/>
  <c r="E471" i="10"/>
  <c r="E475" i="10"/>
  <c r="H476" i="10"/>
  <c r="E479" i="10"/>
  <c r="H480" i="10"/>
  <c r="E483" i="10"/>
  <c r="H484" i="10"/>
  <c r="E487" i="10"/>
  <c r="H488" i="10"/>
  <c r="E491" i="10"/>
  <c r="H492" i="10"/>
  <c r="E495" i="10"/>
  <c r="H496" i="10"/>
  <c r="E499" i="10"/>
  <c r="H500" i="10"/>
  <c r="E503" i="10"/>
  <c r="Q503" i="10"/>
  <c r="K506" i="10"/>
  <c r="N507" i="10"/>
  <c r="K510" i="10"/>
  <c r="N511" i="10"/>
  <c r="L514" i="10"/>
  <c r="R515" i="10"/>
  <c r="K526" i="10"/>
  <c r="K538" i="10"/>
  <c r="U546" i="10"/>
  <c r="I546" i="10"/>
  <c r="R546" i="10"/>
  <c r="F546" i="10"/>
  <c r="M546" i="10"/>
  <c r="L546" i="10"/>
  <c r="K546" i="10"/>
  <c r="J546" i="10"/>
  <c r="W546" i="10"/>
  <c r="H546" i="10"/>
  <c r="V546" i="10"/>
  <c r="G546" i="10"/>
  <c r="S546" i="10"/>
  <c r="D546" i="10"/>
  <c r="P546" i="10"/>
  <c r="Q550" i="10"/>
  <c r="O523" i="10"/>
  <c r="O527" i="10"/>
  <c r="O531" i="10"/>
  <c r="O535" i="10"/>
  <c r="O539" i="10"/>
  <c r="O543" i="10"/>
  <c r="M571" i="10"/>
  <c r="L571" i="10"/>
  <c r="W571" i="10"/>
  <c r="K571" i="10"/>
  <c r="V571" i="10"/>
  <c r="J571" i="10"/>
  <c r="U571" i="10"/>
  <c r="I571" i="10"/>
  <c r="T571" i="10"/>
  <c r="H571" i="10"/>
  <c r="R571" i="10"/>
  <c r="F571" i="10"/>
  <c r="P571" i="10"/>
  <c r="D571" i="10"/>
  <c r="E523" i="10"/>
  <c r="Q523" i="10"/>
  <c r="E527" i="10"/>
  <c r="Q527" i="10"/>
  <c r="E531" i="10"/>
  <c r="Q531" i="10"/>
  <c r="E535" i="10"/>
  <c r="Q535" i="10"/>
  <c r="E539" i="10"/>
  <c r="Q539" i="10"/>
  <c r="E543" i="10"/>
  <c r="Q543" i="10"/>
  <c r="M505" i="10"/>
  <c r="J508" i="10"/>
  <c r="V508" i="10"/>
  <c r="M509" i="10"/>
  <c r="J512" i="10"/>
  <c r="V512" i="10"/>
  <c r="M513" i="10"/>
  <c r="J516" i="10"/>
  <c r="V516" i="10"/>
  <c r="M517" i="10"/>
  <c r="J520" i="10"/>
  <c r="V520" i="10"/>
  <c r="M521" i="10"/>
  <c r="G523" i="10"/>
  <c r="S523" i="10"/>
  <c r="J524" i="10"/>
  <c r="V524" i="10"/>
  <c r="M525" i="10"/>
  <c r="G527" i="10"/>
  <c r="S527" i="10"/>
  <c r="J528" i="10"/>
  <c r="V528" i="10"/>
  <c r="M529" i="10"/>
  <c r="G531" i="10"/>
  <c r="S531" i="10"/>
  <c r="J532" i="10"/>
  <c r="V532" i="10"/>
  <c r="M533" i="10"/>
  <c r="G535" i="10"/>
  <c r="S535" i="10"/>
  <c r="J536" i="10"/>
  <c r="V536" i="10"/>
  <c r="M537" i="10"/>
  <c r="G539" i="10"/>
  <c r="S539" i="10"/>
  <c r="J540" i="10"/>
  <c r="V540" i="10"/>
  <c r="M541" i="10"/>
  <c r="G543" i="10"/>
  <c r="S543" i="10"/>
  <c r="J544" i="10"/>
  <c r="V544" i="10"/>
  <c r="M545" i="10"/>
  <c r="O547" i="10"/>
  <c r="M567" i="10"/>
  <c r="L567" i="10"/>
  <c r="W567" i="10"/>
  <c r="K567" i="10"/>
  <c r="V567" i="10"/>
  <c r="J567" i="10"/>
  <c r="U567" i="10"/>
  <c r="I567" i="10"/>
  <c r="T567" i="10"/>
  <c r="H567" i="10"/>
  <c r="R567" i="10"/>
  <c r="F567" i="10"/>
  <c r="O571" i="10"/>
  <c r="N505" i="10"/>
  <c r="K508" i="10"/>
  <c r="W508" i="10"/>
  <c r="N509" i="10"/>
  <c r="K512" i="10"/>
  <c r="W512" i="10"/>
  <c r="N513" i="10"/>
  <c r="K516" i="10"/>
  <c r="W516" i="10"/>
  <c r="N517" i="10"/>
  <c r="K520" i="10"/>
  <c r="W520" i="10"/>
  <c r="N521" i="10"/>
  <c r="H523" i="10"/>
  <c r="T523" i="10"/>
  <c r="K524" i="10"/>
  <c r="W524" i="10"/>
  <c r="N525" i="10"/>
  <c r="H527" i="10"/>
  <c r="T527" i="10"/>
  <c r="K528" i="10"/>
  <c r="W528" i="10"/>
  <c r="N529" i="10"/>
  <c r="H531" i="10"/>
  <c r="T531" i="10"/>
  <c r="K532" i="10"/>
  <c r="W532" i="10"/>
  <c r="N533" i="10"/>
  <c r="H535" i="10"/>
  <c r="T535" i="10"/>
  <c r="K536" i="10"/>
  <c r="W536" i="10"/>
  <c r="N537" i="10"/>
  <c r="H539" i="10"/>
  <c r="T539" i="10"/>
  <c r="K540" i="10"/>
  <c r="W540" i="10"/>
  <c r="N541" i="10"/>
  <c r="H543" i="10"/>
  <c r="T543" i="10"/>
  <c r="K544" i="10"/>
  <c r="W544" i="10"/>
  <c r="L551" i="10"/>
  <c r="W551" i="10"/>
  <c r="K551" i="10"/>
  <c r="U551" i="10"/>
  <c r="I551" i="10"/>
  <c r="R551" i="10"/>
  <c r="D567" i="10"/>
  <c r="Q571" i="10"/>
  <c r="M611" i="10"/>
  <c r="L611" i="10"/>
  <c r="W611" i="10"/>
  <c r="K611" i="10"/>
  <c r="V611" i="10"/>
  <c r="J611" i="10"/>
  <c r="U611" i="10"/>
  <c r="I611" i="10"/>
  <c r="T611" i="10"/>
  <c r="H611" i="10"/>
  <c r="S611" i="10"/>
  <c r="G611" i="10"/>
  <c r="R611" i="10"/>
  <c r="F611" i="10"/>
  <c r="P611" i="10"/>
  <c r="D611" i="10"/>
  <c r="M615" i="10"/>
  <c r="L615" i="10"/>
  <c r="W615" i="10"/>
  <c r="K615" i="10"/>
  <c r="V615" i="10"/>
  <c r="J615" i="10"/>
  <c r="U615" i="10"/>
  <c r="I615" i="10"/>
  <c r="T615" i="10"/>
  <c r="H615" i="10"/>
  <c r="S615" i="10"/>
  <c r="G615" i="10"/>
  <c r="R615" i="10"/>
  <c r="F615" i="10"/>
  <c r="P615" i="10"/>
  <c r="D615" i="10"/>
  <c r="M619" i="10"/>
  <c r="L619" i="10"/>
  <c r="W619" i="10"/>
  <c r="K619" i="10"/>
  <c r="V619" i="10"/>
  <c r="J619" i="10"/>
  <c r="U619" i="10"/>
  <c r="I619" i="10"/>
  <c r="T619" i="10"/>
  <c r="H619" i="10"/>
  <c r="S619" i="10"/>
  <c r="G619" i="10"/>
  <c r="R619" i="10"/>
  <c r="F619" i="10"/>
  <c r="P619" i="10"/>
  <c r="D619" i="10"/>
  <c r="U638" i="10"/>
  <c r="I638" i="10"/>
  <c r="T638" i="10"/>
  <c r="H638" i="10"/>
  <c r="S638" i="10"/>
  <c r="G638" i="10"/>
  <c r="R638" i="10"/>
  <c r="F638" i="10"/>
  <c r="Q638" i="10"/>
  <c r="E638" i="10"/>
  <c r="P638" i="10"/>
  <c r="D638" i="10"/>
  <c r="L638" i="10"/>
  <c r="W638" i="10"/>
  <c r="K638" i="10"/>
  <c r="V638" i="10"/>
  <c r="O638" i="10"/>
  <c r="N638" i="10"/>
  <c r="M638" i="10"/>
  <c r="J638" i="10"/>
  <c r="O505" i="10"/>
  <c r="L508" i="10"/>
  <c r="O509" i="10"/>
  <c r="L512" i="10"/>
  <c r="O513" i="10"/>
  <c r="L516" i="10"/>
  <c r="O517" i="10"/>
  <c r="L520" i="10"/>
  <c r="O521" i="10"/>
  <c r="I523" i="10"/>
  <c r="U523" i="10"/>
  <c r="L524" i="10"/>
  <c r="O525" i="10"/>
  <c r="I527" i="10"/>
  <c r="U527" i="10"/>
  <c r="L528" i="10"/>
  <c r="O529" i="10"/>
  <c r="I531" i="10"/>
  <c r="U531" i="10"/>
  <c r="L532" i="10"/>
  <c r="O533" i="10"/>
  <c r="I535" i="10"/>
  <c r="U535" i="10"/>
  <c r="L536" i="10"/>
  <c r="O537" i="10"/>
  <c r="I539" i="10"/>
  <c r="U539" i="10"/>
  <c r="L540" i="10"/>
  <c r="O541" i="10"/>
  <c r="I543" i="10"/>
  <c r="U543" i="10"/>
  <c r="L544" i="10"/>
  <c r="R545" i="10"/>
  <c r="O545" i="10"/>
  <c r="P545" i="10"/>
  <c r="L547" i="10"/>
  <c r="U547" i="10"/>
  <c r="I547" i="10"/>
  <c r="Q547" i="10"/>
  <c r="E567" i="10"/>
  <c r="S571" i="10"/>
  <c r="M575" i="10"/>
  <c r="L575" i="10"/>
  <c r="W575" i="10"/>
  <c r="K575" i="10"/>
  <c r="V575" i="10"/>
  <c r="J575" i="10"/>
  <c r="U575" i="10"/>
  <c r="I575" i="10"/>
  <c r="T575" i="10"/>
  <c r="H575" i="10"/>
  <c r="S575" i="10"/>
  <c r="R575" i="10"/>
  <c r="F575" i="10"/>
  <c r="P575" i="10"/>
  <c r="D575" i="10"/>
  <c r="D505" i="10"/>
  <c r="P505" i="10"/>
  <c r="M508" i="10"/>
  <c r="P509" i="10"/>
  <c r="M512" i="10"/>
  <c r="D513" i="10"/>
  <c r="P513" i="10"/>
  <c r="M516" i="10"/>
  <c r="D517" i="10"/>
  <c r="M520" i="10"/>
  <c r="D521" i="10"/>
  <c r="J523" i="10"/>
  <c r="V523" i="10"/>
  <c r="M524" i="10"/>
  <c r="D525" i="10"/>
  <c r="J527" i="10"/>
  <c r="V527" i="10"/>
  <c r="M528" i="10"/>
  <c r="D529" i="10"/>
  <c r="J531" i="10"/>
  <c r="V531" i="10"/>
  <c r="M532" i="10"/>
  <c r="D533" i="10"/>
  <c r="J535" i="10"/>
  <c r="V535" i="10"/>
  <c r="M536" i="10"/>
  <c r="D537" i="10"/>
  <c r="J539" i="10"/>
  <c r="V539" i="10"/>
  <c r="M540" i="10"/>
  <c r="D541" i="10"/>
  <c r="J543" i="10"/>
  <c r="V543" i="10"/>
  <c r="M544" i="10"/>
  <c r="D545" i="10"/>
  <c r="Q545" i="10"/>
  <c r="D547" i="10"/>
  <c r="R547" i="10"/>
  <c r="E551" i="10"/>
  <c r="T551" i="10"/>
  <c r="G567" i="10"/>
  <c r="E575" i="10"/>
  <c r="M587" i="10"/>
  <c r="L587" i="10"/>
  <c r="W587" i="10"/>
  <c r="K587" i="10"/>
  <c r="V587" i="10"/>
  <c r="J587" i="10"/>
  <c r="U587" i="10"/>
  <c r="I587" i="10"/>
  <c r="T587" i="10"/>
  <c r="H587" i="10"/>
  <c r="S587" i="10"/>
  <c r="G587" i="10"/>
  <c r="R587" i="10"/>
  <c r="F587" i="10"/>
  <c r="P587" i="10"/>
  <c r="D587" i="10"/>
  <c r="M599" i="10"/>
  <c r="L599" i="10"/>
  <c r="W599" i="10"/>
  <c r="K599" i="10"/>
  <c r="V599" i="10"/>
  <c r="J599" i="10"/>
  <c r="U599" i="10"/>
  <c r="I599" i="10"/>
  <c r="T599" i="10"/>
  <c r="H599" i="10"/>
  <c r="S599" i="10"/>
  <c r="G599" i="10"/>
  <c r="R599" i="10"/>
  <c r="F599" i="10"/>
  <c r="P599" i="10"/>
  <c r="D599" i="10"/>
  <c r="N611" i="10"/>
  <c r="N615" i="10"/>
  <c r="N619" i="10"/>
  <c r="N508" i="10"/>
  <c r="N512" i="10"/>
  <c r="N516" i="10"/>
  <c r="N520" i="10"/>
  <c r="K523" i="10"/>
  <c r="W523" i="10"/>
  <c r="N524" i="10"/>
  <c r="K527" i="10"/>
  <c r="W527" i="10"/>
  <c r="K531" i="10"/>
  <c r="W531" i="10"/>
  <c r="K535" i="10"/>
  <c r="W535" i="10"/>
  <c r="K539" i="10"/>
  <c r="W539" i="10"/>
  <c r="K543" i="10"/>
  <c r="W543" i="10"/>
  <c r="M563" i="10"/>
  <c r="L563" i="10"/>
  <c r="W563" i="10"/>
  <c r="K563" i="10"/>
  <c r="V563" i="10"/>
  <c r="J563" i="10"/>
  <c r="U563" i="10"/>
  <c r="I563" i="10"/>
  <c r="T563" i="10"/>
  <c r="H563" i="10"/>
  <c r="R563" i="10"/>
  <c r="F563" i="10"/>
  <c r="U626" i="10"/>
  <c r="I626" i="10"/>
  <c r="Q626" i="10"/>
  <c r="E626" i="10"/>
  <c r="M626" i="10"/>
  <c r="L626" i="10"/>
  <c r="K626" i="10"/>
  <c r="J626" i="10"/>
  <c r="W626" i="10"/>
  <c r="H626" i="10"/>
  <c r="V626" i="10"/>
  <c r="G626" i="10"/>
  <c r="T626" i="10"/>
  <c r="F626" i="10"/>
  <c r="S626" i="10"/>
  <c r="D626" i="10"/>
  <c r="P626" i="10"/>
  <c r="M670" i="10"/>
  <c r="L670" i="10"/>
  <c r="W670" i="10"/>
  <c r="K670" i="10"/>
  <c r="V670" i="10"/>
  <c r="J670" i="10"/>
  <c r="R670" i="10"/>
  <c r="Q670" i="10"/>
  <c r="P670" i="10"/>
  <c r="O670" i="10"/>
  <c r="N670" i="10"/>
  <c r="I670" i="10"/>
  <c r="G670" i="10"/>
  <c r="U670" i="10"/>
  <c r="E670" i="10"/>
  <c r="T670" i="10"/>
  <c r="D670" i="10"/>
  <c r="S670" i="10"/>
  <c r="H670" i="10"/>
  <c r="F670" i="10"/>
  <c r="D563" i="10"/>
  <c r="Q619" i="10"/>
  <c r="N626" i="10"/>
  <c r="U630" i="10"/>
  <c r="I630" i="10"/>
  <c r="T630" i="10"/>
  <c r="H630" i="10"/>
  <c r="S630" i="10"/>
  <c r="G630" i="10"/>
  <c r="R630" i="10"/>
  <c r="F630" i="10"/>
  <c r="Q630" i="10"/>
  <c r="E63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U622" i="10"/>
  <c r="I622" i="10"/>
  <c r="Q622" i="10"/>
  <c r="E622" i="10"/>
  <c r="R622" i="10"/>
  <c r="J630" i="10"/>
  <c r="U642" i="10"/>
  <c r="I642" i="10"/>
  <c r="T642" i="10"/>
  <c r="H642" i="10"/>
  <c r="S642" i="10"/>
  <c r="G642" i="10"/>
  <c r="R642" i="10"/>
  <c r="F642" i="10"/>
  <c r="Q642" i="10"/>
  <c r="E642" i="10"/>
  <c r="P642" i="10"/>
  <c r="D642" i="10"/>
  <c r="N642" i="10"/>
  <c r="L642" i="10"/>
  <c r="W642" i="10"/>
  <c r="K642" i="10"/>
  <c r="L630" i="10"/>
  <c r="J642" i="10"/>
  <c r="U646" i="10"/>
  <c r="I646" i="10"/>
  <c r="T646" i="10"/>
  <c r="H646" i="10"/>
  <c r="S646" i="10"/>
  <c r="G646" i="10"/>
  <c r="R646" i="10"/>
  <c r="F646" i="10"/>
  <c r="Q646" i="10"/>
  <c r="E646" i="10"/>
  <c r="P646" i="10"/>
  <c r="D646" i="10"/>
  <c r="N646" i="10"/>
  <c r="L646" i="10"/>
  <c r="W646" i="10"/>
  <c r="K646" i="10"/>
  <c r="U650" i="10"/>
  <c r="I650" i="10"/>
  <c r="T650" i="10"/>
  <c r="H650" i="10"/>
  <c r="S650" i="10"/>
  <c r="G650" i="10"/>
  <c r="R650" i="10"/>
  <c r="F650" i="10"/>
  <c r="Q650" i="10"/>
  <c r="E650" i="10"/>
  <c r="P650" i="10"/>
  <c r="D650" i="10"/>
  <c r="N650" i="10"/>
  <c r="L650" i="10"/>
  <c r="W650" i="10"/>
  <c r="K650" i="10"/>
  <c r="T700" i="10"/>
  <c r="H700" i="10"/>
  <c r="S700" i="10"/>
  <c r="G700" i="10"/>
  <c r="R700" i="10"/>
  <c r="F700" i="10"/>
  <c r="Q700" i="10"/>
  <c r="E700" i="10"/>
  <c r="P700" i="10"/>
  <c r="D700" i="10"/>
  <c r="U700" i="10"/>
  <c r="I700" i="10"/>
  <c r="O700" i="10"/>
  <c r="N700" i="10"/>
  <c r="M700" i="10"/>
  <c r="L700" i="10"/>
  <c r="K700" i="10"/>
  <c r="J700" i="10"/>
  <c r="W700" i="10"/>
  <c r="L548" i="10"/>
  <c r="O549" i="10"/>
  <c r="L552" i="10"/>
  <c r="O553" i="10"/>
  <c r="F554" i="10"/>
  <c r="R554" i="10"/>
  <c r="L556" i="10"/>
  <c r="O557" i="10"/>
  <c r="F558" i="10"/>
  <c r="R558" i="10"/>
  <c r="L560" i="10"/>
  <c r="O561" i="10"/>
  <c r="F562" i="10"/>
  <c r="R562" i="10"/>
  <c r="L564" i="10"/>
  <c r="O565" i="10"/>
  <c r="F566" i="10"/>
  <c r="R566" i="10"/>
  <c r="L568" i="10"/>
  <c r="O569" i="10"/>
  <c r="F570" i="10"/>
  <c r="R570" i="10"/>
  <c r="L572" i="10"/>
  <c r="O573" i="10"/>
  <c r="F574" i="10"/>
  <c r="R574" i="10"/>
  <c r="L576" i="10"/>
  <c r="O577" i="10"/>
  <c r="F578" i="10"/>
  <c r="R578" i="10"/>
  <c r="L580" i="10"/>
  <c r="O581" i="10"/>
  <c r="F582" i="10"/>
  <c r="R582" i="10"/>
  <c r="L584" i="10"/>
  <c r="O585" i="10"/>
  <c r="F586" i="10"/>
  <c r="R586" i="10"/>
  <c r="L588" i="10"/>
  <c r="O589" i="10"/>
  <c r="F590" i="10"/>
  <c r="R590" i="10"/>
  <c r="L592" i="10"/>
  <c r="O593" i="10"/>
  <c r="F594" i="10"/>
  <c r="R594" i="10"/>
  <c r="L596" i="10"/>
  <c r="O597" i="10"/>
  <c r="F598" i="10"/>
  <c r="R598" i="10"/>
  <c r="L600" i="10"/>
  <c r="O601" i="10"/>
  <c r="F602" i="10"/>
  <c r="R602" i="10"/>
  <c r="L604" i="10"/>
  <c r="O605" i="10"/>
  <c r="F606" i="10"/>
  <c r="R606" i="10"/>
  <c r="L608" i="10"/>
  <c r="O609" i="10"/>
  <c r="F610" i="10"/>
  <c r="R610" i="10"/>
  <c r="L612" i="10"/>
  <c r="O613" i="10"/>
  <c r="F614" i="10"/>
  <c r="R614" i="10"/>
  <c r="L616" i="10"/>
  <c r="O617" i="10"/>
  <c r="F618" i="10"/>
  <c r="R618" i="10"/>
  <c r="L620" i="10"/>
  <c r="O621" i="10"/>
  <c r="G622" i="10"/>
  <c r="V622" i="10"/>
  <c r="O623" i="10"/>
  <c r="O625" i="10"/>
  <c r="M630" i="10"/>
  <c r="M642" i="10"/>
  <c r="J646" i="10"/>
  <c r="J650" i="10"/>
  <c r="T696" i="10"/>
  <c r="H696" i="10"/>
  <c r="S696" i="10"/>
  <c r="G696" i="10"/>
  <c r="R696" i="10"/>
  <c r="F696" i="10"/>
  <c r="Q696" i="10"/>
  <c r="E696" i="10"/>
  <c r="P696" i="10"/>
  <c r="D696" i="10"/>
  <c r="U696" i="10"/>
  <c r="I696" i="10"/>
  <c r="O696" i="10"/>
  <c r="N696" i="10"/>
  <c r="M696" i="10"/>
  <c r="L696" i="10"/>
  <c r="K696" i="10"/>
  <c r="J696" i="10"/>
  <c r="W696" i="10"/>
  <c r="V700" i="10"/>
  <c r="G554" i="10"/>
  <c r="S554" i="10"/>
  <c r="G558" i="10"/>
  <c r="S558" i="10"/>
  <c r="G562" i="10"/>
  <c r="S562" i="10"/>
  <c r="G566" i="10"/>
  <c r="S566" i="10"/>
  <c r="G570" i="10"/>
  <c r="S570" i="10"/>
  <c r="G574" i="10"/>
  <c r="S574" i="10"/>
  <c r="G578" i="10"/>
  <c r="S578" i="10"/>
  <c r="G582" i="10"/>
  <c r="S582" i="10"/>
  <c r="G586" i="10"/>
  <c r="S586" i="10"/>
  <c r="G590" i="10"/>
  <c r="S590" i="10"/>
  <c r="G594" i="10"/>
  <c r="S594" i="10"/>
  <c r="G598" i="10"/>
  <c r="S598" i="10"/>
  <c r="G602" i="10"/>
  <c r="S602" i="10"/>
  <c r="G606" i="10"/>
  <c r="S606" i="10"/>
  <c r="G610" i="10"/>
  <c r="S610" i="10"/>
  <c r="G614" i="10"/>
  <c r="S614" i="10"/>
  <c r="G618" i="10"/>
  <c r="S618" i="10"/>
  <c r="H622" i="10"/>
  <c r="W622" i="10"/>
  <c r="L627" i="10"/>
  <c r="T627" i="10"/>
  <c r="H627" i="10"/>
  <c r="Q627" i="10"/>
  <c r="R629" i="10"/>
  <c r="F629" i="10"/>
  <c r="N629" i="10"/>
  <c r="Q629" i="10"/>
  <c r="N630" i="10"/>
  <c r="U634" i="10"/>
  <c r="I634" i="10"/>
  <c r="T634" i="10"/>
  <c r="H634" i="10"/>
  <c r="S634" i="10"/>
  <c r="G634" i="10"/>
  <c r="R634" i="10"/>
  <c r="F634" i="10"/>
  <c r="Q634" i="10"/>
  <c r="E634" i="10"/>
  <c r="L634" i="10"/>
  <c r="O642" i="10"/>
  <c r="M646" i="10"/>
  <c r="M650" i="10"/>
  <c r="H554" i="10"/>
  <c r="T554" i="10"/>
  <c r="H558" i="10"/>
  <c r="T558" i="10"/>
  <c r="H562" i="10"/>
  <c r="T562" i="10"/>
  <c r="H566" i="10"/>
  <c r="T566" i="10"/>
  <c r="H570" i="10"/>
  <c r="T570" i="10"/>
  <c r="H574" i="10"/>
  <c r="T574" i="10"/>
  <c r="H578" i="10"/>
  <c r="T578" i="10"/>
  <c r="H582" i="10"/>
  <c r="T582" i="10"/>
  <c r="H586" i="10"/>
  <c r="T586" i="10"/>
  <c r="H590" i="10"/>
  <c r="T590" i="10"/>
  <c r="H594" i="10"/>
  <c r="T594" i="10"/>
  <c r="H598" i="10"/>
  <c r="T598" i="10"/>
  <c r="H602" i="10"/>
  <c r="T602" i="10"/>
  <c r="H606" i="10"/>
  <c r="T606" i="10"/>
  <c r="H610" i="10"/>
  <c r="T610" i="10"/>
  <c r="H614" i="10"/>
  <c r="T614" i="10"/>
  <c r="H618" i="10"/>
  <c r="T618" i="10"/>
  <c r="J622" i="10"/>
  <c r="L623" i="10"/>
  <c r="T623" i="10"/>
  <c r="H623" i="10"/>
  <c r="Q623" i="10"/>
  <c r="R625" i="10"/>
  <c r="F625" i="10"/>
  <c r="N625" i="10"/>
  <c r="Q625" i="10"/>
  <c r="D627" i="10"/>
  <c r="R627" i="10"/>
  <c r="D629" i="10"/>
  <c r="S629" i="10"/>
  <c r="O630" i="10"/>
  <c r="D634" i="10"/>
  <c r="V642" i="10"/>
  <c r="O646" i="10"/>
  <c r="O650" i="10"/>
  <c r="V661" i="10"/>
  <c r="J661" i="10"/>
  <c r="U661" i="10"/>
  <c r="I661" i="10"/>
  <c r="T661" i="10"/>
  <c r="H661" i="10"/>
  <c r="S661" i="10"/>
  <c r="G661" i="10"/>
  <c r="M661" i="10"/>
  <c r="L661" i="10"/>
  <c r="K661" i="10"/>
  <c r="F661" i="10"/>
  <c r="E661" i="10"/>
  <c r="D661" i="10"/>
  <c r="R661" i="10"/>
  <c r="P661" i="10"/>
  <c r="O661" i="10"/>
  <c r="N682" i="10"/>
  <c r="M682" i="10"/>
  <c r="L682" i="10"/>
  <c r="W682" i="10"/>
  <c r="K682" i="10"/>
  <c r="V682" i="10"/>
  <c r="J682" i="10"/>
  <c r="S682" i="10"/>
  <c r="R682" i="10"/>
  <c r="Q682" i="10"/>
  <c r="P682" i="10"/>
  <c r="O682" i="10"/>
  <c r="I682" i="10"/>
  <c r="G682" i="10"/>
  <c r="E682" i="10"/>
  <c r="U682" i="10"/>
  <c r="D682" i="10"/>
  <c r="F549" i="10"/>
  <c r="F553" i="10"/>
  <c r="I554" i="10"/>
  <c r="F557" i="10"/>
  <c r="I558" i="10"/>
  <c r="F561" i="10"/>
  <c r="I562" i="10"/>
  <c r="U562" i="10"/>
  <c r="F565" i="10"/>
  <c r="I566" i="10"/>
  <c r="U566" i="10"/>
  <c r="F569" i="10"/>
  <c r="I570" i="10"/>
  <c r="U570" i="10"/>
  <c r="F573" i="10"/>
  <c r="I574" i="10"/>
  <c r="U574" i="10"/>
  <c r="F577" i="10"/>
  <c r="I578" i="10"/>
  <c r="U578" i="10"/>
  <c r="F581" i="10"/>
  <c r="I582" i="10"/>
  <c r="U582" i="10"/>
  <c r="F585" i="10"/>
  <c r="I586" i="10"/>
  <c r="U586" i="10"/>
  <c r="F589" i="10"/>
  <c r="I590" i="10"/>
  <c r="U590" i="10"/>
  <c r="F593" i="10"/>
  <c r="I594" i="10"/>
  <c r="U594" i="10"/>
  <c r="F597" i="10"/>
  <c r="I598" i="10"/>
  <c r="U598" i="10"/>
  <c r="F601" i="10"/>
  <c r="I602" i="10"/>
  <c r="U602" i="10"/>
  <c r="F605" i="10"/>
  <c r="I606" i="10"/>
  <c r="U606" i="10"/>
  <c r="O608" i="10"/>
  <c r="F609" i="10"/>
  <c r="R609" i="10"/>
  <c r="I610" i="10"/>
  <c r="U610" i="10"/>
  <c r="O612" i="10"/>
  <c r="F613" i="10"/>
  <c r="R613" i="10"/>
  <c r="I614" i="10"/>
  <c r="U614" i="10"/>
  <c r="O616" i="10"/>
  <c r="F617" i="10"/>
  <c r="R617" i="10"/>
  <c r="I618" i="10"/>
  <c r="U618" i="10"/>
  <c r="O620" i="10"/>
  <c r="F621" i="10"/>
  <c r="R621" i="10"/>
  <c r="K622" i="10"/>
  <c r="D623" i="10"/>
  <c r="R623" i="10"/>
  <c r="D625" i="10"/>
  <c r="S625" i="10"/>
  <c r="E627" i="10"/>
  <c r="S627" i="10"/>
  <c r="E629" i="10"/>
  <c r="T629" i="10"/>
  <c r="P630" i="10"/>
  <c r="J634" i="10"/>
  <c r="V646" i="10"/>
  <c r="V650" i="10"/>
  <c r="N661" i="10"/>
  <c r="V677" i="10"/>
  <c r="J677" i="10"/>
  <c r="U677" i="10"/>
  <c r="I677" i="10"/>
  <c r="T677" i="10"/>
  <c r="H677" i="10"/>
  <c r="S677" i="10"/>
  <c r="G677" i="10"/>
  <c r="M677" i="10"/>
  <c r="L677" i="10"/>
  <c r="K677" i="10"/>
  <c r="F677" i="10"/>
  <c r="E677" i="10"/>
  <c r="D677" i="10"/>
  <c r="R677" i="10"/>
  <c r="P677" i="10"/>
  <c r="O677" i="10"/>
  <c r="W685" i="10"/>
  <c r="K685" i="10"/>
  <c r="V685" i="10"/>
  <c r="J685" i="10"/>
  <c r="U685" i="10"/>
  <c r="I685" i="10"/>
  <c r="T685" i="10"/>
  <c r="H685" i="10"/>
  <c r="S685" i="10"/>
  <c r="G685" i="10"/>
  <c r="N685" i="10"/>
  <c r="M685" i="10"/>
  <c r="L685" i="10"/>
  <c r="F685" i="10"/>
  <c r="E685" i="10"/>
  <c r="D685" i="10"/>
  <c r="Q685" i="10"/>
  <c r="P685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D612" i="10"/>
  <c r="G613" i="10"/>
  <c r="J614" i="10"/>
  <c r="D616" i="10"/>
  <c r="G617" i="10"/>
  <c r="J618" i="10"/>
  <c r="D620" i="10"/>
  <c r="G621" i="10"/>
  <c r="L622" i="10"/>
  <c r="E623" i="10"/>
  <c r="S623" i="10"/>
  <c r="E625" i="10"/>
  <c r="T625" i="10"/>
  <c r="F627" i="10"/>
  <c r="U627" i="10"/>
  <c r="G629" i="10"/>
  <c r="U629" i="10"/>
  <c r="V630" i="10"/>
  <c r="K634" i="10"/>
  <c r="Q661" i="10"/>
  <c r="M666" i="10"/>
  <c r="L666" i="10"/>
  <c r="W666" i="10"/>
  <c r="K666" i="10"/>
  <c r="V666" i="10"/>
  <c r="J666" i="10"/>
  <c r="O666" i="10"/>
  <c r="N666" i="10"/>
  <c r="I666" i="10"/>
  <c r="H666" i="10"/>
  <c r="G666" i="10"/>
  <c r="F666" i="10"/>
  <c r="T666" i="10"/>
  <c r="D666" i="10"/>
  <c r="R666" i="10"/>
  <c r="Q666" i="10"/>
  <c r="N677" i="10"/>
  <c r="H682" i="10"/>
  <c r="O685" i="10"/>
  <c r="N694" i="10"/>
  <c r="M694" i="10"/>
  <c r="L694" i="10"/>
  <c r="W694" i="10"/>
  <c r="K694" i="10"/>
  <c r="V694" i="10"/>
  <c r="J694" i="10"/>
  <c r="O694" i="10"/>
  <c r="T694" i="10"/>
  <c r="S694" i="10"/>
  <c r="R694" i="10"/>
  <c r="Q694" i="10"/>
  <c r="P694" i="10"/>
  <c r="I694" i="10"/>
  <c r="G694" i="10"/>
  <c r="E694" i="10"/>
  <c r="D694" i="10"/>
  <c r="T660" i="10"/>
  <c r="S664" i="10"/>
  <c r="G664" i="10"/>
  <c r="R664" i="10"/>
  <c r="F664" i="10"/>
  <c r="Q664" i="10"/>
  <c r="E664" i="10"/>
  <c r="P664" i="10"/>
  <c r="D664" i="10"/>
  <c r="W664" i="10"/>
  <c r="T676" i="10"/>
  <c r="T680" i="10"/>
  <c r="S680" i="10"/>
  <c r="G680" i="10"/>
  <c r="R680" i="10"/>
  <c r="F680" i="10"/>
  <c r="Q680" i="10"/>
  <c r="E680" i="10"/>
  <c r="P680" i="10"/>
  <c r="D680" i="10"/>
  <c r="W681" i="10"/>
  <c r="K681" i="10"/>
  <c r="V681" i="10"/>
  <c r="J681" i="10"/>
  <c r="U681" i="10"/>
  <c r="I681" i="10"/>
  <c r="T681" i="10"/>
  <c r="H681" i="10"/>
  <c r="S681" i="10"/>
  <c r="G681" i="10"/>
  <c r="Q686" i="10"/>
  <c r="W693" i="10"/>
  <c r="K693" i="10"/>
  <c r="V693" i="10"/>
  <c r="J693" i="10"/>
  <c r="U693" i="10"/>
  <c r="I693" i="10"/>
  <c r="T693" i="10"/>
  <c r="H693" i="10"/>
  <c r="S693" i="10"/>
  <c r="G693" i="10"/>
  <c r="O631" i="10"/>
  <c r="O635" i="10"/>
  <c r="O639" i="10"/>
  <c r="O643" i="10"/>
  <c r="O647" i="10"/>
  <c r="O651" i="10"/>
  <c r="H664" i="10"/>
  <c r="V665" i="10"/>
  <c r="J665" i="10"/>
  <c r="U665" i="10"/>
  <c r="I665" i="10"/>
  <c r="T665" i="10"/>
  <c r="H665" i="10"/>
  <c r="S665" i="10"/>
  <c r="G665" i="10"/>
  <c r="W665" i="10"/>
  <c r="H680" i="10"/>
  <c r="D681" i="10"/>
  <c r="T692" i="10"/>
  <c r="H692" i="10"/>
  <c r="S692" i="10"/>
  <c r="G692" i="10"/>
  <c r="R692" i="10"/>
  <c r="F692" i="10"/>
  <c r="Q692" i="10"/>
  <c r="E692" i="10"/>
  <c r="P692" i="10"/>
  <c r="D692" i="10"/>
  <c r="D693" i="10"/>
  <c r="W697" i="10"/>
  <c r="K697" i="10"/>
  <c r="V697" i="10"/>
  <c r="J697" i="10"/>
  <c r="U697" i="10"/>
  <c r="I697" i="10"/>
  <c r="T697" i="10"/>
  <c r="H697" i="10"/>
  <c r="S697" i="10"/>
  <c r="G697" i="10"/>
  <c r="L697" i="10"/>
  <c r="W701" i="10"/>
  <c r="K701" i="10"/>
  <c r="V701" i="10"/>
  <c r="J701" i="10"/>
  <c r="U701" i="10"/>
  <c r="I701" i="10"/>
  <c r="T701" i="10"/>
  <c r="H701" i="10"/>
  <c r="S701" i="10"/>
  <c r="G701" i="10"/>
  <c r="L701" i="10"/>
  <c r="S660" i="10"/>
  <c r="G660" i="10"/>
  <c r="R660" i="10"/>
  <c r="F660" i="10"/>
  <c r="Q660" i="10"/>
  <c r="E660" i="10"/>
  <c r="P660" i="10"/>
  <c r="D660" i="10"/>
  <c r="W660" i="10"/>
  <c r="S676" i="10"/>
  <c r="G676" i="10"/>
  <c r="R676" i="10"/>
  <c r="F676" i="10"/>
  <c r="Q676" i="10"/>
  <c r="E676" i="10"/>
  <c r="P676" i="10"/>
  <c r="D676" i="10"/>
  <c r="W676" i="10"/>
  <c r="N686" i="10"/>
  <c r="M686" i="10"/>
  <c r="L686" i="10"/>
  <c r="W686" i="10"/>
  <c r="K686" i="10"/>
  <c r="V686" i="10"/>
  <c r="J686" i="10"/>
  <c r="T686" i="10"/>
  <c r="I660" i="10"/>
  <c r="M662" i="10"/>
  <c r="L662" i="10"/>
  <c r="W662" i="10"/>
  <c r="K662" i="10"/>
  <c r="V662" i="10"/>
  <c r="J662" i="10"/>
  <c r="S662" i="10"/>
  <c r="L664" i="10"/>
  <c r="I676" i="10"/>
  <c r="M678" i="10"/>
  <c r="L678" i="10"/>
  <c r="W678" i="10"/>
  <c r="K678" i="10"/>
  <c r="V678" i="10"/>
  <c r="J678" i="10"/>
  <c r="S678" i="10"/>
  <c r="L680" i="10"/>
  <c r="M681" i="10"/>
  <c r="T684" i="10"/>
  <c r="H684" i="10"/>
  <c r="S684" i="10"/>
  <c r="G684" i="10"/>
  <c r="R684" i="10"/>
  <c r="F684" i="10"/>
  <c r="Q684" i="10"/>
  <c r="E684" i="10"/>
  <c r="P684" i="10"/>
  <c r="D684" i="10"/>
  <c r="E686" i="10"/>
  <c r="L692" i="10"/>
  <c r="M693" i="10"/>
  <c r="M697" i="10"/>
  <c r="M701" i="10"/>
  <c r="K624" i="10"/>
  <c r="W624" i="10"/>
  <c r="K628" i="10"/>
  <c r="W628" i="10"/>
  <c r="H631" i="10"/>
  <c r="T631" i="10"/>
  <c r="K632" i="10"/>
  <c r="W632" i="10"/>
  <c r="N633" i="10"/>
  <c r="H635" i="10"/>
  <c r="T635" i="10"/>
  <c r="K636" i="10"/>
  <c r="W636" i="10"/>
  <c r="N637" i="10"/>
  <c r="H639" i="10"/>
  <c r="T639" i="10"/>
  <c r="K640" i="10"/>
  <c r="W640" i="10"/>
  <c r="N641" i="10"/>
  <c r="H643" i="10"/>
  <c r="T643" i="10"/>
  <c r="K644" i="10"/>
  <c r="W644" i="10"/>
  <c r="N645" i="10"/>
  <c r="H647" i="10"/>
  <c r="T647" i="10"/>
  <c r="K648" i="10"/>
  <c r="W648" i="10"/>
  <c r="N649" i="10"/>
  <c r="H651" i="10"/>
  <c r="T651" i="10"/>
  <c r="K652" i="10"/>
  <c r="W652" i="10"/>
  <c r="S656" i="10"/>
  <c r="G656" i="10"/>
  <c r="R656" i="10"/>
  <c r="F656" i="10"/>
  <c r="Q656" i="10"/>
  <c r="E656" i="10"/>
  <c r="P656" i="10"/>
  <c r="D656" i="10"/>
  <c r="W656" i="10"/>
  <c r="Q658" i="10"/>
  <c r="J660" i="10"/>
  <c r="D662" i="10"/>
  <c r="T662" i="10"/>
  <c r="M664" i="10"/>
  <c r="L665" i="10"/>
  <c r="T668" i="10"/>
  <c r="S672" i="10"/>
  <c r="G672" i="10"/>
  <c r="R672" i="10"/>
  <c r="F672" i="10"/>
  <c r="Q672" i="10"/>
  <c r="E672" i="10"/>
  <c r="P672" i="10"/>
  <c r="D672" i="10"/>
  <c r="W672" i="10"/>
  <c r="Q674" i="10"/>
  <c r="J676" i="10"/>
  <c r="D678" i="10"/>
  <c r="T678" i="10"/>
  <c r="M680" i="10"/>
  <c r="N681" i="10"/>
  <c r="I684" i="10"/>
  <c r="F686" i="10"/>
  <c r="V688" i="10"/>
  <c r="M692" i="10"/>
  <c r="N693" i="10"/>
  <c r="N697" i="10"/>
  <c r="N701" i="10"/>
  <c r="I631" i="10"/>
  <c r="U631" i="10"/>
  <c r="O633" i="10"/>
  <c r="I635" i="10"/>
  <c r="U635" i="10"/>
  <c r="O637" i="10"/>
  <c r="I639" i="10"/>
  <c r="U639" i="10"/>
  <c r="O641" i="10"/>
  <c r="I643" i="10"/>
  <c r="U643" i="10"/>
  <c r="O645" i="10"/>
  <c r="I647" i="10"/>
  <c r="U647" i="10"/>
  <c r="O649" i="10"/>
  <c r="I651" i="10"/>
  <c r="U651" i="10"/>
  <c r="V653" i="10"/>
  <c r="U653" i="10"/>
  <c r="I653" i="10"/>
  <c r="T653" i="10"/>
  <c r="S653" i="10"/>
  <c r="P653" i="10"/>
  <c r="V657" i="10"/>
  <c r="J657" i="10"/>
  <c r="U657" i="10"/>
  <c r="I657" i="10"/>
  <c r="T657" i="10"/>
  <c r="H657" i="10"/>
  <c r="S657" i="10"/>
  <c r="G657" i="10"/>
  <c r="W657" i="10"/>
  <c r="K660" i="10"/>
  <c r="E662" i="10"/>
  <c r="U662" i="10"/>
  <c r="N664" i="10"/>
  <c r="M665" i="10"/>
  <c r="U668" i="10"/>
  <c r="V673" i="10"/>
  <c r="J673" i="10"/>
  <c r="U673" i="10"/>
  <c r="I673" i="10"/>
  <c r="T673" i="10"/>
  <c r="H673" i="10"/>
  <c r="S673" i="10"/>
  <c r="G673" i="10"/>
  <c r="W673" i="10"/>
  <c r="K676" i="10"/>
  <c r="E678" i="10"/>
  <c r="U678" i="10"/>
  <c r="N680" i="10"/>
  <c r="O681" i="10"/>
  <c r="J684" i="10"/>
  <c r="G686" i="10"/>
  <c r="N690" i="10"/>
  <c r="M690" i="10"/>
  <c r="L690" i="10"/>
  <c r="W690" i="10"/>
  <c r="K690" i="10"/>
  <c r="V690" i="10"/>
  <c r="J690" i="10"/>
  <c r="T690" i="10"/>
  <c r="N692" i="10"/>
  <c r="O693" i="10"/>
  <c r="O697" i="10"/>
  <c r="O701" i="10"/>
  <c r="J631" i="10"/>
  <c r="V631" i="10"/>
  <c r="D633" i="10"/>
  <c r="P633" i="10"/>
  <c r="J635" i="10"/>
  <c r="V635" i="10"/>
  <c r="P637" i="10"/>
  <c r="J639" i="10"/>
  <c r="V639" i="10"/>
  <c r="P641" i="10"/>
  <c r="J643" i="10"/>
  <c r="V643" i="10"/>
  <c r="P645" i="10"/>
  <c r="J647" i="10"/>
  <c r="V647" i="10"/>
  <c r="P649" i="10"/>
  <c r="J651" i="10"/>
  <c r="V651" i="10"/>
  <c r="Q653" i="10"/>
  <c r="M658" i="10"/>
  <c r="L658" i="10"/>
  <c r="W658" i="10"/>
  <c r="K658" i="10"/>
  <c r="V658" i="10"/>
  <c r="J658" i="10"/>
  <c r="S658" i="10"/>
  <c r="L660" i="10"/>
  <c r="F662" i="10"/>
  <c r="O664" i="10"/>
  <c r="N665" i="10"/>
  <c r="D673" i="10"/>
  <c r="M674" i="10"/>
  <c r="L674" i="10"/>
  <c r="W674" i="10"/>
  <c r="K674" i="10"/>
  <c r="V674" i="10"/>
  <c r="J674" i="10"/>
  <c r="S674" i="10"/>
  <c r="L676" i="10"/>
  <c r="F678" i="10"/>
  <c r="O680" i="10"/>
  <c r="P681" i="10"/>
  <c r="K684" i="10"/>
  <c r="H686" i="10"/>
  <c r="W689" i="10"/>
  <c r="K689" i="10"/>
  <c r="V689" i="10"/>
  <c r="J689" i="10"/>
  <c r="U689" i="10"/>
  <c r="I689" i="10"/>
  <c r="T689" i="10"/>
  <c r="H689" i="10"/>
  <c r="S689" i="10"/>
  <c r="G689" i="10"/>
  <c r="D690" i="10"/>
  <c r="U690" i="10"/>
  <c r="O692" i="10"/>
  <c r="P693" i="10"/>
  <c r="P697" i="10"/>
  <c r="P701" i="10"/>
  <c r="K631" i="10"/>
  <c r="W631" i="10"/>
  <c r="Q633" i="10"/>
  <c r="K635" i="10"/>
  <c r="W635" i="10"/>
  <c r="K639" i="10"/>
  <c r="W639" i="10"/>
  <c r="Q641" i="10"/>
  <c r="K643" i="10"/>
  <c r="W643" i="10"/>
  <c r="Q645" i="10"/>
  <c r="K647" i="10"/>
  <c r="W647" i="10"/>
  <c r="E649" i="10"/>
  <c r="Q649" i="10"/>
  <c r="K651" i="10"/>
  <c r="W651" i="10"/>
  <c r="E653" i="10"/>
  <c r="R653" i="10"/>
  <c r="E657" i="10"/>
  <c r="D658" i="10"/>
  <c r="T658" i="10"/>
  <c r="M660" i="10"/>
  <c r="G662" i="10"/>
  <c r="T664" i="10"/>
  <c r="O665" i="10"/>
  <c r="S668" i="10"/>
  <c r="G668" i="10"/>
  <c r="R668" i="10"/>
  <c r="F668" i="10"/>
  <c r="Q668" i="10"/>
  <c r="E668" i="10"/>
  <c r="P668" i="10"/>
  <c r="D668" i="10"/>
  <c r="W668" i="10"/>
  <c r="E673" i="10"/>
  <c r="D674" i="10"/>
  <c r="T674" i="10"/>
  <c r="M676" i="10"/>
  <c r="G678" i="10"/>
  <c r="U680" i="10"/>
  <c r="Q681" i="10"/>
  <c r="L684" i="10"/>
  <c r="I686" i="10"/>
  <c r="T688" i="10"/>
  <c r="H688" i="10"/>
  <c r="S688" i="10"/>
  <c r="G688" i="10"/>
  <c r="R688" i="10"/>
  <c r="F688" i="10"/>
  <c r="Q688" i="10"/>
  <c r="E688" i="10"/>
  <c r="P688" i="10"/>
  <c r="D688" i="10"/>
  <c r="D689" i="10"/>
  <c r="E690" i="10"/>
  <c r="U692" i="10"/>
  <c r="Q693" i="10"/>
  <c r="Q697" i="10"/>
  <c r="Q701" i="10"/>
  <c r="F633" i="10"/>
  <c r="F637" i="10"/>
  <c r="F641" i="10"/>
  <c r="F645" i="10"/>
  <c r="F649" i="10"/>
  <c r="F653" i="10"/>
  <c r="W653" i="10"/>
  <c r="K656" i="10"/>
  <c r="F657" i="10"/>
  <c r="E658" i="10"/>
  <c r="U658" i="10"/>
  <c r="N660" i="10"/>
  <c r="H662" i="10"/>
  <c r="U664" i="10"/>
  <c r="P665" i="10"/>
  <c r="H668" i="10"/>
  <c r="V669" i="10"/>
  <c r="J669" i="10"/>
  <c r="U669" i="10"/>
  <c r="I669" i="10"/>
  <c r="T669" i="10"/>
  <c r="H669" i="10"/>
  <c r="S669" i="10"/>
  <c r="G669" i="10"/>
  <c r="W669" i="10"/>
  <c r="K672" i="10"/>
  <c r="F673" i="10"/>
  <c r="E674" i="10"/>
  <c r="U674" i="10"/>
  <c r="N676" i="10"/>
  <c r="H678" i="10"/>
  <c r="V680" i="10"/>
  <c r="R681" i="10"/>
  <c r="M684" i="10"/>
  <c r="O686" i="10"/>
  <c r="I688" i="10"/>
  <c r="E689" i="10"/>
  <c r="F690" i="10"/>
  <c r="V692" i="10"/>
  <c r="R693" i="10"/>
  <c r="R697" i="10"/>
  <c r="R701" i="10"/>
  <c r="O698" i="10"/>
  <c r="M655" i="10"/>
  <c r="M659" i="10"/>
  <c r="M663" i="10"/>
  <c r="M667" i="10"/>
  <c r="M671" i="10"/>
  <c r="M675" i="10"/>
  <c r="M679" i="10"/>
  <c r="M683" i="10"/>
  <c r="M687" i="10"/>
  <c r="M691" i="10"/>
  <c r="M695" i="10"/>
  <c r="J698" i="10"/>
  <c r="V698" i="10"/>
  <c r="M699" i="10"/>
  <c r="N655" i="10"/>
  <c r="N659" i="10"/>
  <c r="N663" i="10"/>
  <c r="N667" i="10"/>
  <c r="N671" i="10"/>
  <c r="N675" i="10"/>
  <c r="N679" i="10"/>
  <c r="N683" i="10"/>
  <c r="N687" i="10"/>
  <c r="N691" i="10"/>
  <c r="N695" i="10"/>
  <c r="K698" i="10"/>
  <c r="W698" i="10"/>
  <c r="N699" i="10"/>
  <c r="O655" i="10"/>
  <c r="O659" i="10"/>
  <c r="O663" i="10"/>
  <c r="O667" i="10"/>
  <c r="O671" i="10"/>
  <c r="O675" i="10"/>
  <c r="O679" i="10"/>
  <c r="O683" i="10"/>
  <c r="O687" i="10"/>
  <c r="O691" i="10"/>
  <c r="O695" i="10"/>
  <c r="L698" i="10"/>
  <c r="O699" i="10"/>
  <c r="D655" i="10"/>
  <c r="D659" i="10"/>
  <c r="D663" i="10"/>
  <c r="D667" i="10"/>
  <c r="D671" i="10"/>
  <c r="D675" i="10"/>
  <c r="D679" i="10"/>
  <c r="D683" i="10"/>
  <c r="D687" i="10"/>
  <c r="D691" i="10"/>
  <c r="D695" i="10"/>
  <c r="M698" i="10"/>
  <c r="D699" i="10"/>
  <c r="W498" i="11" l="1"/>
  <c r="W517" i="11"/>
  <c r="AB517" i="11" s="1"/>
  <c r="W69" i="11"/>
  <c r="W60" i="11"/>
  <c r="W543" i="11"/>
  <c r="W449" i="11"/>
  <c r="W9" i="11"/>
  <c r="W81" i="11"/>
  <c r="W470" i="11"/>
  <c r="W396" i="11"/>
  <c r="W624" i="11"/>
  <c r="AB624" i="11" s="1"/>
  <c r="W696" i="11"/>
  <c r="Y696" i="11" s="1"/>
  <c r="AA696" i="11" s="1"/>
  <c r="W490" i="11"/>
  <c r="AB490" i="11" s="1"/>
  <c r="AD490" i="11" s="1"/>
  <c r="W183" i="11"/>
  <c r="AB183" i="11" s="1"/>
  <c r="AD183" i="11" s="1"/>
  <c r="W663" i="11"/>
  <c r="W96" i="11"/>
  <c r="W50" i="11"/>
  <c r="W596" i="11"/>
  <c r="W64" i="11"/>
  <c r="W209" i="11"/>
  <c r="W702" i="11"/>
  <c r="W123" i="11"/>
  <c r="W637" i="11"/>
  <c r="W501" i="11"/>
  <c r="X501" i="11" s="1"/>
  <c r="W701" i="11"/>
  <c r="AB701" i="11" s="1"/>
  <c r="W689" i="11"/>
  <c r="AB689" i="11" s="1"/>
  <c r="W505" i="11"/>
  <c r="W530" i="11"/>
  <c r="W536" i="11"/>
  <c r="W279" i="11"/>
  <c r="W468" i="11"/>
  <c r="W694" i="11"/>
  <c r="W568" i="11"/>
  <c r="W142" i="11"/>
  <c r="W651" i="11"/>
  <c r="AB651" i="11" s="1"/>
  <c r="W59" i="11"/>
  <c r="AB59" i="11" s="1"/>
  <c r="AD59" i="11" s="1"/>
  <c r="W18" i="11"/>
  <c r="AB18" i="11" s="1"/>
  <c r="AD18" i="11" s="1"/>
  <c r="W235" i="11"/>
  <c r="Y235" i="11" s="1"/>
  <c r="AA235" i="11" s="1"/>
  <c r="W510" i="11"/>
  <c r="W445" i="11"/>
  <c r="W603" i="11"/>
  <c r="W680" i="11"/>
  <c r="W522" i="11"/>
  <c r="W32" i="11"/>
  <c r="W23" i="11"/>
  <c r="W214" i="11"/>
  <c r="W241" i="11"/>
  <c r="X241" i="11" s="1"/>
  <c r="W538" i="11"/>
  <c r="X538" i="11" s="1"/>
  <c r="W463" i="11"/>
  <c r="Y463" i="11" s="1"/>
  <c r="W641" i="11"/>
  <c r="X641" i="11" s="1"/>
  <c r="W466" i="11"/>
  <c r="W615" i="11"/>
  <c r="W634" i="11"/>
  <c r="W388" i="11"/>
  <c r="W103" i="11"/>
  <c r="W654" i="11"/>
  <c r="W478" i="11"/>
  <c r="W620" i="11"/>
  <c r="W692" i="11"/>
  <c r="X692" i="11" s="1"/>
  <c r="W683" i="11"/>
  <c r="AB683" i="11" s="1"/>
  <c r="W480" i="11"/>
  <c r="AB480" i="11" s="1"/>
  <c r="AD480" i="11" s="1"/>
  <c r="W621" i="11"/>
  <c r="AB621" i="11" s="1"/>
  <c r="W105" i="11"/>
  <c r="W45" i="11"/>
  <c r="W581" i="11"/>
  <c r="W551" i="11"/>
  <c r="W563" i="11"/>
  <c r="W491" i="11"/>
  <c r="W627" i="11"/>
  <c r="W74" i="11"/>
  <c r="W472" i="11"/>
  <c r="X472" i="11" s="1"/>
  <c r="W51" i="11"/>
  <c r="X51" i="11" s="1"/>
  <c r="W196" i="11"/>
  <c r="AB196" i="11" s="1"/>
  <c r="AD196" i="11" s="1"/>
  <c r="W417" i="11"/>
  <c r="AB417" i="11" s="1"/>
  <c r="AD417" i="11" s="1"/>
  <c r="W11" i="11"/>
  <c r="W115" i="11"/>
  <c r="W419" i="11"/>
  <c r="W673" i="11"/>
  <c r="W573" i="11"/>
  <c r="W633" i="11"/>
  <c r="W705" i="11"/>
  <c r="W594" i="11"/>
  <c r="W458" i="11"/>
  <c r="X458" i="11" s="1"/>
  <c r="W57" i="11"/>
  <c r="Y57" i="11" s="1"/>
  <c r="AA57" i="11" s="1"/>
  <c r="W130" i="11"/>
  <c r="AB130" i="11" s="1"/>
  <c r="AD130" i="11" s="1"/>
  <c r="W34" i="11"/>
  <c r="Y34" i="11" s="1"/>
  <c r="AA34" i="11" s="1"/>
  <c r="W17" i="11"/>
  <c r="W89" i="11"/>
  <c r="W48" i="11"/>
  <c r="W121" i="11"/>
  <c r="W444" i="11"/>
  <c r="W602" i="11"/>
  <c r="W16" i="11"/>
  <c r="W233" i="11"/>
  <c r="W477" i="11"/>
  <c r="W175" i="11"/>
  <c r="W524" i="11"/>
  <c r="X524" i="11" s="1"/>
  <c r="W109" i="11"/>
  <c r="Y109" i="11" s="1"/>
  <c r="AA109" i="11" s="1"/>
  <c r="W225" i="11"/>
  <c r="W569" i="11"/>
  <c r="W526" i="11"/>
  <c r="W56" i="11"/>
  <c r="W534" i="11"/>
  <c r="X534" i="11" s="1"/>
  <c r="W646" i="11"/>
  <c r="X646" i="11" s="1"/>
  <c r="W572" i="11"/>
  <c r="W521" i="11"/>
  <c r="W638" i="11"/>
  <c r="Y638" i="11" s="1"/>
  <c r="AA638" i="11" s="1"/>
  <c r="W523" i="11"/>
  <c r="Y523" i="11" s="1"/>
  <c r="AA523" i="11" s="1"/>
  <c r="W555" i="11"/>
  <c r="AB555" i="11" s="1"/>
  <c r="W704" i="11"/>
  <c r="X704" i="11" s="1"/>
  <c r="W40" i="11"/>
  <c r="W61" i="11"/>
  <c r="W487" i="11"/>
  <c r="W671" i="11"/>
  <c r="W582" i="11"/>
  <c r="Y582" i="11" s="1"/>
  <c r="AA582" i="11" s="1"/>
  <c r="W531" i="11"/>
  <c r="AB531" i="11" s="1"/>
  <c r="W547" i="11"/>
  <c r="W67" i="11"/>
  <c r="W140" i="11"/>
  <c r="X140" i="11" s="1"/>
  <c r="W610" i="11"/>
  <c r="W684" i="11"/>
  <c r="Y684" i="11" s="1"/>
  <c r="W695" i="11"/>
  <c r="AB695" i="11" s="1"/>
  <c r="W650" i="11"/>
  <c r="W135" i="11"/>
  <c r="W431" i="11"/>
  <c r="W629" i="11"/>
  <c r="W52" i="11"/>
  <c r="AB52" i="11" s="1"/>
  <c r="AD52" i="11" s="1"/>
  <c r="W66" i="11"/>
  <c r="Y66" i="11" s="1"/>
  <c r="AA66" i="11" s="1"/>
  <c r="W508" i="11"/>
  <c r="W656" i="11"/>
  <c r="W554" i="11"/>
  <c r="X554" i="11" s="1"/>
  <c r="W647" i="11"/>
  <c r="X647" i="11" s="1"/>
  <c r="W623" i="11"/>
  <c r="X623" i="11" s="1"/>
  <c r="W72" i="11"/>
  <c r="AB72" i="11" s="1"/>
  <c r="AD72" i="11" s="1"/>
  <c r="W497" i="11"/>
  <c r="W606" i="11"/>
  <c r="W653" i="11"/>
  <c r="W15" i="11"/>
  <c r="W87" i="11"/>
  <c r="Y87" i="11" s="1"/>
  <c r="AA87" i="11" s="1"/>
  <c r="W476" i="11"/>
  <c r="AB476" i="11" s="1"/>
  <c r="AD476" i="11" s="1"/>
  <c r="W453" i="11"/>
  <c r="W13" i="11"/>
  <c r="W158" i="11"/>
  <c r="AB158" i="11" s="1"/>
  <c r="W539" i="11"/>
  <c r="AB539" i="11" s="1"/>
  <c r="W519" i="11"/>
  <c r="AB519" i="11" s="1"/>
  <c r="W608" i="11"/>
  <c r="Y608" i="11" s="1"/>
  <c r="AA608" i="11" s="1"/>
  <c r="W574" i="11"/>
  <c r="W669" i="11"/>
  <c r="W597" i="11"/>
  <c r="W616" i="11"/>
  <c r="W482" i="11"/>
  <c r="AB482" i="11" s="1"/>
  <c r="AD482" i="11" s="1"/>
  <c r="W12" i="11"/>
  <c r="Y12" i="11" s="1"/>
  <c r="AA12" i="11" s="1"/>
  <c r="W19" i="11"/>
  <c r="W92" i="11"/>
  <c r="W549" i="11"/>
  <c r="Y549" i="11" s="1"/>
  <c r="AA549" i="11" s="1"/>
  <c r="W159" i="11"/>
  <c r="Y159" i="11" s="1"/>
  <c r="AA159" i="11" s="1"/>
  <c r="W595" i="11"/>
  <c r="Y595" i="11" s="1"/>
  <c r="AA595" i="11" s="1"/>
  <c r="W675" i="11"/>
  <c r="AB675" i="11" s="1"/>
  <c r="W622" i="11"/>
  <c r="W632" i="11"/>
  <c r="W465" i="11"/>
  <c r="W132" i="11"/>
  <c r="W204" i="11"/>
  <c r="AB204" i="11" s="1"/>
  <c r="AD204" i="11" s="1"/>
  <c r="W90" i="11"/>
  <c r="Y90" i="11" s="1"/>
  <c r="AA90" i="11" s="1"/>
  <c r="W98" i="11"/>
  <c r="W170" i="11"/>
  <c r="W560" i="11"/>
  <c r="AB560" i="11" s="1"/>
  <c r="W649" i="11"/>
  <c r="X649" i="11" s="1"/>
  <c r="W587" i="11"/>
  <c r="X587" i="11" s="1"/>
  <c r="W617" i="11"/>
  <c r="X617" i="11" s="1"/>
  <c r="W448" i="11"/>
  <c r="W666" i="11"/>
  <c r="W82" i="11"/>
  <c r="W24" i="11"/>
  <c r="W550" i="11"/>
  <c r="AB550" i="11" s="1"/>
  <c r="W655" i="11"/>
  <c r="Y655" i="11" s="1"/>
  <c r="AA655" i="11" s="1"/>
  <c r="W614" i="11"/>
  <c r="W687" i="11"/>
  <c r="W513" i="11"/>
  <c r="AB513" i="11" s="1"/>
  <c r="W504" i="11"/>
  <c r="AB504" i="11" s="1"/>
  <c r="AD504" i="11" s="1"/>
  <c r="W706" i="11"/>
  <c r="X706" i="11" s="1"/>
  <c r="W484" i="11"/>
  <c r="X484" i="11" s="1"/>
  <c r="W479" i="11"/>
  <c r="W234" i="11"/>
  <c r="W265" i="11"/>
  <c r="W263" i="11"/>
  <c r="W210" i="11"/>
  <c r="X210" i="11" s="1"/>
  <c r="W218" i="11"/>
  <c r="X218" i="11" s="1"/>
  <c r="W469" i="11"/>
  <c r="W471" i="11"/>
  <c r="W461" i="11"/>
  <c r="AB461" i="11" s="1"/>
  <c r="AD461" i="11" s="1"/>
  <c r="W138" i="11"/>
  <c r="W176" i="11"/>
  <c r="AB176" i="11" s="1"/>
  <c r="W144" i="11"/>
  <c r="AB144" i="11" s="1"/>
  <c r="AD144" i="11" s="1"/>
  <c r="W165" i="11"/>
  <c r="W211" i="11"/>
  <c r="W203" i="11"/>
  <c r="W229" i="11"/>
  <c r="W248" i="11"/>
  <c r="AB248" i="11" s="1"/>
  <c r="W231" i="11"/>
  <c r="X231" i="11" s="1"/>
  <c r="W251" i="11"/>
  <c r="W223" i="11"/>
  <c r="W451" i="11"/>
  <c r="W452" i="11"/>
  <c r="AB452" i="11" s="1"/>
  <c r="AD452" i="11" s="1"/>
  <c r="W450" i="11"/>
  <c r="X450" i="11" s="1"/>
  <c r="W268" i="11"/>
  <c r="AB268" i="11" s="1"/>
  <c r="W418" i="11"/>
  <c r="W262" i="11"/>
  <c r="AB262" i="11" s="1"/>
  <c r="W260" i="11"/>
  <c r="AB260" i="11" s="1"/>
  <c r="W440" i="11"/>
  <c r="W436" i="11"/>
  <c r="Y436" i="11" s="1"/>
  <c r="AA436" i="11" s="1"/>
  <c r="W269" i="11"/>
  <c r="AB269" i="11" s="1"/>
  <c r="W405" i="11"/>
  <c r="AB405" i="11" s="1"/>
  <c r="W386" i="11"/>
  <c r="W433" i="11"/>
  <c r="AB433" i="11" s="1"/>
  <c r="AD433" i="11" s="1"/>
  <c r="W425" i="11"/>
  <c r="Y425" i="11" s="1"/>
  <c r="W414" i="11"/>
  <c r="AB414" i="11" s="1"/>
  <c r="AD414" i="11" s="1"/>
  <c r="W439" i="11"/>
  <c r="X439" i="11" s="1"/>
  <c r="W398" i="11"/>
  <c r="X398" i="11" s="1"/>
  <c r="W273" i="11"/>
  <c r="AB273" i="11" s="1"/>
  <c r="W410" i="11"/>
  <c r="W391" i="11"/>
  <c r="Y391" i="11" s="1"/>
  <c r="AA391" i="11" s="1"/>
  <c r="W422" i="11"/>
  <c r="AB422" i="11" s="1"/>
  <c r="AD422" i="11" s="1"/>
  <c r="W420" i="11"/>
  <c r="X420" i="11" s="1"/>
  <c r="W394" i="11"/>
  <c r="AB394" i="11" s="1"/>
  <c r="W395" i="11"/>
  <c r="Y395" i="11" s="1"/>
  <c r="AA395" i="11" s="1"/>
  <c r="W217" i="11"/>
  <c r="X217" i="11" s="1"/>
  <c r="W232" i="11"/>
  <c r="X232" i="11" s="1"/>
  <c r="W242" i="11"/>
  <c r="AB242" i="11" s="1"/>
  <c r="W240" i="11"/>
  <c r="AB240" i="11" s="1"/>
  <c r="W278" i="11"/>
  <c r="AB278" i="11" s="1"/>
  <c r="W156" i="11"/>
  <c r="W177" i="11"/>
  <c r="AB177" i="11" s="1"/>
  <c r="W179" i="11"/>
  <c r="W162" i="11"/>
  <c r="AB162" i="11" s="1"/>
  <c r="AD162" i="11" s="1"/>
  <c r="W139" i="11"/>
  <c r="Y139" i="11" s="1"/>
  <c r="AA139" i="11" s="1"/>
  <c r="W171" i="11"/>
  <c r="AB171" i="11" s="1"/>
  <c r="W131" i="11"/>
  <c r="W145" i="11"/>
  <c r="AB145" i="11" s="1"/>
  <c r="AD145" i="11" s="1"/>
  <c r="W160" i="11"/>
  <c r="X160" i="11" s="1"/>
  <c r="W409" i="11"/>
  <c r="X409" i="11" s="1"/>
  <c r="W412" i="11"/>
  <c r="X412" i="11" s="1"/>
  <c r="W228" i="11"/>
  <c r="AB228" i="11" s="1"/>
  <c r="W134" i="11"/>
  <c r="W206" i="11"/>
  <c r="X206" i="11" s="1"/>
  <c r="W133" i="11"/>
  <c r="W205" i="11"/>
  <c r="AB205" i="11" s="1"/>
  <c r="AD205" i="11" s="1"/>
  <c r="W277" i="11"/>
  <c r="X277" i="11" s="1"/>
  <c r="W212" i="11"/>
  <c r="W154" i="11"/>
  <c r="W226" i="11"/>
  <c r="AB226" i="11" s="1"/>
  <c r="W221" i="11"/>
  <c r="X221" i="11" s="1"/>
  <c r="W276" i="11"/>
  <c r="AB276" i="11" s="1"/>
  <c r="W195" i="11"/>
  <c r="Y195" i="11" s="1"/>
  <c r="AA195" i="11" s="1"/>
  <c r="W227" i="11"/>
  <c r="X227" i="11" s="1"/>
  <c r="W169" i="11"/>
  <c r="W383" i="11"/>
  <c r="AB383" i="11" s="1"/>
  <c r="W404" i="11"/>
  <c r="AB404" i="11" s="1"/>
  <c r="W402" i="11"/>
  <c r="AB402" i="11" s="1"/>
  <c r="W408" i="11"/>
  <c r="AB408" i="11" s="1"/>
  <c r="AD408" i="11" s="1"/>
  <c r="W393" i="11"/>
  <c r="AB393" i="11" s="1"/>
  <c r="W399" i="11"/>
  <c r="AB399" i="11" s="1"/>
  <c r="W411" i="11"/>
  <c r="X411" i="11" s="1"/>
  <c r="W397" i="11"/>
  <c r="Y397" i="11" s="1"/>
  <c r="AA397" i="11" s="1"/>
  <c r="W421" i="11"/>
  <c r="AB421" i="11" s="1"/>
  <c r="AD421" i="11" s="1"/>
  <c r="W389" i="11"/>
  <c r="AB389" i="11" s="1"/>
  <c r="W403" i="11"/>
  <c r="X403" i="11" s="1"/>
  <c r="W146" i="11"/>
  <c r="W202" i="11"/>
  <c r="AB202" i="11" s="1"/>
  <c r="AD202" i="11" s="1"/>
  <c r="W193" i="11"/>
  <c r="W272" i="11"/>
  <c r="AB272" i="11" s="1"/>
  <c r="W168" i="11"/>
  <c r="Y168" i="11" s="1"/>
  <c r="AA168" i="11" s="1"/>
  <c r="W387" i="11"/>
  <c r="Y387" i="11" s="1"/>
  <c r="AA387" i="11" s="1"/>
  <c r="W459" i="11"/>
  <c r="AB459" i="11" s="1"/>
  <c r="AD459" i="11" s="1"/>
  <c r="W643" i="11"/>
  <c r="Y643" i="11" s="1"/>
  <c r="AA643" i="11" s="1"/>
  <c r="W500" i="11"/>
  <c r="X500" i="11" s="1"/>
  <c r="W528" i="11"/>
  <c r="Y528" i="11" s="1"/>
  <c r="AA528" i="11" s="1"/>
  <c r="W642" i="11"/>
  <c r="AB642" i="11" s="1"/>
  <c r="W605" i="11"/>
  <c r="W681" i="11"/>
  <c r="W415" i="11"/>
  <c r="W589" i="11"/>
  <c r="W155" i="11"/>
  <c r="AB155" i="11" s="1"/>
  <c r="AD155" i="11" s="1"/>
  <c r="W686" i="11"/>
  <c r="X686" i="11" s="1"/>
  <c r="W532" i="11"/>
  <c r="W254" i="11"/>
  <c r="AB254" i="11" s="1"/>
  <c r="W609" i="11"/>
  <c r="AB609" i="11" s="1"/>
  <c r="W5" i="11"/>
  <c r="AB5" i="11" s="1"/>
  <c r="AD5" i="11" s="1"/>
  <c r="W77" i="11"/>
  <c r="X77" i="11" s="1"/>
  <c r="W150" i="11"/>
  <c r="X150" i="11" s="1"/>
  <c r="W222" i="11"/>
  <c r="AB222" i="11" s="1"/>
  <c r="W489" i="11"/>
  <c r="W626" i="11"/>
  <c r="W698" i="11"/>
  <c r="W707" i="11"/>
  <c r="Y707" i="11" s="1"/>
  <c r="AA707" i="11" s="1"/>
  <c r="W141" i="11"/>
  <c r="AB141" i="11" s="1"/>
  <c r="W101" i="11"/>
  <c r="W49" i="11"/>
  <c r="W122" i="11"/>
  <c r="X122" i="11" s="1"/>
  <c r="W194" i="11"/>
  <c r="Y194" i="11" s="1"/>
  <c r="AA194" i="11" s="1"/>
  <c r="W266" i="11"/>
  <c r="AB266" i="11" s="1"/>
  <c r="W438" i="11"/>
  <c r="AB438" i="11" s="1"/>
  <c r="AD438" i="11" s="1"/>
  <c r="W261" i="11"/>
  <c r="Y261" i="11" s="1"/>
  <c r="AA261" i="11" s="1"/>
  <c r="W598" i="11"/>
  <c r="W511" i="11"/>
  <c r="W545" i="11"/>
  <c r="W590" i="11"/>
  <c r="X590" i="11" s="1"/>
  <c r="W672" i="11"/>
  <c r="AB672" i="11" s="1"/>
  <c r="W474" i="11"/>
  <c r="W515" i="11"/>
  <c r="W635" i="11"/>
  <c r="AB635" i="11" s="1"/>
  <c r="W63" i="11"/>
  <c r="X63" i="11" s="1"/>
  <c r="W136" i="11"/>
  <c r="X136" i="11" s="1"/>
  <c r="W208" i="11"/>
  <c r="AB208" i="11" s="1"/>
  <c r="W280" i="11"/>
  <c r="AB280" i="11" s="1"/>
  <c r="W54" i="11"/>
  <c r="W127" i="11"/>
  <c r="W199" i="11"/>
  <c r="W271" i="11"/>
  <c r="AB271" i="11" s="1"/>
  <c r="W460" i="11"/>
  <c r="X460" i="11" s="1"/>
  <c r="W664" i="11"/>
  <c r="W29" i="11"/>
  <c r="W102" i="11"/>
  <c r="AB102" i="11" s="1"/>
  <c r="AD102" i="11" s="1"/>
  <c r="W174" i="11"/>
  <c r="X174" i="11" s="1"/>
  <c r="W246" i="11"/>
  <c r="AB246" i="11" s="1"/>
  <c r="W384" i="11"/>
  <c r="X384" i="11" s="1"/>
  <c r="W592" i="11"/>
  <c r="W604" i="11"/>
  <c r="W75" i="11"/>
  <c r="W148" i="11"/>
  <c r="W220" i="11"/>
  <c r="AB220" i="11" s="1"/>
  <c r="W392" i="11"/>
  <c r="AB392" i="11" s="1"/>
  <c r="W464" i="11"/>
  <c r="W424" i="11"/>
  <c r="AB424" i="11" s="1"/>
  <c r="AD424" i="11" s="1"/>
  <c r="W499" i="11"/>
  <c r="AB499" i="11" s="1"/>
  <c r="AD499" i="11" s="1"/>
  <c r="W443" i="11"/>
  <c r="X443" i="11" s="1"/>
  <c r="W275" i="11"/>
  <c r="AB275" i="11" s="1"/>
  <c r="W447" i="11"/>
  <c r="AB447" i="11" s="1"/>
  <c r="AD447" i="11" s="1"/>
  <c r="W430" i="11"/>
  <c r="AB430" i="11" s="1"/>
  <c r="AD430" i="11" s="1"/>
  <c r="W7" i="11"/>
  <c r="W79" i="11"/>
  <c r="W152" i="11"/>
  <c r="W224" i="11"/>
  <c r="AB224" i="11" s="1"/>
  <c r="W8" i="11"/>
  <c r="AB8" i="11" s="1"/>
  <c r="AD8" i="11" s="1"/>
  <c r="W529" i="11"/>
  <c r="W631" i="11"/>
  <c r="W703" i="11"/>
  <c r="AB703" i="11" s="1"/>
  <c r="W207" i="11"/>
  <c r="X207" i="11" s="1"/>
  <c r="AB51" i="11"/>
  <c r="AD51" i="11" s="1"/>
  <c r="Y51" i="11"/>
  <c r="AA51" i="11" s="1"/>
  <c r="AB124" i="11"/>
  <c r="AD124" i="11" s="1"/>
  <c r="Y124" i="11"/>
  <c r="AB440" i="11"/>
  <c r="AD440" i="11" s="1"/>
  <c r="Y440" i="11"/>
  <c r="AA440" i="11" s="1"/>
  <c r="AB28" i="11"/>
  <c r="AD28" i="11" s="1"/>
  <c r="Y28" i="11"/>
  <c r="AA28" i="11" s="1"/>
  <c r="AB101" i="11"/>
  <c r="AD101" i="11" s="1"/>
  <c r="Y101" i="11"/>
  <c r="AA101" i="11" s="1"/>
  <c r="AB173" i="11"/>
  <c r="Y173" i="11"/>
  <c r="AB245" i="11"/>
  <c r="Y245" i="11"/>
  <c r="AB11" i="11"/>
  <c r="AD11" i="11" s="1"/>
  <c r="Y11" i="11"/>
  <c r="AA11" i="11" s="1"/>
  <c r="AB83" i="11"/>
  <c r="AD83" i="11" s="1"/>
  <c r="Y83" i="11"/>
  <c r="AA83" i="11" s="1"/>
  <c r="AB156" i="11"/>
  <c r="AD156" i="11" s="1"/>
  <c r="Y156" i="11"/>
  <c r="AA156" i="11" s="1"/>
  <c r="AB42" i="11"/>
  <c r="AD42" i="11" s="1"/>
  <c r="Y42" i="11"/>
  <c r="AB115" i="11"/>
  <c r="AD115" i="11" s="1"/>
  <c r="Y115" i="11"/>
  <c r="AA115" i="11" s="1"/>
  <c r="AB187" i="11"/>
  <c r="Y187" i="11"/>
  <c r="AA187" i="11" s="1"/>
  <c r="AB259" i="11"/>
  <c r="Y259" i="11"/>
  <c r="AA259" i="11" s="1"/>
  <c r="AB49" i="11"/>
  <c r="AD49" i="11" s="1"/>
  <c r="Y49" i="11"/>
  <c r="AA49" i="11" s="1"/>
  <c r="AB122" i="11"/>
  <c r="AD122" i="11" s="1"/>
  <c r="Y122" i="11"/>
  <c r="AA122" i="11" s="1"/>
  <c r="AB579" i="11"/>
  <c r="Y579" i="11"/>
  <c r="AB666" i="11"/>
  <c r="Y666" i="11"/>
  <c r="AB419" i="11"/>
  <c r="AD419" i="11" s="1"/>
  <c r="Y419" i="11"/>
  <c r="AB611" i="11"/>
  <c r="Y611" i="11"/>
  <c r="AA611" i="11" s="1"/>
  <c r="AB591" i="11"/>
  <c r="Y591" i="11"/>
  <c r="AA591" i="11" s="1"/>
  <c r="AB673" i="11"/>
  <c r="Y673" i="11"/>
  <c r="AB598" i="11"/>
  <c r="Y598" i="11"/>
  <c r="AB561" i="11"/>
  <c r="Y561" i="11"/>
  <c r="AB93" i="11"/>
  <c r="AD93" i="11" s="1"/>
  <c r="Y93" i="11"/>
  <c r="AA93" i="11" s="1"/>
  <c r="Y511" i="11"/>
  <c r="AB511" i="11"/>
  <c r="AB632" i="11"/>
  <c r="Y632" i="11"/>
  <c r="AA632" i="11" s="1"/>
  <c r="Y704" i="11"/>
  <c r="AA704" i="11" s="1"/>
  <c r="AB573" i="11"/>
  <c r="Y573" i="11"/>
  <c r="Y26" i="11"/>
  <c r="AB26" i="11"/>
  <c r="AD26" i="11" s="1"/>
  <c r="AB502" i="11"/>
  <c r="AD502" i="11" s="1"/>
  <c r="Y502" i="11"/>
  <c r="AA502" i="11" s="1"/>
  <c r="AB633" i="11"/>
  <c r="Y633" i="11"/>
  <c r="AA633" i="11" s="1"/>
  <c r="AB705" i="11"/>
  <c r="Y705" i="11"/>
  <c r="AA705" i="11" s="1"/>
  <c r="AB544" i="11"/>
  <c r="Y544" i="11"/>
  <c r="AA544" i="11" s="1"/>
  <c r="Y177" i="11"/>
  <c r="AB545" i="11"/>
  <c r="Y545" i="11"/>
  <c r="AB652" i="11"/>
  <c r="Y652" i="11"/>
  <c r="AA652" i="11" s="1"/>
  <c r="AB454" i="11"/>
  <c r="AD454" i="11" s="1"/>
  <c r="Y454" i="11"/>
  <c r="AB485" i="11"/>
  <c r="AD485" i="11" s="1"/>
  <c r="Y485" i="11"/>
  <c r="AA485" i="11" s="1"/>
  <c r="AB556" i="11"/>
  <c r="Y556" i="11"/>
  <c r="AA556" i="11" s="1"/>
  <c r="AB57" i="11"/>
  <c r="AD57" i="11" s="1"/>
  <c r="AB274" i="11"/>
  <c r="Y274" i="11"/>
  <c r="AA274" i="11" s="1"/>
  <c r="AB446" i="11"/>
  <c r="AD446" i="11" s="1"/>
  <c r="Y446" i="11"/>
  <c r="AB107" i="11"/>
  <c r="AD107" i="11" s="1"/>
  <c r="Y107" i="11"/>
  <c r="AA107" i="11" s="1"/>
  <c r="AB179" i="11"/>
  <c r="Y179" i="11"/>
  <c r="AB251" i="11"/>
  <c r="Y251" i="11"/>
  <c r="AA251" i="11" s="1"/>
  <c r="AB17" i="11"/>
  <c r="AD17" i="11" s="1"/>
  <c r="Y17" i="11"/>
  <c r="AA17" i="11" s="1"/>
  <c r="AB89" i="11"/>
  <c r="AD89" i="11" s="1"/>
  <c r="Y89" i="11"/>
  <c r="AA89" i="11" s="1"/>
  <c r="AB234" i="11"/>
  <c r="Y234" i="11"/>
  <c r="AA234" i="11" s="1"/>
  <c r="AB48" i="11"/>
  <c r="AD48" i="11" s="1"/>
  <c r="Y48" i="11"/>
  <c r="AA48" i="11" s="1"/>
  <c r="AB121" i="11"/>
  <c r="AD121" i="11" s="1"/>
  <c r="Y121" i="11"/>
  <c r="AA121" i="11" s="1"/>
  <c r="AB193" i="11"/>
  <c r="AD193" i="11" s="1"/>
  <c r="Y193" i="11"/>
  <c r="AA193" i="11" s="1"/>
  <c r="AB265" i="11"/>
  <c r="Y265" i="11"/>
  <c r="AA265" i="11" s="1"/>
  <c r="AB444" i="11"/>
  <c r="AD444" i="11" s="1"/>
  <c r="Y444" i="11"/>
  <c r="AB474" i="11"/>
  <c r="AD474" i="11" s="1"/>
  <c r="Y474" i="11"/>
  <c r="AA474" i="11" s="1"/>
  <c r="AB515" i="11"/>
  <c r="Y515" i="11"/>
  <c r="AA515" i="11" s="1"/>
  <c r="AB442" i="11"/>
  <c r="AD442" i="11" s="1"/>
  <c r="Y442" i="11"/>
  <c r="AB602" i="11"/>
  <c r="Y602" i="11"/>
  <c r="Y572" i="11"/>
  <c r="AB572" i="11"/>
  <c r="AB521" i="11"/>
  <c r="Y521" i="11"/>
  <c r="AA521" i="11" s="1"/>
  <c r="AB638" i="11"/>
  <c r="AB436" i="11"/>
  <c r="AD436" i="11" s="1"/>
  <c r="Y584" i="11"/>
  <c r="AB584" i="11"/>
  <c r="AB639" i="11"/>
  <c r="Y639" i="11"/>
  <c r="AA639" i="11" s="1"/>
  <c r="AB565" i="11"/>
  <c r="Y565" i="11"/>
  <c r="AA565" i="11" s="1"/>
  <c r="Y555" i="11"/>
  <c r="AA555" i="11" s="1"/>
  <c r="AB658" i="11"/>
  <c r="Y658" i="11"/>
  <c r="AB495" i="11"/>
  <c r="AD495" i="11" s="1"/>
  <c r="Y495" i="11"/>
  <c r="AA495" i="11" s="1"/>
  <c r="Y219" i="11"/>
  <c r="AA219" i="11" s="1"/>
  <c r="AB219" i="11"/>
  <c r="AB40" i="11"/>
  <c r="AD40" i="11" s="1"/>
  <c r="Y40" i="11"/>
  <c r="AA40" i="11" s="1"/>
  <c r="AB185" i="11"/>
  <c r="Y185" i="11"/>
  <c r="AA185" i="11" s="1"/>
  <c r="AB257" i="11"/>
  <c r="Y257" i="11"/>
  <c r="AA257" i="11" s="1"/>
  <c r="AB429" i="11"/>
  <c r="AD429" i="11" s="1"/>
  <c r="Y429" i="11"/>
  <c r="AB23" i="11"/>
  <c r="AD23" i="11" s="1"/>
  <c r="Y23" i="11"/>
  <c r="AB96" i="11"/>
  <c r="AD96" i="11" s="1"/>
  <c r="Y96" i="11"/>
  <c r="AA96" i="11" s="1"/>
  <c r="Y240" i="11"/>
  <c r="AA240" i="11" s="1"/>
  <c r="AB54" i="11"/>
  <c r="AD54" i="11" s="1"/>
  <c r="Y54" i="11"/>
  <c r="AB127" i="11"/>
  <c r="AD127" i="11" s="1"/>
  <c r="Y127" i="11"/>
  <c r="AB199" i="11"/>
  <c r="AD199" i="11" s="1"/>
  <c r="Y199" i="11"/>
  <c r="Y61" i="11"/>
  <c r="AB61" i="11"/>
  <c r="AD61" i="11" s="1"/>
  <c r="Y134" i="11"/>
  <c r="AA134" i="11" s="1"/>
  <c r="AB134" i="11"/>
  <c r="AD134" i="11" s="1"/>
  <c r="Y450" i="11"/>
  <c r="AA450" i="11" s="1"/>
  <c r="AB450" i="11"/>
  <c r="AD450" i="11" s="1"/>
  <c r="AB457" i="11"/>
  <c r="AD457" i="11" s="1"/>
  <c r="Y457" i="11"/>
  <c r="AA457" i="11" s="1"/>
  <c r="Y487" i="11"/>
  <c r="AB487" i="11"/>
  <c r="AD487" i="11" s="1"/>
  <c r="AB612" i="11"/>
  <c r="Y612" i="11"/>
  <c r="AB685" i="11"/>
  <c r="Y685" i="11"/>
  <c r="AB671" i="11"/>
  <c r="Y671" i="11"/>
  <c r="AA671" i="11" s="1"/>
  <c r="AB582" i="11"/>
  <c r="AB165" i="11"/>
  <c r="Y165" i="11"/>
  <c r="AA165" i="11" s="1"/>
  <c r="Y644" i="11"/>
  <c r="AB644" i="11"/>
  <c r="AB594" i="11"/>
  <c r="Y594" i="11"/>
  <c r="AB407" i="11"/>
  <c r="AD407" i="11" s="1"/>
  <c r="Y407" i="11"/>
  <c r="AA407" i="11" s="1"/>
  <c r="AB575" i="11"/>
  <c r="Y575" i="11"/>
  <c r="AA575" i="11" s="1"/>
  <c r="AB566" i="11"/>
  <c r="Y566" i="11"/>
  <c r="AA566" i="11" s="1"/>
  <c r="AB664" i="11"/>
  <c r="Y664" i="11"/>
  <c r="AB547" i="11"/>
  <c r="Y547" i="11"/>
  <c r="AB2" i="11"/>
  <c r="AD2" i="11" s="1"/>
  <c r="Y2" i="11"/>
  <c r="AA2" i="11" s="1"/>
  <c r="AB69" i="11"/>
  <c r="AD69" i="11" s="1"/>
  <c r="Y69" i="11"/>
  <c r="AA69" i="11" s="1"/>
  <c r="AB142" i="11"/>
  <c r="AD142" i="11" s="1"/>
  <c r="Y142" i="11"/>
  <c r="AA142" i="11" s="1"/>
  <c r="AB214" i="11"/>
  <c r="Y214" i="11"/>
  <c r="AA214" i="11" s="1"/>
  <c r="AB386" i="11"/>
  <c r="Y386" i="11"/>
  <c r="AA386" i="11" s="1"/>
  <c r="AB46" i="11"/>
  <c r="AD46" i="11" s="1"/>
  <c r="Y46" i="11"/>
  <c r="AA46" i="11" s="1"/>
  <c r="AB191" i="11"/>
  <c r="Y191" i="11"/>
  <c r="AA191" i="11" s="1"/>
  <c r="AB263" i="11"/>
  <c r="Y263" i="11"/>
  <c r="AA263" i="11" s="1"/>
  <c r="AB435" i="11"/>
  <c r="AD435" i="11" s="1"/>
  <c r="Y435" i="11"/>
  <c r="AB29" i="11"/>
  <c r="AD29" i="11" s="1"/>
  <c r="Y29" i="11"/>
  <c r="AA29" i="11" s="1"/>
  <c r="AB418" i="11"/>
  <c r="AD418" i="11" s="1"/>
  <c r="Y418" i="11"/>
  <c r="AA418" i="11" s="1"/>
  <c r="AB60" i="11"/>
  <c r="AD60" i="11" s="1"/>
  <c r="Y60" i="11"/>
  <c r="AA60" i="11" s="1"/>
  <c r="AB133" i="11"/>
  <c r="AD133" i="11" s="1"/>
  <c r="Y133" i="11"/>
  <c r="AA133" i="11" s="1"/>
  <c r="AB67" i="11"/>
  <c r="AD67" i="11" s="1"/>
  <c r="Y67" i="11"/>
  <c r="AB212" i="11"/>
  <c r="Y212" i="11"/>
  <c r="AA212" i="11" s="1"/>
  <c r="AB473" i="11"/>
  <c r="AD473" i="11" s="1"/>
  <c r="Y473" i="11"/>
  <c r="AA473" i="11" s="1"/>
  <c r="AB610" i="11"/>
  <c r="Y610" i="11"/>
  <c r="AB684" i="11"/>
  <c r="AB498" i="11"/>
  <c r="AD498" i="11" s="1"/>
  <c r="Y498" i="11"/>
  <c r="Y14" i="11"/>
  <c r="AB14" i="11"/>
  <c r="AD14" i="11" s="1"/>
  <c r="AB619" i="11"/>
  <c r="Y619" i="11"/>
  <c r="AA619" i="11" s="1"/>
  <c r="AB691" i="11"/>
  <c r="Y691" i="11"/>
  <c r="AA691" i="11" s="1"/>
  <c r="AB592" i="11"/>
  <c r="Y592" i="11"/>
  <c r="AB542" i="11"/>
  <c r="Y542" i="11"/>
  <c r="AB650" i="11"/>
  <c r="Y650" i="11"/>
  <c r="AA650" i="11" s="1"/>
  <c r="Y427" i="11"/>
  <c r="AA427" i="11" s="1"/>
  <c r="AB427" i="11"/>
  <c r="AD427" i="11" s="1"/>
  <c r="AB604" i="11"/>
  <c r="Y604" i="11"/>
  <c r="Y135" i="11"/>
  <c r="AA135" i="11" s="1"/>
  <c r="AB135" i="11"/>
  <c r="AD135" i="11" s="1"/>
  <c r="AB543" i="11"/>
  <c r="Y543" i="11"/>
  <c r="AB431" i="11"/>
  <c r="AD431" i="11" s="1"/>
  <c r="Y431" i="11"/>
  <c r="AA431" i="11" s="1"/>
  <c r="AB585" i="11"/>
  <c r="Y585" i="11"/>
  <c r="AA585" i="11" s="1"/>
  <c r="AB576" i="11"/>
  <c r="Y576" i="11"/>
  <c r="AA576" i="11" s="1"/>
  <c r="AB629" i="11"/>
  <c r="Y629" i="11"/>
  <c r="AA629" i="11" s="1"/>
  <c r="AB527" i="11"/>
  <c r="Y527" i="11"/>
  <c r="AB3" i="11"/>
  <c r="AD3" i="11" s="1"/>
  <c r="Y3" i="11"/>
  <c r="AA3" i="11" s="1"/>
  <c r="AB75" i="11"/>
  <c r="AD75" i="11" s="1"/>
  <c r="Y75" i="11"/>
  <c r="AA75" i="11" s="1"/>
  <c r="AB148" i="11"/>
  <c r="Y148" i="11"/>
  <c r="AA148" i="11" s="1"/>
  <c r="AB464" i="11"/>
  <c r="AD464" i="11" s="1"/>
  <c r="Y464" i="11"/>
  <c r="AA464" i="11" s="1"/>
  <c r="AB197" i="11"/>
  <c r="AD197" i="11" s="1"/>
  <c r="Y197" i="11"/>
  <c r="AB139" i="11"/>
  <c r="AB211" i="11"/>
  <c r="Y211" i="11"/>
  <c r="Y73" i="11"/>
  <c r="AB73" i="11"/>
  <c r="AD73" i="11" s="1"/>
  <c r="Y146" i="11"/>
  <c r="AA146" i="11" s="1"/>
  <c r="AB146" i="11"/>
  <c r="AD146" i="11" s="1"/>
  <c r="Y390" i="11"/>
  <c r="AA390" i="11" s="1"/>
  <c r="AB390" i="11"/>
  <c r="W462" i="11"/>
  <c r="AB486" i="11"/>
  <c r="AD486" i="11" s="1"/>
  <c r="Y486" i="11"/>
  <c r="AA486" i="11" s="1"/>
  <c r="AB508" i="11"/>
  <c r="Y508" i="11"/>
  <c r="Y50" i="11"/>
  <c r="AA50" i="11" s="1"/>
  <c r="AB50" i="11"/>
  <c r="AD50" i="11" s="1"/>
  <c r="AB625" i="11"/>
  <c r="Y625" i="11"/>
  <c r="AB697" i="11"/>
  <c r="Y697" i="11"/>
  <c r="AA697" i="11" s="1"/>
  <c r="AB443" i="11"/>
  <c r="AD443" i="11" s="1"/>
  <c r="Y443" i="11"/>
  <c r="AA443" i="11" s="1"/>
  <c r="AB613" i="11"/>
  <c r="Y613" i="11"/>
  <c r="AB552" i="11"/>
  <c r="Y552" i="11"/>
  <c r="AA552" i="11" s="1"/>
  <c r="Y656" i="11"/>
  <c r="AA656" i="11" s="1"/>
  <c r="AB656" i="11"/>
  <c r="AB479" i="11"/>
  <c r="AD479" i="11" s="1"/>
  <c r="Y479" i="11"/>
  <c r="AA479" i="11" s="1"/>
  <c r="Y171" i="11"/>
  <c r="AA171" i="11" s="1"/>
  <c r="AB554" i="11"/>
  <c r="Y554" i="11"/>
  <c r="AB449" i="11"/>
  <c r="AD449" i="11" s="1"/>
  <c r="Y449" i="11"/>
  <c r="Y596" i="11"/>
  <c r="AB596" i="11"/>
  <c r="AB676" i="11"/>
  <c r="Y676" i="11"/>
  <c r="W537" i="11"/>
  <c r="X537" i="11" s="1"/>
  <c r="Y623" i="11"/>
  <c r="AA623" i="11" s="1"/>
  <c r="AB9" i="11"/>
  <c r="AD9" i="11" s="1"/>
  <c r="Y9" i="11"/>
  <c r="AA9" i="11" s="1"/>
  <c r="AB81" i="11"/>
  <c r="AD81" i="11" s="1"/>
  <c r="Y81" i="11"/>
  <c r="AB154" i="11"/>
  <c r="AD154" i="11" s="1"/>
  <c r="Y154" i="11"/>
  <c r="AA154" i="11" s="1"/>
  <c r="AB470" i="11"/>
  <c r="AD470" i="11" s="1"/>
  <c r="Y470" i="11"/>
  <c r="AA470" i="11" s="1"/>
  <c r="AB131" i="11"/>
  <c r="AD131" i="11" s="1"/>
  <c r="Y131" i="11"/>
  <c r="AA131" i="11" s="1"/>
  <c r="AB203" i="11"/>
  <c r="AD203" i="11" s="1"/>
  <c r="Y203" i="11"/>
  <c r="AB7" i="11"/>
  <c r="AD7" i="11" s="1"/>
  <c r="Y7" i="11"/>
  <c r="AA7" i="11" s="1"/>
  <c r="AB79" i="11"/>
  <c r="AD79" i="11" s="1"/>
  <c r="Y79" i="11"/>
  <c r="AA79" i="11" s="1"/>
  <c r="AB152" i="11"/>
  <c r="AD152" i="11" s="1"/>
  <c r="Y152" i="11"/>
  <c r="AB396" i="11"/>
  <c r="Y396" i="11"/>
  <c r="AA396" i="11" s="1"/>
  <c r="AB497" i="11"/>
  <c r="AD497" i="11" s="1"/>
  <c r="Y497" i="11"/>
  <c r="AA497" i="11" s="1"/>
  <c r="AB529" i="11"/>
  <c r="Y529" i="11"/>
  <c r="AB509" i="11"/>
  <c r="Y509" i="11"/>
  <c r="AA509" i="11" s="1"/>
  <c r="AB631" i="11"/>
  <c r="Y631" i="11"/>
  <c r="AB525" i="11"/>
  <c r="Y525" i="11"/>
  <c r="AA525" i="11" s="1"/>
  <c r="Y490" i="11"/>
  <c r="AA490" i="11" s="1"/>
  <c r="Y183" i="11"/>
  <c r="AA183" i="11" s="1"/>
  <c r="AB663" i="11"/>
  <c r="Y663" i="11"/>
  <c r="AB467" i="11"/>
  <c r="AD467" i="11" s="1"/>
  <c r="Y467" i="11"/>
  <c r="AA467" i="11" s="1"/>
  <c r="AB606" i="11"/>
  <c r="Y606" i="11"/>
  <c r="AA606" i="11" s="1"/>
  <c r="Y433" i="11"/>
  <c r="AA433" i="11" s="1"/>
  <c r="AB677" i="11"/>
  <c r="Y677" i="11"/>
  <c r="AA677" i="11" s="1"/>
  <c r="AB548" i="11"/>
  <c r="Y548" i="11"/>
  <c r="AB653" i="11"/>
  <c r="Y653" i="11"/>
  <c r="AB15" i="11"/>
  <c r="AD15" i="11" s="1"/>
  <c r="Y15" i="11"/>
  <c r="AA15" i="11" s="1"/>
  <c r="AB87" i="11"/>
  <c r="AD87" i="11" s="1"/>
  <c r="AB64" i="11"/>
  <c r="AD64" i="11" s="1"/>
  <c r="Y64" i="11"/>
  <c r="AA64" i="11" s="1"/>
  <c r="AB209" i="11"/>
  <c r="Y209" i="11"/>
  <c r="AA209" i="11" s="1"/>
  <c r="AB453" i="11"/>
  <c r="AD453" i="11" s="1"/>
  <c r="Y453" i="11"/>
  <c r="AA453" i="11" s="1"/>
  <c r="AB6" i="11"/>
  <c r="AD6" i="11" s="1"/>
  <c r="Y6" i="11"/>
  <c r="AB78" i="11"/>
  <c r="AD78" i="11" s="1"/>
  <c r="Y78" i="11"/>
  <c r="AB151" i="11"/>
  <c r="Y151" i="11"/>
  <c r="AA151" i="11" s="1"/>
  <c r="AB223" i="11"/>
  <c r="Y223" i="11"/>
  <c r="AA223" i="11" s="1"/>
  <c r="AB13" i="11"/>
  <c r="AD13" i="11" s="1"/>
  <c r="Y13" i="11"/>
  <c r="AB85" i="11"/>
  <c r="AD85" i="11" s="1"/>
  <c r="Y85" i="11"/>
  <c r="AA85" i="11" s="1"/>
  <c r="AB230" i="11"/>
  <c r="Y230" i="11"/>
  <c r="AA230" i="11" s="1"/>
  <c r="W44" i="11"/>
  <c r="AB507" i="11"/>
  <c r="Y507" i="11"/>
  <c r="AB630" i="11"/>
  <c r="Y630" i="11"/>
  <c r="AA630" i="11" s="1"/>
  <c r="AB702" i="11"/>
  <c r="Y702" i="11"/>
  <c r="AA702" i="11" s="1"/>
  <c r="Y123" i="11"/>
  <c r="AB123" i="11"/>
  <c r="AD123" i="11" s="1"/>
  <c r="AB637" i="11"/>
  <c r="Y637" i="11"/>
  <c r="AB469" i="11"/>
  <c r="AD469" i="11" s="1"/>
  <c r="Y469" i="11"/>
  <c r="AB488" i="11"/>
  <c r="AD488" i="11" s="1"/>
  <c r="Y488" i="11"/>
  <c r="AA488" i="11" s="1"/>
  <c r="Y668" i="11"/>
  <c r="AB668" i="11"/>
  <c r="AB506" i="11"/>
  <c r="AD506" i="11" s="1"/>
  <c r="Y506" i="11"/>
  <c r="AA506" i="11" s="1"/>
  <c r="Y243" i="11"/>
  <c r="AA243" i="11" s="1"/>
  <c r="AB243" i="11"/>
  <c r="AB574" i="11"/>
  <c r="Y574" i="11"/>
  <c r="AA574" i="11" s="1"/>
  <c r="AB669" i="11"/>
  <c r="Y669" i="11"/>
  <c r="AB481" i="11"/>
  <c r="AD481" i="11" s="1"/>
  <c r="Y481" i="11"/>
  <c r="AB597" i="11"/>
  <c r="Y597" i="11"/>
  <c r="Y451" i="11"/>
  <c r="AB451" i="11"/>
  <c r="AD451" i="11" s="1"/>
  <c r="AB616" i="11"/>
  <c r="Y616" i="11"/>
  <c r="AA616" i="11" s="1"/>
  <c r="AB688" i="11"/>
  <c r="Y688" i="11"/>
  <c r="AA688" i="11" s="1"/>
  <c r="AB558" i="11"/>
  <c r="Y558" i="11"/>
  <c r="AB410" i="11"/>
  <c r="AD410" i="11" s="1"/>
  <c r="Y410" i="11"/>
  <c r="AA410" i="11" s="1"/>
  <c r="W70" i="11"/>
  <c r="W215" i="11"/>
  <c r="AB12" i="11"/>
  <c r="AD12" i="11" s="1"/>
  <c r="AB84" i="11"/>
  <c r="AD84" i="11" s="1"/>
  <c r="Y84" i="11"/>
  <c r="AB157" i="11"/>
  <c r="Y157" i="11"/>
  <c r="AA157" i="11" s="1"/>
  <c r="AB229" i="11"/>
  <c r="Y229" i="11"/>
  <c r="AA229" i="11" s="1"/>
  <c r="AB19" i="11"/>
  <c r="AD19" i="11" s="1"/>
  <c r="Y19" i="11"/>
  <c r="AA19" i="11" s="1"/>
  <c r="AB92" i="11"/>
  <c r="AD92" i="11" s="1"/>
  <c r="Y92" i="11"/>
  <c r="AA92" i="11" s="1"/>
  <c r="AB164" i="11"/>
  <c r="AD164" i="11" s="1"/>
  <c r="Y164" i="11"/>
  <c r="AA164" i="11" s="1"/>
  <c r="AB236" i="11"/>
  <c r="Y236" i="11"/>
  <c r="AB80" i="11"/>
  <c r="AD80" i="11" s="1"/>
  <c r="Y80" i="11"/>
  <c r="AA80" i="11" s="1"/>
  <c r="AB518" i="11"/>
  <c r="Y518" i="11"/>
  <c r="AA518" i="11" s="1"/>
  <c r="AB636" i="11"/>
  <c r="Y636" i="11"/>
  <c r="AA636" i="11" s="1"/>
  <c r="AB505" i="11"/>
  <c r="AD505" i="11" s="1"/>
  <c r="Y505" i="11"/>
  <c r="AA505" i="11" s="1"/>
  <c r="AB549" i="11"/>
  <c r="AB530" i="11"/>
  <c r="Y530" i="11"/>
  <c r="Y536" i="11"/>
  <c r="AB536" i="11"/>
  <c r="AB425" i="11"/>
  <c r="AD425" i="11" s="1"/>
  <c r="AB593" i="11"/>
  <c r="Y593" i="11"/>
  <c r="Y512" i="11"/>
  <c r="AA512" i="11" s="1"/>
  <c r="AB512" i="11"/>
  <c r="Y279" i="11"/>
  <c r="AA279" i="11" s="1"/>
  <c r="AB279" i="11"/>
  <c r="AB468" i="11"/>
  <c r="AD468" i="11" s="1"/>
  <c r="Y468" i="11"/>
  <c r="AB622" i="11"/>
  <c r="Y622" i="11"/>
  <c r="AB694" i="11"/>
  <c r="Y694" i="11"/>
  <c r="AA694" i="11" s="1"/>
  <c r="AB568" i="11"/>
  <c r="Y568" i="11"/>
  <c r="AB4" i="11"/>
  <c r="AD4" i="11" s="1"/>
  <c r="Y4" i="11"/>
  <c r="AA4" i="11" s="1"/>
  <c r="AB221" i="11"/>
  <c r="Y221" i="11"/>
  <c r="AA221" i="11" s="1"/>
  <c r="AB465" i="11"/>
  <c r="AD465" i="11" s="1"/>
  <c r="Y465" i="11"/>
  <c r="AB132" i="11"/>
  <c r="AD132" i="11" s="1"/>
  <c r="Y132" i="11"/>
  <c r="AA132" i="11" s="1"/>
  <c r="AB163" i="11"/>
  <c r="AD163" i="11" s="1"/>
  <c r="Y163" i="11"/>
  <c r="AA163" i="11" s="1"/>
  <c r="AB25" i="11"/>
  <c r="AD25" i="11" s="1"/>
  <c r="Y25" i="11"/>
  <c r="AB98" i="11"/>
  <c r="AD98" i="11" s="1"/>
  <c r="Y98" i="11"/>
  <c r="AB170" i="11"/>
  <c r="Y170" i="11"/>
  <c r="AA170" i="11" s="1"/>
  <c r="W117" i="11"/>
  <c r="X117" i="11" s="1"/>
  <c r="Y642" i="11"/>
  <c r="AA642" i="11" s="1"/>
  <c r="AB540" i="11"/>
  <c r="Y540" i="11"/>
  <c r="AB510" i="11"/>
  <c r="Y510" i="11"/>
  <c r="AA510" i="11" s="1"/>
  <c r="AB567" i="11"/>
  <c r="Y567" i="11"/>
  <c r="AA567" i="11" s="1"/>
  <c r="AB445" i="11"/>
  <c r="AD445" i="11" s="1"/>
  <c r="Y445" i="11"/>
  <c r="AA445" i="11" s="1"/>
  <c r="AB603" i="11"/>
  <c r="Y603" i="11"/>
  <c r="Y680" i="11"/>
  <c r="AB680" i="11"/>
  <c r="AB522" i="11"/>
  <c r="Y522" i="11"/>
  <c r="AA522" i="11" s="1"/>
  <c r="AB448" i="11"/>
  <c r="AD448" i="11" s="1"/>
  <c r="Y448" i="11"/>
  <c r="AA448" i="11" s="1"/>
  <c r="AB605" i="11"/>
  <c r="Y605" i="11"/>
  <c r="AA605" i="11" s="1"/>
  <c r="AB681" i="11"/>
  <c r="Y681" i="11"/>
  <c r="AB503" i="11"/>
  <c r="AD503" i="11" s="1"/>
  <c r="Y503" i="11"/>
  <c r="AB32" i="11"/>
  <c r="AD32" i="11" s="1"/>
  <c r="Y32" i="11"/>
  <c r="AA32" i="11" s="1"/>
  <c r="AB493" i="11"/>
  <c r="AD493" i="11" s="1"/>
  <c r="Y493" i="11"/>
  <c r="AA493" i="11" s="1"/>
  <c r="W628" i="11"/>
  <c r="X628" i="11" s="1"/>
  <c r="W700" i="11"/>
  <c r="X700" i="11" s="1"/>
  <c r="Y415" i="11"/>
  <c r="AA415" i="11" s="1"/>
  <c r="AB415" i="11"/>
  <c r="AD415" i="11" s="1"/>
  <c r="AB589" i="11"/>
  <c r="Y589" i="11"/>
  <c r="AB82" i="11"/>
  <c r="AD82" i="11" s="1"/>
  <c r="Y82" i="11"/>
  <c r="AA82" i="11" s="1"/>
  <c r="AB471" i="11"/>
  <c r="AD471" i="11" s="1"/>
  <c r="Y471" i="11"/>
  <c r="AB65" i="11"/>
  <c r="AD65" i="11" s="1"/>
  <c r="Y65" i="11"/>
  <c r="AB138" i="11"/>
  <c r="AD138" i="11" s="1"/>
  <c r="Y138" i="11"/>
  <c r="AB382" i="11"/>
  <c r="Y382" i="11"/>
  <c r="AA382" i="11" s="1"/>
  <c r="AB24" i="11"/>
  <c r="AD24" i="11" s="1"/>
  <c r="Y24" i="11"/>
  <c r="AA24" i="11" s="1"/>
  <c r="AB97" i="11"/>
  <c r="AD97" i="11" s="1"/>
  <c r="Y97" i="11"/>
  <c r="AB169" i="11"/>
  <c r="Y169" i="11"/>
  <c r="AA169" i="11" s="1"/>
  <c r="AB241" i="11"/>
  <c r="Y241" i="11"/>
  <c r="AA241" i="11" s="1"/>
  <c r="AB31" i="11"/>
  <c r="AD31" i="11" s="1"/>
  <c r="Y31" i="11"/>
  <c r="AA31" i="11" s="1"/>
  <c r="AB104" i="11"/>
  <c r="AD104" i="11" s="1"/>
  <c r="Y104" i="11"/>
  <c r="AA104" i="11" s="1"/>
  <c r="AB648" i="11"/>
  <c r="Y648" i="11"/>
  <c r="AB570" i="11"/>
  <c r="Y570" i="11"/>
  <c r="AA570" i="11" s="1"/>
  <c r="AB231" i="11"/>
  <c r="AB659" i="11"/>
  <c r="Y659" i="11"/>
  <c r="AB614" i="11"/>
  <c r="Y614" i="11"/>
  <c r="AB532" i="11"/>
  <c r="Y532" i="11"/>
  <c r="AA532" i="11" s="1"/>
  <c r="AB466" i="11"/>
  <c r="AD466" i="11" s="1"/>
  <c r="Y466" i="11"/>
  <c r="AB615" i="11"/>
  <c r="Y615" i="11"/>
  <c r="AB687" i="11"/>
  <c r="Y687" i="11"/>
  <c r="W68" i="11"/>
  <c r="AB634" i="11"/>
  <c r="Y634" i="11"/>
  <c r="AA634" i="11" s="1"/>
  <c r="AB706" i="11"/>
  <c r="Y706" i="11"/>
  <c r="AA706" i="11" s="1"/>
  <c r="W599" i="11"/>
  <c r="AB428" i="11"/>
  <c r="AD428" i="11" s="1"/>
  <c r="Y428" i="11"/>
  <c r="AB16" i="11"/>
  <c r="AD16" i="11" s="1"/>
  <c r="Y16" i="11"/>
  <c r="AB233" i="11"/>
  <c r="Y233" i="11"/>
  <c r="AA233" i="11" s="1"/>
  <c r="Y405" i="11"/>
  <c r="AA405" i="11" s="1"/>
  <c r="AB477" i="11"/>
  <c r="AD477" i="11" s="1"/>
  <c r="Y477" i="11"/>
  <c r="AB71" i="11"/>
  <c r="AD71" i="11" s="1"/>
  <c r="Y71" i="11"/>
  <c r="AB216" i="11"/>
  <c r="Y216" i="11"/>
  <c r="AA216" i="11" s="1"/>
  <c r="AB388" i="11"/>
  <c r="Y388" i="11"/>
  <c r="AA388" i="11" s="1"/>
  <c r="AB30" i="11"/>
  <c r="AD30" i="11" s="1"/>
  <c r="Y30" i="11"/>
  <c r="AB103" i="11"/>
  <c r="AD103" i="11" s="1"/>
  <c r="Y103" i="11"/>
  <c r="AA103" i="11" s="1"/>
  <c r="AB175" i="11"/>
  <c r="Y175" i="11"/>
  <c r="AA175" i="11" s="1"/>
  <c r="AB247" i="11"/>
  <c r="Y247" i="11"/>
  <c r="AB426" i="11"/>
  <c r="AD426" i="11" s="1"/>
  <c r="Y426" i="11"/>
  <c r="AA426" i="11" s="1"/>
  <c r="AB559" i="11"/>
  <c r="Y559" i="11"/>
  <c r="AA559" i="11" s="1"/>
  <c r="AB654" i="11"/>
  <c r="Y654" i="11"/>
  <c r="AB665" i="11"/>
  <c r="Y665" i="11"/>
  <c r="AA665" i="11" s="1"/>
  <c r="AB580" i="11"/>
  <c r="Y580" i="11"/>
  <c r="AA580" i="11" s="1"/>
  <c r="AB661" i="11"/>
  <c r="Y661" i="11"/>
  <c r="AA661" i="11" s="1"/>
  <c r="AB20" i="11"/>
  <c r="AD20" i="11" s="1"/>
  <c r="Y20" i="11"/>
  <c r="AB478" i="11"/>
  <c r="AD478" i="11" s="1"/>
  <c r="Y478" i="11"/>
  <c r="AA478" i="11" s="1"/>
  <c r="AB620" i="11"/>
  <c r="Y620" i="11"/>
  <c r="AB692" i="11"/>
  <c r="Y692" i="11"/>
  <c r="AA692" i="11" s="1"/>
  <c r="AB553" i="11"/>
  <c r="Y553" i="11"/>
  <c r="AA553" i="11" s="1"/>
  <c r="AB693" i="11"/>
  <c r="Y693" i="11"/>
  <c r="AB105" i="11"/>
  <c r="AD105" i="11" s="1"/>
  <c r="Y105" i="11"/>
  <c r="AA105" i="11" s="1"/>
  <c r="AB514" i="11"/>
  <c r="Y514" i="11"/>
  <c r="AA514" i="11" s="1"/>
  <c r="AB640" i="11"/>
  <c r="Y640" i="11"/>
  <c r="AB45" i="11"/>
  <c r="AD45" i="11" s="1"/>
  <c r="Y45" i="11"/>
  <c r="AA45" i="11" s="1"/>
  <c r="AB118" i="11"/>
  <c r="AD118" i="11" s="1"/>
  <c r="Y118" i="11"/>
  <c r="AA118" i="11" s="1"/>
  <c r="AB190" i="11"/>
  <c r="Y190" i="11"/>
  <c r="AA190" i="11" s="1"/>
  <c r="AB434" i="11"/>
  <c r="AD434" i="11" s="1"/>
  <c r="Y434" i="11"/>
  <c r="AA434" i="11" s="1"/>
  <c r="W22" i="11"/>
  <c r="W95" i="11"/>
  <c r="X95" i="11" s="1"/>
  <c r="W239" i="11"/>
  <c r="X239" i="11" s="1"/>
  <c r="AB36" i="11"/>
  <c r="AD36" i="11" s="1"/>
  <c r="Y36" i="11"/>
  <c r="AA36" i="11" s="1"/>
  <c r="AB109" i="11"/>
  <c r="AD109" i="11" s="1"/>
  <c r="AB181" i="11"/>
  <c r="Y181" i="11"/>
  <c r="AB253" i="11"/>
  <c r="Y253" i="11"/>
  <c r="AA253" i="11" s="1"/>
  <c r="Y260" i="11"/>
  <c r="AA260" i="11" s="1"/>
  <c r="AB225" i="11"/>
  <c r="Y225" i="11"/>
  <c r="AA225" i="11" s="1"/>
  <c r="AB569" i="11"/>
  <c r="Y569" i="11"/>
  <c r="AA569" i="11" s="1"/>
  <c r="AB660" i="11"/>
  <c r="Y660" i="11"/>
  <c r="AA660" i="11" s="1"/>
  <c r="AB395" i="11"/>
  <c r="AB581" i="11"/>
  <c r="Y581" i="11"/>
  <c r="AB526" i="11"/>
  <c r="Y526" i="11"/>
  <c r="AB551" i="11"/>
  <c r="Y551" i="11"/>
  <c r="AA551" i="11" s="1"/>
  <c r="AB56" i="11"/>
  <c r="AD56" i="11" s="1"/>
  <c r="Y56" i="11"/>
  <c r="AA56" i="11" s="1"/>
  <c r="AB489" i="11"/>
  <c r="AD489" i="11" s="1"/>
  <c r="Y489" i="11"/>
  <c r="AA489" i="11" s="1"/>
  <c r="AB626" i="11"/>
  <c r="Y626" i="11"/>
  <c r="AA626" i="11" s="1"/>
  <c r="AB698" i="11"/>
  <c r="Y698" i="11"/>
  <c r="AA698" i="11" s="1"/>
  <c r="AB563" i="11"/>
  <c r="Y563" i="11"/>
  <c r="AA563" i="11" s="1"/>
  <c r="AB707" i="11"/>
  <c r="AB491" i="11"/>
  <c r="AD491" i="11" s="1"/>
  <c r="Y491" i="11"/>
  <c r="AA491" i="11" s="1"/>
  <c r="AB627" i="11"/>
  <c r="Y627" i="11"/>
  <c r="AB699" i="11"/>
  <c r="Y699" i="11"/>
  <c r="AA699" i="11" s="1"/>
  <c r="W535" i="11"/>
  <c r="Y646" i="11"/>
  <c r="AA646" i="11" s="1"/>
  <c r="Y74" i="11"/>
  <c r="AB74" i="11"/>
  <c r="AD74" i="11" s="1"/>
  <c r="W483" i="11"/>
  <c r="X483" i="11" s="1"/>
  <c r="W679" i="11"/>
  <c r="W516" i="11"/>
  <c r="X516" i="11" s="1"/>
  <c r="W475" i="11"/>
  <c r="W588" i="11"/>
  <c r="W618" i="11"/>
  <c r="W690" i="11"/>
  <c r="W657" i="11"/>
  <c r="W564" i="11"/>
  <c r="W607" i="11"/>
  <c r="W682" i="11"/>
  <c r="W583" i="11"/>
  <c r="W674" i="11"/>
  <c r="W557" i="11"/>
  <c r="W437" i="11"/>
  <c r="W541" i="11"/>
  <c r="W432" i="11"/>
  <c r="W601" i="11"/>
  <c r="W667" i="11"/>
  <c r="W423" i="11"/>
  <c r="W413" i="11"/>
  <c r="W600" i="11"/>
  <c r="W678" i="11"/>
  <c r="W533" i="11"/>
  <c r="W645" i="11"/>
  <c r="W456" i="11"/>
  <c r="W670" i="11"/>
  <c r="W441" i="11"/>
  <c r="W546" i="11"/>
  <c r="W586" i="11"/>
  <c r="W562" i="11"/>
  <c r="W662" i="11"/>
  <c r="W492" i="11"/>
  <c r="W416" i="11"/>
  <c r="W578" i="11"/>
  <c r="W520" i="11"/>
  <c r="W571" i="11"/>
  <c r="W494" i="11"/>
  <c r="W577" i="11"/>
  <c r="W455" i="11"/>
  <c r="W99" i="11"/>
  <c r="X99" i="11" s="1"/>
  <c r="W249" i="11"/>
  <c r="X249" i="11" s="1"/>
  <c r="W401" i="11"/>
  <c r="W76" i="11"/>
  <c r="X76" i="11" s="1"/>
  <c r="W38" i="11"/>
  <c r="W88" i="11"/>
  <c r="W189" i="11"/>
  <c r="X189" i="11" s="1"/>
  <c r="W400" i="11"/>
  <c r="X454" i="11"/>
  <c r="AA446" i="11"/>
  <c r="W406" i="11"/>
  <c r="X406" i="11" s="1"/>
  <c r="W55" i="11"/>
  <c r="X55" i="11" s="1"/>
  <c r="W128" i="11"/>
  <c r="X128" i="11" s="1"/>
  <c r="W200" i="11"/>
  <c r="X200" i="11" s="1"/>
  <c r="W129" i="11"/>
  <c r="W35" i="11"/>
  <c r="X35" i="11" s="1"/>
  <c r="W108" i="11"/>
  <c r="W180" i="11"/>
  <c r="W252" i="11"/>
  <c r="X252" i="11" s="1"/>
  <c r="W281" i="11"/>
  <c r="W21" i="11"/>
  <c r="X21" i="11" s="1"/>
  <c r="W94" i="11"/>
  <c r="W166" i="11"/>
  <c r="W238" i="11"/>
  <c r="W37" i="11"/>
  <c r="X37" i="11" s="1"/>
  <c r="W110" i="11"/>
  <c r="X110" i="11" s="1"/>
  <c r="W182" i="11"/>
  <c r="X45" i="11"/>
  <c r="X118" i="11"/>
  <c r="X190" i="11"/>
  <c r="X434" i="11"/>
  <c r="W167" i="11"/>
  <c r="X5" i="11"/>
  <c r="X36" i="11"/>
  <c r="AA181" i="11"/>
  <c r="X181" i="11"/>
  <c r="X253" i="11"/>
  <c r="W43" i="11"/>
  <c r="W116" i="11"/>
  <c r="W188" i="11"/>
  <c r="X225" i="11"/>
  <c r="X569" i="11"/>
  <c r="X660" i="11"/>
  <c r="X551" i="11"/>
  <c r="X56" i="11"/>
  <c r="X489" i="11"/>
  <c r="X626" i="11"/>
  <c r="X698" i="11"/>
  <c r="X563" i="11"/>
  <c r="X491" i="11"/>
  <c r="X627" i="11"/>
  <c r="AA627" i="11"/>
  <c r="X699" i="11"/>
  <c r="X535" i="11"/>
  <c r="AA74" i="11"/>
  <c r="X74" i="11"/>
  <c r="AA245" i="11"/>
  <c r="X245" i="11"/>
  <c r="X156" i="11"/>
  <c r="X187" i="11"/>
  <c r="X598" i="11"/>
  <c r="AA598" i="11"/>
  <c r="X632" i="11"/>
  <c r="X502" i="11"/>
  <c r="AA545" i="11"/>
  <c r="X545" i="11"/>
  <c r="X556" i="11"/>
  <c r="X274" i="11"/>
  <c r="AA444" i="11"/>
  <c r="X444" i="11"/>
  <c r="X515" i="11"/>
  <c r="X635" i="11"/>
  <c r="X565" i="11"/>
  <c r="X495" i="11"/>
  <c r="X40" i="11"/>
  <c r="W113" i="11"/>
  <c r="X185" i="11"/>
  <c r="X257" i="11"/>
  <c r="X429" i="11"/>
  <c r="AA429" i="11"/>
  <c r="X23" i="11"/>
  <c r="AA23" i="11"/>
  <c r="X96" i="11"/>
  <c r="AA54" i="11"/>
  <c r="X54" i="11"/>
  <c r="AA127" i="11"/>
  <c r="X127" i="11"/>
  <c r="AA199" i="11"/>
  <c r="X199" i="11"/>
  <c r="AA61" i="11"/>
  <c r="X61" i="11"/>
  <c r="X134" i="11"/>
  <c r="X457" i="11"/>
  <c r="AA487" i="11"/>
  <c r="X487" i="11"/>
  <c r="AA612" i="11"/>
  <c r="X612" i="11"/>
  <c r="AA685" i="11"/>
  <c r="X685" i="11"/>
  <c r="X671" i="11"/>
  <c r="X165" i="11"/>
  <c r="X531" i="11"/>
  <c r="AA644" i="11"/>
  <c r="X644" i="11"/>
  <c r="X407" i="11"/>
  <c r="X575" i="11"/>
  <c r="X566" i="11"/>
  <c r="AA664" i="11"/>
  <c r="X664" i="11"/>
  <c r="AA547" i="11"/>
  <c r="X547" i="11"/>
  <c r="X440" i="11"/>
  <c r="X115" i="11"/>
  <c r="X611" i="11"/>
  <c r="X93" i="11"/>
  <c r="X633" i="11"/>
  <c r="X107" i="11"/>
  <c r="X234" i="11"/>
  <c r="AA572" i="11"/>
  <c r="X572" i="11"/>
  <c r="X639" i="11"/>
  <c r="X2" i="11"/>
  <c r="X69" i="11"/>
  <c r="X142" i="11"/>
  <c r="X214" i="11"/>
  <c r="X386" i="11"/>
  <c r="X46" i="11"/>
  <c r="W119" i="11"/>
  <c r="X191" i="11"/>
  <c r="X263" i="11"/>
  <c r="X29" i="11"/>
  <c r="X418" i="11"/>
  <c r="X60" i="11"/>
  <c r="X133" i="11"/>
  <c r="X67" i="11"/>
  <c r="AA67" i="11"/>
  <c r="X212" i="11"/>
  <c r="X473" i="11"/>
  <c r="AA498" i="11"/>
  <c r="X498" i="11"/>
  <c r="AA14" i="11"/>
  <c r="X14" i="11"/>
  <c r="X619" i="11"/>
  <c r="X691" i="11"/>
  <c r="X695" i="11"/>
  <c r="AA592" i="11"/>
  <c r="X592" i="11"/>
  <c r="W201" i="11"/>
  <c r="X542" i="11"/>
  <c r="AA542" i="11"/>
  <c r="X650" i="11"/>
  <c r="X427" i="11"/>
  <c r="X135" i="11"/>
  <c r="X431" i="11"/>
  <c r="X585" i="11"/>
  <c r="W385" i="11"/>
  <c r="X576" i="11"/>
  <c r="X629" i="11"/>
  <c r="X527" i="11"/>
  <c r="AA527" i="11"/>
  <c r="X28" i="11"/>
  <c r="X259" i="11"/>
  <c r="AA666" i="11"/>
  <c r="X666" i="11"/>
  <c r="AA673" i="11"/>
  <c r="X673" i="11"/>
  <c r="X705" i="11"/>
  <c r="X652" i="11"/>
  <c r="AA179" i="11"/>
  <c r="X179" i="11"/>
  <c r="X89" i="11"/>
  <c r="X193" i="11"/>
  <c r="X474" i="11"/>
  <c r="AA584" i="11"/>
  <c r="X584" i="11"/>
  <c r="X658" i="11"/>
  <c r="AA658" i="11"/>
  <c r="X3" i="11"/>
  <c r="X75" i="11"/>
  <c r="X148" i="11"/>
  <c r="X464" i="11"/>
  <c r="X52" i="11"/>
  <c r="W125" i="11"/>
  <c r="X197" i="11"/>
  <c r="AA197" i="11"/>
  <c r="X424" i="11"/>
  <c r="AA211" i="11"/>
  <c r="X211" i="11"/>
  <c r="AA73" i="11"/>
  <c r="X73" i="11"/>
  <c r="X146" i="11"/>
  <c r="X390" i="11"/>
  <c r="X486" i="11"/>
  <c r="AA508" i="11"/>
  <c r="X508" i="11"/>
  <c r="X50" i="11"/>
  <c r="AA625" i="11"/>
  <c r="X625" i="11"/>
  <c r="X697" i="11"/>
  <c r="X613" i="11"/>
  <c r="AA613" i="11"/>
  <c r="W237" i="11"/>
  <c r="X552" i="11"/>
  <c r="X656" i="11"/>
  <c r="X479" i="11"/>
  <c r="X171" i="11"/>
  <c r="AA554" i="11"/>
  <c r="X121" i="11"/>
  <c r="X9" i="11"/>
  <c r="AA81" i="11"/>
  <c r="X81" i="11"/>
  <c r="X154" i="11"/>
  <c r="X226" i="11"/>
  <c r="X470" i="11"/>
  <c r="W58" i="11"/>
  <c r="X131" i="11"/>
  <c r="AA203" i="11"/>
  <c r="X203" i="11"/>
  <c r="W41" i="11"/>
  <c r="W114" i="11"/>
  <c r="W186" i="11"/>
  <c r="W258" i="11"/>
  <c r="X72" i="11"/>
  <c r="X7" i="11"/>
  <c r="X79" i="11"/>
  <c r="X152" i="11"/>
  <c r="AA152" i="11"/>
  <c r="X396" i="11"/>
  <c r="X8" i="11"/>
  <c r="X497" i="11"/>
  <c r="X624" i="11"/>
  <c r="X696" i="11"/>
  <c r="AA529" i="11"/>
  <c r="X529" i="11"/>
  <c r="W86" i="11"/>
  <c r="X509" i="11"/>
  <c r="AA631" i="11"/>
  <c r="X631" i="11"/>
  <c r="X525" i="11"/>
  <c r="X183" i="11"/>
  <c r="AA663" i="11"/>
  <c r="X663" i="11"/>
  <c r="X467" i="11"/>
  <c r="X606" i="11"/>
  <c r="X677" i="11"/>
  <c r="AA548" i="11"/>
  <c r="X548" i="11"/>
  <c r="AA653" i="11"/>
  <c r="X653" i="11"/>
  <c r="X101" i="11"/>
  <c r="X11" i="11"/>
  <c r="X49" i="11"/>
  <c r="AA561" i="11"/>
  <c r="X561" i="11"/>
  <c r="AA573" i="11"/>
  <c r="X573" i="11"/>
  <c r="X544" i="11"/>
  <c r="X251" i="11"/>
  <c r="X162" i="11"/>
  <c r="X265" i="11"/>
  <c r="X442" i="11"/>
  <c r="AA442" i="11"/>
  <c r="X523" i="11"/>
  <c r="X555" i="11"/>
  <c r="X15" i="11"/>
  <c r="X404" i="11"/>
  <c r="X64" i="11"/>
  <c r="W137" i="11"/>
  <c r="X209" i="11"/>
  <c r="X453" i="11"/>
  <c r="W47" i="11"/>
  <c r="W120" i="11"/>
  <c r="W192" i="11"/>
  <c r="W264" i="11"/>
  <c r="AA6" i="11"/>
  <c r="X6" i="11"/>
  <c r="AA78" i="11"/>
  <c r="X78" i="11"/>
  <c r="X151" i="11"/>
  <c r="X223" i="11"/>
  <c r="AA13" i="11"/>
  <c r="X13" i="11"/>
  <c r="X85" i="11"/>
  <c r="X158" i="11"/>
  <c r="X230" i="11"/>
  <c r="X44" i="11"/>
  <c r="AA507" i="11"/>
  <c r="X507" i="11"/>
  <c r="X630" i="11"/>
  <c r="X702" i="11"/>
  <c r="AA123" i="11"/>
  <c r="X123" i="11"/>
  <c r="X637" i="11"/>
  <c r="AA637" i="11"/>
  <c r="AA469" i="11"/>
  <c r="X469" i="11"/>
  <c r="X488" i="11"/>
  <c r="X506" i="11"/>
  <c r="X243" i="11"/>
  <c r="X574" i="11"/>
  <c r="AA669" i="11"/>
  <c r="X669" i="11"/>
  <c r="AA481" i="11"/>
  <c r="X481" i="11"/>
  <c r="AA597" i="11"/>
  <c r="X597" i="11"/>
  <c r="X616" i="11"/>
  <c r="X688" i="11"/>
  <c r="AA558" i="11"/>
  <c r="X558" i="11"/>
  <c r="AA124" i="11"/>
  <c r="X124" i="11"/>
  <c r="AA173" i="11"/>
  <c r="X173" i="11"/>
  <c r="X83" i="11"/>
  <c r="AA42" i="11"/>
  <c r="X42" i="11"/>
  <c r="X579" i="11"/>
  <c r="AA579" i="11"/>
  <c r="X591" i="11"/>
  <c r="AA511" i="11"/>
  <c r="X511" i="11"/>
  <c r="AA26" i="11"/>
  <c r="X26" i="11"/>
  <c r="AA177" i="11"/>
  <c r="X177" i="11"/>
  <c r="X485" i="11"/>
  <c r="X17" i="11"/>
  <c r="X48" i="11"/>
  <c r="AA602" i="11"/>
  <c r="X602" i="11"/>
  <c r="X521" i="11"/>
  <c r="W62" i="11"/>
  <c r="W213" i="11"/>
  <c r="X219" i="11"/>
  <c r="X410" i="11"/>
  <c r="X482" i="11"/>
  <c r="X70" i="11"/>
  <c r="W143" i="11"/>
  <c r="W53" i="11"/>
  <c r="W126" i="11"/>
  <c r="W198" i="11"/>
  <c r="W270" i="11"/>
  <c r="AA84" i="11"/>
  <c r="X84" i="11"/>
  <c r="X157" i="11"/>
  <c r="X229" i="11"/>
  <c r="X19" i="11"/>
  <c r="X92" i="11"/>
  <c r="X164" i="11"/>
  <c r="AA236" i="11"/>
  <c r="X236" i="11"/>
  <c r="X80" i="11"/>
  <c r="X518" i="11"/>
  <c r="X636" i="11"/>
  <c r="X505" i="11"/>
  <c r="X159" i="11"/>
  <c r="X643" i="11"/>
  <c r="AA536" i="11"/>
  <c r="X536" i="11"/>
  <c r="W147" i="11"/>
  <c r="AA593" i="11"/>
  <c r="X593" i="11"/>
  <c r="X512" i="11"/>
  <c r="X279" i="11"/>
  <c r="X595" i="11"/>
  <c r="X675" i="11"/>
  <c r="W255" i="11"/>
  <c r="AA468" i="11"/>
  <c r="X468" i="11"/>
  <c r="X622" i="11"/>
  <c r="AA622" i="11"/>
  <c r="X694" i="11"/>
  <c r="AA568" i="11"/>
  <c r="X568" i="11"/>
  <c r="W27" i="11"/>
  <c r="W100" i="11"/>
  <c r="W172" i="11"/>
  <c r="W244" i="11"/>
  <c r="X4" i="11"/>
  <c r="W149" i="11"/>
  <c r="X132" i="11"/>
  <c r="X163" i="11"/>
  <c r="AA25" i="11"/>
  <c r="X25" i="11"/>
  <c r="AA98" i="11"/>
  <c r="X98" i="11"/>
  <c r="X170" i="11"/>
  <c r="W111" i="11"/>
  <c r="X560" i="11"/>
  <c r="AA540" i="11"/>
  <c r="X540" i="11"/>
  <c r="X567" i="11"/>
  <c r="X445" i="11"/>
  <c r="AA603" i="11"/>
  <c r="X603" i="11"/>
  <c r="AA680" i="11"/>
  <c r="X680" i="11"/>
  <c r="X522" i="11"/>
  <c r="X448" i="11"/>
  <c r="X605" i="11"/>
  <c r="AA681" i="11"/>
  <c r="X681" i="11"/>
  <c r="X32" i="11"/>
  <c r="X493" i="11"/>
  <c r="X415" i="11"/>
  <c r="W33" i="11"/>
  <c r="W106" i="11"/>
  <c r="W178" i="11"/>
  <c r="W250" i="11"/>
  <c r="W10" i="11"/>
  <c r="X82" i="11"/>
  <c r="X155" i="11"/>
  <c r="AA471" i="11"/>
  <c r="X471" i="11"/>
  <c r="X65" i="11"/>
  <c r="AA65" i="11"/>
  <c r="X138" i="11"/>
  <c r="AA138" i="11"/>
  <c r="X382" i="11"/>
  <c r="X24" i="11"/>
  <c r="AA97" i="11"/>
  <c r="X97" i="11"/>
  <c r="X169" i="11"/>
  <c r="X31" i="11"/>
  <c r="X104" i="11"/>
  <c r="X176" i="11"/>
  <c r="W153" i="11"/>
  <c r="AA648" i="11"/>
  <c r="X648" i="11"/>
  <c r="X570" i="11"/>
  <c r="X38" i="11"/>
  <c r="X659" i="11"/>
  <c r="AA659" i="11"/>
  <c r="AA614" i="11"/>
  <c r="X614" i="11"/>
  <c r="X532" i="11"/>
  <c r="AA615" i="11"/>
  <c r="X615" i="11"/>
  <c r="AA687" i="11"/>
  <c r="X687" i="11"/>
  <c r="X634" i="11"/>
  <c r="W39" i="11"/>
  <c r="W112" i="11"/>
  <c r="W184" i="11"/>
  <c r="W256" i="11"/>
  <c r="AA16" i="11"/>
  <c r="X16" i="11"/>
  <c r="X88" i="11"/>
  <c r="W161" i="11"/>
  <c r="X233" i="11"/>
  <c r="X405" i="11"/>
  <c r="X477" i="11"/>
  <c r="AA477" i="11"/>
  <c r="AA71" i="11"/>
  <c r="X71" i="11"/>
  <c r="X216" i="11"/>
  <c r="X388" i="11"/>
  <c r="AA30" i="11"/>
  <c r="X30" i="11"/>
  <c r="X103" i="11"/>
  <c r="X175" i="11"/>
  <c r="AA247" i="11"/>
  <c r="X247" i="11"/>
  <c r="X426" i="11"/>
  <c r="X559" i="11"/>
  <c r="AA654" i="11"/>
  <c r="X654" i="11"/>
  <c r="X665" i="11"/>
  <c r="X580" i="11"/>
  <c r="W267" i="11"/>
  <c r="X661" i="11"/>
  <c r="AA20" i="11"/>
  <c r="X20" i="11"/>
  <c r="X478" i="11"/>
  <c r="AA620" i="11"/>
  <c r="X620" i="11"/>
  <c r="X553" i="11"/>
  <c r="X683" i="11"/>
  <c r="X480" i="11"/>
  <c r="X621" i="11"/>
  <c r="AA693" i="11"/>
  <c r="X693" i="11"/>
  <c r="X105" i="11"/>
  <c r="X514" i="11"/>
  <c r="AA640" i="11"/>
  <c r="X640" i="11"/>
  <c r="X609" i="11"/>
  <c r="AB500" i="11" l="1"/>
  <c r="AD500" i="11" s="1"/>
  <c r="Y500" i="11"/>
  <c r="AA500" i="11" s="1"/>
  <c r="X499" i="11"/>
  <c r="Y617" i="11"/>
  <c r="AA617" i="11" s="1"/>
  <c r="Y695" i="11"/>
  <c r="AA695" i="11" s="1"/>
  <c r="AB235" i="11"/>
  <c r="AB623" i="11"/>
  <c r="AB595" i="11"/>
  <c r="X528" i="11"/>
  <c r="X18" i="11"/>
  <c r="X549" i="11"/>
  <c r="X519" i="11"/>
  <c r="X461" i="11"/>
  <c r="X417" i="11"/>
  <c r="X102" i="11"/>
  <c r="X438" i="11"/>
  <c r="AB77" i="11"/>
  <c r="AD77" i="11" s="1"/>
  <c r="Y504" i="11"/>
  <c r="AA504" i="11" s="1"/>
  <c r="AB641" i="11"/>
  <c r="Y587" i="11"/>
  <c r="AA587" i="11" s="1"/>
  <c r="Y689" i="11"/>
  <c r="AA689" i="11" s="1"/>
  <c r="Y501" i="11"/>
  <c r="AA501" i="11" s="1"/>
  <c r="Y519" i="11"/>
  <c r="AA519" i="11" s="1"/>
  <c r="AB232" i="11"/>
  <c r="AB696" i="11"/>
  <c r="Y647" i="11"/>
  <c r="AA647" i="11" s="1"/>
  <c r="Y63" i="11"/>
  <c r="AA63" i="11" s="1"/>
  <c r="Y439" i="11"/>
  <c r="AA439" i="11" s="1"/>
  <c r="AB34" i="11"/>
  <c r="AD34" i="11" s="1"/>
  <c r="X490" i="11"/>
  <c r="Y524" i="11"/>
  <c r="AA524" i="11" s="1"/>
  <c r="AB617" i="11"/>
  <c r="Y232" i="11"/>
  <c r="AA232" i="11" s="1"/>
  <c r="X504" i="11"/>
  <c r="X34" i="11"/>
  <c r="X701" i="11"/>
  <c r="X433" i="11"/>
  <c r="X703" i="11"/>
  <c r="X638" i="11"/>
  <c r="X130" i="11"/>
  <c r="Y472" i="11"/>
  <c r="AA472" i="11" s="1"/>
  <c r="Y5" i="11"/>
  <c r="AA5" i="11" s="1"/>
  <c r="AB587" i="11"/>
  <c r="Y414" i="11"/>
  <c r="AA414" i="11" s="1"/>
  <c r="Y18" i="11"/>
  <c r="AA18" i="11" s="1"/>
  <c r="AB643" i="11"/>
  <c r="AB501" i="11"/>
  <c r="AD501" i="11" s="1"/>
  <c r="Y461" i="11"/>
  <c r="AA461" i="11" s="1"/>
  <c r="Y624" i="11"/>
  <c r="AA624" i="11" s="1"/>
  <c r="Y217" i="11"/>
  <c r="AA217" i="11" s="1"/>
  <c r="Y226" i="11"/>
  <c r="AA226" i="11" s="1"/>
  <c r="AB647" i="11"/>
  <c r="Y102" i="11"/>
  <c r="AA102" i="11" s="1"/>
  <c r="Y458" i="11"/>
  <c r="AA458" i="11" s="1"/>
  <c r="Y484" i="11"/>
  <c r="AA484" i="11" s="1"/>
  <c r="AB63" i="11"/>
  <c r="AD63" i="11" s="1"/>
  <c r="Y635" i="11"/>
  <c r="AA635" i="11" s="1"/>
  <c r="X642" i="11"/>
  <c r="X414" i="11"/>
  <c r="X447" i="11"/>
  <c r="X240" i="11"/>
  <c r="X452" i="11"/>
  <c r="X268" i="11"/>
  <c r="AB472" i="11"/>
  <c r="AD472" i="11" s="1"/>
  <c r="Y609" i="11"/>
  <c r="AA609" i="11" s="1"/>
  <c r="Y621" i="11"/>
  <c r="AA621" i="11" s="1"/>
  <c r="Y538" i="11"/>
  <c r="AA538" i="11" s="1"/>
  <c r="Y649" i="11"/>
  <c r="AA649" i="11" s="1"/>
  <c r="AB217" i="11"/>
  <c r="AB458" i="11"/>
  <c r="AD458" i="11" s="1"/>
  <c r="AB484" i="11"/>
  <c r="AD484" i="11" s="1"/>
  <c r="AB523" i="11"/>
  <c r="Y417" i="11"/>
  <c r="AA417" i="11" s="1"/>
  <c r="Y268" i="11"/>
  <c r="AA268" i="11" s="1"/>
  <c r="AB704" i="11"/>
  <c r="X421" i="11"/>
  <c r="Y77" i="11"/>
  <c r="AA77" i="11" s="1"/>
  <c r="AB528" i="11"/>
  <c r="X59" i="11"/>
  <c r="X539" i="11"/>
  <c r="X196" i="11"/>
  <c r="Y513" i="11"/>
  <c r="AB538" i="11"/>
  <c r="AB649" i="11"/>
  <c r="Y158" i="11"/>
  <c r="AA158" i="11" s="1"/>
  <c r="Y703" i="11"/>
  <c r="AA703" i="11" s="1"/>
  <c r="Y72" i="11"/>
  <c r="AA72" i="11" s="1"/>
  <c r="Y499" i="11"/>
  <c r="AA499" i="11" s="1"/>
  <c r="Y140" i="11"/>
  <c r="AA140" i="11" s="1"/>
  <c r="Y517" i="11"/>
  <c r="AA517" i="11" s="1"/>
  <c r="Y675" i="11"/>
  <c r="AA675" i="11" s="1"/>
  <c r="AB524" i="11"/>
  <c r="X389" i="11"/>
  <c r="Y641" i="11"/>
  <c r="AA641" i="11" s="1"/>
  <c r="X517" i="11"/>
  <c r="X109" i="11"/>
  <c r="Y480" i="11"/>
  <c r="AA480" i="11" s="1"/>
  <c r="Y176" i="11"/>
  <c r="AA176" i="11" s="1"/>
  <c r="Y701" i="11"/>
  <c r="AA701" i="11" s="1"/>
  <c r="AB608" i="11"/>
  <c r="Y539" i="11"/>
  <c r="AA539" i="11" s="1"/>
  <c r="Y409" i="11"/>
  <c r="AA409" i="11" s="1"/>
  <c r="AB140" i="11"/>
  <c r="Y196" i="11"/>
  <c r="AA196" i="11" s="1"/>
  <c r="X235" i="11"/>
  <c r="X608" i="11"/>
  <c r="AB463" i="11"/>
  <c r="AD463" i="11" s="1"/>
  <c r="Y59" i="11"/>
  <c r="AA59" i="11" s="1"/>
  <c r="AB159" i="11"/>
  <c r="AB207" i="11"/>
  <c r="Y447" i="11"/>
  <c r="AA447" i="11" s="1"/>
  <c r="AB409" i="11"/>
  <c r="AD409" i="11" s="1"/>
  <c r="Y651" i="11"/>
  <c r="Y130" i="11"/>
  <c r="AA130" i="11" s="1"/>
  <c r="X397" i="11"/>
  <c r="AB397" i="11"/>
  <c r="Y683" i="11"/>
  <c r="AA683" i="11" s="1"/>
  <c r="Y144" i="11"/>
  <c r="AA144" i="11" s="1"/>
  <c r="Y560" i="11"/>
  <c r="AA560" i="11" s="1"/>
  <c r="Y207" i="11"/>
  <c r="AA207" i="11" s="1"/>
  <c r="Y452" i="11"/>
  <c r="AA452" i="11" s="1"/>
  <c r="AB439" i="11"/>
  <c r="AD439" i="11" s="1"/>
  <c r="X144" i="11"/>
  <c r="X57" i="11"/>
  <c r="X90" i="11"/>
  <c r="X87" i="11"/>
  <c r="X224" i="11"/>
  <c r="X139" i="11"/>
  <c r="X220" i="11"/>
  <c r="X168" i="11"/>
  <c r="Y210" i="11"/>
  <c r="AA210" i="11" s="1"/>
  <c r="Y422" i="11"/>
  <c r="AA422" i="11" s="1"/>
  <c r="AB90" i="11"/>
  <c r="AD90" i="11" s="1"/>
  <c r="AB66" i="11"/>
  <c r="AD66" i="11" s="1"/>
  <c r="AB168" i="11"/>
  <c r="X248" i="11"/>
  <c r="X205" i="11"/>
  <c r="X582" i="11"/>
  <c r="Y534" i="11"/>
  <c r="AA534" i="11" s="1"/>
  <c r="AB210" i="11"/>
  <c r="Y482" i="11"/>
  <c r="AA482" i="11" s="1"/>
  <c r="AB218" i="11"/>
  <c r="X655" i="11"/>
  <c r="X12" i="11"/>
  <c r="X66" i="11"/>
  <c r="X707" i="11"/>
  <c r="AB534" i="11"/>
  <c r="Y218" i="11"/>
  <c r="AA218" i="11" s="1"/>
  <c r="AB646" i="11"/>
  <c r="Y231" i="11"/>
  <c r="AA231" i="11" s="1"/>
  <c r="X408" i="11"/>
  <c r="Y204" i="11"/>
  <c r="AA204" i="11" s="1"/>
  <c r="Y52" i="11"/>
  <c r="AA52" i="11" s="1"/>
  <c r="Y205" i="11"/>
  <c r="AA205" i="11" s="1"/>
  <c r="Y590" i="11"/>
  <c r="AA590" i="11" s="1"/>
  <c r="X550" i="11"/>
  <c r="X204" i="11"/>
  <c r="Y224" i="11"/>
  <c r="AA224" i="11" s="1"/>
  <c r="AB590" i="11"/>
  <c r="X269" i="11"/>
  <c r="Y476" i="11"/>
  <c r="Y531" i="11"/>
  <c r="AA531" i="11" s="1"/>
  <c r="X436" i="11"/>
  <c r="AB655" i="11"/>
  <c r="Y248" i="11"/>
  <c r="AA248" i="11" s="1"/>
  <c r="Y402" i="11"/>
  <c r="AA402" i="11" s="1"/>
  <c r="Y220" i="11"/>
  <c r="AA220" i="11" s="1"/>
  <c r="Y162" i="11"/>
  <c r="AA162" i="11" s="1"/>
  <c r="Y550" i="11"/>
  <c r="AA550" i="11" s="1"/>
  <c r="Y155" i="11"/>
  <c r="AA155" i="11" s="1"/>
  <c r="X266" i="11"/>
  <c r="X276" i="11"/>
  <c r="X242" i="11"/>
  <c r="Y242" i="11"/>
  <c r="AA242" i="11" s="1"/>
  <c r="X145" i="11"/>
  <c r="Y145" i="11"/>
  <c r="AA145" i="11" s="1"/>
  <c r="Y228" i="11"/>
  <c r="AA228" i="11" s="1"/>
  <c r="Y227" i="11"/>
  <c r="AA227" i="11" s="1"/>
  <c r="X273" i="11"/>
  <c r="X228" i="11"/>
  <c r="AB227" i="11"/>
  <c r="Y278" i="11"/>
  <c r="AA278" i="11" s="1"/>
  <c r="X260" i="11"/>
  <c r="AB206" i="11"/>
  <c r="X262" i="11"/>
  <c r="Y206" i="11"/>
  <c r="AA206" i="11" s="1"/>
  <c r="Y273" i="11"/>
  <c r="AA273" i="11" s="1"/>
  <c r="X202" i="11"/>
  <c r="Y202" i="11"/>
  <c r="AA202" i="11" s="1"/>
  <c r="X383" i="11"/>
  <c r="Y262" i="11"/>
  <c r="AA262" i="11" s="1"/>
  <c r="Y383" i="11"/>
  <c r="AA383" i="11" s="1"/>
  <c r="Y222" i="11"/>
  <c r="AA222" i="11" s="1"/>
  <c r="X222" i="11"/>
  <c r="Y420" i="11"/>
  <c r="AA420" i="11" s="1"/>
  <c r="Y277" i="11"/>
  <c r="AA277" i="11" s="1"/>
  <c r="AB420" i="11"/>
  <c r="AD420" i="11" s="1"/>
  <c r="X387" i="11"/>
  <c r="Y408" i="11"/>
  <c r="AA408" i="11" s="1"/>
  <c r="Y394" i="11"/>
  <c r="AA394" i="11" s="1"/>
  <c r="Y269" i="11"/>
  <c r="AA269" i="11" s="1"/>
  <c r="X278" i="11"/>
  <c r="AB403" i="11"/>
  <c r="X261" i="11"/>
  <c r="Y403" i="11"/>
  <c r="AA403" i="11" s="1"/>
  <c r="Y398" i="11"/>
  <c r="AA398" i="11" s="1"/>
  <c r="X280" i="11"/>
  <c r="AB398" i="11"/>
  <c r="Y430" i="11"/>
  <c r="AA430" i="11" s="1"/>
  <c r="X430" i="11"/>
  <c r="Y438" i="11"/>
  <c r="AA438" i="11" s="1"/>
  <c r="X271" i="11"/>
  <c r="X272" i="11"/>
  <c r="Y404" i="11"/>
  <c r="AA404" i="11" s="1"/>
  <c r="X402" i="11"/>
  <c r="Y272" i="11"/>
  <c r="AA272" i="11" s="1"/>
  <c r="X391" i="11"/>
  <c r="AB277" i="11"/>
  <c r="Y271" i="11"/>
  <c r="AA271" i="11" s="1"/>
  <c r="AB391" i="11"/>
  <c r="Y459" i="11"/>
  <c r="Y424" i="11"/>
  <c r="AA424" i="11" s="1"/>
  <c r="X393" i="11"/>
  <c r="X394" i="11"/>
  <c r="AB387" i="11"/>
  <c r="Y393" i="11"/>
  <c r="AA393" i="11" s="1"/>
  <c r="X399" i="11"/>
  <c r="X395" i="11"/>
  <c r="Y384" i="11"/>
  <c r="AA384" i="11" s="1"/>
  <c r="Y399" i="11"/>
  <c r="AA399" i="11" s="1"/>
  <c r="AB384" i="11"/>
  <c r="Y389" i="11"/>
  <c r="AA389" i="11" s="1"/>
  <c r="Y412" i="11"/>
  <c r="AA412" i="11" s="1"/>
  <c r="AB412" i="11"/>
  <c r="AD412" i="11" s="1"/>
  <c r="X254" i="11"/>
  <c r="Y254" i="11"/>
  <c r="AA254" i="11" s="1"/>
  <c r="X194" i="11"/>
  <c r="Y160" i="11"/>
  <c r="AA160" i="11" s="1"/>
  <c r="Y174" i="11"/>
  <c r="AA174" i="11" s="1"/>
  <c r="AB160" i="11"/>
  <c r="AB174" i="11"/>
  <c r="AB194" i="11"/>
  <c r="AD194" i="11" s="1"/>
  <c r="Y411" i="11"/>
  <c r="AA411" i="11" s="1"/>
  <c r="AB411" i="11"/>
  <c r="AD411" i="11" s="1"/>
  <c r="X195" i="11"/>
  <c r="AB195" i="11"/>
  <c r="AD195" i="11" s="1"/>
  <c r="Y150" i="11"/>
  <c r="AA150" i="11" s="1"/>
  <c r="AB150" i="11"/>
  <c r="Y276" i="11"/>
  <c r="AA276" i="11" s="1"/>
  <c r="X208" i="11"/>
  <c r="Y208" i="11"/>
  <c r="AA208" i="11" s="1"/>
  <c r="Y280" i="11"/>
  <c r="AA280" i="11" s="1"/>
  <c r="AB261" i="11"/>
  <c r="Y421" i="11"/>
  <c r="AA421" i="11" s="1"/>
  <c r="X275" i="11"/>
  <c r="X246" i="11"/>
  <c r="Y246" i="11"/>
  <c r="AA246" i="11" s="1"/>
  <c r="Y136" i="11"/>
  <c r="AA136" i="11" s="1"/>
  <c r="AB136" i="11"/>
  <c r="AD136" i="11" s="1"/>
  <c r="Y266" i="11"/>
  <c r="AA266" i="11" s="1"/>
  <c r="Y275" i="11"/>
  <c r="AA275" i="11" s="1"/>
  <c r="X141" i="11"/>
  <c r="Y686" i="11"/>
  <c r="AA686" i="11" s="1"/>
  <c r="AB686" i="11"/>
  <c r="Y460" i="11"/>
  <c r="AA460" i="11" s="1"/>
  <c r="Y141" i="11"/>
  <c r="AA141" i="11" s="1"/>
  <c r="AB460" i="11"/>
  <c r="AD460" i="11" s="1"/>
  <c r="Y392" i="11"/>
  <c r="AA392" i="11" s="1"/>
  <c r="X392" i="11"/>
  <c r="Y8" i="11"/>
  <c r="AA8" i="11" s="1"/>
  <c r="Y672" i="11"/>
  <c r="AA672" i="11" s="1"/>
  <c r="AB178" i="11"/>
  <c r="Y178" i="11"/>
  <c r="AB100" i="11"/>
  <c r="AD100" i="11" s="1"/>
  <c r="Y100" i="11"/>
  <c r="AA100" i="11" s="1"/>
  <c r="AB437" i="11"/>
  <c r="AD437" i="11" s="1"/>
  <c r="Y437" i="11"/>
  <c r="AA437" i="11" s="1"/>
  <c r="AB22" i="11"/>
  <c r="AD22" i="11" s="1"/>
  <c r="Y22" i="11"/>
  <c r="AA22" i="11" s="1"/>
  <c r="AB161" i="11"/>
  <c r="Y161" i="11"/>
  <c r="AB106" i="11"/>
  <c r="AD106" i="11" s="1"/>
  <c r="Y106" i="11"/>
  <c r="AA106" i="11" s="1"/>
  <c r="AB27" i="11"/>
  <c r="AD27" i="11" s="1"/>
  <c r="Y27" i="11"/>
  <c r="AA27" i="11" s="1"/>
  <c r="AB198" i="11"/>
  <c r="AD198" i="11" s="1"/>
  <c r="Y198" i="11"/>
  <c r="AA198" i="11" s="1"/>
  <c r="AB264" i="11"/>
  <c r="Y264" i="11"/>
  <c r="AA264" i="11" s="1"/>
  <c r="AB41" i="11"/>
  <c r="AD41" i="11" s="1"/>
  <c r="Y41" i="11"/>
  <c r="AA41" i="11" s="1"/>
  <c r="AB252" i="11"/>
  <c r="Y252" i="11"/>
  <c r="AA252" i="11" s="1"/>
  <c r="AB494" i="11"/>
  <c r="AD494" i="11" s="1"/>
  <c r="Y494" i="11"/>
  <c r="AA494" i="11" s="1"/>
  <c r="AB456" i="11"/>
  <c r="AD456" i="11" s="1"/>
  <c r="Y456" i="11"/>
  <c r="AA456" i="11" s="1"/>
  <c r="AB557" i="11"/>
  <c r="Y557" i="11"/>
  <c r="AA557" i="11" s="1"/>
  <c r="Y679" i="11"/>
  <c r="AA679" i="11" s="1"/>
  <c r="AB679" i="11"/>
  <c r="AB182" i="11"/>
  <c r="AD182" i="11" s="1"/>
  <c r="Y182" i="11"/>
  <c r="AA182" i="11" s="1"/>
  <c r="AB215" i="11"/>
  <c r="Y215" i="11"/>
  <c r="AA215" i="11" s="1"/>
  <c r="AB53" i="11"/>
  <c r="AD53" i="11" s="1"/>
  <c r="Y53" i="11"/>
  <c r="AA53" i="11" s="1"/>
  <c r="AB120" i="11"/>
  <c r="AD120" i="11" s="1"/>
  <c r="Y120" i="11"/>
  <c r="AA120" i="11" s="1"/>
  <c r="AB201" i="11"/>
  <c r="AD201" i="11" s="1"/>
  <c r="Y201" i="11"/>
  <c r="AA201" i="11" s="1"/>
  <c r="X22" i="11"/>
  <c r="AB110" i="11"/>
  <c r="AD110" i="11" s="1"/>
  <c r="Y110" i="11"/>
  <c r="AA110" i="11" s="1"/>
  <c r="X108" i="11"/>
  <c r="AB108" i="11"/>
  <c r="AD108" i="11" s="1"/>
  <c r="Y108" i="11"/>
  <c r="AA108" i="11" s="1"/>
  <c r="AB189" i="11"/>
  <c r="Y189" i="11"/>
  <c r="AA189" i="11" s="1"/>
  <c r="AB520" i="11"/>
  <c r="Y520" i="11"/>
  <c r="AA520" i="11" s="1"/>
  <c r="AB533" i="11"/>
  <c r="Y533" i="11"/>
  <c r="AA533" i="11" s="1"/>
  <c r="Y583" i="11"/>
  <c r="AA583" i="11" s="1"/>
  <c r="AB583" i="11"/>
  <c r="AB70" i="11"/>
  <c r="AD70" i="11" s="1"/>
  <c r="Y70" i="11"/>
  <c r="AA70" i="11" s="1"/>
  <c r="AB47" i="11"/>
  <c r="AD47" i="11" s="1"/>
  <c r="Y47" i="11"/>
  <c r="AB125" i="11"/>
  <c r="AD125" i="11" s="1"/>
  <c r="Y125" i="11"/>
  <c r="AA125" i="11" s="1"/>
  <c r="AB37" i="11"/>
  <c r="AD37" i="11" s="1"/>
  <c r="Y37" i="11"/>
  <c r="AA37" i="11" s="1"/>
  <c r="AB35" i="11"/>
  <c r="AD35" i="11" s="1"/>
  <c r="Y35" i="11"/>
  <c r="AA35" i="11" s="1"/>
  <c r="AB88" i="11"/>
  <c r="AD88" i="11" s="1"/>
  <c r="Y88" i="11"/>
  <c r="AA88" i="11" s="1"/>
  <c r="AB578" i="11"/>
  <c r="Y578" i="11"/>
  <c r="AA578" i="11" s="1"/>
  <c r="AB678" i="11"/>
  <c r="Y678" i="11"/>
  <c r="AB682" i="11"/>
  <c r="Y682" i="11"/>
  <c r="AB114" i="11"/>
  <c r="AD114" i="11" s="1"/>
  <c r="Y114" i="11"/>
  <c r="AA114" i="11" s="1"/>
  <c r="Y571" i="11"/>
  <c r="AB571" i="11"/>
  <c r="AB68" i="11"/>
  <c r="AD68" i="11" s="1"/>
  <c r="Y68" i="11"/>
  <c r="AA68" i="11" s="1"/>
  <c r="AB149" i="11"/>
  <c r="Y149" i="11"/>
  <c r="AA149" i="11" s="1"/>
  <c r="Y86" i="11"/>
  <c r="AA86" i="11" s="1"/>
  <c r="AB86" i="11"/>
  <c r="AD86" i="11" s="1"/>
  <c r="AB129" i="11"/>
  <c r="AD129" i="11" s="1"/>
  <c r="Y129" i="11"/>
  <c r="AA129" i="11" s="1"/>
  <c r="Y38" i="11"/>
  <c r="AA38" i="11" s="1"/>
  <c r="AB38" i="11"/>
  <c r="AD38" i="11" s="1"/>
  <c r="AB416" i="11"/>
  <c r="AD416" i="11" s="1"/>
  <c r="Y416" i="11"/>
  <c r="AA416" i="11" s="1"/>
  <c r="AB600" i="11"/>
  <c r="Y600" i="11"/>
  <c r="AA600" i="11" s="1"/>
  <c r="Y607" i="11"/>
  <c r="AA607" i="11" s="1"/>
  <c r="AB607" i="11"/>
  <c r="AB700" i="11"/>
  <c r="Y700" i="11"/>
  <c r="AA700" i="11" s="1"/>
  <c r="AB119" i="11"/>
  <c r="AD119" i="11" s="1"/>
  <c r="Y119" i="11"/>
  <c r="AA119" i="11" s="1"/>
  <c r="AB577" i="11"/>
  <c r="Y577" i="11"/>
  <c r="AA577" i="11" s="1"/>
  <c r="AB180" i="11"/>
  <c r="Y180" i="11"/>
  <c r="AA180" i="11" s="1"/>
  <c r="AB256" i="11"/>
  <c r="Y256" i="11"/>
  <c r="AA256" i="11" s="1"/>
  <c r="X215" i="11"/>
  <c r="AB76" i="11"/>
  <c r="AD76" i="11" s="1"/>
  <c r="Y76" i="11"/>
  <c r="AA76" i="11" s="1"/>
  <c r="AB492" i="11"/>
  <c r="AD492" i="11" s="1"/>
  <c r="Y492" i="11"/>
  <c r="AB413" i="11"/>
  <c r="AD413" i="11" s="1"/>
  <c r="Y413" i="11"/>
  <c r="AA413" i="11" s="1"/>
  <c r="AB564" i="11"/>
  <c r="Y564" i="11"/>
  <c r="AA564" i="11" s="1"/>
  <c r="AB628" i="11"/>
  <c r="Y628" i="11"/>
  <c r="AA628" i="11" s="1"/>
  <c r="AB281" i="11"/>
  <c r="Y281" i="11"/>
  <c r="AA281" i="11" s="1"/>
  <c r="Y111" i="11"/>
  <c r="AA111" i="11" s="1"/>
  <c r="AB111" i="11"/>
  <c r="AD111" i="11" s="1"/>
  <c r="AB184" i="11"/>
  <c r="AD184" i="11" s="1"/>
  <c r="Y184" i="11"/>
  <c r="AA184" i="11" s="1"/>
  <c r="X238" i="11"/>
  <c r="AB238" i="11"/>
  <c r="Y238" i="11"/>
  <c r="AA238" i="11" s="1"/>
  <c r="AB401" i="11"/>
  <c r="Y401" i="11"/>
  <c r="AA401" i="11" s="1"/>
  <c r="AB662" i="11"/>
  <c r="Y662" i="11"/>
  <c r="AA662" i="11" s="1"/>
  <c r="AB423" i="11"/>
  <c r="AD423" i="11" s="1"/>
  <c r="Y423" i="11"/>
  <c r="AA423" i="11" s="1"/>
  <c r="AB657" i="11"/>
  <c r="Y657" i="11"/>
  <c r="AB599" i="11"/>
  <c r="Y599" i="11"/>
  <c r="AA599" i="11" s="1"/>
  <c r="AB537" i="11"/>
  <c r="Y537" i="11"/>
  <c r="AA537" i="11" s="1"/>
  <c r="AB270" i="11"/>
  <c r="Y270" i="11"/>
  <c r="AA270" i="11" s="1"/>
  <c r="AB670" i="11"/>
  <c r="Y670" i="11"/>
  <c r="AA670" i="11" s="1"/>
  <c r="AB385" i="11"/>
  <c r="Y385" i="11"/>
  <c r="AA385" i="11" s="1"/>
  <c r="AB674" i="11"/>
  <c r="Y674" i="11"/>
  <c r="Y267" i="11"/>
  <c r="AA267" i="11" s="1"/>
  <c r="AB267" i="11"/>
  <c r="AB112" i="11"/>
  <c r="AD112" i="11" s="1"/>
  <c r="Y112" i="11"/>
  <c r="AB143" i="11"/>
  <c r="AD143" i="11" s="1"/>
  <c r="Y143" i="11"/>
  <c r="AA143" i="11" s="1"/>
  <c r="AB237" i="11"/>
  <c r="Y237" i="11"/>
  <c r="AA237" i="11" s="1"/>
  <c r="AB166" i="11"/>
  <c r="Y166" i="11"/>
  <c r="AA166" i="11" s="1"/>
  <c r="AB200" i="11"/>
  <c r="AD200" i="11" s="1"/>
  <c r="Y200" i="11"/>
  <c r="AA200" i="11" s="1"/>
  <c r="AB562" i="11"/>
  <c r="Y562" i="11"/>
  <c r="AA562" i="11" s="1"/>
  <c r="Y667" i="11"/>
  <c r="AA667" i="11" s="1"/>
  <c r="AB667" i="11"/>
  <c r="AB690" i="11"/>
  <c r="Y690" i="11"/>
  <c r="AA690" i="11" s="1"/>
  <c r="AB44" i="11"/>
  <c r="AD44" i="11" s="1"/>
  <c r="Y44" i="11"/>
  <c r="AA44" i="11" s="1"/>
  <c r="Y462" i="11"/>
  <c r="AA462" i="11" s="1"/>
  <c r="AB462" i="11"/>
  <c r="AD462" i="11" s="1"/>
  <c r="AB483" i="11"/>
  <c r="AD483" i="11" s="1"/>
  <c r="Y483" i="11"/>
  <c r="AA483" i="11" s="1"/>
  <c r="AB39" i="11"/>
  <c r="AD39" i="11" s="1"/>
  <c r="Y39" i="11"/>
  <c r="AB153" i="11"/>
  <c r="AD153" i="11" s="1"/>
  <c r="Y153" i="11"/>
  <c r="AA153" i="11" s="1"/>
  <c r="AB213" i="11"/>
  <c r="Y213" i="11"/>
  <c r="AA213" i="11" s="1"/>
  <c r="AB137" i="11"/>
  <c r="AD137" i="11" s="1"/>
  <c r="Y137" i="11"/>
  <c r="AB113" i="11"/>
  <c r="AD113" i="11" s="1"/>
  <c r="Y113" i="11"/>
  <c r="AA113" i="11" s="1"/>
  <c r="X94" i="11"/>
  <c r="AB94" i="11"/>
  <c r="AD94" i="11" s="1"/>
  <c r="Y94" i="11"/>
  <c r="AA94" i="11" s="1"/>
  <c r="AB128" i="11"/>
  <c r="AD128" i="11" s="1"/>
  <c r="Y128" i="11"/>
  <c r="AA128" i="11" s="1"/>
  <c r="AB249" i="11"/>
  <c r="Y249" i="11"/>
  <c r="AA249" i="11" s="1"/>
  <c r="AB586" i="11"/>
  <c r="Y586" i="11"/>
  <c r="AA586" i="11" s="1"/>
  <c r="AB601" i="11"/>
  <c r="Y601" i="11"/>
  <c r="AA601" i="11" s="1"/>
  <c r="AB618" i="11"/>
  <c r="Y618" i="11"/>
  <c r="AA618" i="11" s="1"/>
  <c r="Y535" i="11"/>
  <c r="AA535" i="11" s="1"/>
  <c r="AB535" i="11"/>
  <c r="Y255" i="11"/>
  <c r="AA255" i="11" s="1"/>
  <c r="AB255" i="11"/>
  <c r="AB43" i="11"/>
  <c r="AD43" i="11" s="1"/>
  <c r="Y43" i="11"/>
  <c r="AA43" i="11" s="1"/>
  <c r="AB516" i="11"/>
  <c r="Y516" i="11"/>
  <c r="AA516" i="11" s="1"/>
  <c r="AB645" i="11"/>
  <c r="Y645" i="11"/>
  <c r="AA645" i="11" s="1"/>
  <c r="AB10" i="11"/>
  <c r="AD10" i="11" s="1"/>
  <c r="Y10" i="11"/>
  <c r="AA10" i="11" s="1"/>
  <c r="AB244" i="11"/>
  <c r="Y244" i="11"/>
  <c r="AA244" i="11" s="1"/>
  <c r="Y62" i="11"/>
  <c r="AA62" i="11" s="1"/>
  <c r="AB62" i="11"/>
  <c r="AD62" i="11" s="1"/>
  <c r="AB258" i="11"/>
  <c r="Y258" i="11"/>
  <c r="AA258" i="11" s="1"/>
  <c r="AB58" i="11"/>
  <c r="AD58" i="11" s="1"/>
  <c r="Y58" i="11"/>
  <c r="AA58" i="11" s="1"/>
  <c r="AB188" i="11"/>
  <c r="Y188" i="11"/>
  <c r="AA188" i="11" s="1"/>
  <c r="AB21" i="11"/>
  <c r="AD21" i="11" s="1"/>
  <c r="Y21" i="11"/>
  <c r="AA21" i="11" s="1"/>
  <c r="AB55" i="11"/>
  <c r="AD55" i="11" s="1"/>
  <c r="Y55" i="11"/>
  <c r="AA55" i="11" s="1"/>
  <c r="Y99" i="11"/>
  <c r="AA99" i="11" s="1"/>
  <c r="AB99" i="11"/>
  <c r="AD99" i="11" s="1"/>
  <c r="AB546" i="11"/>
  <c r="Y546" i="11"/>
  <c r="AA546" i="11" s="1"/>
  <c r="AB432" i="11"/>
  <c r="AD432" i="11" s="1"/>
  <c r="Y432" i="11"/>
  <c r="AA432" i="11" s="1"/>
  <c r="AB588" i="11"/>
  <c r="Y588" i="11"/>
  <c r="AA588" i="11" s="1"/>
  <c r="AB239" i="11"/>
  <c r="Y239" i="11"/>
  <c r="AA239" i="11" s="1"/>
  <c r="AB33" i="11"/>
  <c r="AD33" i="11" s="1"/>
  <c r="Y33" i="11"/>
  <c r="AA33" i="11" s="1"/>
  <c r="AB126" i="11"/>
  <c r="AD126" i="11" s="1"/>
  <c r="Y126" i="11"/>
  <c r="AA126" i="11" s="1"/>
  <c r="AB192" i="11"/>
  <c r="AD192" i="11" s="1"/>
  <c r="Y192" i="11"/>
  <c r="AA192" i="11" s="1"/>
  <c r="X400" i="11"/>
  <c r="AB400" i="11"/>
  <c r="Y400" i="11"/>
  <c r="AA400" i="11" s="1"/>
  <c r="X68" i="11"/>
  <c r="AB250" i="11"/>
  <c r="Y250" i="11"/>
  <c r="AA250" i="11" s="1"/>
  <c r="AB172" i="11"/>
  <c r="AD172" i="11" s="1"/>
  <c r="Y172" i="11"/>
  <c r="AA172" i="11" s="1"/>
  <c r="Y147" i="11"/>
  <c r="AA147" i="11" s="1"/>
  <c r="AB147" i="11"/>
  <c r="AB186" i="11"/>
  <c r="Y186" i="11"/>
  <c r="AA186" i="11" s="1"/>
  <c r="AB116" i="11"/>
  <c r="AD116" i="11" s="1"/>
  <c r="Y116" i="11"/>
  <c r="AA116" i="11" s="1"/>
  <c r="AB167" i="11"/>
  <c r="Y167" i="11"/>
  <c r="AA167" i="11" s="1"/>
  <c r="AB406" i="11"/>
  <c r="Y406" i="11"/>
  <c r="AA406" i="11" s="1"/>
  <c r="AB455" i="11"/>
  <c r="AD455" i="11" s="1"/>
  <c r="Y455" i="11"/>
  <c r="AA455" i="11" s="1"/>
  <c r="AB441" i="11"/>
  <c r="AD441" i="11" s="1"/>
  <c r="Y441" i="11"/>
  <c r="AA441" i="11" s="1"/>
  <c r="AB541" i="11"/>
  <c r="Y541" i="11"/>
  <c r="AA541" i="11" s="1"/>
  <c r="Y475" i="11"/>
  <c r="AA475" i="11" s="1"/>
  <c r="AB475" i="11"/>
  <c r="AD475" i="11" s="1"/>
  <c r="AB95" i="11"/>
  <c r="AD95" i="11" s="1"/>
  <c r="Y95" i="11"/>
  <c r="AA95" i="11" s="1"/>
  <c r="AB117" i="11"/>
  <c r="AD117" i="11" s="1"/>
  <c r="Y117" i="11"/>
  <c r="AA117" i="11" s="1"/>
  <c r="X182" i="11"/>
  <c r="X281" i="11"/>
  <c r="X510" i="11"/>
  <c r="X446" i="11"/>
  <c r="AA454" i="11"/>
  <c r="X401" i="11"/>
  <c r="X180" i="11"/>
  <c r="X689" i="11"/>
  <c r="X672" i="11"/>
  <c r="X129" i="11"/>
  <c r="X679" i="11"/>
  <c r="X166" i="11"/>
  <c r="X577" i="11"/>
  <c r="X455" i="11"/>
  <c r="X112" i="11"/>
  <c r="AA112" i="11"/>
  <c r="AA513" i="11"/>
  <c r="X513" i="11"/>
  <c r="X250" i="11"/>
  <c r="X149" i="11"/>
  <c r="AA137" i="11"/>
  <c r="X137" i="11"/>
  <c r="X682" i="11"/>
  <c r="AA682" i="11"/>
  <c r="X258" i="11"/>
  <c r="X58" i="11"/>
  <c r="X546" i="11"/>
  <c r="X456" i="11"/>
  <c r="X113" i="11"/>
  <c r="X586" i="11"/>
  <c r="X437" i="11"/>
  <c r="X33" i="11"/>
  <c r="X503" i="11"/>
  <c r="AA503" i="11"/>
  <c r="X126" i="11"/>
  <c r="X213" i="11"/>
  <c r="AA451" i="11"/>
  <c r="X451" i="11"/>
  <c r="X192" i="11"/>
  <c r="AA476" i="11"/>
  <c r="X476" i="11"/>
  <c r="X41" i="11"/>
  <c r="X413" i="11"/>
  <c r="X475" i="11"/>
  <c r="AA435" i="11"/>
  <c r="X435" i="11"/>
  <c r="X526" i="11"/>
  <c r="AA526" i="11"/>
  <c r="X39" i="11"/>
  <c r="AA39" i="11"/>
  <c r="X599" i="11"/>
  <c r="X578" i="11"/>
  <c r="AA589" i="11"/>
  <c r="X589" i="11"/>
  <c r="X557" i="11"/>
  <c r="X53" i="11"/>
  <c r="X62" i="11"/>
  <c r="X120" i="11"/>
  <c r="X667" i="11"/>
  <c r="X385" i="11"/>
  <c r="X494" i="11"/>
  <c r="X466" i="11"/>
  <c r="AA466" i="11"/>
  <c r="X520" i="11"/>
  <c r="X416" i="11"/>
  <c r="AA459" i="11"/>
  <c r="X459" i="11"/>
  <c r="AA47" i="11"/>
  <c r="X47" i="11"/>
  <c r="X662" i="11"/>
  <c r="AA596" i="11"/>
  <c r="X596" i="11"/>
  <c r="X441" i="11"/>
  <c r="X423" i="11"/>
  <c r="AA581" i="11"/>
  <c r="X581" i="11"/>
  <c r="X432" i="11"/>
  <c r="X244" i="11"/>
  <c r="X530" i="11"/>
  <c r="AA530" i="11"/>
  <c r="AA668" i="11"/>
  <c r="X668" i="11"/>
  <c r="X562" i="11"/>
  <c r="AA449" i="11"/>
  <c r="X449" i="11"/>
  <c r="X588" i="11"/>
  <c r="X201" i="11"/>
  <c r="AA419" i="11"/>
  <c r="X419" i="11"/>
  <c r="AA463" i="11"/>
  <c r="X463" i="11"/>
  <c r="X264" i="11"/>
  <c r="X465" i="11"/>
  <c r="AA465" i="11"/>
  <c r="X172" i="11"/>
  <c r="AA674" i="11"/>
  <c r="X674" i="11"/>
  <c r="X583" i="11"/>
  <c r="X86" i="11"/>
  <c r="AA657" i="11"/>
  <c r="X657" i="11"/>
  <c r="X237" i="11"/>
  <c r="AA651" i="11"/>
  <c r="X651" i="11"/>
  <c r="X645" i="11"/>
  <c r="X186" i="11"/>
  <c r="X114" i="11"/>
  <c r="AA161" i="11"/>
  <c r="X161" i="11"/>
  <c r="AA571" i="11"/>
  <c r="X571" i="11"/>
  <c r="X100" i="11"/>
  <c r="X255" i="11"/>
  <c r="X543" i="11"/>
  <c r="AA543" i="11"/>
  <c r="AA684" i="11"/>
  <c r="X684" i="11"/>
  <c r="X119" i="11"/>
  <c r="X533" i="11"/>
  <c r="X601" i="11"/>
  <c r="X188" i="11"/>
  <c r="AA178" i="11"/>
  <c r="X178" i="11"/>
  <c r="X270" i="11"/>
  <c r="X607" i="11"/>
  <c r="AA676" i="11"/>
  <c r="X676" i="11"/>
  <c r="X462" i="11"/>
  <c r="X541" i="11"/>
  <c r="X267" i="11"/>
  <c r="AA428" i="11"/>
  <c r="X428" i="11"/>
  <c r="X153" i="11"/>
  <c r="X27" i="11"/>
  <c r="AA492" i="11"/>
  <c r="X492" i="11"/>
  <c r="X610" i="11"/>
  <c r="AA610" i="11"/>
  <c r="X116" i="11"/>
  <c r="X167" i="11"/>
  <c r="X198" i="11"/>
  <c r="X256" i="11"/>
  <c r="X10" i="11"/>
  <c r="X111" i="11"/>
  <c r="X425" i="11"/>
  <c r="AA425" i="11"/>
  <c r="X143" i="11"/>
  <c r="X564" i="11"/>
  <c r="X690" i="11"/>
  <c r="X125" i="11"/>
  <c r="AA678" i="11"/>
  <c r="X678" i="11"/>
  <c r="X43" i="11"/>
  <c r="X106" i="11"/>
  <c r="X184" i="11"/>
  <c r="X422" i="11"/>
  <c r="X147" i="11"/>
  <c r="X618" i="11"/>
  <c r="X670" i="11"/>
  <c r="AA604" i="11"/>
  <c r="X604" i="11"/>
  <c r="AA594" i="11"/>
  <c r="X594" i="11"/>
  <c r="X600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Dungeons in 4K:
https://bit.ly/3DD1adH
Monsters:
https://bit.ly/3TzSKtp
	-KaYa 43v3r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<sst xmlns="http://schemas.openxmlformats.org/spreadsheetml/2006/main" count="17719" uniqueCount="8881">
  <si>
    <t>World</t>
  </si>
  <si>
    <t>Dungeon</t>
  </si>
  <si>
    <t>Dungeon Level</t>
  </si>
  <si>
    <t>"Concatener"</t>
  </si>
  <si>
    <t>Name</t>
  </si>
  <si>
    <t>Level</t>
  </si>
  <si>
    <t>Class</t>
  </si>
  <si>
    <t>Strength</t>
  </si>
  <si>
    <t>Dexterity</t>
  </si>
  <si>
    <t>Intelligence</t>
  </si>
  <si>
    <t>Constitution</t>
  </si>
  <si>
    <t>Luck</t>
  </si>
  <si>
    <t>Life</t>
  </si>
  <si>
    <t>Experience</t>
  </si>
  <si>
    <t>Light</t>
  </si>
  <si>
    <t>1-Desecrated Catacomb</t>
  </si>
  <si>
    <t>Ghost</t>
  </si>
  <si>
    <t>Mage</t>
  </si>
  <si>
    <t>1.694</t>
  </si>
  <si>
    <t>1.287</t>
  </si>
  <si>
    <t>Skeleton</t>
  </si>
  <si>
    <t>Warrior</t>
  </si>
  <si>
    <t>6.565</t>
  </si>
  <si>
    <t>1.785</t>
  </si>
  <si>
    <t>Undead</t>
  </si>
  <si>
    <t>9.300</t>
  </si>
  <si>
    <t>2.395</t>
  </si>
  <si>
    <t>Devious Vampire</t>
  </si>
  <si>
    <t>Scout</t>
  </si>
  <si>
    <t>8.908</t>
  </si>
  <si>
    <t>3.146</t>
  </si>
  <si>
    <t>Night Ghoul</t>
  </si>
  <si>
    <t>16.055</t>
  </si>
  <si>
    <t>4.050</t>
  </si>
  <si>
    <t>Banshee</t>
  </si>
  <si>
    <t>9.108</t>
  </si>
  <si>
    <t>6.412</t>
  </si>
  <si>
    <t>Skeleton Soldier</t>
  </si>
  <si>
    <t>35.100</t>
  </si>
  <si>
    <t>9.631</t>
  </si>
  <si>
    <t>Voodoo Master</t>
  </si>
  <si>
    <t>17.298</t>
  </si>
  <si>
    <t>13.952</t>
  </si>
  <si>
    <t>Flesh Golem</t>
  </si>
  <si>
    <t>91.225</t>
  </si>
  <si>
    <t>30.909</t>
  </si>
  <si>
    <t>Lord of Darkness</t>
  </si>
  <si>
    <t>114.444</t>
  </si>
  <si>
    <t>60.343</t>
  </si>
  <si>
    <t>2-The Mines of Gloria</t>
  </si>
  <si>
    <t>Water Glompf</t>
  </si>
  <si>
    <t>14.616</t>
  </si>
  <si>
    <t>2.124</t>
  </si>
  <si>
    <t>Yeti</t>
  </si>
  <si>
    <t>29.750</t>
  </si>
  <si>
    <t>7.909</t>
  </si>
  <si>
    <t>41.180</t>
  </si>
  <si>
    <t>11.652</t>
  </si>
  <si>
    <t>Ugly Gremlin</t>
  </si>
  <si>
    <t>42.420</t>
  </si>
  <si>
    <t>19.539</t>
  </si>
  <si>
    <t>Stone Giant</t>
  </si>
  <si>
    <t>77.610</t>
  </si>
  <si>
    <t>26.652</t>
  </si>
  <si>
    <t>Fire Elemental</t>
  </si>
  <si>
    <t>36.990</t>
  </si>
  <si>
    <t>40.886</t>
  </si>
  <si>
    <t>Stone Troll</t>
  </si>
  <si>
    <t>137.935</t>
  </si>
  <si>
    <t>53.228</t>
  </si>
  <si>
    <t>Redlight Succubus</t>
  </si>
  <si>
    <t>155.040</t>
  </si>
  <si>
    <t>86.309</t>
  </si>
  <si>
    <t>Abhorrent Demon</t>
  </si>
  <si>
    <t>1.160</t>
  </si>
  <si>
    <t>235.840</t>
  </si>
  <si>
    <t>148.282</t>
  </si>
  <si>
    <t>Hell Beast</t>
  </si>
  <si>
    <t>1.240</t>
  </si>
  <si>
    <t>340.800</t>
  </si>
  <si>
    <t>181.085</t>
  </si>
  <si>
    <t>3-The Ruins of Gnark</t>
  </si>
  <si>
    <t>Sewer Rat</t>
  </si>
  <si>
    <t>36.432</t>
  </si>
  <si>
    <t>16.557</t>
  </si>
  <si>
    <t>Dusty Bat</t>
  </si>
  <si>
    <t>50.912</t>
  </si>
  <si>
    <t>22.893</t>
  </si>
  <si>
    <t>Terror Tarantula</t>
  </si>
  <si>
    <t>69.316</t>
  </si>
  <si>
    <t>35.642</t>
  </si>
  <si>
    <t>Rowdy Robber</t>
  </si>
  <si>
    <t>126.665</t>
  </si>
  <si>
    <t>46.757</t>
  </si>
  <si>
    <t>Dirty Rotten Scoundrel</t>
  </si>
  <si>
    <t>176.000</t>
  </si>
  <si>
    <t>76.872</t>
  </si>
  <si>
    <t>Grim Wolf</t>
  </si>
  <si>
    <t>1.040</t>
  </si>
  <si>
    <t>185.400</t>
  </si>
  <si>
    <t>108.013</t>
  </si>
  <si>
    <t>Bad Bandit</t>
  </si>
  <si>
    <t>1.120</t>
  </si>
  <si>
    <t>273.000</t>
  </si>
  <si>
    <t>133.734</t>
  </si>
  <si>
    <t>Beastie</t>
  </si>
  <si>
    <t>1.360</t>
  </si>
  <si>
    <t>1.080</t>
  </si>
  <si>
    <t>332.640</t>
  </si>
  <si>
    <t>240.784</t>
  </si>
  <si>
    <t>Grave Robber</t>
  </si>
  <si>
    <t>1.560</t>
  </si>
  <si>
    <t>1.280</t>
  </si>
  <si>
    <t>556.800</t>
  </si>
  <si>
    <t>374.041</t>
  </si>
  <si>
    <t>Robber Chief</t>
  </si>
  <si>
    <t>1.640</t>
  </si>
  <si>
    <t>618.800</t>
  </si>
  <si>
    <t>441.608</t>
  </si>
  <si>
    <t>4-The Cutthroat Grotto</t>
  </si>
  <si>
    <t>Wind Elemental</t>
  </si>
  <si>
    <t>127.412</t>
  </si>
  <si>
    <t>68.234</t>
  </si>
  <si>
    <t>Pirate Dark Beard</t>
  </si>
  <si>
    <t>1.000</t>
  </si>
  <si>
    <t>169.920</t>
  </si>
  <si>
    <t>96.706</t>
  </si>
  <si>
    <t>252.000</t>
  </si>
  <si>
    <t>120.287</t>
  </si>
  <si>
    <t>Shadow Alligator</t>
  </si>
  <si>
    <t>1.200</t>
  </si>
  <si>
    <t>317.400</t>
  </si>
  <si>
    <t>163.994</t>
  </si>
  <si>
    <t>Sturdy Swashbuckler</t>
  </si>
  <si>
    <t>1.320</t>
  </si>
  <si>
    <t>390.000</t>
  </si>
  <si>
    <t>Mean Monster Rabbit</t>
  </si>
  <si>
    <t>1.480</t>
  </si>
  <si>
    <t>398.400</t>
  </si>
  <si>
    <t>315.135</t>
  </si>
  <si>
    <t>Cutthroat</t>
  </si>
  <si>
    <t>1.520</t>
  </si>
  <si>
    <t>527.000</t>
  </si>
  <si>
    <t>343.618</t>
  </si>
  <si>
    <t>Pirate Blood Nose</t>
  </si>
  <si>
    <t>1.760</t>
  </si>
  <si>
    <t>717.800</t>
  </si>
  <si>
    <t>560.797</t>
  </si>
  <si>
    <t>Octopus</t>
  </si>
  <si>
    <t>1.880</t>
  </si>
  <si>
    <t>1.600</t>
  </si>
  <si>
    <t>659.200</t>
  </si>
  <si>
    <t>704.509</t>
  </si>
  <si>
    <t>Pirate Leader</t>
  </si>
  <si>
    <t>2.040</t>
  </si>
  <si>
    <t>781.440</t>
  </si>
  <si>
    <t>940.791</t>
  </si>
  <si>
    <t>5-The Emerald Scale Altar</t>
  </si>
  <si>
    <t>Rattling Cobra</t>
  </si>
  <si>
    <t>292.000</t>
  </si>
  <si>
    <t>199.497</t>
  </si>
  <si>
    <t>Slashing Saurus</t>
  </si>
  <si>
    <t>1.400</t>
  </si>
  <si>
    <t>353.920</t>
  </si>
  <si>
    <t>263.817</t>
  </si>
  <si>
    <t>Roaring Raptor</t>
  </si>
  <si>
    <t>1.440</t>
  </si>
  <si>
    <t>375.840</t>
  </si>
  <si>
    <t>288.496</t>
  </si>
  <si>
    <t>Swamp Warrior</t>
  </si>
  <si>
    <t>469.920</t>
  </si>
  <si>
    <t>406.744</t>
  </si>
  <si>
    <t>Green Rex</t>
  </si>
  <si>
    <t>1.720</t>
  </si>
  <si>
    <t>684.000</t>
  </si>
  <si>
    <t>518.518</t>
  </si>
  <si>
    <t>Saurus Rogue</t>
  </si>
  <si>
    <t>1.840</t>
  </si>
  <si>
    <t>630.240</t>
  </si>
  <si>
    <t>653.687</t>
  </si>
  <si>
    <t>Swamp Dragon</t>
  </si>
  <si>
    <t>2.000</t>
  </si>
  <si>
    <t>937.400</t>
  </si>
  <si>
    <t>876.584</t>
  </si>
  <si>
    <t>Swamp Gorgon</t>
  </si>
  <si>
    <t>2.200</t>
  </si>
  <si>
    <t>404.800</t>
  </si>
  <si>
    <t>1.081.088</t>
  </si>
  <si>
    <t>Toxic Dragon</t>
  </si>
  <si>
    <t>2.280</t>
  </si>
  <si>
    <t>1.230.000</t>
  </si>
  <si>
    <t>1.412.064</t>
  </si>
  <si>
    <t>King Saurus</t>
  </si>
  <si>
    <t>2.440</t>
  </si>
  <si>
    <t>2.160</t>
  </si>
  <si>
    <t>1.131.840</t>
  </si>
  <si>
    <t>1.821.461</t>
  </si>
  <si>
    <t>6-The Toxic Tree</t>
  </si>
  <si>
    <t>Toxic Tree</t>
  </si>
  <si>
    <t>1.680</t>
  </si>
  <si>
    <t>651.000</t>
  </si>
  <si>
    <t>478.738</t>
  </si>
  <si>
    <t>1.800</t>
  </si>
  <si>
    <t>601.920</t>
  </si>
  <si>
    <t>605.700</t>
  </si>
  <si>
    <t>Rabid Wolf</t>
  </si>
  <si>
    <t>327.600</t>
  </si>
  <si>
    <t>758.451</t>
  </si>
  <si>
    <t>Slime Blob</t>
  </si>
  <si>
    <t>1.960</t>
  </si>
  <si>
    <t>719.040</t>
  </si>
  <si>
    <t>815.853</t>
  </si>
  <si>
    <t>Greenish Gremlin</t>
  </si>
  <si>
    <t>1.920</t>
  </si>
  <si>
    <t>913.920</t>
  </si>
  <si>
    <t>1.237.696</t>
  </si>
  <si>
    <t>Infected Brown Bear</t>
  </si>
  <si>
    <t>2.320</t>
  </si>
  <si>
    <t>1.275.000</t>
  </si>
  <si>
    <t>1.506.706</t>
  </si>
  <si>
    <t>Greedy Gremlin</t>
  </si>
  <si>
    <t>2.400</t>
  </si>
  <si>
    <t>2.120</t>
  </si>
  <si>
    <t>1.093.920</t>
  </si>
  <si>
    <t>1.710.914</t>
  </si>
  <si>
    <t>Swamp Muncher</t>
  </si>
  <si>
    <t>2.640</t>
  </si>
  <si>
    <t>602.800</t>
  </si>
  <si>
    <t>2.187.846</t>
  </si>
  <si>
    <t>Cruel Gremlin</t>
  </si>
  <si>
    <t>2.720</t>
  </si>
  <si>
    <t>1.005</t>
  </si>
  <si>
    <t>1.415.200</t>
  </si>
  <si>
    <t>2.767.832</t>
  </si>
  <si>
    <t>Terrible Toxic Gremlin</t>
  </si>
  <si>
    <t>2.840</t>
  </si>
  <si>
    <t>2.560</t>
  </si>
  <si>
    <t>1.050</t>
  </si>
  <si>
    <t>1.546.240</t>
  </si>
  <si>
    <t>3.280.697</t>
  </si>
  <si>
    <t>7-The Magma Stream</t>
  </si>
  <si>
    <t>Fire Scorpion</t>
  </si>
  <si>
    <t>2.080</t>
  </si>
  <si>
    <t>813.600</t>
  </si>
  <si>
    <t>1.009.041</t>
  </si>
  <si>
    <t>Fire Basilisk</t>
  </si>
  <si>
    <t>879.840</t>
  </si>
  <si>
    <t>1.157.092</t>
  </si>
  <si>
    <t>Lava Blob</t>
  </si>
  <si>
    <t>454.960</t>
  </si>
  <si>
    <t>1.322.625</t>
  </si>
  <si>
    <t>Lava Giant</t>
  </si>
  <si>
    <t>2.360</t>
  </si>
  <si>
    <t>1.320.800</t>
  </si>
  <si>
    <t>1.606.255</t>
  </si>
  <si>
    <t>Dragon of Darkness</t>
  </si>
  <si>
    <t>2.520</t>
  </si>
  <si>
    <t>2.240</t>
  </si>
  <si>
    <t>1.512.000</t>
  </si>
  <si>
    <t>2.059.369</t>
  </si>
  <si>
    <t>Hell Cyclops</t>
  </si>
  <si>
    <t>2.600</t>
  </si>
  <si>
    <t>1.612.400</t>
  </si>
  <si>
    <t>2.322.552</t>
  </si>
  <si>
    <t>2.760</t>
  </si>
  <si>
    <t>663.520</t>
  </si>
  <si>
    <t>2.612.278</t>
  </si>
  <si>
    <t>2.480</t>
  </si>
  <si>
    <t>1.822.800</t>
  </si>
  <si>
    <t>2.930.646</t>
  </si>
  <si>
    <t>Giant Dragon</t>
  </si>
  <si>
    <t>2.800</t>
  </si>
  <si>
    <t>1.877.400</t>
  </si>
  <si>
    <t>3.101.774</t>
  </si>
  <si>
    <t>Ghost of the Volcano</t>
  </si>
  <si>
    <t>3.240</t>
  </si>
  <si>
    <t>1.135</t>
  </si>
  <si>
    <t>1.110</t>
  </si>
  <si>
    <t>2.960</t>
  </si>
  <si>
    <t>2.530.800</t>
  </si>
  <si>
    <t>5.583.708</t>
  </si>
  <si>
    <t>8-The Frost Blood Temple</t>
  </si>
  <si>
    <t>1.463.000</t>
  </si>
  <si>
    <t>1.937.541</t>
  </si>
  <si>
    <t>Black Phantom</t>
  </si>
  <si>
    <t>1.331.040</t>
  </si>
  <si>
    <t>2.463.717</t>
  </si>
  <si>
    <t>Dragon of Cold</t>
  </si>
  <si>
    <t>2.920</t>
  </si>
  <si>
    <t>1.015</t>
  </si>
  <si>
    <t>2.046.000</t>
  </si>
  <si>
    <t>3.663.979</t>
  </si>
  <si>
    <t>Unholy Monk</t>
  </si>
  <si>
    <t>3.000</t>
  </si>
  <si>
    <t>1.729.920</t>
  </si>
  <si>
    <t>4.082.943</t>
  </si>
  <si>
    <t>Hell Alien</t>
  </si>
  <si>
    <t>3.120</t>
  </si>
  <si>
    <t>1.155</t>
  </si>
  <si>
    <t>1.874.400</t>
  </si>
  <si>
    <t>4.785.109</t>
  </si>
  <si>
    <t>The Extraterrestrial</t>
  </si>
  <si>
    <t>3.280</t>
  </si>
  <si>
    <t>1.180</t>
  </si>
  <si>
    <t>959.920</t>
  </si>
  <si>
    <t>5.306.545</t>
  </si>
  <si>
    <t>Dragon of Madness</t>
  </si>
  <si>
    <t>1.150</t>
  </si>
  <si>
    <t>1.125</t>
  </si>
  <si>
    <t>2.595.000</t>
  </si>
  <si>
    <t>5.873.522</t>
  </si>
  <si>
    <t>Twilight Alien</t>
  </si>
  <si>
    <t>3.440</t>
  </si>
  <si>
    <t>3.160</t>
  </si>
  <si>
    <t>1.275</t>
  </si>
  <si>
    <t>2.287.840</t>
  </si>
  <si>
    <t>7.157.815</t>
  </si>
  <si>
    <t>Out of State Alien</t>
  </si>
  <si>
    <t>3.620</t>
  </si>
  <si>
    <t>3.180</t>
  </si>
  <si>
    <t>1.305</t>
  </si>
  <si>
    <t>1.182.960</t>
  </si>
  <si>
    <t>8.070.081</t>
  </si>
  <si>
    <t>Killing Machine</t>
  </si>
  <si>
    <t>3.920</t>
  </si>
  <si>
    <t>3.480</t>
  </si>
  <si>
    <t>1.410</t>
  </si>
  <si>
    <t>1.398.960</t>
  </si>
  <si>
    <t>11.412.835</t>
  </si>
  <si>
    <t>9-The Pyramids of Madness</t>
  </si>
  <si>
    <t>Cave Cyclops</t>
  </si>
  <si>
    <t>2.880</t>
  </si>
  <si>
    <t>1.989.000</t>
  </si>
  <si>
    <t>3.467.701</t>
  </si>
  <si>
    <t>Sandstorm</t>
  </si>
  <si>
    <t>3.040</t>
  </si>
  <si>
    <t>1.090</t>
  </si>
  <si>
    <t>816.400</t>
  </si>
  <si>
    <t>3.868.959</t>
  </si>
  <si>
    <t>1.777.440</t>
  </si>
  <si>
    <t>4.307.201</t>
  </si>
  <si>
    <t>Bigfoot</t>
  </si>
  <si>
    <t>3.080</t>
  </si>
  <si>
    <t>1.075</t>
  </si>
  <si>
    <t>2.282.000</t>
  </si>
  <si>
    <t>4.541.147</t>
  </si>
  <si>
    <t>1.165</t>
  </si>
  <si>
    <t>935.200</t>
  </si>
  <si>
    <t>5.040.468</t>
  </si>
  <si>
    <t>Timmy Suprino</t>
  </si>
  <si>
    <t>3.320</t>
  </si>
  <si>
    <t>1.140</t>
  </si>
  <si>
    <t>2.660.000</t>
  </si>
  <si>
    <t>6.175.189</t>
  </si>
  <si>
    <t>Demoralizing Demon</t>
  </si>
  <si>
    <t>3.360</t>
  </si>
  <si>
    <t>1.245</t>
  </si>
  <si>
    <t>2.180.640</t>
  </si>
  <si>
    <t>6.489.101</t>
  </si>
  <si>
    <t>Pink Monster Rabbit</t>
  </si>
  <si>
    <t>3.400</t>
  </si>
  <si>
    <t>1.260</t>
  </si>
  <si>
    <t>2.233.920</t>
  </si>
  <si>
    <t>6.816.906</t>
  </si>
  <si>
    <t>3.720</t>
  </si>
  <si>
    <t>1.340</t>
  </si>
  <si>
    <t>1.252.960</t>
  </si>
  <si>
    <t>9.081.081</t>
  </si>
  <si>
    <t>Mirror image</t>
  </si>
  <si>
    <t>10-Black Skull Fortress</t>
  </si>
  <si>
    <t>Dark Rider</t>
  </si>
  <si>
    <t>3.940</t>
  </si>
  <si>
    <t>3.660</t>
  </si>
  <si>
    <t>1.450</t>
  </si>
  <si>
    <t>3.015.840</t>
  </si>
  <si>
    <t>12.751.538</t>
  </si>
  <si>
    <t>Skeleton Warrior</t>
  </si>
  <si>
    <t>4.040</t>
  </si>
  <si>
    <t>1.420</t>
  </si>
  <si>
    <t>1.395</t>
  </si>
  <si>
    <t>3.760</t>
  </si>
  <si>
    <t>1.010</t>
  </si>
  <si>
    <t>3.966.800</t>
  </si>
  <si>
    <t>14.222.021</t>
  </si>
  <si>
    <t>Black Skull Warrior</t>
  </si>
  <si>
    <t>4.140</t>
  </si>
  <si>
    <t>1.455</t>
  </si>
  <si>
    <t>1.430</t>
  </si>
  <si>
    <t>3.860</t>
  </si>
  <si>
    <t>1.030</t>
  </si>
  <si>
    <t>4.168.800</t>
  </si>
  <si>
    <t>15.824.529</t>
  </si>
  <si>
    <t>Night Troll</t>
  </si>
  <si>
    <t>4.240</t>
  </si>
  <si>
    <t>1.490</t>
  </si>
  <si>
    <t>1.465</t>
  </si>
  <si>
    <t>3.960</t>
  </si>
  <si>
    <t>4.375.800</t>
  </si>
  <si>
    <t>17.581.974</t>
  </si>
  <si>
    <t>Panther</t>
  </si>
  <si>
    <t>1.095</t>
  </si>
  <si>
    <t>4.340</t>
  </si>
  <si>
    <t>1.085</t>
  </si>
  <si>
    <t>4.060</t>
  </si>
  <si>
    <t>1.590</t>
  </si>
  <si>
    <t>3.670.240</t>
  </si>
  <si>
    <t>19.491.852</t>
  </si>
  <si>
    <t>Man-Eater</t>
  </si>
  <si>
    <t>4.440</t>
  </si>
  <si>
    <t>4.160</t>
  </si>
  <si>
    <t>1.645</t>
  </si>
  <si>
    <t>3.843.840</t>
  </si>
  <si>
    <t>21.576.743</t>
  </si>
  <si>
    <t>1.145</t>
  </si>
  <si>
    <t>4.620</t>
  </si>
  <si>
    <t>4.180</t>
  </si>
  <si>
    <t>1.655</t>
  </si>
  <si>
    <t>1.972.960</t>
  </si>
  <si>
    <t>23.839.326</t>
  </si>
  <si>
    <t>4.640</t>
  </si>
  <si>
    <t>1.630</t>
  </si>
  <si>
    <t>1.605</t>
  </si>
  <si>
    <t>4.360</t>
  </si>
  <si>
    <t>1.130</t>
  </si>
  <si>
    <t>5.253.800</t>
  </si>
  <si>
    <t>26.302.843</t>
  </si>
  <si>
    <t>4.740</t>
  </si>
  <si>
    <t>1.665</t>
  </si>
  <si>
    <t>4.460</t>
  </si>
  <si>
    <t>5.485.800</t>
  </si>
  <si>
    <t>28.966.329</t>
  </si>
  <si>
    <t>Knight of the Black Skull</t>
  </si>
  <si>
    <t>4.840</t>
  </si>
  <si>
    <t>1.700</t>
  </si>
  <si>
    <t>1.675</t>
  </si>
  <si>
    <t>4.560</t>
  </si>
  <si>
    <t>1.170</t>
  </si>
  <si>
    <t>5.722.800</t>
  </si>
  <si>
    <t>31.862.139</t>
  </si>
  <si>
    <t>11-Circus of Terror</t>
  </si>
  <si>
    <t>Happy Slappy the Clown</t>
  </si>
  <si>
    <t>4.940</t>
  </si>
  <si>
    <t>1.735</t>
  </si>
  <si>
    <t>1.710</t>
  </si>
  <si>
    <t>4.660</t>
  </si>
  <si>
    <t>1.190</t>
  </si>
  <si>
    <t>5.964.800</t>
  </si>
  <si>
    <t>34.985.806</t>
  </si>
  <si>
    <t>The Blind Knife Thrower</t>
  </si>
  <si>
    <t>1.270</t>
  </si>
  <si>
    <t>5.040</t>
  </si>
  <si>
    <t>4.760</t>
  </si>
  <si>
    <t>1.835</t>
  </si>
  <si>
    <t>4.969.440</t>
  </si>
  <si>
    <t>38.369.989</t>
  </si>
  <si>
    <t>Miniature Gnome</t>
  </si>
  <si>
    <t>5.140</t>
  </si>
  <si>
    <t>1.805</t>
  </si>
  <si>
    <t>1.780</t>
  </si>
  <si>
    <t>4.860</t>
  </si>
  <si>
    <t>1.230</t>
  </si>
  <si>
    <t>6.463.800</t>
  </si>
  <si>
    <t>42.016.588</t>
  </si>
  <si>
    <t>The Bearded Lady</t>
  </si>
  <si>
    <t>5.240</t>
  </si>
  <si>
    <t>1.815</t>
  </si>
  <si>
    <t>4.960</t>
  </si>
  <si>
    <t>1.250</t>
  </si>
  <si>
    <t>6.720.800</t>
  </si>
  <si>
    <t>45.958.126</t>
  </si>
  <si>
    <t>The Psycho Juggler</t>
  </si>
  <si>
    <t>1.325</t>
  </si>
  <si>
    <t>1.345</t>
  </si>
  <si>
    <t>5.420</t>
  </si>
  <si>
    <t>4.980</t>
  </si>
  <si>
    <t>1.935</t>
  </si>
  <si>
    <t>2.748.960</t>
  </si>
  <si>
    <t>50.191.950</t>
  </si>
  <si>
    <t>Siamese Twins</t>
  </si>
  <si>
    <t>1.370</t>
  </si>
  <si>
    <t>5.440</t>
  </si>
  <si>
    <t>5.160</t>
  </si>
  <si>
    <t>1.975</t>
  </si>
  <si>
    <t>5.799.840</t>
  </si>
  <si>
    <t>54.764.113</t>
  </si>
  <si>
    <t>Bronco the Joker</t>
  </si>
  <si>
    <t>5.540</t>
  </si>
  <si>
    <t>1.945</t>
  </si>
  <si>
    <t>5.260</t>
  </si>
  <si>
    <t>1.310</t>
  </si>
  <si>
    <t>7.521.800</t>
  </si>
  <si>
    <t>59.666.036</t>
  </si>
  <si>
    <t>The Snake-man</t>
  </si>
  <si>
    <t>5.640</t>
  </si>
  <si>
    <t>5.360</t>
  </si>
  <si>
    <t>2.045</t>
  </si>
  <si>
    <t>6.239.040</t>
  </si>
  <si>
    <t>64.942.539</t>
  </si>
  <si>
    <t>Madame Mystique</t>
  </si>
  <si>
    <t>1.425</t>
  </si>
  <si>
    <t>1.445</t>
  </si>
  <si>
    <t>5.820</t>
  </si>
  <si>
    <t>5.380</t>
  </si>
  <si>
    <t>2.075</t>
  </si>
  <si>
    <t>3.184.960</t>
  </si>
  <si>
    <t>70.595.045</t>
  </si>
  <si>
    <t>Bozo the Terror Clown</t>
  </si>
  <si>
    <t>5.840</t>
  </si>
  <si>
    <t>2.050</t>
  </si>
  <si>
    <t>2.025</t>
  </si>
  <si>
    <t>5.560</t>
  </si>
  <si>
    <t>8.787.200</t>
  </si>
  <si>
    <t>76.669.139</t>
  </si>
  <si>
    <t>12-Hell</t>
  </si>
  <si>
    <t>Restless Soul</t>
  </si>
  <si>
    <t>1.475</t>
  </si>
  <si>
    <t>1.495</t>
  </si>
  <si>
    <t>6.020</t>
  </si>
  <si>
    <t>5.580</t>
  </si>
  <si>
    <t>2.145</t>
  </si>
  <si>
    <t>3.414.960</t>
  </si>
  <si>
    <t>83.158.305</t>
  </si>
  <si>
    <t>Furious Soul</t>
  </si>
  <si>
    <t>1.500</t>
  </si>
  <si>
    <t>6.120</t>
  </si>
  <si>
    <t>5.680</t>
  </si>
  <si>
    <t>2.180</t>
  </si>
  <si>
    <t>3.532.960</t>
  </si>
  <si>
    <t>90.125.436</t>
  </si>
  <si>
    <t>Old Soul</t>
  </si>
  <si>
    <t>6.140</t>
  </si>
  <si>
    <t>2.155</t>
  </si>
  <si>
    <t>2.130</t>
  </si>
  <si>
    <t>5.860</t>
  </si>
  <si>
    <t>2.255</t>
  </si>
  <si>
    <t>9.258.800</t>
  </si>
  <si>
    <t>97.556.858</t>
  </si>
  <si>
    <t>Pest</t>
  </si>
  <si>
    <t>1.570</t>
  </si>
  <si>
    <t>6.240</t>
  </si>
  <si>
    <t>5.960</t>
  </si>
  <si>
    <t>7.652.640</t>
  </si>
  <si>
    <t>105.514.978</t>
  </si>
  <si>
    <t>Soul Clump</t>
  </si>
  <si>
    <t>1.575</t>
  </si>
  <si>
    <t>1.595</t>
  </si>
  <si>
    <t>6.420</t>
  </si>
  <si>
    <t>5.980</t>
  </si>
  <si>
    <t>2.285</t>
  </si>
  <si>
    <t>3.898.960</t>
  </si>
  <si>
    <t>113.997.992</t>
  </si>
  <si>
    <t>Scourge</t>
  </si>
  <si>
    <t>6.440</t>
  </si>
  <si>
    <t>2.260</t>
  </si>
  <si>
    <t>2.235</t>
  </si>
  <si>
    <t>6.160</t>
  </si>
  <si>
    <t>10.194.800</t>
  </si>
  <si>
    <t>123.067.419</t>
  </si>
  <si>
    <t>Hellhound</t>
  </si>
  <si>
    <t>6.540</t>
  </si>
  <si>
    <t>1.635</t>
  </si>
  <si>
    <t>6.260</t>
  </si>
  <si>
    <t>8.413.440</t>
  </si>
  <si>
    <t>132.712.488</t>
  </si>
  <si>
    <t>The Fuehrer's Heap</t>
  </si>
  <si>
    <t>6.640</t>
  </si>
  <si>
    <t>2.330</t>
  </si>
  <si>
    <t>2.305</t>
  </si>
  <si>
    <t>6.360</t>
  </si>
  <si>
    <t>1.530</t>
  </si>
  <si>
    <t>10.843.800</t>
  </si>
  <si>
    <t>143.018.630</t>
  </si>
  <si>
    <t>The Devil's Advocate</t>
  </si>
  <si>
    <t>6.740</t>
  </si>
  <si>
    <t>2.365</t>
  </si>
  <si>
    <t>2.340</t>
  </si>
  <si>
    <t>6.460</t>
  </si>
  <si>
    <t>1.550</t>
  </si>
  <si>
    <t>11.175.800</t>
  </si>
  <si>
    <t>153.964.246</t>
  </si>
  <si>
    <t>Beelzeboss</t>
  </si>
  <si>
    <t>6.840</t>
  </si>
  <si>
    <t>2.375</t>
  </si>
  <si>
    <t>6.560</t>
  </si>
  <si>
    <t>11.512.800</t>
  </si>
  <si>
    <t>165.631.756</t>
  </si>
  <si>
    <t>13-Dragon's Hoard</t>
  </si>
  <si>
    <t>Not So Snappy Dragon</t>
  </si>
  <si>
    <t>3.100</t>
  </si>
  <si>
    <t>6.200</t>
  </si>
  <si>
    <t>10.500</t>
  </si>
  <si>
    <t>16.000.000</t>
  </si>
  <si>
    <t>Golden Dragon with Fiery-Eyed Glance</t>
  </si>
  <si>
    <t>12.000</t>
  </si>
  <si>
    <t>20.500.000</t>
  </si>
  <si>
    <t>15.166.093</t>
  </si>
  <si>
    <t>Seductive Mother of Drankeys</t>
  </si>
  <si>
    <t>3.460</t>
  </si>
  <si>
    <t>6.920</t>
  </si>
  <si>
    <t>13.500</t>
  </si>
  <si>
    <t>25.000.000</t>
  </si>
  <si>
    <t>16.166.597</t>
  </si>
  <si>
    <t>Undead Saurian Fossil</t>
  </si>
  <si>
    <t>3.640</t>
  </si>
  <si>
    <t>7.280</t>
  </si>
  <si>
    <t>15.000</t>
  </si>
  <si>
    <t>29.500.000</t>
  </si>
  <si>
    <t>17.216.101</t>
  </si>
  <si>
    <t>Shenlong</t>
  </si>
  <si>
    <t>3.820</t>
  </si>
  <si>
    <t>7.640</t>
  </si>
  <si>
    <t>16.500</t>
  </si>
  <si>
    <t>34.000.000</t>
  </si>
  <si>
    <t>18.327.374</t>
  </si>
  <si>
    <t>Baby Dragon</t>
  </si>
  <si>
    <t>4.000</t>
  </si>
  <si>
    <t>18.000</t>
  </si>
  <si>
    <t>38.500.000</t>
  </si>
  <si>
    <t>19.491.822</t>
  </si>
  <si>
    <t>New Year's Dragon</t>
  </si>
  <si>
    <t>8.360</t>
  </si>
  <si>
    <t>19.500</t>
  </si>
  <si>
    <t>43.000.000</t>
  </si>
  <si>
    <t>20.723.258</t>
  </si>
  <si>
    <t>Pet Out of Control</t>
  </si>
  <si>
    <t>8.720</t>
  </si>
  <si>
    <t>21.000</t>
  </si>
  <si>
    <t>47.500.000</t>
  </si>
  <si>
    <t>22.012.436</t>
  </si>
  <si>
    <t>Dragon with Concussion</t>
  </si>
  <si>
    <t>4.540</t>
  </si>
  <si>
    <t>9.080</t>
  </si>
  <si>
    <t>22.500</t>
  </si>
  <si>
    <t>52.000.000</t>
  </si>
  <si>
    <t>23.374.540</t>
  </si>
  <si>
    <t>Annoyed Mother of Dragons</t>
  </si>
  <si>
    <t>4.900</t>
  </si>
  <si>
    <t>9.800</t>
  </si>
  <si>
    <t>25.500</t>
  </si>
  <si>
    <t>61.000.000</t>
  </si>
  <si>
    <t>14-House of Horrors</t>
  </si>
  <si>
    <t>Cutlery Head</t>
  </si>
  <si>
    <t>Conceptual Proof</t>
  </si>
  <si>
    <t>10.160</t>
  </si>
  <si>
    <t>5.080</t>
  </si>
  <si>
    <t>27.000</t>
  </si>
  <si>
    <t>65.500.000</t>
  </si>
  <si>
    <t>27.874.231</t>
  </si>
  <si>
    <t>Dracula</t>
  </si>
  <si>
    <t>10.520</t>
  </si>
  <si>
    <t>28.500</t>
  </si>
  <si>
    <t>70.000.000</t>
  </si>
  <si>
    <t>29.531.221</t>
  </si>
  <si>
    <t>Master of Phone Pranks</t>
  </si>
  <si>
    <t>10.880</t>
  </si>
  <si>
    <t>30.000</t>
  </si>
  <si>
    <t>74.500.000</t>
  </si>
  <si>
    <t>31.261.572</t>
  </si>
  <si>
    <t>Lovable Twins</t>
  </si>
  <si>
    <t>5.620</t>
  </si>
  <si>
    <t>11.240</t>
  </si>
  <si>
    <t>31.500</t>
  </si>
  <si>
    <t>79.000.000</t>
  </si>
  <si>
    <t>33.084.028</t>
  </si>
  <si>
    <t>Friendly Sewer Clown</t>
  </si>
  <si>
    <t>5.800</t>
  </si>
  <si>
    <t>11.600</t>
  </si>
  <si>
    <t>33.000</t>
  </si>
  <si>
    <t>83.500.000</t>
  </si>
  <si>
    <t>Therpist's Doll</t>
  </si>
  <si>
    <t>11.960</t>
  </si>
  <si>
    <t>34.500</t>
  </si>
  <si>
    <t>88.000.000</t>
  </si>
  <si>
    <t>36.987.473</t>
  </si>
  <si>
    <t>Your Worst Nightmare</t>
  </si>
  <si>
    <t>12.320</t>
  </si>
  <si>
    <t>36.000</t>
  </si>
  <si>
    <t>92.500.000</t>
  </si>
  <si>
    <t>39.074.626</t>
  </si>
  <si>
    <t>Butcher Next Door</t>
  </si>
  <si>
    <t>6.340</t>
  </si>
  <si>
    <t>12.680</t>
  </si>
  <si>
    <t>37.500</t>
  </si>
  <si>
    <t>97.000.000</t>
  </si>
  <si>
    <t>41.269.055</t>
  </si>
  <si>
    <t>Tube Girl</t>
  </si>
  <si>
    <t>6.700</t>
  </si>
  <si>
    <t>13.400</t>
  </si>
  <si>
    <t>40.500</t>
  </si>
  <si>
    <t>106.000.000</t>
  </si>
  <si>
    <t>15-The 13th floor</t>
  </si>
  <si>
    <t>Hellgore the Hellish</t>
  </si>
  <si>
    <t>7.570</t>
  </si>
  <si>
    <t>2.655</t>
  </si>
  <si>
    <t>2.630</t>
  </si>
  <si>
    <t>7.290</t>
  </si>
  <si>
    <t>1.716</t>
  </si>
  <si>
    <t>12.976.200</t>
  </si>
  <si>
    <t>178.017.293</t>
  </si>
  <si>
    <t>Henry the Magic Fairy</t>
  </si>
  <si>
    <t>1.970</t>
  </si>
  <si>
    <t>1.990</t>
  </si>
  <si>
    <t>8.000</t>
  </si>
  <si>
    <t>7.560</t>
  </si>
  <si>
    <t>2.838</t>
  </si>
  <si>
    <t>5.458.320</t>
  </si>
  <si>
    <t>191.202.824</t>
  </si>
  <si>
    <t>Jet the Panty Raider</t>
  </si>
  <si>
    <t>8.290</t>
  </si>
  <si>
    <t>2.908</t>
  </si>
  <si>
    <t>2.882</t>
  </si>
  <si>
    <t>8.010</t>
  </si>
  <si>
    <t>1.860</t>
  </si>
  <si>
    <t>14.658.300</t>
  </si>
  <si>
    <t>205.171.015</t>
  </si>
  <si>
    <t>Clapper van Hellsing</t>
  </si>
  <si>
    <t>8.760</t>
  </si>
  <si>
    <t>8.320</t>
  </si>
  <si>
    <t>3.104</t>
  </si>
  <si>
    <t>6.173.440</t>
  </si>
  <si>
    <t>220.033.230</t>
  </si>
  <si>
    <t>The KOma KOmmander</t>
  </si>
  <si>
    <t>9.340</t>
  </si>
  <si>
    <t>3.275</t>
  </si>
  <si>
    <t>3.250</t>
  </si>
  <si>
    <t>9.060</t>
  </si>
  <si>
    <t>2.070</t>
  </si>
  <si>
    <t>17.032.800</t>
  </si>
  <si>
    <t>235.758.967</t>
  </si>
  <si>
    <t>Roughian the Ruthless</t>
  </si>
  <si>
    <t>2.682</t>
  </si>
  <si>
    <t>10.690</t>
  </si>
  <si>
    <t>2.672</t>
  </si>
  <si>
    <t>10.410</t>
  </si>
  <si>
    <t>3.812</t>
  </si>
  <si>
    <t>15.864.840</t>
  </si>
  <si>
    <t>252.458.197</t>
  </si>
  <si>
    <t>Ben the Marketeer</t>
  </si>
  <si>
    <t>2.888</t>
  </si>
  <si>
    <t>11.670</t>
  </si>
  <si>
    <t>11.230</t>
  </si>
  <si>
    <t>4.122</t>
  </si>
  <si>
    <t>8.669.560</t>
  </si>
  <si>
    <t>270.120.546</t>
  </si>
  <si>
    <t>Hector the Contractor</t>
  </si>
  <si>
    <t>12.540</t>
  </si>
  <si>
    <t>4.395</t>
  </si>
  <si>
    <t>4.370</t>
  </si>
  <si>
    <t>12.260</t>
  </si>
  <si>
    <t>2.710</t>
  </si>
  <si>
    <t>23.968.300</t>
  </si>
  <si>
    <t>288.853.442</t>
  </si>
  <si>
    <t>Motu with a Club</t>
  </si>
  <si>
    <t>13.540</t>
  </si>
  <si>
    <t>4.725</t>
  </si>
  <si>
    <t>4.720</t>
  </si>
  <si>
    <t>13.260</t>
  </si>
  <si>
    <t>2.910</t>
  </si>
  <si>
    <t>26.540.800</t>
  </si>
  <si>
    <t>308.630.400</t>
  </si>
  <si>
    <t>Jack the Hammerer</t>
  </si>
  <si>
    <t>16.840</t>
  </si>
  <si>
    <t>5.900</t>
  </si>
  <si>
    <t>5.875</t>
  </si>
  <si>
    <t>16.540</t>
  </si>
  <si>
    <t>3.570</t>
  </si>
  <si>
    <t>33.202.800</t>
  </si>
  <si>
    <t>329.599.075</t>
  </si>
  <si>
    <t>16-The 3rd League of Superheroes</t>
  </si>
  <si>
    <t>1,000 Punch Man</t>
  </si>
  <si>
    <t>7.300</t>
  </si>
  <si>
    <t>14.600</t>
  </si>
  <si>
    <t>45.500</t>
  </si>
  <si>
    <t>121.000.000</t>
  </si>
  <si>
    <t>Mister X-Ray</t>
  </si>
  <si>
    <t>14.960</t>
  </si>
  <si>
    <t>7.480</t>
  </si>
  <si>
    <t>47.000</t>
  </si>
  <si>
    <t>125.500.000</t>
  </si>
  <si>
    <t>57.660.160</t>
  </si>
  <si>
    <t>Toilet Tracker</t>
  </si>
  <si>
    <t>7.660</t>
  </si>
  <si>
    <t>15.320</t>
  </si>
  <si>
    <t>48.500</t>
  </si>
  <si>
    <t>130.000.000</t>
  </si>
  <si>
    <t>60.696.773</t>
  </si>
  <si>
    <t>Iron Man</t>
  </si>
  <si>
    <t>15.680</t>
  </si>
  <si>
    <t>7.840</t>
  </si>
  <si>
    <t>50.000</t>
  </si>
  <si>
    <t>134.500.000</t>
  </si>
  <si>
    <t>63.853.128</t>
  </si>
  <si>
    <t>Rain Man</t>
  </si>
  <si>
    <t>8.020</t>
  </si>
  <si>
    <t>16.040</t>
  </si>
  <si>
    <t>51.500</t>
  </si>
  <si>
    <t>139.000.000</t>
  </si>
  <si>
    <t>67.159.972</t>
  </si>
  <si>
    <t>Invisible Woman</t>
  </si>
  <si>
    <t>16.400</t>
  </si>
  <si>
    <t>8.200</t>
  </si>
  <si>
    <t>53.000</t>
  </si>
  <si>
    <t>143.500.000</t>
  </si>
  <si>
    <t>Candy Man</t>
  </si>
  <si>
    <t>8.380</t>
  </si>
  <si>
    <t>16.760</t>
  </si>
  <si>
    <t>54.500</t>
  </si>
  <si>
    <t>148.000.000</t>
  </si>
  <si>
    <t>74.191.870</t>
  </si>
  <si>
    <t>Captain Caffeine</t>
  </si>
  <si>
    <t>8.560</t>
  </si>
  <si>
    <t>17.120</t>
  </si>
  <si>
    <t>56.000</t>
  </si>
  <si>
    <t>152.500.000</t>
  </si>
  <si>
    <t>77.926.126</t>
  </si>
  <si>
    <t>Forgetful Fist</t>
  </si>
  <si>
    <t>8.740</t>
  </si>
  <si>
    <t>17.480</t>
  </si>
  <si>
    <t>57.500</t>
  </si>
  <si>
    <t>157.000.000</t>
  </si>
  <si>
    <t>81.832.831</t>
  </si>
  <si>
    <t>Captain Monday</t>
  </si>
  <si>
    <t>9.100</t>
  </si>
  <si>
    <t>18.200</t>
  </si>
  <si>
    <t>60.500</t>
  </si>
  <si>
    <t>166.000.000</t>
  </si>
  <si>
    <t>17-Time-honored School of Magic</t>
  </si>
  <si>
    <t>Eloquent Hat</t>
  </si>
  <si>
    <t>11.000</t>
  </si>
  <si>
    <t>35.000</t>
  </si>
  <si>
    <t>4.500</t>
  </si>
  <si>
    <t>62.500.000</t>
  </si>
  <si>
    <t>Sour Argus</t>
  </si>
  <si>
    <t>9.722</t>
  </si>
  <si>
    <t>2.404</t>
  </si>
  <si>
    <t>2.426</t>
  </si>
  <si>
    <t>43.730</t>
  </si>
  <si>
    <t>4.764</t>
  </si>
  <si>
    <t>79.681.528</t>
  </si>
  <si>
    <t>36.305.620</t>
  </si>
  <si>
    <t>Fluffy Friend</t>
  </si>
  <si>
    <t>11.290</t>
  </si>
  <si>
    <t>44.000</t>
  </si>
  <si>
    <t>4.800</t>
  </si>
  <si>
    <t>68.425.000</t>
  </si>
  <si>
    <t>A. van Blame</t>
  </si>
  <si>
    <t>1.965</t>
  </si>
  <si>
    <t>1.980</t>
  </si>
  <si>
    <t>46.000</t>
  </si>
  <si>
    <t>5.940</t>
  </si>
  <si>
    <t>73.970.000</t>
  </si>
  <si>
    <t>47.615.630</t>
  </si>
  <si>
    <t>Phony Locky</t>
  </si>
  <si>
    <t>3.869</t>
  </si>
  <si>
    <t>3.865</t>
  </si>
  <si>
    <t>12.249</t>
  </si>
  <si>
    <t>49.255</t>
  </si>
  <si>
    <t>7.662</t>
  </si>
  <si>
    <t>39.995.056</t>
  </si>
  <si>
    <t>Killer Stare</t>
  </si>
  <si>
    <t>4.465</t>
  </si>
  <si>
    <t>12.440</t>
  </si>
  <si>
    <t>4.430</t>
  </si>
  <si>
    <t>54.100</t>
  </si>
  <si>
    <t>7.960</t>
  </si>
  <si>
    <t>94.220.000</t>
  </si>
  <si>
    <t>61.727.510</t>
  </si>
  <si>
    <t>Bad Kisser</t>
  </si>
  <si>
    <t>3.910</t>
  </si>
  <si>
    <t>12.980</t>
  </si>
  <si>
    <t>3.850</t>
  </si>
  <si>
    <t>7.970</t>
  </si>
  <si>
    <t>96.325.000</t>
  </si>
  <si>
    <t>Guardian of the Golden Egg</t>
  </si>
  <si>
    <t>14.874</t>
  </si>
  <si>
    <t>3.132</t>
  </si>
  <si>
    <t>1.986</t>
  </si>
  <si>
    <t>58.295</t>
  </si>
  <si>
    <t>8.022</t>
  </si>
  <si>
    <t>138.640.080</t>
  </si>
  <si>
    <t>79.213.665</t>
  </si>
  <si>
    <t>Gentle Giant</t>
  </si>
  <si>
    <t>14.470</t>
  </si>
  <si>
    <t>5.569</t>
  </si>
  <si>
    <t>70.050</t>
  </si>
  <si>
    <t>10.197</t>
  </si>
  <si>
    <t>174.284.400</t>
  </si>
  <si>
    <t>Pedigree Bad Boy</t>
  </si>
  <si>
    <t>5.911</t>
  </si>
  <si>
    <t>4.338</t>
  </si>
  <si>
    <t>12.174</t>
  </si>
  <si>
    <t>8.540</t>
  </si>
  <si>
    <t>71.282.872</t>
  </si>
  <si>
    <t>100.672.054</t>
  </si>
  <si>
    <t>18-Hemorridor</t>
  </si>
  <si>
    <t>Orc on Warg</t>
  </si>
  <si>
    <t>8.800</t>
  </si>
  <si>
    <t>28.000</t>
  </si>
  <si>
    <t>3.600</t>
  </si>
  <si>
    <t>28.140.000</t>
  </si>
  <si>
    <t>Troll Trio</t>
  </si>
  <si>
    <t>8.069</t>
  </si>
  <si>
    <t>1.995</t>
  </si>
  <si>
    <t>2.014</t>
  </si>
  <si>
    <t>36.296</t>
  </si>
  <si>
    <t>3.954</t>
  </si>
  <si>
    <t>38.836.720</t>
  </si>
  <si>
    <t>The King</t>
  </si>
  <si>
    <t>1.333</t>
  </si>
  <si>
    <t>9.709</t>
  </si>
  <si>
    <t>37.840</t>
  </si>
  <si>
    <t>4.128</t>
  </si>
  <si>
    <t>17.330.720</t>
  </si>
  <si>
    <t>Smollum</t>
  </si>
  <si>
    <t>1.749</t>
  </si>
  <si>
    <t>10.965</t>
  </si>
  <si>
    <t>1.762</t>
  </si>
  <si>
    <t>40.940</t>
  </si>
  <si>
    <t>5.287</t>
  </si>
  <si>
    <t>39.793.680</t>
  </si>
  <si>
    <t>27.343.418</t>
  </si>
  <si>
    <t>Spiders again</t>
  </si>
  <si>
    <t>3.559</t>
  </si>
  <si>
    <t>11.269</t>
  </si>
  <si>
    <t>45.315</t>
  </si>
  <si>
    <t>7.049</t>
  </si>
  <si>
    <t>46.946.340</t>
  </si>
  <si>
    <t>Orc Boss</t>
  </si>
  <si>
    <t>11.818</t>
  </si>
  <si>
    <t>4.209</t>
  </si>
  <si>
    <t>51.395</t>
  </si>
  <si>
    <t>7.562</t>
  </si>
  <si>
    <t>70.411.152</t>
  </si>
  <si>
    <t>48.459.828</t>
  </si>
  <si>
    <t>Bezog</t>
  </si>
  <si>
    <t>3.832</t>
  </si>
  <si>
    <t>12.720</t>
  </si>
  <si>
    <t>3.773</t>
  </si>
  <si>
    <t>53.410</t>
  </si>
  <si>
    <t>7.811</t>
  </si>
  <si>
    <t>61.955.600</t>
  </si>
  <si>
    <t>Smoulder</t>
  </si>
  <si>
    <t>3.163</t>
  </si>
  <si>
    <t>15.023</t>
  </si>
  <si>
    <t>58.878</t>
  </si>
  <si>
    <t>8.102</t>
  </si>
  <si>
    <t>36.033.336</t>
  </si>
  <si>
    <t>Nazguls...Nazgulses?</t>
  </si>
  <si>
    <t>Battle Mage</t>
  </si>
  <si>
    <t>14.904</t>
  </si>
  <si>
    <t>5.706</t>
  </si>
  <si>
    <t>5.736</t>
  </si>
  <si>
    <t>72.152</t>
  </si>
  <si>
    <t>10.503</t>
  </si>
  <si>
    <t>115.443.200</t>
  </si>
  <si>
    <t>103.875.282</t>
  </si>
  <si>
    <t>Monster in the Lake</t>
  </si>
  <si>
    <t>6.207</t>
  </si>
  <si>
    <t>12.783</t>
  </si>
  <si>
    <t>73.553</t>
  </si>
  <si>
    <t>8.967</t>
  </si>
  <si>
    <t>98.266.808</t>
  </si>
  <si>
    <t>128.778.486</t>
  </si>
  <si>
    <t>19-Easteros</t>
  </si>
  <si>
    <t>Robert Drunkatheon</t>
  </si>
  <si>
    <t>6.040</t>
  </si>
  <si>
    <t>2.095</t>
  </si>
  <si>
    <t>5.760</t>
  </si>
  <si>
    <t>8.956.800</t>
  </si>
  <si>
    <t>Lefty Lennister</t>
  </si>
  <si>
    <t>2.190</t>
  </si>
  <si>
    <t>2.165</t>
  </si>
  <si>
    <t>9.565.800</t>
  </si>
  <si>
    <t>Petyr the Pimp</t>
  </si>
  <si>
    <t>3.200</t>
  </si>
  <si>
    <t>13.040</t>
  </si>
  <si>
    <t>12.160</t>
  </si>
  <si>
    <t>8.049.920</t>
  </si>
  <si>
    <t>Holundor</t>
  </si>
  <si>
    <t>13.280</t>
  </si>
  <si>
    <t>4.610</t>
  </si>
  <si>
    <t>3.060</t>
  </si>
  <si>
    <t>21.687.600</t>
  </si>
  <si>
    <t>Drogo the Threatening</t>
  </si>
  <si>
    <t>13.680</t>
  </si>
  <si>
    <t>4.750</t>
  </si>
  <si>
    <t>13.120</t>
  </si>
  <si>
    <t>3.140</t>
  </si>
  <si>
    <t>23.025.600</t>
  </si>
  <si>
    <t>The Ginger Slowworm</t>
  </si>
  <si>
    <t>5.910</t>
  </si>
  <si>
    <t>5.970</t>
  </si>
  <si>
    <t>24.000</t>
  </si>
  <si>
    <t>22.680</t>
  </si>
  <si>
    <t>8.514</t>
  </si>
  <si>
    <t>16.374.960</t>
  </si>
  <si>
    <t>Queen Mother</t>
  </si>
  <si>
    <t>26.040</t>
  </si>
  <si>
    <t>6.510</t>
  </si>
  <si>
    <t>25.200</t>
  </si>
  <si>
    <t>9.327</t>
  </si>
  <si>
    <t>37.396.800</t>
  </si>
  <si>
    <t>The Miniature Poodle</t>
  </si>
  <si>
    <t>32.070</t>
  </si>
  <si>
    <t>11.244</t>
  </si>
  <si>
    <t>11.166</t>
  </si>
  <si>
    <t>31.230</t>
  </si>
  <si>
    <t>7.020</t>
  </si>
  <si>
    <t>59.493.152</t>
  </si>
  <si>
    <t>The Riding Mountainrange</t>
  </si>
  <si>
    <t>11.800</t>
  </si>
  <si>
    <t>40.040</t>
  </si>
  <si>
    <t>95.873.200</t>
  </si>
  <si>
    <t>Joffrey the Kid Despot</t>
  </si>
  <si>
    <t>8.500</t>
  </si>
  <si>
    <t>32.000</t>
  </si>
  <si>
    <t>52.867.840</t>
  </si>
  <si>
    <t>300.000.000</t>
  </si>
  <si>
    <t>20-Dojo of Childhood Heroes</t>
  </si>
  <si>
    <t>Magical Schoolgirl</t>
  </si>
  <si>
    <t>18.560</t>
  </si>
  <si>
    <t>9.280</t>
  </si>
  <si>
    <t>62.000</t>
  </si>
  <si>
    <t>170.500.000</t>
  </si>
  <si>
    <t>94.521.325</t>
  </si>
  <si>
    <t>Master of Doppelgangers</t>
  </si>
  <si>
    <t>18.920</t>
  </si>
  <si>
    <t>9.460</t>
  </si>
  <si>
    <t>63.500</t>
  </si>
  <si>
    <t>175.000.000</t>
  </si>
  <si>
    <t>99.114.456</t>
  </si>
  <si>
    <t>Friendly Helper from the Neighborhood</t>
  </si>
  <si>
    <t>9.640</t>
  </si>
  <si>
    <t>19.280</t>
  </si>
  <si>
    <t>65.000</t>
  </si>
  <si>
    <t>179.500.000</t>
  </si>
  <si>
    <t>Student Shinigami</t>
  </si>
  <si>
    <t>19.640</t>
  </si>
  <si>
    <t>9.820</t>
  </si>
  <si>
    <t>66.500</t>
  </si>
  <si>
    <t>184.000.000</t>
  </si>
  <si>
    <t>108.847.145</t>
  </si>
  <si>
    <t>Wannabe Detective</t>
  </si>
  <si>
    <t>10.000</t>
  </si>
  <si>
    <t>20.000</t>
  </si>
  <si>
    <t>68.000</t>
  </si>
  <si>
    <t>188.500.000</t>
  </si>
  <si>
    <t>Rubber Pirate</t>
  </si>
  <si>
    <t>10.180</t>
  </si>
  <si>
    <t>20.360</t>
  </si>
  <si>
    <t>69.500</t>
  </si>
  <si>
    <t>193.000.000</t>
  </si>
  <si>
    <t>119.373.368</t>
  </si>
  <si>
    <t>Pet Trainer</t>
  </si>
  <si>
    <t>10.360</t>
  </si>
  <si>
    <t>20.720</t>
  </si>
  <si>
    <t>71.000</t>
  </si>
  <si>
    <t>197.500.000</t>
  </si>
  <si>
    <t>124.939.452</t>
  </si>
  <si>
    <t>Joseph Joker</t>
  </si>
  <si>
    <t>10.540</t>
  </si>
  <si>
    <t>21.080</t>
  </si>
  <si>
    <t>72.500</t>
  </si>
  <si>
    <t>202.000.000</t>
  </si>
  <si>
    <t>130.745.487</t>
  </si>
  <si>
    <t>Supreme Alien</t>
  </si>
  <si>
    <t>21.440</t>
  </si>
  <si>
    <t>10.720</t>
  </si>
  <si>
    <t>74.000</t>
  </si>
  <si>
    <t>206.500.000</t>
  </si>
  <si>
    <t>136.754.704</t>
  </si>
  <si>
    <t>Cheating Brat</t>
  </si>
  <si>
    <t>10.900</t>
  </si>
  <si>
    <t>21.800</t>
  </si>
  <si>
    <t>75.500</t>
  </si>
  <si>
    <t>211.000.000</t>
  </si>
  <si>
    <t>21-Tavern of the Dark Doppelgangers</t>
  </si>
  <si>
    <t>Dancing Mushroom</t>
  </si>
  <si>
    <t>7.000</t>
  </si>
  <si>
    <t>10.000.000</t>
  </si>
  <si>
    <t>Deserted City Guard</t>
  </si>
  <si>
    <t>5.000</t>
  </si>
  <si>
    <t>30.000.000</t>
  </si>
  <si>
    <t>Baneful Bartender</t>
  </si>
  <si>
    <t>Berserker</t>
  </si>
  <si>
    <t>29.000</t>
  </si>
  <si>
    <t>22.000</t>
  </si>
  <si>
    <t>6.000</t>
  </si>
  <si>
    <t>Sepulchral Scammer</t>
  </si>
  <si>
    <t>7.500</t>
  </si>
  <si>
    <t>35.000.000</t>
  </si>
  <si>
    <t>Brutal Blacksmith</t>
  </si>
  <si>
    <t>42.000</t>
  </si>
  <si>
    <t>26.000</t>
  </si>
  <si>
    <t>9.000</t>
  </si>
  <si>
    <t>Wily Witch</t>
  </si>
  <si>
    <t>Sinister Salesman</t>
  </si>
  <si>
    <t>60.000</t>
  </si>
  <si>
    <t>13.000</t>
  </si>
  <si>
    <t>Atrocious Abawuwu</t>
  </si>
  <si>
    <t>25.000</t>
  </si>
  <si>
    <t>72.000</t>
  </si>
  <si>
    <t>50.000.000</t>
  </si>
  <si>
    <t>Skullsplitter Shakes</t>
  </si>
  <si>
    <t>86.000</t>
  </si>
  <si>
    <t>39.000</t>
  </si>
  <si>
    <t>19.000</t>
  </si>
  <si>
    <t>Frigntening Fidget</t>
  </si>
  <si>
    <t>90.000</t>
  </si>
  <si>
    <t>43.000</t>
  </si>
  <si>
    <t>22-City of Intrigues</t>
  </si>
  <si>
    <t>Cool Villain</t>
  </si>
  <si>
    <t>34.720</t>
  </si>
  <si>
    <t>8.680</t>
  </si>
  <si>
    <t>33.600</t>
  </si>
  <si>
    <t>12.436</t>
  </si>
  <si>
    <t>55.238.400</t>
  </si>
  <si>
    <t>Brygitte</t>
  </si>
  <si>
    <t>11.100</t>
  </si>
  <si>
    <t>11.200</t>
  </si>
  <si>
    <t>45.000</t>
  </si>
  <si>
    <t>42.800</t>
  </si>
  <si>
    <t>15.940</t>
  </si>
  <si>
    <t>36.037.600</t>
  </si>
  <si>
    <t>Snowman and Shadow Wolf</t>
  </si>
  <si>
    <t>45.800</t>
  </si>
  <si>
    <t>16.060</t>
  </si>
  <si>
    <t>15.935</t>
  </si>
  <si>
    <t>44.400</t>
  </si>
  <si>
    <t>10.170</t>
  </si>
  <si>
    <t>95.682.000</t>
  </si>
  <si>
    <t>The Woman in Red</t>
  </si>
  <si>
    <t>11.750</t>
  </si>
  <si>
    <t>45.600</t>
  </si>
  <si>
    <t>16.805</t>
  </si>
  <si>
    <t>80.438.400</t>
  </si>
  <si>
    <t>Boyish Brienne</t>
  </si>
  <si>
    <t>57.840</t>
  </si>
  <si>
    <t>20.280</t>
  </si>
  <si>
    <t>20.130</t>
  </si>
  <si>
    <t>56.160</t>
  </si>
  <si>
    <t>12.780</t>
  </si>
  <si>
    <t>126.640.800</t>
  </si>
  <si>
    <t>Ramsay the Degrader</t>
  </si>
  <si>
    <t>59.280</t>
  </si>
  <si>
    <t>20.784</t>
  </si>
  <si>
    <t>20.634</t>
  </si>
  <si>
    <t>57.600</t>
  </si>
  <si>
    <t>13.068</t>
  </si>
  <si>
    <t>132.768.000</t>
  </si>
  <si>
    <t>Faceless</t>
  </si>
  <si>
    <t>15.120</t>
  </si>
  <si>
    <t>15.240</t>
  </si>
  <si>
    <t>61.200</t>
  </si>
  <si>
    <t>58.560</t>
  </si>
  <si>
    <t>21.648</t>
  </si>
  <si>
    <t>55.163.520</t>
  </si>
  <si>
    <t>Vicious Gnome</t>
  </si>
  <si>
    <t>18.060</t>
  </si>
  <si>
    <t>73.080</t>
  </si>
  <si>
    <t>70.000</t>
  </si>
  <si>
    <t>25.844</t>
  </si>
  <si>
    <t>67.340.000</t>
  </si>
  <si>
    <t>The Protector</t>
  </si>
  <si>
    <t>74.200</t>
  </si>
  <si>
    <t>26.012</t>
  </si>
  <si>
    <t>25.837</t>
  </si>
  <si>
    <t>72.240</t>
  </si>
  <si>
    <t>16.254</t>
  </si>
  <si>
    <t>177.349.200</t>
  </si>
  <si>
    <t>The Hard to Burn</t>
  </si>
  <si>
    <t>19.040</t>
  </si>
  <si>
    <t>75.880</t>
  </si>
  <si>
    <t>18.970</t>
  </si>
  <si>
    <t>73.920</t>
  </si>
  <si>
    <t>27.055</t>
  </si>
  <si>
    <t>148.135.680</t>
  </si>
  <si>
    <t>23-School of Magic Express</t>
  </si>
  <si>
    <t>Unrepentant Penitent</t>
  </si>
  <si>
    <t>3.221</t>
  </si>
  <si>
    <t>16.577</t>
  </si>
  <si>
    <t>61.790</t>
  </si>
  <si>
    <t>8.964</t>
  </si>
  <si>
    <t>64.459.324</t>
  </si>
  <si>
    <t>The Gifted One (and Ron)</t>
  </si>
  <si>
    <t>6.128</t>
  </si>
  <si>
    <t>6.057</t>
  </si>
  <si>
    <t>17.028</t>
  </si>
  <si>
    <t>76.695</t>
  </si>
  <si>
    <t>10.905</t>
  </si>
  <si>
    <t>83.003.160</t>
  </si>
  <si>
    <t>126.854.805</t>
  </si>
  <si>
    <t>Stumbledoor</t>
  </si>
  <si>
    <t>5.151</t>
  </si>
  <si>
    <t>5.237</t>
  </si>
  <si>
    <t>18.553</t>
  </si>
  <si>
    <t>79.880</t>
  </si>
  <si>
    <t>12.130</t>
  </si>
  <si>
    <t>90.152.560</t>
  </si>
  <si>
    <t>Petey Rat</t>
  </si>
  <si>
    <t>20.170</t>
  </si>
  <si>
    <t>5.870</t>
  </si>
  <si>
    <t>72.300</t>
  </si>
  <si>
    <t>9.320</t>
  </si>
  <si>
    <t>168.640.000</t>
  </si>
  <si>
    <t>158.537.364</t>
  </si>
  <si>
    <t>Diabolical Dolores</t>
  </si>
  <si>
    <t>5.650</t>
  </si>
  <si>
    <t>5.744</t>
  </si>
  <si>
    <t>19.876</t>
  </si>
  <si>
    <t>86.520</t>
  </si>
  <si>
    <t>12.519</t>
  </si>
  <si>
    <t>104.723.808</t>
  </si>
  <si>
    <t>Inconveniently Infinite Inferi</t>
  </si>
  <si>
    <t>19.163</t>
  </si>
  <si>
    <t>9.228</t>
  </si>
  <si>
    <t>9.077</t>
  </si>
  <si>
    <t>96.410</t>
  </si>
  <si>
    <t>13.359</t>
  </si>
  <si>
    <t>306.222.272</t>
  </si>
  <si>
    <t>196.694.080</t>
  </si>
  <si>
    <t>Bella the Beastly</t>
  </si>
  <si>
    <t>7.773</t>
  </si>
  <si>
    <t>7.772</t>
  </si>
  <si>
    <t>19.358</t>
  </si>
  <si>
    <t>91.315</t>
  </si>
  <si>
    <t>13.191</t>
  </si>
  <si>
    <t>116.878.632</t>
  </si>
  <si>
    <t>Lucius the Pure-Blood</t>
  </si>
  <si>
    <t>5.774</t>
  </si>
  <si>
    <t>5.775</t>
  </si>
  <si>
    <t>24.520</t>
  </si>
  <si>
    <t>96.430</t>
  </si>
  <si>
    <t>13.751</t>
  </si>
  <si>
    <t>125.754.360</t>
  </si>
  <si>
    <t>242.313.317</t>
  </si>
  <si>
    <t>Cutsie Cuddler</t>
  </si>
  <si>
    <t>12.400</t>
  </si>
  <si>
    <t>29.300</t>
  </si>
  <si>
    <t>12.600</t>
  </si>
  <si>
    <t>130.350</t>
  </si>
  <si>
    <t>18.640</t>
  </si>
  <si>
    <t>379.430.016</t>
  </si>
  <si>
    <t>You Should Know Who ...</t>
  </si>
  <si>
    <t>8.447</t>
  </si>
  <si>
    <t>8.378</t>
  </si>
  <si>
    <t>30.585</t>
  </si>
  <si>
    <t>126.470</t>
  </si>
  <si>
    <t>18.375</t>
  </si>
  <si>
    <t>190.324.704</t>
  </si>
  <si>
    <t>24-Nordic Gods</t>
  </si>
  <si>
    <t>Heimdall</t>
  </si>
  <si>
    <t>43.560.000</t>
  </si>
  <si>
    <t>Valkyries</t>
  </si>
  <si>
    <t>55.687.500</t>
  </si>
  <si>
    <t>Hel</t>
  </si>
  <si>
    <t>11.500</t>
  </si>
  <si>
    <t>51.000</t>
  </si>
  <si>
    <t>31.416.000</t>
  </si>
  <si>
    <t>Thor</t>
  </si>
  <si>
    <t>3.500</t>
  </si>
  <si>
    <t>58.500</t>
  </si>
  <si>
    <t>101.351.256</t>
  </si>
  <si>
    <t>Odin</t>
  </si>
  <si>
    <t>12.500</t>
  </si>
  <si>
    <t>73.500</t>
  </si>
  <si>
    <t>137.445.008</t>
  </si>
  <si>
    <t>Loki</t>
  </si>
  <si>
    <t>Assassin</t>
  </si>
  <si>
    <t>6.500</t>
  </si>
  <si>
    <t>18.500</t>
  </si>
  <si>
    <t>83.500</t>
  </si>
  <si>
    <t>135.938.000</t>
  </si>
  <si>
    <t>Ymir</t>
  </si>
  <si>
    <t>81.500</t>
  </si>
  <si>
    <t>143.440.000</t>
  </si>
  <si>
    <t>Midgard Serpent</t>
  </si>
  <si>
    <t>112.500</t>
  </si>
  <si>
    <t>15.500</t>
  </si>
  <si>
    <t>212.850.000</t>
  </si>
  <si>
    <t>Fenris Wolf</t>
  </si>
  <si>
    <t>29.500</t>
  </si>
  <si>
    <t>115.000</t>
  </si>
  <si>
    <t>16.000</t>
  </si>
  <si>
    <t>235.290.000</t>
  </si>
  <si>
    <t>Surtr</t>
  </si>
  <si>
    <t>38.500</t>
  </si>
  <si>
    <t>158.000</t>
  </si>
  <si>
    <t>23.000</t>
  </si>
  <si>
    <t>354.552.000</t>
  </si>
  <si>
    <t>25-Ash Moutain</t>
  </si>
  <si>
    <t>Valaraukar</t>
  </si>
  <si>
    <t>17.737</t>
  </si>
  <si>
    <t>3.446</t>
  </si>
  <si>
    <t>66.115</t>
  </si>
  <si>
    <t>9.591</t>
  </si>
  <si>
    <t>115.370.672</t>
  </si>
  <si>
    <t>160.885.033</t>
  </si>
  <si>
    <t>Urcsi the Uruk</t>
  </si>
  <si>
    <t>18.561</t>
  </si>
  <si>
    <t>6.602</t>
  </si>
  <si>
    <t>83.598</t>
  </si>
  <si>
    <t>11.886</t>
  </si>
  <si>
    <t>151.730.368</t>
  </si>
  <si>
    <t>Prompter Splittongue</t>
  </si>
  <si>
    <t>5.718</t>
  </si>
  <si>
    <t>5.813</t>
  </si>
  <si>
    <t>20.594</t>
  </si>
  <si>
    <t>88.667</t>
  </si>
  <si>
    <t>13.464</t>
  </si>
  <si>
    <t>67.032.252</t>
  </si>
  <si>
    <t>Samowar the Pale</t>
  </si>
  <si>
    <t>6.639</t>
  </si>
  <si>
    <t>22.792</t>
  </si>
  <si>
    <t>81.699</t>
  </si>
  <si>
    <t>10.532</t>
  </si>
  <si>
    <t>128.430.832</t>
  </si>
  <si>
    <t>296.636.662</t>
  </si>
  <si>
    <t>Oliphaunt Tamer</t>
  </si>
  <si>
    <t>6.497</t>
  </si>
  <si>
    <t>6.606</t>
  </si>
  <si>
    <t>22.857</t>
  </si>
  <si>
    <t>99.498</t>
  </si>
  <si>
    <t>14.397</t>
  </si>
  <si>
    <t>81.389.360</t>
  </si>
  <si>
    <t>Undead Army</t>
  </si>
  <si>
    <t>22.421</t>
  </si>
  <si>
    <t>10.797</t>
  </si>
  <si>
    <t>10.620</t>
  </si>
  <si>
    <t>112.800</t>
  </si>
  <si>
    <t>15.630</t>
  </si>
  <si>
    <t>239.700.000</t>
  </si>
  <si>
    <t>Shelantula</t>
  </si>
  <si>
    <t>9.250</t>
  </si>
  <si>
    <t>23.036</t>
  </si>
  <si>
    <t>108.665</t>
  </si>
  <si>
    <t>15.697</t>
  </si>
  <si>
    <t>191.685.056</t>
  </si>
  <si>
    <t>Ruler of the Nine</t>
  </si>
  <si>
    <t>29.669</t>
  </si>
  <si>
    <t>6.998</t>
  </si>
  <si>
    <t>116.680</t>
  </si>
  <si>
    <t>16.639</t>
  </si>
  <si>
    <t>266.613.792</t>
  </si>
  <si>
    <t>Mauron's Maw</t>
  </si>
  <si>
    <t>36.039</t>
  </si>
  <si>
    <t>15.498</t>
  </si>
  <si>
    <t>160.331</t>
  </si>
  <si>
    <t>22.927</t>
  </si>
  <si>
    <t>380.786.112</t>
  </si>
  <si>
    <t>The Necromancer</t>
  </si>
  <si>
    <t>38.231</t>
  </si>
  <si>
    <t>10.473</t>
  </si>
  <si>
    <t>10.474</t>
  </si>
  <si>
    <t>158.088</t>
  </si>
  <si>
    <t>22.969</t>
  </si>
  <si>
    <t>396.010.432</t>
  </si>
  <si>
    <t>26-Playa HQ</t>
  </si>
  <si>
    <t>Thesi the Terrible</t>
  </si>
  <si>
    <t>7.080</t>
  </si>
  <si>
    <t>20.200</t>
  </si>
  <si>
    <t>7.050</t>
  </si>
  <si>
    <t>18.210</t>
  </si>
  <si>
    <t>4.280</t>
  </si>
  <si>
    <t>29.937.240</t>
  </si>
  <si>
    <t>Peter the Impaler</t>
  </si>
  <si>
    <t>24.240</t>
  </si>
  <si>
    <t>8.490</t>
  </si>
  <si>
    <t>8.460</t>
  </si>
  <si>
    <t>20.030</t>
  </si>
  <si>
    <t>5.130</t>
  </si>
  <si>
    <t>42.163.152</t>
  </si>
  <si>
    <t>Gert the Ghastly</t>
  </si>
  <si>
    <t>10.150</t>
  </si>
  <si>
    <t>29.080</t>
  </si>
  <si>
    <t>22.030</t>
  </si>
  <si>
    <t>6.150</t>
  </si>
  <si>
    <t>18.989.860</t>
  </si>
  <si>
    <t>Leander, Lord of Lies</t>
  </si>
  <si>
    <t>34.890</t>
  </si>
  <si>
    <t>12.210</t>
  </si>
  <si>
    <t>12.180</t>
  </si>
  <si>
    <t>24.230</t>
  </si>
  <si>
    <t>7.380</t>
  </si>
  <si>
    <t>53.427.152</t>
  </si>
  <si>
    <t>Hannah the Hellish</t>
  </si>
  <si>
    <t>14.610</t>
  </si>
  <si>
    <t>14.650</t>
  </si>
  <si>
    <t>41.860</t>
  </si>
  <si>
    <t>26.650</t>
  </si>
  <si>
    <t>8.850</t>
  </si>
  <si>
    <t>24.038.300</t>
  </si>
  <si>
    <t>Alex, Angel of Abyss</t>
  </si>
  <si>
    <t>50.230</t>
  </si>
  <si>
    <t>17.580</t>
  </si>
  <si>
    <t>17.530</t>
  </si>
  <si>
    <t>29.310</t>
  </si>
  <si>
    <t>67.559.552</t>
  </si>
  <si>
    <t>Jack the Hacker</t>
  </si>
  <si>
    <t>60.270</t>
  </si>
  <si>
    <t>21.090</t>
  </si>
  <si>
    <t>21.030</t>
  </si>
  <si>
    <t>32.240</t>
  </si>
  <si>
    <t>12.740</t>
  </si>
  <si>
    <t>75.925.200</t>
  </si>
  <si>
    <t>Four-handed Peter</t>
  </si>
  <si>
    <t>72.320</t>
  </si>
  <si>
    <t>25.300</t>
  </si>
  <si>
    <t>25.230</t>
  </si>
  <si>
    <t>35.460</t>
  </si>
  <si>
    <t>15.280</t>
  </si>
  <si>
    <t>85.281.296</t>
  </si>
  <si>
    <t>The Artist Andreas</t>
  </si>
  <si>
    <t>30.360</t>
  </si>
  <si>
    <t>86.780</t>
  </si>
  <si>
    <t>30.270</t>
  </si>
  <si>
    <t>18.330</t>
  </si>
  <si>
    <t>76.596.000</t>
  </si>
  <si>
    <t>Marv the Minor Evil</t>
  </si>
  <si>
    <t>36.430</t>
  </si>
  <si>
    <t>36.320</t>
  </si>
  <si>
    <t>104.130</t>
  </si>
  <si>
    <t>42.900</t>
  </si>
  <si>
    <t>21.990</t>
  </si>
  <si>
    <t>42.985.800</t>
  </si>
  <si>
    <t>27-Mount Olympus</t>
  </si>
  <si>
    <t>Singing Sirens</t>
  </si>
  <si>
    <t>80.000</t>
  </si>
  <si>
    <t>52.800.000</t>
  </si>
  <si>
    <t>Polyphemus the Cyclops</t>
  </si>
  <si>
    <t>100.000</t>
  </si>
  <si>
    <t>187.500.000</t>
  </si>
  <si>
    <t>Cerberus</t>
  </si>
  <si>
    <t>120.000</t>
  </si>
  <si>
    <t>201.600.000</t>
  </si>
  <si>
    <t>Medusa</t>
  </si>
  <si>
    <t>140.000</t>
  </si>
  <si>
    <t>132.300.000</t>
  </si>
  <si>
    <t>Athena</t>
  </si>
  <si>
    <t>160.000</t>
  </si>
  <si>
    <t>163.200.000</t>
  </si>
  <si>
    <t>Hercules</t>
  </si>
  <si>
    <t>180.000</t>
  </si>
  <si>
    <t>499.500.000</t>
  </si>
  <si>
    <t>Ares</t>
  </si>
  <si>
    <t>14.000</t>
  </si>
  <si>
    <t>200.000</t>
  </si>
  <si>
    <t>600.000.000</t>
  </si>
  <si>
    <t>Poseidon</t>
  </si>
  <si>
    <t>220.000</t>
  </si>
  <si>
    <t>567.600.000</t>
  </si>
  <si>
    <t>Hades</t>
  </si>
  <si>
    <t>40.000</t>
  </si>
  <si>
    <t>250.000</t>
  </si>
  <si>
    <t>697.500.032</t>
  </si>
  <si>
    <t>Zeus</t>
  </si>
  <si>
    <t>33.333</t>
  </si>
  <si>
    <t>44.444</t>
  </si>
  <si>
    <t>300.000</t>
  </si>
  <si>
    <t>459.000.000</t>
  </si>
  <si>
    <t>28-Monster Grotto</t>
  </si>
  <si>
    <t>Doltopus</t>
  </si>
  <si>
    <t>66.000</t>
  </si>
  <si>
    <t>174.000</t>
  </si>
  <si>
    <t>540.000.000</t>
  </si>
  <si>
    <t>Hairy Groom</t>
  </si>
  <si>
    <t>35.750</t>
  </si>
  <si>
    <t>67.350</t>
  </si>
  <si>
    <t>176.400</t>
  </si>
  <si>
    <t>549.000.000</t>
  </si>
  <si>
    <t>Monster Truck</t>
  </si>
  <si>
    <t>36.500</t>
  </si>
  <si>
    <t>68.700</t>
  </si>
  <si>
    <t>178.800</t>
  </si>
  <si>
    <t>558.000.000</t>
  </si>
  <si>
    <t>Nudist Giant</t>
  </si>
  <si>
    <t>37.250</t>
  </si>
  <si>
    <t>181.200</t>
  </si>
  <si>
    <t>567.000.000</t>
  </si>
  <si>
    <t>Marshmallow Man</t>
  </si>
  <si>
    <t>38.000</t>
  </si>
  <si>
    <t>71.400</t>
  </si>
  <si>
    <t>183.600</t>
  </si>
  <si>
    <t>576.000.000</t>
  </si>
  <si>
    <t>Sandbox Worm</t>
  </si>
  <si>
    <t>72.750</t>
  </si>
  <si>
    <t>38.750</t>
  </si>
  <si>
    <t>186.000</t>
  </si>
  <si>
    <t>585.000.000</t>
  </si>
  <si>
    <t>Optimist Supreme</t>
  </si>
  <si>
    <t>39.500</t>
  </si>
  <si>
    <t>74.100</t>
  </si>
  <si>
    <t>188.400</t>
  </si>
  <si>
    <t>594.000.000</t>
  </si>
  <si>
    <t>Three-headed Dragon God</t>
  </si>
  <si>
    <t>40.250</t>
  </si>
  <si>
    <t>80.500</t>
  </si>
  <si>
    <t>190.800</t>
  </si>
  <si>
    <t>603.000.000</t>
  </si>
  <si>
    <t>Angry Giant Saurian</t>
  </si>
  <si>
    <t>82.000</t>
  </si>
  <si>
    <t>41.000</t>
  </si>
  <si>
    <t>193.200</t>
  </si>
  <si>
    <t>612.000.000</t>
  </si>
  <si>
    <t>Berlin Scene Monster</t>
  </si>
  <si>
    <t>85.000</t>
  </si>
  <si>
    <t>42.500</t>
  </si>
  <si>
    <t>198.000</t>
  </si>
  <si>
    <t>630.000.000</t>
  </si>
  <si>
    <t>Shadow</t>
  </si>
  <si>
    <t>1.788</t>
  </si>
  <si>
    <t>7.282</t>
  </si>
  <si>
    <t>2.519.572</t>
  </si>
  <si>
    <t>1.740</t>
  </si>
  <si>
    <t>8.052</t>
  </si>
  <si>
    <t>7.045.500</t>
  </si>
  <si>
    <t>1.873</t>
  </si>
  <si>
    <t>8.569</t>
  </si>
  <si>
    <t>7.583.565</t>
  </si>
  <si>
    <t>2.169</t>
  </si>
  <si>
    <t>8.014</t>
  </si>
  <si>
    <t>1.045</t>
  </si>
  <si>
    <t>5.738.024</t>
  </si>
  <si>
    <t>2.140</t>
  </si>
  <si>
    <t>9.295</t>
  </si>
  <si>
    <t>8.411.975</t>
  </si>
  <si>
    <t>2.506</t>
  </si>
  <si>
    <t>9.009</t>
  </si>
  <si>
    <t>1.133</t>
  </si>
  <si>
    <t>3.297.294</t>
  </si>
  <si>
    <t>7.512.244</t>
  </si>
  <si>
    <t>2.540</t>
  </si>
  <si>
    <t>10.120</t>
  </si>
  <si>
    <t>1.004</t>
  </si>
  <si>
    <t>9.361.000</t>
  </si>
  <si>
    <t>7.882.016</t>
  </si>
  <si>
    <t>2.852</t>
  </si>
  <si>
    <t>9.510</t>
  </si>
  <si>
    <t>1.196</t>
  </si>
  <si>
    <t>3.556.740</t>
  </si>
  <si>
    <t>8.266.192</t>
  </si>
  <si>
    <t>2.885</t>
  </si>
  <si>
    <t>1.118</t>
  </si>
  <si>
    <t>10.867.500</t>
  </si>
  <si>
    <t>8.665.213</t>
  </si>
  <si>
    <t>3.218</t>
  </si>
  <si>
    <t>11.720</t>
  </si>
  <si>
    <t>1.109</t>
  </si>
  <si>
    <t>8.954.080</t>
  </si>
  <si>
    <t>2.534</t>
  </si>
  <si>
    <t>9.185</t>
  </si>
  <si>
    <t>1.142</t>
  </si>
  <si>
    <t>7.090.820</t>
  </si>
  <si>
    <t>9.512.780</t>
  </si>
  <si>
    <t>2.562</t>
  </si>
  <si>
    <t>1.018</t>
  </si>
  <si>
    <t>10.576</t>
  </si>
  <si>
    <t>10.311.600</t>
  </si>
  <si>
    <t>9.960.804</t>
  </si>
  <si>
    <t>2.751</t>
  </si>
  <si>
    <t>10.934</t>
  </si>
  <si>
    <t>1.064</t>
  </si>
  <si>
    <t>10.769.990</t>
  </si>
  <si>
    <t>10.427.272</t>
  </si>
  <si>
    <t>3.226</t>
  </si>
  <si>
    <t>9.702</t>
  </si>
  <si>
    <t>1.257</t>
  </si>
  <si>
    <t>7.722.792</t>
  </si>
  <si>
    <t>10.911.106</t>
  </si>
  <si>
    <t>3.115</t>
  </si>
  <si>
    <t>11.517</t>
  </si>
  <si>
    <t>1.026</t>
  </si>
  <si>
    <t>11.574.585</t>
  </si>
  <si>
    <t>3.580</t>
  </si>
  <si>
    <t>10.373</t>
  </si>
  <si>
    <t>1.189</t>
  </si>
  <si>
    <t>4.211.438</t>
  </si>
  <si>
    <t>11.934.768</t>
  </si>
  <si>
    <t>3.162</t>
  </si>
  <si>
    <t>1.032</t>
  </si>
  <si>
    <t>13.156</t>
  </si>
  <si>
    <t>13.484.900</t>
  </si>
  <si>
    <t>12.475.687</t>
  </si>
  <si>
    <t>3.531</t>
  </si>
  <si>
    <t>13.756</t>
  </si>
  <si>
    <t>1.269</t>
  </si>
  <si>
    <t>11.389.968</t>
  </si>
  <si>
    <t>13.036.143</t>
  </si>
  <si>
    <t>3.655</t>
  </si>
  <si>
    <t>15.252</t>
  </si>
  <si>
    <t>1.323</t>
  </si>
  <si>
    <t>12.750.672</t>
  </si>
  <si>
    <t>13.618.707</t>
  </si>
  <si>
    <t>15.840</t>
  </si>
  <si>
    <t>1.020</t>
  </si>
  <si>
    <t>16.711.200</t>
  </si>
  <si>
    <t>3.219</t>
  </si>
  <si>
    <t>1.066</t>
  </si>
  <si>
    <t>10.054</t>
  </si>
  <si>
    <t>1.358</t>
  </si>
  <si>
    <t>8.566.008</t>
  </si>
  <si>
    <t>14.846.670</t>
  </si>
  <si>
    <t>3.578</t>
  </si>
  <si>
    <t>11.242</t>
  </si>
  <si>
    <t>1.367</t>
  </si>
  <si>
    <t>9.668.120</t>
  </si>
  <si>
    <t>15.495.311</t>
  </si>
  <si>
    <t>1.054</t>
  </si>
  <si>
    <t>3.733</t>
  </si>
  <si>
    <t>1.152</t>
  </si>
  <si>
    <t>11.396</t>
  </si>
  <si>
    <t>9.891.728</t>
  </si>
  <si>
    <t>3.639</t>
  </si>
  <si>
    <t>14.047</t>
  </si>
  <si>
    <t>15.381.465</t>
  </si>
  <si>
    <t>16.861.182</t>
  </si>
  <si>
    <t>3.748</t>
  </si>
  <si>
    <t>1.079</t>
  </si>
  <si>
    <t>14.338</t>
  </si>
  <si>
    <t>1.059</t>
  </si>
  <si>
    <t>15.843.490</t>
  </si>
  <si>
    <t>3.848</t>
  </si>
  <si>
    <t>15.466</t>
  </si>
  <si>
    <t>1.387</t>
  </si>
  <si>
    <t>13.795.672</t>
  </si>
  <si>
    <t>1.102</t>
  </si>
  <si>
    <t>16.170</t>
  </si>
  <si>
    <t>18.191.250</t>
  </si>
  <si>
    <t>19.098.075</t>
  </si>
  <si>
    <t>4.044</t>
  </si>
  <si>
    <t>1.011</t>
  </si>
  <si>
    <t>17.660</t>
  </si>
  <si>
    <t>1.471</t>
  </si>
  <si>
    <t>16.035.280</t>
  </si>
  <si>
    <t>19.897.276</t>
  </si>
  <si>
    <t>4.135</t>
  </si>
  <si>
    <t>1.338</t>
  </si>
  <si>
    <t>1.272</t>
  </si>
  <si>
    <t>18.662</t>
  </si>
  <si>
    <t>1.113</t>
  </si>
  <si>
    <t>21.367.990</t>
  </si>
  <si>
    <t>4.191</t>
  </si>
  <si>
    <t>1.303</t>
  </si>
  <si>
    <t>19.112</t>
  </si>
  <si>
    <t>1.124</t>
  </si>
  <si>
    <t>22.074.360</t>
  </si>
  <si>
    <t>3.926</t>
  </si>
  <si>
    <t>14.746</t>
  </si>
  <si>
    <t>1.405</t>
  </si>
  <si>
    <t>13.743.272</t>
  </si>
  <si>
    <t>22.461.095</t>
  </si>
  <si>
    <t>1.048</t>
  </si>
  <si>
    <t>4.034</t>
  </si>
  <si>
    <t>1.008</t>
  </si>
  <si>
    <t>15.972</t>
  </si>
  <si>
    <t>1.452</t>
  </si>
  <si>
    <t>15.013.680</t>
  </si>
  <si>
    <t>4.110</t>
  </si>
  <si>
    <t>1.237</t>
  </si>
  <si>
    <t>1.141</t>
  </si>
  <si>
    <t>16.748</t>
  </si>
  <si>
    <t>19.846.380</t>
  </si>
  <si>
    <t>24.317.845</t>
  </si>
  <si>
    <t>4.200</t>
  </si>
  <si>
    <t>1.295</t>
  </si>
  <si>
    <t>1.207</t>
  </si>
  <si>
    <t>17.710</t>
  </si>
  <si>
    <t>21.163.450</t>
  </si>
  <si>
    <t>25.294.600</t>
  </si>
  <si>
    <t>4.281</t>
  </si>
  <si>
    <t>1.264</t>
  </si>
  <si>
    <t>18.546</t>
  </si>
  <si>
    <t>1.167</t>
  </si>
  <si>
    <t>22.347.930</t>
  </si>
  <si>
    <t>1.121</t>
  </si>
  <si>
    <t>4.367</t>
  </si>
  <si>
    <t>1.091</t>
  </si>
  <si>
    <t>19.476</t>
  </si>
  <si>
    <t>1.593</t>
  </si>
  <si>
    <t>18.930.672</t>
  </si>
  <si>
    <t>4.415</t>
  </si>
  <si>
    <t>1.423</t>
  </si>
  <si>
    <t>1.350</t>
  </si>
  <si>
    <t>19.806</t>
  </si>
  <si>
    <t>24.262.350</t>
  </si>
  <si>
    <t>28.420.280</t>
  </si>
  <si>
    <t>4.510</t>
  </si>
  <si>
    <t>1.486</t>
  </si>
  <si>
    <t>1.422</t>
  </si>
  <si>
    <t>20.856</t>
  </si>
  <si>
    <t>1.204</t>
  </si>
  <si>
    <t>25.757.160</t>
  </si>
  <si>
    <t>4.570</t>
  </si>
  <si>
    <t>21.395</t>
  </si>
  <si>
    <t>1.677</t>
  </si>
  <si>
    <t>21.309.420</t>
  </si>
  <si>
    <t>30.677.131</t>
  </si>
  <si>
    <t>1.181</t>
  </si>
  <si>
    <t>4.636</t>
  </si>
  <si>
    <t>1.159</t>
  </si>
  <si>
    <t>1.704</t>
  </si>
  <si>
    <t>22.088.000</t>
  </si>
  <si>
    <t>4.480</t>
  </si>
  <si>
    <t>19.250</t>
  </si>
  <si>
    <t>1.627</t>
  </si>
  <si>
    <t>19.481.000</t>
  </si>
  <si>
    <t>1.172</t>
  </si>
  <si>
    <t>4.558</t>
  </si>
  <si>
    <t>1.139</t>
  </si>
  <si>
    <t>20.058</t>
  </si>
  <si>
    <t>1.660</t>
  </si>
  <si>
    <t>20.459.160</t>
  </si>
  <si>
    <t>34.343.729</t>
  </si>
  <si>
    <t>1.184</t>
  </si>
  <si>
    <t>4.608</t>
  </si>
  <si>
    <t>20.416</t>
  </si>
  <si>
    <t>20.987.648</t>
  </si>
  <si>
    <t>35.645.713</t>
  </si>
  <si>
    <t>1.202</t>
  </si>
  <si>
    <t>4.690</t>
  </si>
  <si>
    <t>21.285</t>
  </si>
  <si>
    <t>1.715</t>
  </si>
  <si>
    <t>22.051.260</t>
  </si>
  <si>
    <t>4.757</t>
  </si>
  <si>
    <t>1.562</t>
  </si>
  <si>
    <t>1.493</t>
  </si>
  <si>
    <t>21.901</t>
  </si>
  <si>
    <t>28.580.804</t>
  </si>
  <si>
    <t>1.231</t>
  </si>
  <si>
    <t>4.820</t>
  </si>
  <si>
    <t>1.205</t>
  </si>
  <si>
    <t>22.478</t>
  </si>
  <si>
    <t>1.768</t>
  </si>
  <si>
    <t>23.646.856</t>
  </si>
  <si>
    <t>39.798.074</t>
  </si>
  <si>
    <t>4.888</t>
  </si>
  <si>
    <t>1.637</t>
  </si>
  <si>
    <t>1.576</t>
  </si>
  <si>
    <t>23.122</t>
  </si>
  <si>
    <t>30.636.650</t>
  </si>
  <si>
    <t>1.213</t>
  </si>
  <si>
    <t>5.133</t>
  </si>
  <si>
    <t>22.583</t>
  </si>
  <si>
    <t>1.808</t>
  </si>
  <si>
    <t>12.059.322</t>
  </si>
  <si>
    <t>42.784.003</t>
  </si>
  <si>
    <t>5.008</t>
  </si>
  <si>
    <t>1.702</t>
  </si>
  <si>
    <t>1.647</t>
  </si>
  <si>
    <t>24.162</t>
  </si>
  <si>
    <t>1.318</t>
  </si>
  <si>
    <t>32.497.890</t>
  </si>
  <si>
    <t>44.347.963</t>
  </si>
  <si>
    <t>5.067</t>
  </si>
  <si>
    <t>1.266</t>
  </si>
  <si>
    <t>24.673</t>
  </si>
  <si>
    <t>1.869</t>
  </si>
  <si>
    <t>26.745.532</t>
  </si>
  <si>
    <t>4.966</t>
  </si>
  <si>
    <t>1.626</t>
  </si>
  <si>
    <t>1.552</t>
  </si>
  <si>
    <t>22.764</t>
  </si>
  <si>
    <t>1.330</t>
  </si>
  <si>
    <t>31.072.860</t>
  </si>
  <si>
    <t>1.286</t>
  </si>
  <si>
    <t>5.032</t>
  </si>
  <si>
    <t>1.258</t>
  </si>
  <si>
    <t>23.370</t>
  </si>
  <si>
    <t>1.845</t>
  </si>
  <si>
    <t>25.707.000</t>
  </si>
  <si>
    <t>49.325.889</t>
  </si>
  <si>
    <t>1.247</t>
  </si>
  <si>
    <t>1.300</t>
  </si>
  <si>
    <t>5.307</t>
  </si>
  <si>
    <t>22.770</t>
  </si>
  <si>
    <t>1.857</t>
  </si>
  <si>
    <t>12.614.580</t>
  </si>
  <si>
    <t>51.085.818</t>
  </si>
  <si>
    <t>1.311</t>
  </si>
  <si>
    <t>1.285</t>
  </si>
  <si>
    <t>24.233</t>
  </si>
  <si>
    <t>1.888</t>
  </si>
  <si>
    <t>27.044.028</t>
  </si>
  <si>
    <t>52.896.592</t>
  </si>
  <si>
    <t>1.328</t>
  </si>
  <si>
    <t>5.220</t>
  </si>
  <si>
    <t>25.052</t>
  </si>
  <si>
    <t>1.922</t>
  </si>
  <si>
    <t>28.158.448</t>
  </si>
  <si>
    <t>5.276</t>
  </si>
  <si>
    <t>1.796</t>
  </si>
  <si>
    <t>1.739</t>
  </si>
  <si>
    <t>25.514</t>
  </si>
  <si>
    <t>36.102.312</t>
  </si>
  <si>
    <t>56.685.021</t>
  </si>
  <si>
    <t>1.353</t>
  </si>
  <si>
    <t>5.325</t>
  </si>
  <si>
    <t>1.331</t>
  </si>
  <si>
    <t>25.866</t>
  </si>
  <si>
    <t>1.963</t>
  </si>
  <si>
    <t>29.487.240</t>
  </si>
  <si>
    <t>58.660.548</t>
  </si>
  <si>
    <t>1.324</t>
  </si>
  <si>
    <t>1.366</t>
  </si>
  <si>
    <t>5.551</t>
  </si>
  <si>
    <t>25.443</t>
  </si>
  <si>
    <t>1.976</t>
  </si>
  <si>
    <t>16.604.282</t>
  </si>
  <si>
    <t>1.380</t>
  </si>
  <si>
    <t>26.840</t>
  </si>
  <si>
    <t>2.010</t>
  </si>
  <si>
    <t>31.027.040</t>
  </si>
  <si>
    <t>62.790.319</t>
  </si>
  <si>
    <t>1.392</t>
  </si>
  <si>
    <t>5.490</t>
  </si>
  <si>
    <t>1.372</t>
  </si>
  <si>
    <t>27.220</t>
  </si>
  <si>
    <t>2.030</t>
  </si>
  <si>
    <t>31.684.080</t>
  </si>
  <si>
    <t>1.381</t>
  </si>
  <si>
    <t>5.422</t>
  </si>
  <si>
    <t>1.355</t>
  </si>
  <si>
    <t>25.806</t>
  </si>
  <si>
    <t>1.994</t>
  </si>
  <si>
    <t>30.244.632</t>
  </si>
  <si>
    <t>1.393</t>
  </si>
  <si>
    <t>5.474</t>
  </si>
  <si>
    <t>1.368</t>
  </si>
  <si>
    <t>26.202</t>
  </si>
  <si>
    <t>30.918.360</t>
  </si>
  <si>
    <t>69.438.784</t>
  </si>
  <si>
    <t>1.356</t>
  </si>
  <si>
    <t>1.406</t>
  </si>
  <si>
    <t>5.722</t>
  </si>
  <si>
    <t>25.504</t>
  </si>
  <si>
    <t>2.022</t>
  </si>
  <si>
    <t>15.149.376</t>
  </si>
  <si>
    <t>71.780.394</t>
  </si>
  <si>
    <t>5.581</t>
  </si>
  <si>
    <t>1.903</t>
  </si>
  <si>
    <t>1.844</t>
  </si>
  <si>
    <t>27.054</t>
  </si>
  <si>
    <t>1.466</t>
  </si>
  <si>
    <t>40.445.728</t>
  </si>
  <si>
    <t>5.641</t>
  </si>
  <si>
    <t>1.936</t>
  </si>
  <si>
    <t>27.577</t>
  </si>
  <si>
    <t>1.477</t>
  </si>
  <si>
    <t>41.503.384</t>
  </si>
  <si>
    <t>5.689</t>
  </si>
  <si>
    <t>1.958</t>
  </si>
  <si>
    <t>27.924</t>
  </si>
  <si>
    <t>1.488</t>
  </si>
  <si>
    <t>42.304.860</t>
  </si>
  <si>
    <t>1.412</t>
  </si>
  <si>
    <t>5.908</t>
  </si>
  <si>
    <t>27.313</t>
  </si>
  <si>
    <t>2.108</t>
  </si>
  <si>
    <t>16.660.930</t>
  </si>
  <si>
    <t>5.784</t>
  </si>
  <si>
    <t>2.001</t>
  </si>
  <si>
    <t>1.949</t>
  </si>
  <si>
    <t>28.584</t>
  </si>
  <si>
    <t>1.509</t>
  </si>
  <si>
    <t>43.876.440</t>
  </si>
  <si>
    <t>84.522.443</t>
  </si>
  <si>
    <t>5.827</t>
  </si>
  <si>
    <t>2.018</t>
  </si>
  <si>
    <t>1.966</t>
  </si>
  <si>
    <t>28.842</t>
  </si>
  <si>
    <t>1.519</t>
  </si>
  <si>
    <t>44.560.888</t>
  </si>
  <si>
    <t>87.284.046</t>
  </si>
  <si>
    <t>2.069</t>
  </si>
  <si>
    <t>2.024</t>
  </si>
  <si>
    <t>29.684</t>
  </si>
  <si>
    <t>1.531</t>
  </si>
  <si>
    <t>46.158.620</t>
  </si>
  <si>
    <t>5.861</t>
  </si>
  <si>
    <t>2.009</t>
  </si>
  <si>
    <t>1.950</t>
  </si>
  <si>
    <t>28.600</t>
  </si>
  <si>
    <t>1.536</t>
  </si>
  <si>
    <t>44.759.000</t>
  </si>
  <si>
    <t>93.042.060</t>
  </si>
  <si>
    <t>1.502</t>
  </si>
  <si>
    <t>5.921</t>
  </si>
  <si>
    <t>29.112</t>
  </si>
  <si>
    <t>2.186</t>
  </si>
  <si>
    <t>36.681.120</t>
  </si>
  <si>
    <t>96.035.589</t>
  </si>
  <si>
    <t>5.991</t>
  </si>
  <si>
    <t>2.082</t>
  </si>
  <si>
    <t>2.031</t>
  </si>
  <si>
    <t>29.794</t>
  </si>
  <si>
    <t>1.559</t>
  </si>
  <si>
    <t>47.223.488</t>
  </si>
  <si>
    <t>1.529</t>
  </si>
  <si>
    <t>6.037</t>
  </si>
  <si>
    <t>30.107</t>
  </si>
  <si>
    <t>2.234</t>
  </si>
  <si>
    <t>38.416.532</t>
  </si>
  <si>
    <t>102.273.668</t>
  </si>
  <si>
    <t>1.541</t>
  </si>
  <si>
    <t>6.087</t>
  </si>
  <si>
    <t>1.521</t>
  </si>
  <si>
    <t>30.476</t>
  </si>
  <si>
    <t>2.253</t>
  </si>
  <si>
    <t>39.131.184</t>
  </si>
  <si>
    <t>1.514</t>
  </si>
  <si>
    <t>6.286</t>
  </si>
  <si>
    <t>29.936</t>
  </si>
  <si>
    <t>2.261</t>
  </si>
  <si>
    <t>19.338.656</t>
  </si>
  <si>
    <t>6.178</t>
  </si>
  <si>
    <t>2.166</t>
  </si>
  <si>
    <t>2.119</t>
  </si>
  <si>
    <t>31.080</t>
  </si>
  <si>
    <t>1.601</t>
  </si>
  <si>
    <t>50.505.000</t>
  </si>
  <si>
    <t>112.265.131</t>
  </si>
  <si>
    <t>6.230</t>
  </si>
  <si>
    <t>1.557</t>
  </si>
  <si>
    <t>31.476</t>
  </si>
  <si>
    <t>2.309</t>
  </si>
  <si>
    <t>41.170.608</t>
  </si>
  <si>
    <t>115.770.753</t>
  </si>
  <si>
    <t>1.551</t>
  </si>
  <si>
    <t>1.586</t>
  </si>
  <si>
    <t>6.418</t>
  </si>
  <si>
    <t>31.009</t>
  </si>
  <si>
    <t>2.313</t>
  </si>
  <si>
    <t>20.403.922</t>
  </si>
  <si>
    <t>1.567</t>
  </si>
  <si>
    <t>6.468</t>
  </si>
  <si>
    <t>31.581</t>
  </si>
  <si>
    <t>2.326</t>
  </si>
  <si>
    <t>20.906.622</t>
  </si>
  <si>
    <t>6.290</t>
  </si>
  <si>
    <t>2.184</t>
  </si>
  <si>
    <t>2.129</t>
  </si>
  <si>
    <t>31.229</t>
  </si>
  <si>
    <t>1.638</t>
  </si>
  <si>
    <t>51.996.284</t>
  </si>
  <si>
    <t>6.508</t>
  </si>
  <si>
    <t>30.613</t>
  </si>
  <si>
    <t>2.333</t>
  </si>
  <si>
    <t>20.510.710</t>
  </si>
  <si>
    <t>1.617</t>
  </si>
  <si>
    <t>6.384</t>
  </si>
  <si>
    <t>1.596</t>
  </si>
  <si>
    <t>31.878</t>
  </si>
  <si>
    <t>2.362</t>
  </si>
  <si>
    <t>42.971.544</t>
  </si>
  <si>
    <t>134.733.596</t>
  </si>
  <si>
    <t>6.426</t>
  </si>
  <si>
    <t>2.242</t>
  </si>
  <si>
    <t>32.126</t>
  </si>
  <si>
    <t>1.669</t>
  </si>
  <si>
    <t>54.453.568</t>
  </si>
  <si>
    <t>138.821.184</t>
  </si>
  <si>
    <t>1.597</t>
  </si>
  <si>
    <t>6.636</t>
  </si>
  <si>
    <t>31.537</t>
  </si>
  <si>
    <t>2.386</t>
  </si>
  <si>
    <t>21.508.234</t>
  </si>
  <si>
    <t>6.525</t>
  </si>
  <si>
    <t>2.289</t>
  </si>
  <si>
    <t>32.862</t>
  </si>
  <si>
    <t>1.690</t>
  </si>
  <si>
    <t>56.358.328</t>
  </si>
  <si>
    <t>147.319.803</t>
  </si>
  <si>
    <t>1.661</t>
  </si>
  <si>
    <t>6.567</t>
  </si>
  <si>
    <t>1.641</t>
  </si>
  <si>
    <t>33.110</t>
  </si>
  <si>
    <t>2.433</t>
  </si>
  <si>
    <t>45.691.800</t>
  </si>
  <si>
    <t>151.726.857</t>
  </si>
  <si>
    <t>1.671</t>
  </si>
  <si>
    <t>6.608</t>
  </si>
  <si>
    <t>1.652</t>
  </si>
  <si>
    <t>33.352</t>
  </si>
  <si>
    <t>2.449</t>
  </si>
  <si>
    <t>46.292.576</t>
  </si>
  <si>
    <t>156.250.805</t>
  </si>
  <si>
    <t>1.648</t>
  </si>
  <si>
    <t>1.685</t>
  </si>
  <si>
    <t>6.813</t>
  </si>
  <si>
    <t>33.038</t>
  </si>
  <si>
    <t>2.454</t>
  </si>
  <si>
    <t>23.060.524</t>
  </si>
  <si>
    <t>1.708</t>
  </si>
  <si>
    <t>6.765</t>
  </si>
  <si>
    <t>1.691</t>
  </si>
  <si>
    <t>34.562</t>
  </si>
  <si>
    <t>2.489</t>
  </si>
  <si>
    <t>48.801.544</t>
  </si>
  <si>
    <t>170.502.819</t>
  </si>
  <si>
    <t>6.810</t>
  </si>
  <si>
    <t>2.393</t>
  </si>
  <si>
    <t>2.351</t>
  </si>
  <si>
    <t>34.859</t>
  </si>
  <si>
    <t>61.874.724</t>
  </si>
  <si>
    <t>175.491.135</t>
  </si>
  <si>
    <t>6.855</t>
  </si>
  <si>
    <t>2.409</t>
  </si>
  <si>
    <t>2.367</t>
  </si>
  <si>
    <t>35.150</t>
  </si>
  <si>
    <t>1.705</t>
  </si>
  <si>
    <t>62.742.752</t>
  </si>
  <si>
    <t>180.599.019</t>
  </si>
  <si>
    <t>6.899</t>
  </si>
  <si>
    <t>2.424</t>
  </si>
  <si>
    <t>2.383</t>
  </si>
  <si>
    <t>35.442</t>
  </si>
  <si>
    <t>63.618.392</t>
  </si>
  <si>
    <t>185.838.637</t>
  </si>
  <si>
    <t>1.752</t>
  </si>
  <si>
    <t>6.944</t>
  </si>
  <si>
    <t>1.736</t>
  </si>
  <si>
    <t>35.728</t>
  </si>
  <si>
    <t>2.544</t>
  </si>
  <si>
    <t>51.591.232</t>
  </si>
  <si>
    <t>6.988</t>
  </si>
  <si>
    <t>1.747</t>
  </si>
  <si>
    <t>36.008</t>
  </si>
  <si>
    <t>2.557</t>
  </si>
  <si>
    <t>52.283.616</t>
  </si>
  <si>
    <t>1.742</t>
  </si>
  <si>
    <t>1.773</t>
  </si>
  <si>
    <t>7.156</t>
  </si>
  <si>
    <t>35.607</t>
  </si>
  <si>
    <t>2.563</t>
  </si>
  <si>
    <t>25.993.110</t>
  </si>
  <si>
    <t>202.325.345</t>
  </si>
  <si>
    <t>7.076</t>
  </si>
  <si>
    <t>2.485</t>
  </si>
  <si>
    <t>2.447</t>
  </si>
  <si>
    <t>36.570</t>
  </si>
  <si>
    <t>1.723</t>
  </si>
  <si>
    <t>67.105.952</t>
  </si>
  <si>
    <t>208.088.681</t>
  </si>
  <si>
    <t>7.119</t>
  </si>
  <si>
    <t>2.500</t>
  </si>
  <si>
    <t>2.463</t>
  </si>
  <si>
    <t>36.844</t>
  </si>
  <si>
    <t>1.727</t>
  </si>
  <si>
    <t>67.977.184</t>
  </si>
  <si>
    <t>213.986.701</t>
  </si>
  <si>
    <t>7.163</t>
  </si>
  <si>
    <t>2.516</t>
  </si>
  <si>
    <t>2.479</t>
  </si>
  <si>
    <t>37.114</t>
  </si>
  <si>
    <t>1.731</t>
  </si>
  <si>
    <t>68.846.472</t>
  </si>
  <si>
    <t>7.206</t>
  </si>
  <si>
    <t>2.531</t>
  </si>
  <si>
    <t>2.494</t>
  </si>
  <si>
    <t>37.389</t>
  </si>
  <si>
    <t>69.730.488</t>
  </si>
  <si>
    <t>226.219.912</t>
  </si>
  <si>
    <t>1.826</t>
  </si>
  <si>
    <t>7.249</t>
  </si>
  <si>
    <t>1.812</t>
  </si>
  <si>
    <t>37.658</t>
  </si>
  <si>
    <t>2.639</t>
  </si>
  <si>
    <t>56.487.000</t>
  </si>
  <si>
    <t>232.549.429</t>
  </si>
  <si>
    <t>7.292</t>
  </si>
  <si>
    <t>2.561</t>
  </si>
  <si>
    <t>2.525</t>
  </si>
  <si>
    <t>37.922</t>
  </si>
  <si>
    <t>1.745</t>
  </si>
  <si>
    <t>71.482.968</t>
  </si>
  <si>
    <t>239.026.142</t>
  </si>
  <si>
    <t>7.336</t>
  </si>
  <si>
    <t>2.576</t>
  </si>
  <si>
    <t>2.541</t>
  </si>
  <si>
    <t>38.192</t>
  </si>
  <si>
    <t>1.750</t>
  </si>
  <si>
    <t>72.373.840</t>
  </si>
  <si>
    <t>245.671.462</t>
  </si>
  <si>
    <t>1.830</t>
  </si>
  <si>
    <t>1.858</t>
  </si>
  <si>
    <t>7.489</t>
  </si>
  <si>
    <t>37.846</t>
  </si>
  <si>
    <t>2.673</t>
  </si>
  <si>
    <t>28.838.652</t>
  </si>
  <si>
    <t>7.421</t>
  </si>
  <si>
    <t>1.855</t>
  </si>
  <si>
    <t>38.714</t>
  </si>
  <si>
    <t>2.694</t>
  </si>
  <si>
    <t>59.309.848</t>
  </si>
  <si>
    <t>259.411.408</t>
  </si>
  <si>
    <t>7.464</t>
  </si>
  <si>
    <t>2.620</t>
  </si>
  <si>
    <t>2.586</t>
  </si>
  <si>
    <t>38.978</t>
  </si>
  <si>
    <t>1.765</t>
  </si>
  <si>
    <t>75.032.648</t>
  </si>
  <si>
    <t>266.521.891</t>
  </si>
  <si>
    <t>1.890</t>
  </si>
  <si>
    <t>7.507</t>
  </si>
  <si>
    <t>1.876</t>
  </si>
  <si>
    <t>39.237</t>
  </si>
  <si>
    <t>2.721</t>
  </si>
  <si>
    <t>60.738.876</t>
  </si>
  <si>
    <t>273.792.656</t>
  </si>
  <si>
    <t>1.874</t>
  </si>
  <si>
    <t>1.900</t>
  </si>
  <si>
    <t>7.654</t>
  </si>
  <si>
    <t>38.918</t>
  </si>
  <si>
    <t>2.729</t>
  </si>
  <si>
    <t>30.278.204</t>
  </si>
  <si>
    <t>281.239.819</t>
  </si>
  <si>
    <t>7.592</t>
  </si>
  <si>
    <t>2.665</t>
  </si>
  <si>
    <t>2.632</t>
  </si>
  <si>
    <t>39.754</t>
  </si>
  <si>
    <t>1.781</t>
  </si>
  <si>
    <t>77.719.072</t>
  </si>
  <si>
    <t>1.895</t>
  </si>
  <si>
    <t>1.921</t>
  </si>
  <si>
    <t>7.737</t>
  </si>
  <si>
    <t>39.440</t>
  </si>
  <si>
    <t>2.756</t>
  </si>
  <si>
    <t>30.999.840</t>
  </si>
  <si>
    <t>1.906</t>
  </si>
  <si>
    <t>1.931</t>
  </si>
  <si>
    <t>7.778</t>
  </si>
  <si>
    <t>39.704</t>
  </si>
  <si>
    <t>2.770</t>
  </si>
  <si>
    <t>31.366.160</t>
  </si>
  <si>
    <t>7.718</t>
  </si>
  <si>
    <t>2.709</t>
  </si>
  <si>
    <t>2.677</t>
  </si>
  <si>
    <t>40.513</t>
  </si>
  <si>
    <t>1.797</t>
  </si>
  <si>
    <t>80.418.304</t>
  </si>
  <si>
    <t>1.952</t>
  </si>
  <si>
    <t>7.761</t>
  </si>
  <si>
    <t>1.940</t>
  </si>
  <si>
    <t>40.766</t>
  </si>
  <si>
    <t>2.804</t>
  </si>
  <si>
    <t>65.062.536</t>
  </si>
  <si>
    <t>1.938</t>
  </si>
  <si>
    <t>7.901</t>
  </si>
  <si>
    <t>40.480</t>
  </si>
  <si>
    <t>2.812</t>
  </si>
  <si>
    <t>32.464.960</t>
  </si>
  <si>
    <t>7.884</t>
  </si>
  <si>
    <t>2.766</t>
  </si>
  <si>
    <t>2.736</t>
  </si>
  <si>
    <t>41.476</t>
  </si>
  <si>
    <t>1.824</t>
  </si>
  <si>
    <t>83.988.896</t>
  </si>
  <si>
    <t>2.003</t>
  </si>
  <si>
    <t>7.965</t>
  </si>
  <si>
    <t>1.991</t>
  </si>
  <si>
    <t>41.932</t>
  </si>
  <si>
    <t>2.874</t>
  </si>
  <si>
    <t>68.600.752</t>
  </si>
  <si>
    <t>8.046</t>
  </si>
  <si>
    <t>2.823</t>
  </si>
  <si>
    <t>2.793</t>
  </si>
  <si>
    <t>42.383</t>
  </si>
  <si>
    <t>1.854</t>
  </si>
  <si>
    <t>87.520.896</t>
  </si>
  <si>
    <t>8.127</t>
  </si>
  <si>
    <t>2.851</t>
  </si>
  <si>
    <t>2.821</t>
  </si>
  <si>
    <t>42.840</t>
  </si>
  <si>
    <t>1.868</t>
  </si>
  <si>
    <t>89.321.400</t>
  </si>
  <si>
    <t>8.208</t>
  </si>
  <si>
    <t>2.850</t>
  </si>
  <si>
    <t>43.296</t>
  </si>
  <si>
    <t>1.884</t>
  </si>
  <si>
    <t>91.138.080</t>
  </si>
  <si>
    <t>9.700</t>
  </si>
  <si>
    <t>19.400</t>
  </si>
  <si>
    <t>65.500</t>
  </si>
  <si>
    <t>181.000.000</t>
  </si>
  <si>
    <t>19.760</t>
  </si>
  <si>
    <t>9.880</t>
  </si>
  <si>
    <t>67.000</t>
  </si>
  <si>
    <t>185.500.000</t>
  </si>
  <si>
    <t>110.532.270</t>
  </si>
  <si>
    <t>10.060</t>
  </si>
  <si>
    <t>20.120</t>
  </si>
  <si>
    <t>68.500</t>
  </si>
  <si>
    <t>190.000.000</t>
  </si>
  <si>
    <t>10.240</t>
  </si>
  <si>
    <t>20.480</t>
  </si>
  <si>
    <t>194.500.000</t>
  </si>
  <si>
    <t>121.195.386</t>
  </si>
  <si>
    <t>10.420</t>
  </si>
  <si>
    <t>20.840</t>
  </si>
  <si>
    <t>71.500</t>
  </si>
  <si>
    <t>199.000.000</t>
  </si>
  <si>
    <t>10.600</t>
  </si>
  <si>
    <t>21.200</t>
  </si>
  <si>
    <t>73.000</t>
  </si>
  <si>
    <t>203.500.000</t>
  </si>
  <si>
    <t>21.560</t>
  </si>
  <si>
    <t>10.780</t>
  </si>
  <si>
    <t>74.500</t>
  </si>
  <si>
    <t>208.000.000</t>
  </si>
  <si>
    <t>21.920</t>
  </si>
  <si>
    <t>10.960</t>
  </si>
  <si>
    <t>76.000</t>
  </si>
  <si>
    <t>212.500.000</t>
  </si>
  <si>
    <t>145.140.861</t>
  </si>
  <si>
    <t>11.140</t>
  </si>
  <si>
    <t>22.280</t>
  </si>
  <si>
    <t>77.500</t>
  </si>
  <si>
    <t>217.000.000</t>
  </si>
  <si>
    <t>226.000.000</t>
  </si>
  <si>
    <t>23.480</t>
  </si>
  <si>
    <t>11.740</t>
  </si>
  <si>
    <t>82.500</t>
  </si>
  <si>
    <t>232.000.000</t>
  </si>
  <si>
    <t>23.960</t>
  </si>
  <si>
    <t>11.980</t>
  </si>
  <si>
    <t>84.500</t>
  </si>
  <si>
    <t>238.000.000</t>
  </si>
  <si>
    <t>24.440</t>
  </si>
  <si>
    <t>12.220</t>
  </si>
  <si>
    <t>86.500</t>
  </si>
  <si>
    <t>244.000.000</t>
  </si>
  <si>
    <t>12.460</t>
  </si>
  <si>
    <t>24.920</t>
  </si>
  <si>
    <t>88.500</t>
  </si>
  <si>
    <t>250.000.000</t>
  </si>
  <si>
    <t>206.088.681</t>
  </si>
  <si>
    <t>12.700</t>
  </si>
  <si>
    <t>25.400</t>
  </si>
  <si>
    <t>90.500</t>
  </si>
  <si>
    <t>256.000.000</t>
  </si>
  <si>
    <t>12.940</t>
  </si>
  <si>
    <t>25.880</t>
  </si>
  <si>
    <t>92.500</t>
  </si>
  <si>
    <t>262.000.000</t>
  </si>
  <si>
    <t>13.180</t>
  </si>
  <si>
    <t>26.360</t>
  </si>
  <si>
    <t>94.500</t>
  </si>
  <si>
    <t>268.000.000</t>
  </si>
  <si>
    <t>13.420</t>
  </si>
  <si>
    <t>96.500</t>
  </si>
  <si>
    <t>274.000.000</t>
  </si>
  <si>
    <t>259.411.406</t>
  </si>
  <si>
    <t>13.900</t>
  </si>
  <si>
    <t>27.800</t>
  </si>
  <si>
    <t>100.500</t>
  </si>
  <si>
    <t>286.000.000</t>
  </si>
  <si>
    <t>268.853.442</t>
  </si>
  <si>
    <t>9.041</t>
  </si>
  <si>
    <t>3.171</t>
  </si>
  <si>
    <t>3.141</t>
  </si>
  <si>
    <t>47.883</t>
  </si>
  <si>
    <t>2.049</t>
  </si>
  <si>
    <t>101.751.376</t>
  </si>
  <si>
    <t>2.342</t>
  </si>
  <si>
    <t>9.511</t>
  </si>
  <si>
    <t>49.432</t>
  </si>
  <si>
    <t>3.374</t>
  </si>
  <si>
    <t>42.414.372</t>
  </si>
  <si>
    <t>9.811</t>
  </si>
  <si>
    <t>3.441</t>
  </si>
  <si>
    <t>3.411</t>
  </si>
  <si>
    <t>52.140</t>
  </si>
  <si>
    <t>2.201</t>
  </si>
  <si>
    <t>112.883.104</t>
  </si>
  <si>
    <t>2.545</t>
  </si>
  <si>
    <t>2.568</t>
  </si>
  <si>
    <t>10.322</t>
  </si>
  <si>
    <t>53.922</t>
  </si>
  <si>
    <t>3.657</t>
  </si>
  <si>
    <t>47.127.828</t>
  </si>
  <si>
    <t>10.958</t>
  </si>
  <si>
    <t>3.842</t>
  </si>
  <si>
    <t>3.813</t>
  </si>
  <si>
    <t>58.465</t>
  </si>
  <si>
    <t>2.428</t>
  </si>
  <si>
    <t>128.915.328</t>
  </si>
  <si>
    <t>3.133</t>
  </si>
  <si>
    <t>12.490</t>
  </si>
  <si>
    <t>3.122</t>
  </si>
  <si>
    <t>66.896</t>
  </si>
  <si>
    <t>4.454</t>
  </si>
  <si>
    <t>119.074.880</t>
  </si>
  <si>
    <t>3.383</t>
  </si>
  <si>
    <t>13.579</t>
  </si>
  <si>
    <t>71.868</t>
  </si>
  <si>
    <t>4.796</t>
  </si>
  <si>
    <t>64.537.464</t>
  </si>
  <si>
    <t>14.533</t>
  </si>
  <si>
    <t>5.093</t>
  </si>
  <si>
    <t>5.064</t>
  </si>
  <si>
    <t>78.150</t>
  </si>
  <si>
    <t>177.009.744</t>
  </si>
  <si>
    <t>5.477</t>
  </si>
  <si>
    <t>5.448</t>
  </si>
  <si>
    <t>84.188</t>
  </si>
  <si>
    <t>3.359</t>
  </si>
  <si>
    <t>192.369.584</t>
  </si>
  <si>
    <t>19.366</t>
  </si>
  <si>
    <t>6.785</t>
  </si>
  <si>
    <t>6.756</t>
  </si>
  <si>
    <t>104.742</t>
  </si>
  <si>
    <t>4.105</t>
  </si>
  <si>
    <t>241.430.304</t>
  </si>
  <si>
    <t>26.120</t>
  </si>
  <si>
    <t>13.060</t>
  </si>
  <si>
    <t>93.500</t>
  </si>
  <si>
    <t>265.000.000</t>
  </si>
  <si>
    <t>239.036.142</t>
  </si>
  <si>
    <t>27.560</t>
  </si>
  <si>
    <t>13.780</t>
  </si>
  <si>
    <t>99.500</t>
  </si>
  <si>
    <t>283.000.000</t>
  </si>
  <si>
    <t>14.140</t>
  </si>
  <si>
    <t>28.280</t>
  </si>
  <si>
    <t>102.500</t>
  </si>
  <si>
    <t>292.000.000</t>
  </si>
  <si>
    <t>110.000</t>
  </si>
  <si>
    <t>32.700</t>
  </si>
  <si>
    <t>114.800</t>
  </si>
  <si>
    <t>318.000.000</t>
  </si>
  <si>
    <t>35.400</t>
  </si>
  <si>
    <t>119.600</t>
  </si>
  <si>
    <t>336.000.000</t>
  </si>
  <si>
    <t>38.100</t>
  </si>
  <si>
    <t>124.400</t>
  </si>
  <si>
    <t>354.000.000</t>
  </si>
  <si>
    <t>43.500</t>
  </si>
  <si>
    <t>134.000</t>
  </si>
  <si>
    <t>390.000.000</t>
  </si>
  <si>
    <t>8.400</t>
  </si>
  <si>
    <t>157.500</t>
  </si>
  <si>
    <t>468.750.016</t>
  </si>
  <si>
    <t>58.332</t>
  </si>
  <si>
    <t>14.424</t>
  </si>
  <si>
    <t>14.556</t>
  </si>
  <si>
    <t>196.785</t>
  </si>
  <si>
    <t>597.611.456</t>
  </si>
  <si>
    <t>67.740</t>
  </si>
  <si>
    <t>9.360</t>
  </si>
  <si>
    <t>28.800</t>
  </si>
  <si>
    <t>513.187.488</t>
  </si>
  <si>
    <t>11.790</t>
  </si>
  <si>
    <t>11.880</t>
  </si>
  <si>
    <t>207.000</t>
  </si>
  <si>
    <t>35.640</t>
  </si>
  <si>
    <t>554.774.976</t>
  </si>
  <si>
    <t>23.214</t>
  </si>
  <si>
    <t>23.190</t>
  </si>
  <si>
    <t>73.494</t>
  </si>
  <si>
    <t>221.647</t>
  </si>
  <si>
    <t>45.972</t>
  </si>
  <si>
    <t>299.962.912</t>
  </si>
  <si>
    <t>26.790</t>
  </si>
  <si>
    <t>74.640</t>
  </si>
  <si>
    <t>26.580</t>
  </si>
  <si>
    <t>243.450</t>
  </si>
  <si>
    <t>47.760</t>
  </si>
  <si>
    <t>706.649.984</t>
  </si>
  <si>
    <t>23.460</t>
  </si>
  <si>
    <t>77.880</t>
  </si>
  <si>
    <t>23.100</t>
  </si>
  <si>
    <t>245.250</t>
  </si>
  <si>
    <t>47.820</t>
  </si>
  <si>
    <t>722.437.504</t>
  </si>
  <si>
    <t>89.244</t>
  </si>
  <si>
    <t>18.792</t>
  </si>
  <si>
    <t>11.916</t>
  </si>
  <si>
    <t>262.327</t>
  </si>
  <si>
    <t>48.132</t>
  </si>
  <si>
    <t>1.039.800.576</t>
  </si>
  <si>
    <t>86.820</t>
  </si>
  <si>
    <t>33.240</t>
  </si>
  <si>
    <t>33.414</t>
  </si>
  <si>
    <t>315.225</t>
  </si>
  <si>
    <t>61.182</t>
  </si>
  <si>
    <t>1.307.133.056</t>
  </si>
  <si>
    <t>35.466</t>
  </si>
  <si>
    <t>26.028</t>
  </si>
  <si>
    <t>73.044</t>
  </si>
  <si>
    <t>51.240</t>
  </si>
  <si>
    <t>534.621.568</t>
  </si>
  <si>
    <t>52.800</t>
  </si>
  <si>
    <t>6.720</t>
  </si>
  <si>
    <t>126.000</t>
  </si>
  <si>
    <t>21.600</t>
  </si>
  <si>
    <t>207.270.000</t>
  </si>
  <si>
    <t>48.416</t>
  </si>
  <si>
    <t>11.972</t>
  </si>
  <si>
    <t>12.081</t>
  </si>
  <si>
    <t>163.332</t>
  </si>
  <si>
    <t>23.725</t>
  </si>
  <si>
    <t>285.831.008</t>
  </si>
  <si>
    <t>163.232.702</t>
  </si>
  <si>
    <t>7.998</t>
  </si>
  <si>
    <t>58.256</t>
  </si>
  <si>
    <t>170.280</t>
  </si>
  <si>
    <t>24.768</t>
  </si>
  <si>
    <t>126.347.760</t>
  </si>
  <si>
    <t>10.493</t>
  </si>
  <si>
    <t>65.789</t>
  </si>
  <si>
    <t>10.573</t>
  </si>
  <si>
    <t>184.230</t>
  </si>
  <si>
    <t>31.720</t>
  </si>
  <si>
    <t>289.609.568</t>
  </si>
  <si>
    <t>21.357</t>
  </si>
  <si>
    <t>67.614</t>
  </si>
  <si>
    <t>203.916</t>
  </si>
  <si>
    <t>42.294</t>
  </si>
  <si>
    <t>338.500.544</t>
  </si>
  <si>
    <t>70.908</t>
  </si>
  <si>
    <t>25.251</t>
  </si>
  <si>
    <t>231.278</t>
  </si>
  <si>
    <t>45.372</t>
  </si>
  <si>
    <t>506.498.816</t>
  </si>
  <si>
    <t>22.991</t>
  </si>
  <si>
    <t>76.322</t>
  </si>
  <si>
    <t>22.638</t>
  </si>
  <si>
    <t>240.345</t>
  </si>
  <si>
    <t>46.864</t>
  </si>
  <si>
    <t>444.157.568</t>
  </si>
  <si>
    <t>18.980</t>
  </si>
  <si>
    <t>90.136</t>
  </si>
  <si>
    <t>264.951</t>
  </si>
  <si>
    <t>48.613</t>
  </si>
  <si>
    <t>257.532.368</t>
  </si>
  <si>
    <t>89.425</t>
  </si>
  <si>
    <t>34.237</t>
  </si>
  <si>
    <t>34.416</t>
  </si>
  <si>
    <t>324.682</t>
  </si>
  <si>
    <t>63.017</t>
  </si>
  <si>
    <t>821.445.440</t>
  </si>
  <si>
    <t>37.239</t>
  </si>
  <si>
    <t>76.696</t>
  </si>
  <si>
    <t>330.986</t>
  </si>
  <si>
    <t>53.802</t>
  </si>
  <si>
    <t>696.394.560</t>
  </si>
  <si>
    <t>9.040</t>
  </si>
  <si>
    <t>3.173</t>
  </si>
  <si>
    <t>3.135</t>
  </si>
  <si>
    <t>47.416</t>
  </si>
  <si>
    <t>2.110</t>
  </si>
  <si>
    <t>110.242.200</t>
  </si>
  <si>
    <t>9.126</t>
  </si>
  <si>
    <t>3.202</t>
  </si>
  <si>
    <t>3.166</t>
  </si>
  <si>
    <t>47.938</t>
  </si>
  <si>
    <t>112.414.608</t>
  </si>
  <si>
    <t>4.576</t>
  </si>
  <si>
    <t>4.634</t>
  </si>
  <si>
    <t>18.651</t>
  </si>
  <si>
    <t>95.656</t>
  </si>
  <si>
    <t>90.490.576</t>
  </si>
  <si>
    <t>18.592</t>
  </si>
  <si>
    <t>6.524</t>
  </si>
  <si>
    <t>6.454</t>
  </si>
  <si>
    <t>97.944</t>
  </si>
  <si>
    <t>4.284</t>
  </si>
  <si>
    <t>233.596.448</t>
  </si>
  <si>
    <t>18.761</t>
  </si>
  <si>
    <t>6.582</t>
  </si>
  <si>
    <t>6.514</t>
  </si>
  <si>
    <t>98.962</t>
  </si>
  <si>
    <t>4.306</t>
  </si>
  <si>
    <t>238.003.616</t>
  </si>
  <si>
    <t>7.945</t>
  </si>
  <si>
    <t>8.026</t>
  </si>
  <si>
    <t>32.266</t>
  </si>
  <si>
    <t>167.706</t>
  </si>
  <si>
    <t>11.446</t>
  </si>
  <si>
    <t>162.674.816</t>
  </si>
  <si>
    <t>8.625</t>
  </si>
  <si>
    <t>34.344</t>
  </si>
  <si>
    <t>8.586</t>
  </si>
  <si>
    <t>182.798</t>
  </si>
  <si>
    <t>12.301</t>
  </si>
  <si>
    <t>357.552.896</t>
  </si>
  <si>
    <t>41.522</t>
  </si>
  <si>
    <t>14.558</t>
  </si>
  <si>
    <t>14.457</t>
  </si>
  <si>
    <t>222.387</t>
  </si>
  <si>
    <t>9.089</t>
  </si>
  <si>
    <t>548.183.936</t>
  </si>
  <si>
    <t>47.500</t>
  </si>
  <si>
    <t>270.000</t>
  </si>
  <si>
    <t>670.950.016</t>
  </si>
  <si>
    <t>9.500</t>
  </si>
  <si>
    <t>40.200</t>
  </si>
  <si>
    <t>190.000</t>
  </si>
  <si>
    <t>29.800</t>
  </si>
  <si>
    <t>454.106.400</t>
  </si>
  <si>
    <t>41.750</t>
  </si>
  <si>
    <t>195.600</t>
  </si>
  <si>
    <t>621.000.000</t>
  </si>
  <si>
    <t>87.000</t>
  </si>
  <si>
    <t>201.200</t>
  </si>
  <si>
    <t>642.000.000</t>
  </si>
  <si>
    <t>45.250</t>
  </si>
  <si>
    <t>206.800</t>
  </si>
  <si>
    <t>663.000.000</t>
  </si>
  <si>
    <t>94.000</t>
  </si>
  <si>
    <t>212.400</t>
  </si>
  <si>
    <t>684.000.000</t>
  </si>
  <si>
    <t>48.750</t>
  </si>
  <si>
    <t>97.500</t>
  </si>
  <si>
    <t>218.000</t>
  </si>
  <si>
    <t>705.000.000</t>
  </si>
  <si>
    <t>50.500</t>
  </si>
  <si>
    <t>101.000</t>
  </si>
  <si>
    <t>223.600</t>
  </si>
  <si>
    <t>726.000.000</t>
  </si>
  <si>
    <t>104.500</t>
  </si>
  <si>
    <t>52.250</t>
  </si>
  <si>
    <t>229.200</t>
  </si>
  <si>
    <t>747.000.000</t>
  </si>
  <si>
    <t>108.000</t>
  </si>
  <si>
    <t>54.000</t>
  </si>
  <si>
    <t>234.800</t>
  </si>
  <si>
    <t>768.000.000</t>
  </si>
  <si>
    <t>246.000</t>
  </si>
  <si>
    <t>810.000.000</t>
  </si>
  <si>
    <t>6.074.999.808</t>
  </si>
  <si>
    <t>23.500</t>
  </si>
  <si>
    <t>3.037.999.904</t>
  </si>
  <si>
    <t>8.099.999.744</t>
  </si>
  <si>
    <t>75.000</t>
  </si>
  <si>
    <t>240.000</t>
  </si>
  <si>
    <t>260.000</t>
  </si>
  <si>
    <t>5.062.499.840</t>
  </si>
  <si>
    <t>105.000</t>
  </si>
  <si>
    <t>280.000</t>
  </si>
  <si>
    <t>53.500</t>
  </si>
  <si>
    <t>16.199.999.488</t>
  </si>
  <si>
    <t>150.000</t>
  </si>
  <si>
    <t>320.000</t>
  </si>
  <si>
    <t>330.000</t>
  </si>
  <si>
    <t>18.225.000.448</t>
  </si>
  <si>
    <t>430.000</t>
  </si>
  <si>
    <t>137.000</t>
  </si>
  <si>
    <t>12.349.999.616</t>
  </si>
  <si>
    <t>10.719</t>
  </si>
  <si>
    <t>42.680</t>
  </si>
  <si>
    <t>10.670</t>
  </si>
  <si>
    <t>227.166</t>
  </si>
  <si>
    <t>15.287</t>
  </si>
  <si>
    <t>458.875.328</t>
  </si>
  <si>
    <t>13.425</t>
  </si>
  <si>
    <t>13.546</t>
  </si>
  <si>
    <t>54.428</t>
  </si>
  <si>
    <t>284.718</t>
  </si>
  <si>
    <t>19.279</t>
  </si>
  <si>
    <t>289.842.912</t>
  </si>
  <si>
    <t>54.533</t>
  </si>
  <si>
    <t>19.122</t>
  </si>
  <si>
    <t>18.973</t>
  </si>
  <si>
    <t>290.763</t>
  </si>
  <si>
    <t>12.109</t>
  </si>
  <si>
    <t>745.807.104</t>
  </si>
  <si>
    <t>13.838</t>
  </si>
  <si>
    <t>55.118</t>
  </si>
  <si>
    <t>13.779</t>
  </si>
  <si>
    <t>294.118</t>
  </si>
  <si>
    <t>19.707</t>
  </si>
  <si>
    <t>608.236.032</t>
  </si>
  <si>
    <t>66.837</t>
  </si>
  <si>
    <t>23.434</t>
  </si>
  <si>
    <t>23.261</t>
  </si>
  <si>
    <t>356.928</t>
  </si>
  <si>
    <t>14.768</t>
  </si>
  <si>
    <t>929.797.440</t>
  </si>
  <si>
    <t>67.527</t>
  </si>
  <si>
    <t>23.675</t>
  </si>
  <si>
    <t>23.504</t>
  </si>
  <si>
    <t>360.872</t>
  </si>
  <si>
    <t>14.886</t>
  </si>
  <si>
    <t>947.289.024</t>
  </si>
  <si>
    <t>16.985</t>
  </si>
  <si>
    <t>68.752</t>
  </si>
  <si>
    <t>361.823</t>
  </si>
  <si>
    <t>24.319</t>
  </si>
  <si>
    <t>382.808.736</t>
  </si>
  <si>
    <t>20.016</t>
  </si>
  <si>
    <t>20.171</t>
  </si>
  <si>
    <t>80.997</t>
  </si>
  <si>
    <t>426.706</t>
  </si>
  <si>
    <t>28.643</t>
  </si>
  <si>
    <t>454.868.608</t>
  </si>
  <si>
    <t>81.165</t>
  </si>
  <si>
    <t>28.453</t>
  </si>
  <si>
    <t>28.262</t>
  </si>
  <si>
    <t>434.616</t>
  </si>
  <si>
    <t>17.779</t>
  </si>
  <si>
    <t>1.166.944.000</t>
  </si>
  <si>
    <t>20.563</t>
  </si>
  <si>
    <t>81.950</t>
  </si>
  <si>
    <t>20.487</t>
  </si>
  <si>
    <t>439.082</t>
  </si>
  <si>
    <t>29.219</t>
  </si>
  <si>
    <t>950.173.440</t>
  </si>
  <si>
    <t>19.326</t>
  </si>
  <si>
    <t>99.462</t>
  </si>
  <si>
    <t>278.055</t>
  </si>
  <si>
    <t>53.784</t>
  </si>
  <si>
    <t>483.444.928</t>
  </si>
  <si>
    <t>36.768</t>
  </si>
  <si>
    <t>36.342</t>
  </si>
  <si>
    <t>102.168</t>
  </si>
  <si>
    <t>345.127</t>
  </si>
  <si>
    <t>65.430</t>
  </si>
  <si>
    <t>622.523.712</t>
  </si>
  <si>
    <t>30.906</t>
  </si>
  <si>
    <t>31.422</t>
  </si>
  <si>
    <t>111.318</t>
  </si>
  <si>
    <t>359.460</t>
  </si>
  <si>
    <t>72.780</t>
  </si>
  <si>
    <t>676.144.192</t>
  </si>
  <si>
    <t>35.250</t>
  </si>
  <si>
    <t>121.020</t>
  </si>
  <si>
    <t>35.220</t>
  </si>
  <si>
    <t>325.350</t>
  </si>
  <si>
    <t>55.920</t>
  </si>
  <si>
    <t>1.264.800.000</t>
  </si>
  <si>
    <t>33.900</t>
  </si>
  <si>
    <t>34.464</t>
  </si>
  <si>
    <t>119.256</t>
  </si>
  <si>
    <t>389.340</t>
  </si>
  <si>
    <t>75.114</t>
  </si>
  <si>
    <t>785.428.544</t>
  </si>
  <si>
    <t>224.978</t>
  </si>
  <si>
    <t>55.368</t>
  </si>
  <si>
    <t>54.462</t>
  </si>
  <si>
    <t>433.845</t>
  </si>
  <si>
    <t>80.154</t>
  </si>
  <si>
    <t>1.196.667.008</t>
  </si>
  <si>
    <t>46.638</t>
  </si>
  <si>
    <t>46.632</t>
  </si>
  <si>
    <t>116.148</t>
  </si>
  <si>
    <t>410.917</t>
  </si>
  <si>
    <t>79.146</t>
  </si>
  <si>
    <t>876.589.696</t>
  </si>
  <si>
    <t>34.644</t>
  </si>
  <si>
    <t>34.650</t>
  </si>
  <si>
    <t>147.120</t>
  </si>
  <si>
    <t>433.935</t>
  </si>
  <si>
    <t>82.506</t>
  </si>
  <si>
    <t>943.157.696</t>
  </si>
  <si>
    <t>45.021</t>
  </si>
  <si>
    <t>165.800</t>
  </si>
  <si>
    <t>75.600</t>
  </si>
  <si>
    <t>44.342</t>
  </si>
  <si>
    <t>101.840</t>
  </si>
  <si>
    <t>1.545.725.056</t>
  </si>
  <si>
    <t>50.682</t>
  </si>
  <si>
    <t>50.268</t>
  </si>
  <si>
    <t>183.510</t>
  </si>
  <si>
    <t>569.115</t>
  </si>
  <si>
    <t>110.250</t>
  </si>
  <si>
    <t>1.427.435.264</t>
  </si>
  <si>
    <t>163.000</t>
  </si>
  <si>
    <t>318.257.504</t>
  </si>
  <si>
    <t>184.000</t>
  </si>
  <si>
    <t>404.800.000</t>
  </si>
  <si>
    <t>70.500</t>
  </si>
  <si>
    <t>231.000</t>
  </si>
  <si>
    <t>226.149.008</t>
  </si>
  <si>
    <t>265.000</t>
  </si>
  <si>
    <t>721.462.528</t>
  </si>
  <si>
    <t>76.500</t>
  </si>
  <si>
    <t>37.000</t>
  </si>
  <si>
    <t>330.500</t>
  </si>
  <si>
    <t>972.496.256</t>
  </si>
  <si>
    <t>111.000</t>
  </si>
  <si>
    <t>376.000</t>
  </si>
  <si>
    <t>951.280.000</t>
  </si>
  <si>
    <t>136.500</t>
  </si>
  <si>
    <t>417.500</t>
  </si>
  <si>
    <t>63.000</t>
  </si>
  <si>
    <t>1.120.570.112</t>
  </si>
  <si>
    <t>507.500</t>
  </si>
  <si>
    <t>1.417.955.072</t>
  </si>
  <si>
    <t>182.000</t>
  </si>
  <si>
    <t>575.000</t>
  </si>
  <si>
    <t>1.657.149.952</t>
  </si>
  <si>
    <t>229.500</t>
  </si>
  <si>
    <t>62.500</t>
  </si>
  <si>
    <t>711.000</t>
  </si>
  <si>
    <t>2.096.028.032</t>
  </si>
  <si>
    <t>106.424</t>
  </si>
  <si>
    <t>20.679</t>
  </si>
  <si>
    <t>347.519</t>
  </si>
  <si>
    <t>57.549</t>
  </si>
  <si>
    <t>950.464.448</t>
  </si>
  <si>
    <t>111.363</t>
  </si>
  <si>
    <t>39.613</t>
  </si>
  <si>
    <t>376.189</t>
  </si>
  <si>
    <t>71.319</t>
  </si>
  <si>
    <t>1.068.376.768</t>
  </si>
  <si>
    <t>34.306</t>
  </si>
  <si>
    <t>123.563</t>
  </si>
  <si>
    <t>399.001</t>
  </si>
  <si>
    <t>80.786</t>
  </si>
  <si>
    <t>940.046.336</t>
  </si>
  <si>
    <t>39.832</t>
  </si>
  <si>
    <t>136.753</t>
  </si>
  <si>
    <t>417.645</t>
  </si>
  <si>
    <t>63.190</t>
  </si>
  <si>
    <t>502.009.280</t>
  </si>
  <si>
    <t>137.144</t>
  </si>
  <si>
    <t>39.634</t>
  </si>
  <si>
    <t>447.741</t>
  </si>
  <si>
    <t>86.381</t>
  </si>
  <si>
    <t>1.372.326.144</t>
  </si>
  <si>
    <t>163.224</t>
  </si>
  <si>
    <t>64.781</t>
  </si>
  <si>
    <t>63.721</t>
  </si>
  <si>
    <t>507.599</t>
  </si>
  <si>
    <t>93.780</t>
  </si>
  <si>
    <t>1.586.246.912</t>
  </si>
  <si>
    <t>55.499</t>
  </si>
  <si>
    <t>174.216</t>
  </si>
  <si>
    <t>538.992</t>
  </si>
  <si>
    <t>94.184</t>
  </si>
  <si>
    <t>1.373.351.680</t>
  </si>
  <si>
    <t>182.015</t>
  </si>
  <si>
    <t>41.927</t>
  </si>
  <si>
    <t>575.061</t>
  </si>
  <si>
    <t>99.832</t>
  </si>
  <si>
    <t>1.866.072.960</t>
  </si>
  <si>
    <t>195.334</t>
  </si>
  <si>
    <t>651.487</t>
  </si>
  <si>
    <t>117.563</t>
  </si>
  <si>
    <t>2.153.164.544</t>
  </si>
  <si>
    <t>229.388</t>
  </si>
  <si>
    <t>62.835</t>
  </si>
  <si>
    <t>711.394</t>
  </si>
  <si>
    <t>137.813</t>
  </si>
  <si>
    <t>2.372.498.944</t>
  </si>
  <si>
    <t>8.140</t>
  </si>
  <si>
    <t>23.230</t>
  </si>
  <si>
    <t>8.100</t>
  </si>
  <si>
    <t>115.210</t>
  </si>
  <si>
    <t>4.920</t>
  </si>
  <si>
    <t>216.133.952</t>
  </si>
  <si>
    <t>27.870</t>
  </si>
  <si>
    <t>9.760</t>
  </si>
  <si>
    <t>9.720</t>
  </si>
  <si>
    <t>126.730</t>
  </si>
  <si>
    <t>302.251.040</t>
  </si>
  <si>
    <t>11.660</t>
  </si>
  <si>
    <t>11.710</t>
  </si>
  <si>
    <t>33.440</t>
  </si>
  <si>
    <t>139.400</t>
  </si>
  <si>
    <t>135.218.000</t>
  </si>
  <si>
    <t>40.120</t>
  </si>
  <si>
    <t>14.050</t>
  </si>
  <si>
    <t>13.990</t>
  </si>
  <si>
    <t>153.340</t>
  </si>
  <si>
    <t>377.983.104</t>
  </si>
  <si>
    <t>16.780</t>
  </si>
  <si>
    <t>16.860</t>
  </si>
  <si>
    <t>48.140</t>
  </si>
  <si>
    <t>168.670</t>
  </si>
  <si>
    <t>169.007.344</t>
  </si>
  <si>
    <t>57.760</t>
  </si>
  <si>
    <t>20.230</t>
  </si>
  <si>
    <t>185.530</t>
  </si>
  <si>
    <t>472.173.856</t>
  </si>
  <si>
    <t>69.310</t>
  </si>
  <si>
    <t>24.270</t>
  </si>
  <si>
    <t>24.150</t>
  </si>
  <si>
    <t>204.080</t>
  </si>
  <si>
    <t>527.546.816</t>
  </si>
  <si>
    <t>83.170</t>
  </si>
  <si>
    <t>29.120</t>
  </si>
  <si>
    <t>28.980</t>
  </si>
  <si>
    <t>224.480</t>
  </si>
  <si>
    <t>589.260.032</t>
  </si>
  <si>
    <t>34.940</t>
  </si>
  <si>
    <t>99.800</t>
  </si>
  <si>
    <t>34.770</t>
  </si>
  <si>
    <t>246.920</t>
  </si>
  <si>
    <t>526.433.440</t>
  </si>
  <si>
    <t>41.920</t>
  </si>
  <si>
    <t>41.720</t>
  </si>
  <si>
    <t>119.760</t>
  </si>
  <si>
    <t>271.610</t>
  </si>
  <si>
    <t>293.882.016</t>
  </si>
  <si>
    <t>2.875.500.032</t>
  </si>
  <si>
    <t>8.910.000.128</t>
  </si>
  <si>
    <t>8.650.800.128</t>
  </si>
  <si>
    <t>5.212.349.952</t>
  </si>
  <si>
    <t>6.066.899.968</t>
  </si>
  <si>
    <t>17.465.624.576</t>
  </si>
  <si>
    <t>135.000</t>
  </si>
  <si>
    <t>19.764.000.768</t>
  </si>
  <si>
    <t>340.000</t>
  </si>
  <si>
    <t>17.487.900.672</t>
  </si>
  <si>
    <t>55.000</t>
  </si>
  <si>
    <t>360.000</t>
  </si>
  <si>
    <t>19.099.799.552</t>
  </si>
  <si>
    <t>600.000</t>
  </si>
  <si>
    <t>13.567.500.288</t>
  </si>
  <si>
    <t>15.000.000.512</t>
  </si>
  <si>
    <t>142.500</t>
  </si>
  <si>
    <t>285.000</t>
  </si>
  <si>
    <t>434.000</t>
  </si>
  <si>
    <t>15.349.999.616</t>
  </si>
  <si>
    <t>315.000</t>
  </si>
  <si>
    <t>458.000</t>
  </si>
  <si>
    <t>17.450.000.384</t>
  </si>
  <si>
    <t>462.000</t>
  </si>
  <si>
    <t>17.799.999.488</t>
  </si>
  <si>
    <t>175.000</t>
  </si>
  <si>
    <t>350.000</t>
  </si>
  <si>
    <t>486.000</t>
  </si>
  <si>
    <t>19.900.000.256</t>
  </si>
  <si>
    <t>355.000</t>
  </si>
  <si>
    <t>177.500</t>
  </si>
  <si>
    <t>490.000</t>
  </si>
  <si>
    <t>20.249.999.360</t>
  </si>
  <si>
    <t>203.000</t>
  </si>
  <si>
    <t>406.000</t>
  </si>
  <si>
    <t>514.000</t>
  </si>
  <si>
    <t>22.350.000.128</t>
  </si>
  <si>
    <t>206.000</t>
  </si>
  <si>
    <t>412.000</t>
  </si>
  <si>
    <t>518.000</t>
  </si>
  <si>
    <t>22.699.999.232</t>
  </si>
  <si>
    <t>448.000</t>
  </si>
  <si>
    <t>224.000</t>
  </si>
  <si>
    <t>542.000</t>
  </si>
  <si>
    <t>24.800.000.000</t>
  </si>
  <si>
    <t>460.000</t>
  </si>
  <si>
    <t>230.000</t>
  </si>
  <si>
    <t>550.000</t>
  </si>
  <si>
    <t>25.500.000.104</t>
  </si>
  <si>
    <t>Idols</t>
  </si>
  <si>
    <t>Continuous Loop of Idols</t>
  </si>
  <si>
    <t>DoctorBenx</t>
  </si>
  <si>
    <t>80.000.000</t>
  </si>
  <si>
    <t>Zakreble</t>
  </si>
  <si>
    <t>84.000</t>
  </si>
  <si>
    <t>100.000.000</t>
  </si>
  <si>
    <t>Golden Gianpy</t>
  </si>
  <si>
    <t>7.200</t>
  </si>
  <si>
    <t>120.000.000</t>
  </si>
  <si>
    <t>Willyrex</t>
  </si>
  <si>
    <t>8.600</t>
  </si>
  <si>
    <t>144.000.000</t>
  </si>
  <si>
    <t>Alvaro845</t>
  </si>
  <si>
    <t>144.000</t>
  </si>
  <si>
    <t>10.300</t>
  </si>
  <si>
    <t>172.000.000</t>
  </si>
  <si>
    <t>128.800.146</t>
  </si>
  <si>
    <t>Paul Terra</t>
  </si>
  <si>
    <t>215.000</t>
  </si>
  <si>
    <t>172.000</t>
  </si>
  <si>
    <t>206.000.000</t>
  </si>
  <si>
    <t>Spieletrend</t>
  </si>
  <si>
    <t>248.000.000</t>
  </si>
  <si>
    <t>Fatty Pillow</t>
  </si>
  <si>
    <t>290.000</t>
  </si>
  <si>
    <t>248.000</t>
  </si>
  <si>
    <t>Gimper</t>
  </si>
  <si>
    <t>21.500</t>
  </si>
  <si>
    <t>360.000.000</t>
  </si>
  <si>
    <t>Unge</t>
  </si>
  <si>
    <t>400.000</t>
  </si>
  <si>
    <t>430.000.000</t>
  </si>
  <si>
    <t>KeysJore</t>
  </si>
  <si>
    <t>10.100</t>
  </si>
  <si>
    <t>404.000</t>
  </si>
  <si>
    <t>361.800</t>
  </si>
  <si>
    <t>403.768.800</t>
  </si>
  <si>
    <t>Aypierre</t>
  </si>
  <si>
    <t>10.200</t>
  </si>
  <si>
    <t>408.040</t>
  </si>
  <si>
    <t>363.600</t>
  </si>
  <si>
    <t>24.480</t>
  </si>
  <si>
    <t>814.464.000</t>
  </si>
  <si>
    <t>Mandzio</t>
  </si>
  <si>
    <t>412.120</t>
  </si>
  <si>
    <t>365.410</t>
  </si>
  <si>
    <t>24.720</t>
  </si>
  <si>
    <t>1.026.802.112</t>
  </si>
  <si>
    <t>Boruciak</t>
  </si>
  <si>
    <t>416.240</t>
  </si>
  <si>
    <t>10.400</t>
  </si>
  <si>
    <t>367.230</t>
  </si>
  <si>
    <t>24.960</t>
  </si>
  <si>
    <t>1.035.588.608</t>
  </si>
  <si>
    <t>Fifqo</t>
  </si>
  <si>
    <t>420.400</t>
  </si>
  <si>
    <t>369.060</t>
  </si>
  <si>
    <t>25.210</t>
  </si>
  <si>
    <t>835.551.872</t>
  </si>
  <si>
    <t>Zsoze</t>
  </si>
  <si>
    <t>424.600</t>
  </si>
  <si>
    <t>370.900</t>
  </si>
  <si>
    <t>25.460</t>
  </si>
  <si>
    <t>421.342.400</t>
  </si>
  <si>
    <t>ZeboPL</t>
  </si>
  <si>
    <t>428.840</t>
  </si>
  <si>
    <t>10.700</t>
  </si>
  <si>
    <t>372.750</t>
  </si>
  <si>
    <t>25.710</t>
  </si>
  <si>
    <t>1.062.337.472</t>
  </si>
  <si>
    <t>Dhalucard</t>
  </si>
  <si>
    <t>10.800</t>
  </si>
  <si>
    <t>433.120</t>
  </si>
  <si>
    <t>374.610</t>
  </si>
  <si>
    <t>25.960</t>
  </si>
  <si>
    <t>428.553.856</t>
  </si>
  <si>
    <t>Earliboy</t>
  </si>
  <si>
    <t>Demon Hunter</t>
  </si>
  <si>
    <t>437.450</t>
  </si>
  <si>
    <t>376.480</t>
  </si>
  <si>
    <t>26.220</t>
  </si>
  <si>
    <t>864.398.080</t>
  </si>
  <si>
    <t>Skate702</t>
  </si>
  <si>
    <t>441.820</t>
  </si>
  <si>
    <t>378.360</t>
  </si>
  <si>
    <t>26.480</t>
  </si>
  <si>
    <t>871.741.440</t>
  </si>
  <si>
    <t>Dorzer</t>
  </si>
  <si>
    <t>450.000</t>
  </si>
  <si>
    <t>380.000</t>
  </si>
  <si>
    <t>450.000.000</t>
  </si>
  <si>
    <t>Twister</t>
  </si>
  <si>
    <t>Shockheaded Jack</t>
  </si>
  <si>
    <t>2.179</t>
  </si>
  <si>
    <t>1.100.395</t>
  </si>
  <si>
    <t>65.368</t>
  </si>
  <si>
    <t>Pinklynx</t>
  </si>
  <si>
    <t>356.160</t>
  </si>
  <si>
    <t>78.646</t>
  </si>
  <si>
    <t>Hydrospir</t>
  </si>
  <si>
    <t>1.848</t>
  </si>
  <si>
    <t>820.512</t>
  </si>
  <si>
    <t>94.079</t>
  </si>
  <si>
    <t>Lithic Leviathan</t>
  </si>
  <si>
    <t>1.974</t>
  </si>
  <si>
    <t>915.936</t>
  </si>
  <si>
    <t>111.819</t>
  </si>
  <si>
    <t>Respectable Dragon Slayer</t>
  </si>
  <si>
    <t>477.708</t>
  </si>
  <si>
    <t>132.262</t>
  </si>
  <si>
    <t>6.586</t>
  </si>
  <si>
    <t>Klomann the Barbarian</t>
  </si>
  <si>
    <t>1.100.736</t>
  </si>
  <si>
    <t>155.508</t>
  </si>
  <si>
    <t>Exitus Prime</t>
  </si>
  <si>
    <t>2.268</t>
  </si>
  <si>
    <t>1.188.432</t>
  </si>
  <si>
    <t>182.146</t>
  </si>
  <si>
    <t>2.394</t>
  </si>
  <si>
    <t>1.302.336</t>
  </si>
  <si>
    <t>212.225</t>
  </si>
  <si>
    <t>Hansel and Gretel</t>
  </si>
  <si>
    <t>675.108</t>
  </si>
  <si>
    <t>246.371</t>
  </si>
  <si>
    <t>Firimp</t>
  </si>
  <si>
    <t>2.604</t>
  </si>
  <si>
    <t>1.520.736</t>
  </si>
  <si>
    <t>284.763</t>
  </si>
  <si>
    <t>Old Purplehand</t>
  </si>
  <si>
    <t>786.408</t>
  </si>
  <si>
    <t>328.069</t>
  </si>
  <si>
    <t>Slurp</t>
  </si>
  <si>
    <t>2.646</t>
  </si>
  <si>
    <t>1.060</t>
  </si>
  <si>
    <t>809.676</t>
  </si>
  <si>
    <t>346.770</t>
  </si>
  <si>
    <t>Bat Out of hell</t>
  </si>
  <si>
    <t>3.687</t>
  </si>
  <si>
    <t>2.857.425</t>
  </si>
  <si>
    <t>366.397</t>
  </si>
  <si>
    <t>3.742</t>
  </si>
  <si>
    <t>2.937.470</t>
  </si>
  <si>
    <t>386.895</t>
  </si>
  <si>
    <t>3.799</t>
  </si>
  <si>
    <t>3.020.205</t>
  </si>
  <si>
    <t>408.294</t>
  </si>
  <si>
    <t>Impulsive Imp</t>
  </si>
  <si>
    <t>2.814</t>
  </si>
  <si>
    <t>906.108</t>
  </si>
  <si>
    <t>430.720</t>
  </si>
  <si>
    <t>3.186.650</t>
  </si>
  <si>
    <t>454.114</t>
  </si>
  <si>
    <t>Bad Bat</t>
  </si>
  <si>
    <t>2.898</t>
  </si>
  <si>
    <t>956.340</t>
  </si>
  <si>
    <t>478.510</t>
  </si>
  <si>
    <t>1.105</t>
  </si>
  <si>
    <t>4.022</t>
  </si>
  <si>
    <t>3.358.370</t>
  </si>
  <si>
    <t>504.046</t>
  </si>
  <si>
    <t>Snaker</t>
  </si>
  <si>
    <t>4.078</t>
  </si>
  <si>
    <t>3.445.910</t>
  </si>
  <si>
    <t>530.654</t>
  </si>
  <si>
    <t>Robin the Redistributor</t>
  </si>
  <si>
    <t>3.024</t>
  </si>
  <si>
    <t>1.195</t>
  </si>
  <si>
    <t>1.034.208</t>
  </si>
  <si>
    <t>558.370</t>
  </si>
  <si>
    <t>Horrnington</t>
  </si>
  <si>
    <t>3.066</t>
  </si>
  <si>
    <t>1.210</t>
  </si>
  <si>
    <t>1.060.836</t>
  </si>
  <si>
    <t>587.352</t>
  </si>
  <si>
    <t>Warbling Birdie</t>
  </si>
  <si>
    <t>3.108</t>
  </si>
  <si>
    <t>1.225</t>
  </si>
  <si>
    <t>1.087.800</t>
  </si>
  <si>
    <t>617.518</t>
  </si>
  <si>
    <t>Terrifying Toad</t>
  </si>
  <si>
    <t>3.150</t>
  </si>
  <si>
    <t>1.115.100</t>
  </si>
  <si>
    <t>648.910</t>
  </si>
  <si>
    <t>3.276</t>
  </si>
  <si>
    <t>2.345.616</t>
  </si>
  <si>
    <t>681.690</t>
  </si>
  <si>
    <t>Terrible Tinkerer</t>
  </si>
  <si>
    <t>3.318</t>
  </si>
  <si>
    <t>2.402.232</t>
  </si>
  <si>
    <t>715.781</t>
  </si>
  <si>
    <t>Green Gnoll</t>
  </si>
  <si>
    <t>3.339</t>
  </si>
  <si>
    <t>1.222.074</t>
  </si>
  <si>
    <t>751.224</t>
  </si>
  <si>
    <t>Naar</t>
  </si>
  <si>
    <t>1.235.430</t>
  </si>
  <si>
    <t>788.201</t>
  </si>
  <si>
    <t>3.444</t>
  </si>
  <si>
    <t>1.288.056</t>
  </si>
  <si>
    <t>826.619</t>
  </si>
  <si>
    <t>1.255</t>
  </si>
  <si>
    <t>4.692</t>
  </si>
  <si>
    <t>4.433.940</t>
  </si>
  <si>
    <t>866.521</t>
  </si>
  <si>
    <t>Digmol</t>
  </si>
  <si>
    <t>4.480.860</t>
  </si>
  <si>
    <t>908.108</t>
  </si>
  <si>
    <t>3.740</t>
  </si>
  <si>
    <t>1.315</t>
  </si>
  <si>
    <t>1.290</t>
  </si>
  <si>
    <t>4.832</t>
  </si>
  <si>
    <t>4.662.880</t>
  </si>
  <si>
    <t>951.278</t>
  </si>
  <si>
    <t>Brother Barfly</t>
  </si>
  <si>
    <t>3.549</t>
  </si>
  <si>
    <t>1.375</t>
  </si>
  <si>
    <t>1.384.110</t>
  </si>
  <si>
    <t>996.080</t>
  </si>
  <si>
    <t>3.654</t>
  </si>
  <si>
    <t>1.439.676</t>
  </si>
  <si>
    <t>1.042.727</t>
  </si>
  <si>
    <t>1.454.292</t>
  </si>
  <si>
    <t>1.091.110</t>
  </si>
  <si>
    <t>1.468.908</t>
  </si>
  <si>
    <t>1.141.283</t>
  </si>
  <si>
    <t>Sulky Taurus</t>
  </si>
  <si>
    <t>3.843</t>
  </si>
  <si>
    <t>3.105.144</t>
  </si>
  <si>
    <t>1.166.970</t>
  </si>
  <si>
    <t>Father of Lies</t>
  </si>
  <si>
    <t>3.120.516</t>
  </si>
  <si>
    <t>1.193.476</t>
  </si>
  <si>
    <t>Penguwater</t>
  </si>
  <si>
    <t>4.020</t>
  </si>
  <si>
    <t>3.759</t>
  </si>
  <si>
    <t>1.533.672</t>
  </si>
  <si>
    <t>1.219.983</t>
  </si>
  <si>
    <t>Miss Match</t>
  </si>
  <si>
    <t>3.151.260</t>
  </si>
  <si>
    <t>1.247.568</t>
  </si>
  <si>
    <t>3.166.632</t>
  </si>
  <si>
    <t>1.275.153</t>
  </si>
  <si>
    <t>Forest Muncher</t>
  </si>
  <si>
    <t>5.251</t>
  </si>
  <si>
    <t>5.434.785</t>
  </si>
  <si>
    <t>1.303.614</t>
  </si>
  <si>
    <t>Lambent Limbeater</t>
  </si>
  <si>
    <t>5.461.040</t>
  </si>
  <si>
    <t>1.332.282</t>
  </si>
  <si>
    <t>Flayer</t>
  </si>
  <si>
    <t>4.120</t>
  </si>
  <si>
    <t>3.864</t>
  </si>
  <si>
    <t>1.615.152</t>
  </si>
  <si>
    <t>1.361.870</t>
  </si>
  <si>
    <t>Bean Counter</t>
  </si>
  <si>
    <t>3.948</t>
  </si>
  <si>
    <t>1.485</t>
  </si>
  <si>
    <t>3.316.320</t>
  </si>
  <si>
    <t>1.391.459</t>
  </si>
  <si>
    <t>Big-mouth of doom</t>
  </si>
  <si>
    <t>1.630.608</t>
  </si>
  <si>
    <t>1.422.202</t>
  </si>
  <si>
    <t>Red&amp;White Forever</t>
  </si>
  <si>
    <t>1.035</t>
  </si>
  <si>
    <t>4.053</t>
  </si>
  <si>
    <t>3.436.944</t>
  </si>
  <si>
    <t>1.452.944</t>
  </si>
  <si>
    <t>Toppled One</t>
  </si>
  <si>
    <t>1.025</t>
  </si>
  <si>
    <t>4.220</t>
  </si>
  <si>
    <t>3.969</t>
  </si>
  <si>
    <t>1.515</t>
  </si>
  <si>
    <t>1.690.794</t>
  </si>
  <si>
    <t>1.484.667</t>
  </si>
  <si>
    <t>5.391</t>
  </si>
  <si>
    <t>5.768.370</t>
  </si>
  <si>
    <t>1.516.609</t>
  </si>
  <si>
    <t>Mermoid</t>
  </si>
  <si>
    <t>5.795.325</t>
  </si>
  <si>
    <t>1.549.531</t>
  </si>
  <si>
    <t>Unspeakable</t>
  </si>
  <si>
    <t>3.501.792</t>
  </si>
  <si>
    <t>1.582.452</t>
  </si>
  <si>
    <t>King of the dark dwarves</t>
  </si>
  <si>
    <t>1.070</t>
  </si>
  <si>
    <t>4.158</t>
  </si>
  <si>
    <t>1.555</t>
  </si>
  <si>
    <t>3.609.144</t>
  </si>
  <si>
    <t>1.616.659</t>
  </si>
  <si>
    <t>Cuckooly</t>
  </si>
  <si>
    <t>4.320</t>
  </si>
  <si>
    <t>4.074</t>
  </si>
  <si>
    <t>1.776.264</t>
  </si>
  <si>
    <t>1.650.866</t>
  </si>
  <si>
    <t>Mamoton</t>
  </si>
  <si>
    <t>5.530</t>
  </si>
  <si>
    <t>6.055.350</t>
  </si>
  <si>
    <t>1.686.118</t>
  </si>
  <si>
    <t>Goblin mage</t>
  </si>
  <si>
    <t>1.792.560</t>
  </si>
  <si>
    <t>1.721.610</t>
  </si>
  <si>
    <t>Gray Dragon</t>
  </si>
  <si>
    <t>6.110.650</t>
  </si>
  <si>
    <t>1.758.197</t>
  </si>
  <si>
    <t>Grey Centaur</t>
  </si>
  <si>
    <t>1.525</t>
  </si>
  <si>
    <t>5.670</t>
  </si>
  <si>
    <t>6.293.700</t>
  </si>
  <si>
    <t>1.794.784</t>
  </si>
  <si>
    <t>4.420</t>
  </si>
  <si>
    <t>4.179</t>
  </si>
  <si>
    <t>1.585</t>
  </si>
  <si>
    <t>1.863.834</t>
  </si>
  <si>
    <t>1.832.737</t>
  </si>
  <si>
    <t>Horror on Ice</t>
  </si>
  <si>
    <t>4.263</t>
  </si>
  <si>
    <t>3.819.648</t>
  </si>
  <si>
    <t>1.870.690</t>
  </si>
  <si>
    <t>The thing</t>
  </si>
  <si>
    <t>3.836.700</t>
  </si>
  <si>
    <t>1.909.807</t>
  </si>
  <si>
    <t>1.888.908</t>
  </si>
  <si>
    <t>1.949.185</t>
  </si>
  <si>
    <t>Polar Bear</t>
  </si>
  <si>
    <t>4.368</t>
  </si>
  <si>
    <t>1.625</t>
  </si>
  <si>
    <t>3.966.144</t>
  </si>
  <si>
    <t>1.989.727</t>
  </si>
  <si>
    <t>Gullps</t>
  </si>
  <si>
    <t>1.100</t>
  </si>
  <si>
    <t>4.520</t>
  </si>
  <si>
    <t>1.620</t>
  </si>
  <si>
    <t>1.953.504</t>
  </si>
  <si>
    <t>2.030.270</t>
  </si>
  <si>
    <t>1.535</t>
  </si>
  <si>
    <t>5.810</t>
  </si>
  <si>
    <t>6.652.450</t>
  </si>
  <si>
    <t>2.072.325</t>
  </si>
  <si>
    <t>Battlutter</t>
  </si>
  <si>
    <t>6.681.500</t>
  </si>
  <si>
    <t>2.114.381</t>
  </si>
  <si>
    <t>1.979.208</t>
  </si>
  <si>
    <t>2.157.674</t>
  </si>
  <si>
    <t>Sigi Musclehead</t>
  </si>
  <si>
    <t>4.389</t>
  </si>
  <si>
    <t>2.036.496</t>
  </si>
  <si>
    <t>2.201.243</t>
  </si>
  <si>
    <t>Happy Dragon</t>
  </si>
  <si>
    <t>2.045.274</t>
  </si>
  <si>
    <t>2.246.109</t>
  </si>
  <si>
    <t>Beautiful Princess</t>
  </si>
  <si>
    <t>5.949</t>
  </si>
  <si>
    <t>6.960.330</t>
  </si>
  <si>
    <t>2.290.975</t>
  </si>
  <si>
    <t>2.062.830</t>
  </si>
  <si>
    <t>2.337.454</t>
  </si>
  <si>
    <t>Illegal Alien</t>
  </si>
  <si>
    <t>7.019.820</t>
  </si>
  <si>
    <t>2.383.932</t>
  </si>
  <si>
    <t>Executor</t>
  </si>
  <si>
    <t>6.089</t>
  </si>
  <si>
    <t>7.215.465</t>
  </si>
  <si>
    <t>2.431.784</t>
  </si>
  <si>
    <t>Canocle</t>
  </si>
  <si>
    <t>4.578</t>
  </si>
  <si>
    <t>1.695</t>
  </si>
  <si>
    <t>4.358.256</t>
  </si>
  <si>
    <t>2.479.935</t>
  </si>
  <si>
    <t>Mass Fly Murderer</t>
  </si>
  <si>
    <t>4.376.568</t>
  </si>
  <si>
    <t>2.529.460</t>
  </si>
  <si>
    <t>4.394.880</t>
  </si>
  <si>
    <t>2.578.984</t>
  </si>
  <si>
    <t>7.337.245</t>
  </si>
  <si>
    <t>2.630.284</t>
  </si>
  <si>
    <t>The Guys from Oz</t>
  </si>
  <si>
    <t>1.175</t>
  </si>
  <si>
    <t>4.599</t>
  </si>
  <si>
    <t>1.725</t>
  </si>
  <si>
    <t>2.225.916</t>
  </si>
  <si>
    <t>2.681.584</t>
  </si>
  <si>
    <t>Ninja gnome</t>
  </si>
  <si>
    <t>6.229</t>
  </si>
  <si>
    <t>7.568.235</t>
  </si>
  <si>
    <t>2.734.341</t>
  </si>
  <si>
    <t>Nanobot Porridge</t>
  </si>
  <si>
    <t>1.185</t>
  </si>
  <si>
    <t>4.683</t>
  </si>
  <si>
    <t>1.730</t>
  </si>
  <si>
    <t>4.570.608</t>
  </si>
  <si>
    <t>2.787.423</t>
  </si>
  <si>
    <t>2.253.510</t>
  </si>
  <si>
    <t>2.842.028</t>
  </si>
  <si>
    <t>AI</t>
  </si>
  <si>
    <t>4.608.072</t>
  </si>
  <si>
    <t>2.896.632</t>
  </si>
  <si>
    <t>1.220</t>
  </si>
  <si>
    <t>4.704</t>
  </si>
  <si>
    <t>2.323.776</t>
  </si>
  <si>
    <t>2.953.122</t>
  </si>
  <si>
    <t>Archdemon of confusion</t>
  </si>
  <si>
    <t>6.368</t>
  </si>
  <si>
    <t>7.896.320</t>
  </si>
  <si>
    <t>3.009.611</t>
  </si>
  <si>
    <t>Dragon of Hell</t>
  </si>
  <si>
    <t>2.342.592</t>
  </si>
  <si>
    <t>3.067.713</t>
  </si>
  <si>
    <t>2.352.000</t>
  </si>
  <si>
    <t>3.126.157</t>
  </si>
  <si>
    <t>Luchtablong</t>
  </si>
  <si>
    <t>2.361.408</t>
  </si>
  <si>
    <t>3.186.213</t>
  </si>
  <si>
    <t>Pinociwhatsit</t>
  </si>
  <si>
    <t>4.788</t>
  </si>
  <si>
    <t>4.807.152</t>
  </si>
  <si>
    <t>Flamechirr</t>
  </si>
  <si>
    <t>1.707</t>
  </si>
  <si>
    <t>1.682</t>
  </si>
  <si>
    <t>6.396</t>
  </si>
  <si>
    <t>1.174</t>
  </si>
  <si>
    <t>8.058.960</t>
  </si>
  <si>
    <t>3.246.270</t>
  </si>
  <si>
    <t>High-Spirited Ghost</t>
  </si>
  <si>
    <t>4.880</t>
  </si>
  <si>
    <t>1.714</t>
  </si>
  <si>
    <t>1.689</t>
  </si>
  <si>
    <t>6.424</t>
  </si>
  <si>
    <t>1.178</t>
  </si>
  <si>
    <t>8.126.360</t>
  </si>
  <si>
    <t>3.308.402</t>
  </si>
  <si>
    <t>Seapard</t>
  </si>
  <si>
    <t>4.746</t>
  </si>
  <si>
    <t>1.774</t>
  </si>
  <si>
    <t>2.401.476</t>
  </si>
  <si>
    <t>Djinn</t>
  </si>
  <si>
    <t>Buckfoxion</t>
  </si>
  <si>
    <t>1.215</t>
  </si>
  <si>
    <t>1.235</t>
  </si>
  <si>
    <t>4.767</t>
  </si>
  <si>
    <t>2.421.636</t>
  </si>
  <si>
    <t>3.370.535</t>
  </si>
  <si>
    <t>1.728</t>
  </si>
  <si>
    <t>1.703</t>
  </si>
  <si>
    <t>6.480</t>
  </si>
  <si>
    <t>1.186</t>
  </si>
  <si>
    <t>8.262.000</t>
  </si>
  <si>
    <t>3.434.372</t>
  </si>
  <si>
    <t>Gragosh the Destroyer</t>
  </si>
  <si>
    <t>4.872</t>
  </si>
  <si>
    <t>1.793</t>
  </si>
  <si>
    <t>Devourer of Souls</t>
  </si>
  <si>
    <t>8.330.240</t>
  </si>
  <si>
    <t>3.498.580</t>
  </si>
  <si>
    <t>Cute kitten</t>
  </si>
  <si>
    <t>4.830</t>
  </si>
  <si>
    <t>1.802</t>
  </si>
  <si>
    <t>2.482.620</t>
  </si>
  <si>
    <t>3.564.571</t>
  </si>
  <si>
    <t>Foolish Princess</t>
  </si>
  <si>
    <t>4.914</t>
  </si>
  <si>
    <t>1.807</t>
  </si>
  <si>
    <t>5.051.592</t>
  </si>
  <si>
    <t>1.717</t>
  </si>
  <si>
    <t>6.535</t>
  </si>
  <si>
    <t>1.194</t>
  </si>
  <si>
    <t>8.397.475</t>
  </si>
  <si>
    <t>Kloppdiwopp</t>
  </si>
  <si>
    <t>5.060</t>
  </si>
  <si>
    <t>4.851</t>
  </si>
  <si>
    <t>1.809</t>
  </si>
  <si>
    <t>2.503.116</t>
  </si>
  <si>
    <t>3.630.562</t>
  </si>
  <si>
    <t>Shellzy</t>
  </si>
  <si>
    <t>1.273</t>
  </si>
  <si>
    <t>5.050</t>
  </si>
  <si>
    <t>1.263</t>
  </si>
  <si>
    <t>5.005</t>
  </si>
  <si>
    <t>1.839</t>
  </si>
  <si>
    <t>5.185.180</t>
  </si>
  <si>
    <t>3.698.747</t>
  </si>
  <si>
    <t>5.100</t>
  </si>
  <si>
    <t>1.791</t>
  </si>
  <si>
    <t>1.766</t>
  </si>
  <si>
    <t>6.724</t>
  </si>
  <si>
    <t>1.226</t>
  </si>
  <si>
    <t>8.707.580</t>
  </si>
  <si>
    <t>Ehrbacher Drachentöter</t>
  </si>
  <si>
    <t>1.277</t>
  </si>
  <si>
    <t>1.298</t>
  </si>
  <si>
    <t>5.232</t>
  </si>
  <si>
    <t>5.018</t>
  </si>
  <si>
    <t>1.870</t>
  </si>
  <si>
    <t>2.599.324</t>
  </si>
  <si>
    <t>B00n Demon</t>
  </si>
  <si>
    <t>1.316</t>
  </si>
  <si>
    <t>5.304</t>
  </si>
  <si>
    <t>5.088</t>
  </si>
  <si>
    <t>1.896</t>
  </si>
  <si>
    <t>2.645.760</t>
  </si>
  <si>
    <t>3.766.932</t>
  </si>
  <si>
    <t>Merlin</t>
  </si>
  <si>
    <t>1.334</t>
  </si>
  <si>
    <t>5.292</t>
  </si>
  <si>
    <t>5.248</t>
  </si>
  <si>
    <t>1.927</t>
  </si>
  <si>
    <t>5.478.912</t>
  </si>
  <si>
    <t>3.836.998</t>
  </si>
  <si>
    <t>Death's Best Buddy</t>
  </si>
  <si>
    <t>1.346</t>
  </si>
  <si>
    <t>5.427</t>
  </si>
  <si>
    <t>5.209</t>
  </si>
  <si>
    <t>2.719.098</t>
  </si>
  <si>
    <t>1.359</t>
  </si>
  <si>
    <t>5.478</t>
  </si>
  <si>
    <t>5.258</t>
  </si>
  <si>
    <t>2.744.676</t>
  </si>
  <si>
    <t>Mountain Lion</t>
  </si>
  <si>
    <t>1.377</t>
  </si>
  <si>
    <t>5.330</t>
  </si>
  <si>
    <t>1.984</t>
  </si>
  <si>
    <t>2.792.920</t>
  </si>
  <si>
    <t>3.907.462</t>
  </si>
  <si>
    <t>5.537</t>
  </si>
  <si>
    <t>1.917</t>
  </si>
  <si>
    <t>7.307</t>
  </si>
  <si>
    <t>9.608.705</t>
  </si>
  <si>
    <t>3.979.807</t>
  </si>
  <si>
    <t>Torturiel</t>
  </si>
  <si>
    <t>1.386</t>
  </si>
  <si>
    <t>1.408</t>
  </si>
  <si>
    <t>5.676</t>
  </si>
  <si>
    <t>5.452</t>
  </si>
  <si>
    <t>2.028</t>
  </si>
  <si>
    <t>2.867.752</t>
  </si>
  <si>
    <t>1.421</t>
  </si>
  <si>
    <t>5.639</t>
  </si>
  <si>
    <t>5.594</t>
  </si>
  <si>
    <t>2.052</t>
  </si>
  <si>
    <t>5.884.888</t>
  </si>
  <si>
    <t>Bootlegged Puss</t>
  </si>
  <si>
    <t>1.439</t>
  </si>
  <si>
    <t>5.712</t>
  </si>
  <si>
    <t>1.428</t>
  </si>
  <si>
    <t>5.668</t>
  </si>
  <si>
    <t>2.079</t>
  </si>
  <si>
    <t>5.985.408</t>
  </si>
  <si>
    <t>4.052.152</t>
  </si>
  <si>
    <t>Pyrophibus</t>
  </si>
  <si>
    <t>1.458</t>
  </si>
  <si>
    <t>5.786</t>
  </si>
  <si>
    <t>1.446</t>
  </si>
  <si>
    <t>5.742</t>
  </si>
  <si>
    <t>2.105</t>
  </si>
  <si>
    <t>6.086.520</t>
  </si>
  <si>
    <t>4.126.905</t>
  </si>
  <si>
    <t>5.837</t>
  </si>
  <si>
    <t>2.021</t>
  </si>
  <si>
    <t>7.705</t>
  </si>
  <si>
    <t>1.398</t>
  </si>
  <si>
    <t>10.209.125</t>
  </si>
  <si>
    <t>Seven Dwarfs</t>
  </si>
  <si>
    <t>5.888</t>
  </si>
  <si>
    <t>2.068</t>
  </si>
  <si>
    <t>2.039</t>
  </si>
  <si>
    <t>10.299.225</t>
  </si>
  <si>
    <t>5.962</t>
  </si>
  <si>
    <t>2.094</t>
  </si>
  <si>
    <t>2.065</t>
  </si>
  <si>
    <t>7.873</t>
  </si>
  <si>
    <t>1.427</t>
  </si>
  <si>
    <t>10.471.090</t>
  </si>
  <si>
    <t>4.201.658</t>
  </si>
  <si>
    <t>Liphant</t>
  </si>
  <si>
    <t>1.498</t>
  </si>
  <si>
    <t>6.131</t>
  </si>
  <si>
    <t>5.897</t>
  </si>
  <si>
    <t>3.148.998</t>
  </si>
  <si>
    <t>4.278.400</t>
  </si>
  <si>
    <t>Demon of Terror</t>
  </si>
  <si>
    <t>2.138</t>
  </si>
  <si>
    <t>2.109</t>
  </si>
  <si>
    <t>8.041</t>
  </si>
  <si>
    <t>1.456</t>
  </si>
  <si>
    <t>10.734.735</t>
  </si>
  <si>
    <t>AfterDarkor</t>
  </si>
  <si>
    <t>1.523</t>
  </si>
  <si>
    <t>1.547</t>
  </si>
  <si>
    <t>6.236</t>
  </si>
  <si>
    <t>5.998</t>
  </si>
  <si>
    <t>2.228</t>
  </si>
  <si>
    <t>3.202.932</t>
  </si>
  <si>
    <t>Grey Vulture</t>
  </si>
  <si>
    <t>1.566</t>
  </si>
  <si>
    <t>6.216</t>
  </si>
  <si>
    <t>1.554</t>
  </si>
  <si>
    <t>6.174</t>
  </si>
  <si>
    <t>6.618.528</t>
  </si>
  <si>
    <t>4.355.562</t>
  </si>
  <si>
    <t>6.292</t>
  </si>
  <si>
    <t>2.209</t>
  </si>
  <si>
    <t>2.176</t>
  </si>
  <si>
    <t>8.314</t>
  </si>
  <si>
    <t>1.503</t>
  </si>
  <si>
    <t>11.182.330</t>
  </si>
  <si>
    <t>4.434.796</t>
  </si>
  <si>
    <t>King Knuckelbone</t>
  </si>
  <si>
    <t>1.598</t>
  </si>
  <si>
    <t>6.344</t>
  </si>
  <si>
    <t>6.302</t>
  </si>
  <si>
    <t>2.307</t>
  </si>
  <si>
    <t>6.780.952</t>
  </si>
  <si>
    <t>Boaringg</t>
  </si>
  <si>
    <t>1.611</t>
  </si>
  <si>
    <t>1.599</t>
  </si>
  <si>
    <t>6.355</t>
  </si>
  <si>
    <t>6.837.980</t>
  </si>
  <si>
    <t>Night Gorgon</t>
  </si>
  <si>
    <t>1.606</t>
  </si>
  <si>
    <t>1.631</t>
  </si>
  <si>
    <t>6.572</t>
  </si>
  <si>
    <t>6.327</t>
  </si>
  <si>
    <t>2.347</t>
  </si>
  <si>
    <t>3.416.580</t>
  </si>
  <si>
    <t>4.514.030</t>
  </si>
  <si>
    <t>Papa Frost</t>
  </si>
  <si>
    <t>6.550</t>
  </si>
  <si>
    <t>2.300</t>
  </si>
  <si>
    <t>2.269</t>
  </si>
  <si>
    <t>8.658</t>
  </si>
  <si>
    <t>11.731.590</t>
  </si>
  <si>
    <t>4.595.812</t>
  </si>
  <si>
    <t>Horned Witch</t>
  </si>
  <si>
    <t>1.663</t>
  </si>
  <si>
    <t>1.651</t>
  </si>
  <si>
    <t>6.563</t>
  </si>
  <si>
    <t>7.114.292</t>
  </si>
  <si>
    <t>Shrimpfly</t>
  </si>
  <si>
    <t>6.655</t>
  </si>
  <si>
    <t>2.337</t>
  </si>
  <si>
    <t>8.797</t>
  </si>
  <si>
    <t>1.588</t>
  </si>
  <si>
    <t>11.919.935</t>
  </si>
  <si>
    <t>Redwoofox</t>
  </si>
  <si>
    <t>1.670</t>
  </si>
  <si>
    <t>1.696</t>
  </si>
  <si>
    <t>6.835</t>
  </si>
  <si>
    <t>2.441</t>
  </si>
  <si>
    <t>3.582.784</t>
  </si>
  <si>
    <t>4.677.594</t>
  </si>
  <si>
    <t>Unhere</t>
  </si>
  <si>
    <t>6.914</t>
  </si>
  <si>
    <t>6.664</t>
  </si>
  <si>
    <t>2.469</t>
  </si>
  <si>
    <t>3.638.544</t>
  </si>
  <si>
    <t>4.761.563</t>
  </si>
  <si>
    <t>Zombie Berserker</t>
  </si>
  <si>
    <t>6.864</t>
  </si>
  <si>
    <t>2.410</t>
  </si>
  <si>
    <t>2.378</t>
  </si>
  <si>
    <t>12.390.105</t>
  </si>
  <si>
    <t>7.022</t>
  </si>
  <si>
    <t>6.767</t>
  </si>
  <si>
    <t>2.507</t>
  </si>
  <si>
    <t>3.694.782</t>
  </si>
  <si>
    <t>Beastly brat</t>
  </si>
  <si>
    <t>6.996</t>
  </si>
  <si>
    <t>2.457</t>
  </si>
  <si>
    <t>9.255</t>
  </si>
  <si>
    <t>1.666</t>
  </si>
  <si>
    <t>12.679.350</t>
  </si>
  <si>
    <t>4.845.982</t>
  </si>
  <si>
    <t>Orcahle</t>
  </si>
  <si>
    <t>1.756</t>
  </si>
  <si>
    <t>1.782</t>
  </si>
  <si>
    <t>7.182</t>
  </si>
  <si>
    <t>6.927</t>
  </si>
  <si>
    <t>2.564</t>
  </si>
  <si>
    <t>3.809.850</t>
  </si>
  <si>
    <t>4.932.588</t>
  </si>
  <si>
    <t>Dragopyr</t>
  </si>
  <si>
    <t>7.129</t>
  </si>
  <si>
    <t>7.092</t>
  </si>
  <si>
    <t>2.590</t>
  </si>
  <si>
    <t>7.801.200</t>
  </si>
  <si>
    <t>7.144</t>
  </si>
  <si>
    <t>2.610</t>
  </si>
  <si>
    <t>7.858.400</t>
  </si>
  <si>
    <t>Terror from the deep</t>
  </si>
  <si>
    <t>1.829</t>
  </si>
  <si>
    <t>7.371</t>
  </si>
  <si>
    <t>7.112</t>
  </si>
  <si>
    <t>3.925.824</t>
  </si>
  <si>
    <t>5.019.195</t>
  </si>
  <si>
    <t>Azmo Fantasmo</t>
  </si>
  <si>
    <t>7.343</t>
  </si>
  <si>
    <t>2.578</t>
  </si>
  <si>
    <t>9.719</t>
  </si>
  <si>
    <t>13.460.815</t>
  </si>
  <si>
    <t>5.108.581</t>
  </si>
  <si>
    <t>7.397</t>
  </si>
  <si>
    <t>2.597</t>
  </si>
  <si>
    <t>9.789</t>
  </si>
  <si>
    <t>1.758</t>
  </si>
  <si>
    <t>13.557.765</t>
  </si>
  <si>
    <t>1.849</t>
  </si>
  <si>
    <t>7.298</t>
  </si>
  <si>
    <t>2.699</t>
  </si>
  <si>
    <t>4.043.092</t>
  </si>
  <si>
    <t>Spikey Spiteful</t>
  </si>
  <si>
    <t>1.897</t>
  </si>
  <si>
    <t>7.532</t>
  </si>
  <si>
    <t>1.883</t>
  </si>
  <si>
    <t>7.497</t>
  </si>
  <si>
    <t>8.336.664</t>
  </si>
  <si>
    <t>5.197.968</t>
  </si>
  <si>
    <t>1.889</t>
  </si>
  <si>
    <t>1.918</t>
  </si>
  <si>
    <t>7.727</t>
  </si>
  <si>
    <t>7.461</t>
  </si>
  <si>
    <t>2.758</t>
  </si>
  <si>
    <t>4.163.238</t>
  </si>
  <si>
    <t>5.289.659</t>
  </si>
  <si>
    <t>Goggly Beast</t>
  </si>
  <si>
    <t>7.668</t>
  </si>
  <si>
    <t>2.692</t>
  </si>
  <si>
    <t>2.657</t>
  </si>
  <si>
    <t>10.154</t>
  </si>
  <si>
    <t>1.820</t>
  </si>
  <si>
    <t>14.164.830</t>
  </si>
  <si>
    <t>Humbuzzish</t>
  </si>
  <si>
    <t>7.722</t>
  </si>
  <si>
    <t>2.711</t>
  </si>
  <si>
    <t>2.676</t>
  </si>
  <si>
    <t>10.225</t>
  </si>
  <si>
    <t>1.833</t>
  </si>
  <si>
    <t>14.263.875</t>
  </si>
  <si>
    <t>1.937</t>
  </si>
  <si>
    <t>7.920</t>
  </si>
  <si>
    <t>7.650</t>
  </si>
  <si>
    <t>2.827</t>
  </si>
  <si>
    <t>4.284.000</t>
  </si>
  <si>
    <t>5.381.834</t>
  </si>
  <si>
    <t>Plunderblargh</t>
  </si>
  <si>
    <t>1.957</t>
  </si>
  <si>
    <t>8.004</t>
  </si>
  <si>
    <t>7.734</t>
  </si>
  <si>
    <t>2.856</t>
  </si>
  <si>
    <t>4.346.508</t>
  </si>
  <si>
    <t>5.476.411</t>
  </si>
  <si>
    <t>Snow Lion</t>
  </si>
  <si>
    <t>7.942</t>
  </si>
  <si>
    <t>7.911</t>
  </si>
  <si>
    <t>2.883</t>
  </si>
  <si>
    <t>8.891.964</t>
  </si>
  <si>
    <t>3x3 Wishes</t>
  </si>
  <si>
    <t>7.997</t>
  </si>
  <si>
    <t>1.999</t>
  </si>
  <si>
    <t>7.964</t>
  </si>
  <si>
    <t>2.903</t>
  </si>
  <si>
    <t>8.951.536</t>
  </si>
  <si>
    <t>2.005</t>
  </si>
  <si>
    <t>2.035</t>
  </si>
  <si>
    <t>8.199</t>
  </si>
  <si>
    <t>7.925</t>
  </si>
  <si>
    <t>2.926</t>
  </si>
  <si>
    <t>4.469.700</t>
  </si>
  <si>
    <t>5.570.988</t>
  </si>
  <si>
    <t>Swamp Crocodile</t>
  </si>
  <si>
    <t>2.056</t>
  </si>
  <si>
    <t>8.165</t>
  </si>
  <si>
    <t>2.041</t>
  </si>
  <si>
    <t>8.135</t>
  </si>
  <si>
    <t>2.964</t>
  </si>
  <si>
    <t>9.208.820</t>
  </si>
  <si>
    <t>5.668.502</t>
  </si>
  <si>
    <t>8.340</t>
  </si>
  <si>
    <t>8.064</t>
  </si>
  <si>
    <t>2.976</t>
  </si>
  <si>
    <t>4.564.224</t>
  </si>
  <si>
    <t>2.084</t>
  </si>
  <si>
    <t>8.275</t>
  </si>
  <si>
    <t>8.245</t>
  </si>
  <si>
    <t>3.003</t>
  </si>
  <si>
    <t>9.333.340</t>
  </si>
  <si>
    <t>Muscudon</t>
  </si>
  <si>
    <t>8.482</t>
  </si>
  <si>
    <t>8.204</t>
  </si>
  <si>
    <t>3.026</t>
  </si>
  <si>
    <t>4.659.872</t>
  </si>
  <si>
    <t>5.766.016</t>
  </si>
  <si>
    <t>Gripcut the Ghastly</t>
  </si>
  <si>
    <t>2.127</t>
  </si>
  <si>
    <t>8.446</t>
  </si>
  <si>
    <t>2.111</t>
  </si>
  <si>
    <t>8.418</t>
  </si>
  <si>
    <t>3.065</t>
  </si>
  <si>
    <t>9.596.520</t>
  </si>
  <si>
    <t>5.866.054</t>
  </si>
  <si>
    <t>Biggie the Pimp</t>
  </si>
  <si>
    <t>2.141</t>
  </si>
  <si>
    <t>8.624</t>
  </si>
  <si>
    <t>8.343</t>
  </si>
  <si>
    <t>3.077</t>
  </si>
  <si>
    <t>4.755.510</t>
  </si>
  <si>
    <t>Hunchbacked Zombie</t>
  </si>
  <si>
    <t>8.556</t>
  </si>
  <si>
    <t>2.139</t>
  </si>
  <si>
    <t>8.528</t>
  </si>
  <si>
    <t>3.105</t>
  </si>
  <si>
    <t>9.721.920</t>
  </si>
  <si>
    <t>8.767</t>
  </si>
  <si>
    <t>8.485</t>
  </si>
  <si>
    <t>3.128</t>
  </si>
  <si>
    <t>4.853.420</t>
  </si>
  <si>
    <t>5.966.603</t>
  </si>
  <si>
    <t>Killer Monster Rabbit</t>
  </si>
  <si>
    <t>8.729</t>
  </si>
  <si>
    <t>3.025</t>
  </si>
  <si>
    <t>11.576</t>
  </si>
  <si>
    <t>2.063</t>
  </si>
  <si>
    <t>16.611.560</t>
  </si>
  <si>
    <t>6.069.677</t>
  </si>
  <si>
    <t>Tinvalid</t>
  </si>
  <si>
    <t>8.785</t>
  </si>
  <si>
    <t>3.084</t>
  </si>
  <si>
    <t>3.045</t>
  </si>
  <si>
    <t>11.650</t>
  </si>
  <si>
    <t>2.076</t>
  </si>
  <si>
    <t>16.717.750</t>
  </si>
  <si>
    <t>8.840</t>
  </si>
  <si>
    <t>3.064</t>
  </si>
  <si>
    <t>11.723</t>
  </si>
  <si>
    <t>2.089</t>
  </si>
  <si>
    <t>16.822.504</t>
  </si>
  <si>
    <t>2.216</t>
  </si>
  <si>
    <t>2.248</t>
  </si>
  <si>
    <t>9.056</t>
  </si>
  <si>
    <t>8.770</t>
  </si>
  <si>
    <t>3.230</t>
  </si>
  <si>
    <t>5.051.520</t>
  </si>
  <si>
    <t>6.172.751</t>
  </si>
  <si>
    <t>Teslarr</t>
  </si>
  <si>
    <t>2.270</t>
  </si>
  <si>
    <t>9.016</t>
  </si>
  <si>
    <t>2.254</t>
  </si>
  <si>
    <t>8.993</t>
  </si>
  <si>
    <t>3.270</t>
  </si>
  <si>
    <t>10.395.908</t>
  </si>
  <si>
    <t>6.279.031</t>
  </si>
  <si>
    <t>Hell Scorpion</t>
  </si>
  <si>
    <t>2.252</t>
  </si>
  <si>
    <t>2.284</t>
  </si>
  <si>
    <t>9.202</t>
  </si>
  <si>
    <t>8.913</t>
  </si>
  <si>
    <t>3.282</t>
  </si>
  <si>
    <t>5.151.714</t>
  </si>
  <si>
    <t>Tectospit</t>
  </si>
  <si>
    <t>2.298</t>
  </si>
  <si>
    <t>9.128</t>
  </si>
  <si>
    <t>2.282</t>
  </si>
  <si>
    <t>9.106</t>
  </si>
  <si>
    <t>3.311</t>
  </si>
  <si>
    <t>10.526.536</t>
  </si>
  <si>
    <t>2.321</t>
  </si>
  <si>
    <t>9.217</t>
  </si>
  <si>
    <t>2.304</t>
  </si>
  <si>
    <t>9.196</t>
  </si>
  <si>
    <t>3.342</t>
  </si>
  <si>
    <t>10.667.360</t>
  </si>
  <si>
    <t>6.385.312</t>
  </si>
  <si>
    <t>The Easter Bunny</t>
  </si>
  <si>
    <t>2.310</t>
  </si>
  <si>
    <t>2.343</t>
  </si>
  <si>
    <t>9.438</t>
  </si>
  <si>
    <t>9.148</t>
  </si>
  <si>
    <t>3.366</t>
  </si>
  <si>
    <t>5.324.136</t>
  </si>
  <si>
    <t>6.494.253</t>
  </si>
  <si>
    <t>Fearless Wanderer</t>
  </si>
  <si>
    <t>9.362</t>
  </si>
  <si>
    <t>3.287</t>
  </si>
  <si>
    <t>3.245</t>
  </si>
  <si>
    <t>12.426</t>
  </si>
  <si>
    <t>2.208</t>
  </si>
  <si>
    <t>18.079.830</t>
  </si>
  <si>
    <t>Fishorr</t>
  </si>
  <si>
    <t>2.338</t>
  </si>
  <si>
    <t>2.371</t>
  </si>
  <si>
    <t>9.552</t>
  </si>
  <si>
    <t>9.259</t>
  </si>
  <si>
    <t>3.407</t>
  </si>
  <si>
    <t>5.388.738</t>
  </si>
  <si>
    <t>Slashing Serpent</t>
  </si>
  <si>
    <t>9.509</t>
  </si>
  <si>
    <t>3.338</t>
  </si>
  <si>
    <t>3.296</t>
  </si>
  <si>
    <t>12.621</t>
  </si>
  <si>
    <t>2.241</t>
  </si>
  <si>
    <t>18.426.660</t>
  </si>
  <si>
    <t>6.603.742</t>
  </si>
  <si>
    <t>Alice in Wonder</t>
  </si>
  <si>
    <t>2.417</t>
  </si>
  <si>
    <t>9.599</t>
  </si>
  <si>
    <t>9.582</t>
  </si>
  <si>
    <t>11.230.104</t>
  </si>
  <si>
    <t>6.715.997</t>
  </si>
  <si>
    <t>Angrack</t>
  </si>
  <si>
    <t>9.656</t>
  </si>
  <si>
    <t>3.390</t>
  </si>
  <si>
    <t>3.347</t>
  </si>
  <si>
    <t>12.819</t>
  </si>
  <si>
    <t>2.275</t>
  </si>
  <si>
    <t>18.779.836</t>
  </si>
  <si>
    <t>Cellar Zombie</t>
  </si>
  <si>
    <t>9.713</t>
  </si>
  <si>
    <t>3.410</t>
  </si>
  <si>
    <t>3.367</t>
  </si>
  <si>
    <t>12.895</t>
  </si>
  <si>
    <t>2.288</t>
  </si>
  <si>
    <t>18.891.176</t>
  </si>
  <si>
    <t>9.804</t>
  </si>
  <si>
    <t>3.442</t>
  </si>
  <si>
    <t>3.399</t>
  </si>
  <si>
    <t>13.019</t>
  </si>
  <si>
    <t>2.308</t>
  </si>
  <si>
    <t>19.137.930</t>
  </si>
  <si>
    <t>6.828.252</t>
  </si>
  <si>
    <t>Lambikins and Fishy</t>
  </si>
  <si>
    <t>9.896</t>
  </si>
  <si>
    <t>3.474</t>
  </si>
  <si>
    <t>3.431</t>
  </si>
  <si>
    <t>13.143</t>
  </si>
  <si>
    <t>2.329</t>
  </si>
  <si>
    <t>19.385.924</t>
  </si>
  <si>
    <t>6.943.878</t>
  </si>
  <si>
    <t>Trickeribook's Cheatinchild</t>
  </si>
  <si>
    <t>9.953</t>
  </si>
  <si>
    <t>2.488</t>
  </si>
  <si>
    <t>9.939</t>
  </si>
  <si>
    <t>3.607</t>
  </si>
  <si>
    <t>11.728.020</t>
  </si>
  <si>
    <t>10.010</t>
  </si>
  <si>
    <t>2.502</t>
  </si>
  <si>
    <t>9.996</t>
  </si>
  <si>
    <t>3.628</t>
  </si>
  <si>
    <t>11.795.280</t>
  </si>
  <si>
    <t>Invisible threat</t>
  </si>
  <si>
    <t>2.543</t>
  </si>
  <si>
    <t>10.102</t>
  </si>
  <si>
    <t>2.526</t>
  </si>
  <si>
    <t>10.091</t>
  </si>
  <si>
    <t>3.661</t>
  </si>
  <si>
    <t>11.947.744</t>
  </si>
  <si>
    <t>7.059.504</t>
  </si>
  <si>
    <t>Mephissimo</t>
  </si>
  <si>
    <t>2.567</t>
  </si>
  <si>
    <t>10.195</t>
  </si>
  <si>
    <t>2.549</t>
  </si>
  <si>
    <t>10.185</t>
  </si>
  <si>
    <t>3.694</t>
  </si>
  <si>
    <t>12.099.780</t>
  </si>
  <si>
    <t>7.178.039</t>
  </si>
  <si>
    <t>Bronycorn</t>
  </si>
  <si>
    <t>2.581</t>
  </si>
  <si>
    <t>10.395</t>
  </si>
  <si>
    <t>10.093</t>
  </si>
  <si>
    <t>3.706</t>
  </si>
  <si>
    <t>5.995.242</t>
  </si>
  <si>
    <t>Angel of Pain</t>
  </si>
  <si>
    <t>10.310</t>
  </si>
  <si>
    <t>3.619</t>
  </si>
  <si>
    <t>3.575</t>
  </si>
  <si>
    <t>13.698</t>
  </si>
  <si>
    <t>20.341.530</t>
  </si>
  <si>
    <t>Mummed Mummy</t>
  </si>
  <si>
    <t>10.404</t>
  </si>
  <si>
    <t>3.652</t>
  </si>
  <si>
    <t>13.825</t>
  </si>
  <si>
    <t>2.444</t>
  </si>
  <si>
    <t>20.599.250</t>
  </si>
  <si>
    <t>7.297.158</t>
  </si>
  <si>
    <t>2.643</t>
  </si>
  <si>
    <t>10.498</t>
  </si>
  <si>
    <t>2.625</t>
  </si>
  <si>
    <t>10.491</t>
  </si>
  <si>
    <t>3.803</t>
  </si>
  <si>
    <t>12.547.236</t>
  </si>
  <si>
    <t>7.419.187</t>
  </si>
  <si>
    <t>Mega Balrog</t>
  </si>
  <si>
    <t>10.556</t>
  </si>
  <si>
    <t>14.030</t>
  </si>
  <si>
    <t>20.974.850</t>
  </si>
  <si>
    <t>10.614</t>
  </si>
  <si>
    <t>2.654</t>
  </si>
  <si>
    <t>10.607</t>
  </si>
  <si>
    <t>3.845</t>
  </si>
  <si>
    <t>12.685.972</t>
  </si>
  <si>
    <t>2.696</t>
  </si>
  <si>
    <t>10.709</t>
  </si>
  <si>
    <t>10.704</t>
  </si>
  <si>
    <t>3.879</t>
  </si>
  <si>
    <t>12.844.800</t>
  </si>
  <si>
    <t>7.541.215</t>
  </si>
  <si>
    <t>10.804</t>
  </si>
  <si>
    <t>3.793</t>
  </si>
  <si>
    <t>3.746</t>
  </si>
  <si>
    <t>14.365</t>
  </si>
  <si>
    <t>2.535</t>
  </si>
  <si>
    <t>21.619.324</t>
  </si>
  <si>
    <t>7.666.913</t>
  </si>
  <si>
    <t>10.862</t>
  </si>
  <si>
    <t>3.767</t>
  </si>
  <si>
    <t>14.443</t>
  </si>
  <si>
    <t>2.548</t>
  </si>
  <si>
    <t>21.736.716</t>
  </si>
  <si>
    <t>10.921</t>
  </si>
  <si>
    <t>3.834</t>
  </si>
  <si>
    <t>3.787</t>
  </si>
  <si>
    <t>14.520</t>
  </si>
  <si>
    <t>21.852.600</t>
  </si>
  <si>
    <t>2.773</t>
  </si>
  <si>
    <t>11.017</t>
  </si>
  <si>
    <t>2.754</t>
  </si>
  <si>
    <t>11.015</t>
  </si>
  <si>
    <t>3.989</t>
  </si>
  <si>
    <t>13.306.120</t>
  </si>
  <si>
    <t>7.792.612</t>
  </si>
  <si>
    <t>The Dead Baron</t>
  </si>
  <si>
    <t>2.788</t>
  </si>
  <si>
    <t>11.075</t>
  </si>
  <si>
    <t>2.769</t>
  </si>
  <si>
    <t>11.073</t>
  </si>
  <si>
    <t>4.011</t>
  </si>
  <si>
    <t>13.376.184</t>
  </si>
  <si>
    <t>2.764</t>
  </si>
  <si>
    <t>2.802</t>
  </si>
  <si>
    <t>11.286</t>
  </si>
  <si>
    <t>10.973</t>
  </si>
  <si>
    <t>6.627.692</t>
  </si>
  <si>
    <t>11.231</t>
  </si>
  <si>
    <t>3.942</t>
  </si>
  <si>
    <t>3.894</t>
  </si>
  <si>
    <t>14.937</t>
  </si>
  <si>
    <t>22.629.556</t>
  </si>
  <si>
    <t>7.921.366</t>
  </si>
  <si>
    <t>Blood-thirsty Vampire</t>
  </si>
  <si>
    <t>3.963</t>
  </si>
  <si>
    <t>3.915</t>
  </si>
  <si>
    <t>15.015</t>
  </si>
  <si>
    <t>22.747.724</t>
  </si>
  <si>
    <t>Ice Queen</t>
  </si>
  <si>
    <t>2.818</t>
  </si>
  <si>
    <t>11.503</t>
  </si>
  <si>
    <t>11.187</t>
  </si>
  <si>
    <t>4.099</t>
  </si>
  <si>
    <t>6.779.322</t>
  </si>
  <si>
    <t>Snailing</t>
  </si>
  <si>
    <t>2.881</t>
  </si>
  <si>
    <t>2.861</t>
  </si>
  <si>
    <t>11.448</t>
  </si>
  <si>
    <t>4.144</t>
  </si>
  <si>
    <t>13.920.768</t>
  </si>
  <si>
    <t>8.050.735</t>
  </si>
  <si>
    <t>2.857</t>
  </si>
  <si>
    <t>2.896</t>
  </si>
  <si>
    <t>11.661</t>
  </si>
  <si>
    <t>11.343</t>
  </si>
  <si>
    <t>4.155</t>
  </si>
  <si>
    <t>6.896.544</t>
  </si>
  <si>
    <t>Mesmerit</t>
  </si>
  <si>
    <t>11.564</t>
  </si>
  <si>
    <t>4.059</t>
  </si>
  <si>
    <t>4.010</t>
  </si>
  <si>
    <t>15.384</t>
  </si>
  <si>
    <t>23.383.680</t>
  </si>
  <si>
    <t>The Enchanting Genie</t>
  </si>
  <si>
    <t>2.935</t>
  </si>
  <si>
    <t>11.820</t>
  </si>
  <si>
    <t>11.501</t>
  </si>
  <si>
    <t>4.212</t>
  </si>
  <si>
    <t>7.015.610</t>
  </si>
  <si>
    <t>8.183.283</t>
  </si>
  <si>
    <t>11.722</t>
  </si>
  <si>
    <t>4.114</t>
  </si>
  <si>
    <t>4.065</t>
  </si>
  <si>
    <t>15.595</t>
  </si>
  <si>
    <t>2.744</t>
  </si>
  <si>
    <t>23.782.376</t>
  </si>
  <si>
    <t>2.925</t>
  </si>
  <si>
    <t>2.965</t>
  </si>
  <si>
    <t>11.940</t>
  </si>
  <si>
    <t>11.617</t>
  </si>
  <si>
    <t>4.255</t>
  </si>
  <si>
    <t>7.086.370</t>
  </si>
  <si>
    <t>Beppo der Terrorclown</t>
  </si>
  <si>
    <t>4.170</t>
  </si>
  <si>
    <t>15.809</t>
  </si>
  <si>
    <t>2.780</t>
  </si>
  <si>
    <t>24.187.770</t>
  </si>
  <si>
    <t>8.315.830</t>
  </si>
  <si>
    <t>Jumping Raptor</t>
  </si>
  <si>
    <t>11.939</t>
  </si>
  <si>
    <t>4.141</t>
  </si>
  <si>
    <t>15.888</t>
  </si>
  <si>
    <t>2.794</t>
  </si>
  <si>
    <t>24.308.640</t>
  </si>
  <si>
    <t>2.980</t>
  </si>
  <si>
    <t>3.020</t>
  </si>
  <si>
    <t>11.836</t>
  </si>
  <si>
    <t>4.333</t>
  </si>
  <si>
    <t>7.243.632</t>
  </si>
  <si>
    <t>3.004</t>
  </si>
  <si>
    <t>12.261</t>
  </si>
  <si>
    <t>11.936</t>
  </si>
  <si>
    <t>4.369</t>
  </si>
  <si>
    <t>7.328.704</t>
  </si>
  <si>
    <t>8.452.244</t>
  </si>
  <si>
    <t>Amnastasia Rubliovka</t>
  </si>
  <si>
    <t>12.158</t>
  </si>
  <si>
    <t>4.268</t>
  </si>
  <si>
    <t>4.217</t>
  </si>
  <si>
    <t>16.181</t>
  </si>
  <si>
    <t>2.844</t>
  </si>
  <si>
    <t>24.837.836</t>
  </si>
  <si>
    <t>12.218</t>
  </si>
  <si>
    <t>4.289</t>
  </si>
  <si>
    <t>4.237</t>
  </si>
  <si>
    <t>16.260</t>
  </si>
  <si>
    <t>2.858</t>
  </si>
  <si>
    <t>24.959.100</t>
  </si>
  <si>
    <t>Colsnail</t>
  </si>
  <si>
    <t>12.319</t>
  </si>
  <si>
    <t>4.324</t>
  </si>
  <si>
    <t>4.272</t>
  </si>
  <si>
    <t>16.398</t>
  </si>
  <si>
    <t>25.252.920</t>
  </si>
  <si>
    <t>8.588.658</t>
  </si>
  <si>
    <t>Ragorth the Vengeful</t>
  </si>
  <si>
    <t>12.379</t>
  </si>
  <si>
    <t>3.095</t>
  </si>
  <si>
    <t>12.389</t>
  </si>
  <si>
    <t>4.479</t>
  </si>
  <si>
    <t>15.263.248</t>
  </si>
  <si>
    <t>Hobgoblin's boat</t>
  </si>
  <si>
    <t>12.438</t>
  </si>
  <si>
    <t>4.366</t>
  </si>
  <si>
    <t>4.314</t>
  </si>
  <si>
    <t>16.556</t>
  </si>
  <si>
    <t>25.496.240</t>
  </si>
  <si>
    <t>4.402</t>
  </si>
  <si>
    <t>4.349</t>
  </si>
  <si>
    <t>16.696</t>
  </si>
  <si>
    <t>2.930</t>
  </si>
  <si>
    <t>25.795.320</t>
  </si>
  <si>
    <t>8.728.404</t>
  </si>
  <si>
    <t>3.129</t>
  </si>
  <si>
    <t>12.768</t>
  </si>
  <si>
    <t>4.549</t>
  </si>
  <si>
    <t>7.685.448</t>
  </si>
  <si>
    <t>Plutoid</t>
  </si>
  <si>
    <t>3.186</t>
  </si>
  <si>
    <t>12.660</t>
  </si>
  <si>
    <t>3.165</t>
  </si>
  <si>
    <t>12.672</t>
  </si>
  <si>
    <t>4.581</t>
  </si>
  <si>
    <t>15.662.592</t>
  </si>
  <si>
    <t>Shadow of Power</t>
  </si>
  <si>
    <t>3.169</t>
  </si>
  <si>
    <t>3.212</t>
  </si>
  <si>
    <t>12.932</t>
  </si>
  <si>
    <t>12.599</t>
  </si>
  <si>
    <t>4.607</t>
  </si>
  <si>
    <t>7.811.380</t>
  </si>
  <si>
    <t>8.868.807</t>
  </si>
  <si>
    <t>3.184</t>
  </si>
  <si>
    <t>3.227</t>
  </si>
  <si>
    <t>12.993</t>
  </si>
  <si>
    <t>12.659</t>
  </si>
  <si>
    <t>4.628</t>
  </si>
  <si>
    <t>7.848.580</t>
  </si>
  <si>
    <t>3.242</t>
  </si>
  <si>
    <t>12.883</t>
  </si>
  <si>
    <t>12.898</t>
  </si>
  <si>
    <t>4.661</t>
  </si>
  <si>
    <t>15.993.520</t>
  </si>
  <si>
    <t>Honey Robbear</t>
  </si>
  <si>
    <t>3.268</t>
  </si>
  <si>
    <t>12.986</t>
  </si>
  <si>
    <t>3.246</t>
  </si>
  <si>
    <t>13.003</t>
  </si>
  <si>
    <t>4.698</t>
  </si>
  <si>
    <t>16.175.732</t>
  </si>
  <si>
    <t>9.012.543</t>
  </si>
  <si>
    <t>Gory Gatherer</t>
  </si>
  <si>
    <t>3.283</t>
  </si>
  <si>
    <t>13.219</t>
  </si>
  <si>
    <t>12.882</t>
  </si>
  <si>
    <t>4.709</t>
  </si>
  <si>
    <t>8.012.604</t>
  </si>
  <si>
    <t>Dream Couple</t>
  </si>
  <si>
    <t>13.107</t>
  </si>
  <si>
    <t>4.600</t>
  </si>
  <si>
    <t>4.546</t>
  </si>
  <si>
    <t>17.455</t>
  </si>
  <si>
    <t>27.142.524</t>
  </si>
  <si>
    <t>13.211</t>
  </si>
  <si>
    <t>4.637</t>
  </si>
  <si>
    <t>4.582</t>
  </si>
  <si>
    <t>17.596</t>
  </si>
  <si>
    <t>3.083</t>
  </si>
  <si>
    <t>27.449.760</t>
  </si>
  <si>
    <t>9.156.279</t>
  </si>
  <si>
    <t>Skinny Skeleton</t>
  </si>
  <si>
    <t>3.340</t>
  </si>
  <si>
    <t>13.447</t>
  </si>
  <si>
    <t>4.790</t>
  </si>
  <si>
    <t>8.178.768</t>
  </si>
  <si>
    <t>Scarecrow</t>
  </si>
  <si>
    <t>13.332</t>
  </si>
  <si>
    <t>4.679</t>
  </si>
  <si>
    <t>4.624</t>
  </si>
  <si>
    <t>17.757</t>
  </si>
  <si>
    <t>3.111</t>
  </si>
  <si>
    <t>27.700.920</t>
  </si>
  <si>
    <t>3.381</t>
  </si>
  <si>
    <t>13.437</t>
  </si>
  <si>
    <t>13.459</t>
  </si>
  <si>
    <t>16.850.668</t>
  </si>
  <si>
    <t>9.304.206</t>
  </si>
  <si>
    <t>3.352</t>
  </si>
  <si>
    <t>3.397</t>
  </si>
  <si>
    <t>13.675</t>
  </si>
  <si>
    <t>13.333</t>
  </si>
  <si>
    <t>4.871</t>
  </si>
  <si>
    <t>8.346.458</t>
  </si>
  <si>
    <t>The Count</t>
  </si>
  <si>
    <t>13.558</t>
  </si>
  <si>
    <t>4.759</t>
  </si>
  <si>
    <t>4.703</t>
  </si>
  <si>
    <t>18.062</t>
  </si>
  <si>
    <t>28.267.030</t>
  </si>
  <si>
    <t>3.394</t>
  </si>
  <si>
    <t>3.438</t>
  </si>
  <si>
    <t>13.843</t>
  </si>
  <si>
    <t>13.501</t>
  </si>
  <si>
    <t>4.930</t>
  </si>
  <si>
    <t>8.478.628</t>
  </si>
  <si>
    <t>9.452.132</t>
  </si>
  <si>
    <t>Little John</t>
  </si>
  <si>
    <t>13.725</t>
  </si>
  <si>
    <t>4.817</t>
  </si>
  <si>
    <t>4.761</t>
  </si>
  <si>
    <t>18.288</t>
  </si>
  <si>
    <t>28.712.160</t>
  </si>
  <si>
    <t>13.786</t>
  </si>
  <si>
    <t>4.839</t>
  </si>
  <si>
    <t>4.782</t>
  </si>
  <si>
    <t>18.370</t>
  </si>
  <si>
    <t>3.214</t>
  </si>
  <si>
    <t>28.840.900</t>
  </si>
  <si>
    <t>13.892</t>
  </si>
  <si>
    <t>4.876</t>
  </si>
  <si>
    <t>4.819</t>
  </si>
  <si>
    <t>18.513</t>
  </si>
  <si>
    <t>3.237</t>
  </si>
  <si>
    <t>29.157.976</t>
  </si>
  <si>
    <t>9.603.558</t>
  </si>
  <si>
    <t>13.954</t>
  </si>
  <si>
    <t>4.897</t>
  </si>
  <si>
    <t>18.594</t>
  </si>
  <si>
    <t>3.251</t>
  </si>
  <si>
    <t>29.285.550</t>
  </si>
  <si>
    <t>3.481</t>
  </si>
  <si>
    <t>3.527</t>
  </si>
  <si>
    <t>14.198</t>
  </si>
  <si>
    <t>13.850</t>
  </si>
  <si>
    <t>5.056</t>
  </si>
  <si>
    <t>8.725.500</t>
  </si>
  <si>
    <t>14.122</t>
  </si>
  <si>
    <t>4.956</t>
  </si>
  <si>
    <t>4.899</t>
  </si>
  <si>
    <t>18.822</t>
  </si>
  <si>
    <t>3.289</t>
  </si>
  <si>
    <t>29.738.760</t>
  </si>
  <si>
    <t>9.755.685</t>
  </si>
  <si>
    <t>h4xx0r</t>
  </si>
  <si>
    <t>14.183</t>
  </si>
  <si>
    <t>4.978</t>
  </si>
  <si>
    <t>18.904</t>
  </si>
  <si>
    <t>3.303</t>
  </si>
  <si>
    <t>29.868.320</t>
  </si>
  <si>
    <t>3.584</t>
  </si>
  <si>
    <t>14.245</t>
  </si>
  <si>
    <t>3.561</t>
  </si>
  <si>
    <t>14.275</t>
  </si>
  <si>
    <t>5.150</t>
  </si>
  <si>
    <t>18.043.600</t>
  </si>
  <si>
    <t>14.353</t>
  </si>
  <si>
    <t>5.037</t>
  </si>
  <si>
    <t>4.979</t>
  </si>
  <si>
    <t>19.132</t>
  </si>
  <si>
    <t>3.341</t>
  </si>
  <si>
    <t>30.324.220</t>
  </si>
  <si>
    <t>9.911.445</t>
  </si>
  <si>
    <t>3.627</t>
  </si>
  <si>
    <t>14.602</t>
  </si>
  <si>
    <t>14.251</t>
  </si>
  <si>
    <t>5.199</t>
  </si>
  <si>
    <t>9.035.134</t>
  </si>
  <si>
    <t>3.643</t>
  </si>
  <si>
    <t>14.476</t>
  </si>
  <si>
    <t>14.509</t>
  </si>
  <si>
    <t>5.233</t>
  </si>
  <si>
    <t>18.397.412</t>
  </si>
  <si>
    <t>14.538</t>
  </si>
  <si>
    <t>5.102</t>
  </si>
  <si>
    <t>5.043</t>
  </si>
  <si>
    <t>19.378</t>
  </si>
  <si>
    <t>3.384</t>
  </si>
  <si>
    <t>30.714.130</t>
  </si>
  <si>
    <t>Octoboss</t>
  </si>
  <si>
    <t>3.685</t>
  </si>
  <si>
    <t>14.647</t>
  </si>
  <si>
    <t>3.662</t>
  </si>
  <si>
    <t>14.682</t>
  </si>
  <si>
    <t>5.295</t>
  </si>
  <si>
    <t>18.675.504</t>
  </si>
  <si>
    <t>10.067.205</t>
  </si>
  <si>
    <t>14.708</t>
  </si>
  <si>
    <t>5.162</t>
  </si>
  <si>
    <t>5.103</t>
  </si>
  <si>
    <t>19.610</t>
  </si>
  <si>
    <t>3.422</t>
  </si>
  <si>
    <t>31.179.900</t>
  </si>
  <si>
    <t>3.669</t>
  </si>
  <si>
    <t>3.716</t>
  </si>
  <si>
    <t>14.961</t>
  </si>
  <si>
    <t>14.606</t>
  </si>
  <si>
    <t>5.327</t>
  </si>
  <si>
    <t>9.289.416</t>
  </si>
  <si>
    <t>3.744</t>
  </si>
  <si>
    <t>14.880</t>
  </si>
  <si>
    <t>14.918</t>
  </si>
  <si>
    <t>5.378</t>
  </si>
  <si>
    <t>19.035.368</t>
  </si>
  <si>
    <t>10.227.366</t>
  </si>
  <si>
    <t>14.942</t>
  </si>
  <si>
    <t>3.736</t>
  </si>
  <si>
    <t>14.980</t>
  </si>
  <si>
    <t>5.401</t>
  </si>
  <si>
    <t>19.114.480</t>
  </si>
  <si>
    <t>Blood Occultist</t>
  </si>
  <si>
    <t>3.775</t>
  </si>
  <si>
    <t>15.004</t>
  </si>
  <si>
    <t>3.751</t>
  </si>
  <si>
    <t>15.042</t>
  </si>
  <si>
    <t>5.423</t>
  </si>
  <si>
    <t>19.193.592</t>
  </si>
  <si>
    <t>15.115</t>
  </si>
  <si>
    <t>3.779</t>
  </si>
  <si>
    <t>15.156</t>
  </si>
  <si>
    <t>5.463</t>
  </si>
  <si>
    <t>19.399.680</t>
  </si>
  <si>
    <t>10.387.528</t>
  </si>
  <si>
    <t>Boomywoomy</t>
  </si>
  <si>
    <t>3.770</t>
  </si>
  <si>
    <t>3.819</t>
  </si>
  <si>
    <t>15.372</t>
  </si>
  <si>
    <t>15.013</t>
  </si>
  <si>
    <t>5.473</t>
  </si>
  <si>
    <t>9.608.320</t>
  </si>
  <si>
    <t>Death Dispenser</t>
  </si>
  <si>
    <t>15.239</t>
  </si>
  <si>
    <t>5.348</t>
  </si>
  <si>
    <t>20.323</t>
  </si>
  <si>
    <t>3.543</t>
  </si>
  <si>
    <t>32.516.800</t>
  </si>
  <si>
    <t>Sinister Smasher</t>
  </si>
  <si>
    <t>15.350</t>
  </si>
  <si>
    <t>5.387</t>
  </si>
  <si>
    <t>5.326</t>
  </si>
  <si>
    <t>20.475</t>
  </si>
  <si>
    <t>3.567</t>
  </si>
  <si>
    <t>32.862.376</t>
  </si>
  <si>
    <t>10.551.497</t>
  </si>
  <si>
    <t>3.829</t>
  </si>
  <si>
    <t>3.878</t>
  </si>
  <si>
    <t>15.610</t>
  </si>
  <si>
    <t>15.250</t>
  </si>
  <si>
    <t>5.558</t>
  </si>
  <si>
    <t>9.790.500</t>
  </si>
  <si>
    <t>Basilisk</t>
  </si>
  <si>
    <t>15.475</t>
  </si>
  <si>
    <t>15.520</t>
  </si>
  <si>
    <t>5.592</t>
  </si>
  <si>
    <t>19.927.680</t>
  </si>
  <si>
    <t>15.587</t>
  </si>
  <si>
    <t>5.471</t>
  </si>
  <si>
    <t>5.408</t>
  </si>
  <si>
    <t>20.793</t>
  </si>
  <si>
    <t>33.476.730</t>
  </si>
  <si>
    <t>10.716.202</t>
  </si>
  <si>
    <t>Werewolf</t>
  </si>
  <si>
    <t>3.888</t>
  </si>
  <si>
    <t>3.938</t>
  </si>
  <si>
    <t>15.850</t>
  </si>
  <si>
    <t>15.488</t>
  </si>
  <si>
    <t>5.642</t>
  </si>
  <si>
    <t>9.974.272</t>
  </si>
  <si>
    <t>15.713</t>
  </si>
  <si>
    <t>5.514</t>
  </si>
  <si>
    <t>20.960</t>
  </si>
  <si>
    <t>3.650</t>
  </si>
  <si>
    <t>33.745.600</t>
  </si>
  <si>
    <t>Deep Priest</t>
  </si>
  <si>
    <t>3.982</t>
  </si>
  <si>
    <t>15.826</t>
  </si>
  <si>
    <t>3.956</t>
  </si>
  <si>
    <t>15.876</t>
  </si>
  <si>
    <t>20.511.792</t>
  </si>
  <si>
    <t>10.884.714</t>
  </si>
  <si>
    <t>3.997</t>
  </si>
  <si>
    <t>3.972</t>
  </si>
  <si>
    <t>15.939</t>
  </si>
  <si>
    <t>5.741</t>
  </si>
  <si>
    <t>20.593.188</t>
  </si>
  <si>
    <t>Ali the Sesame Opener</t>
  </si>
  <si>
    <t>4.013</t>
  </si>
  <si>
    <t>15.951</t>
  </si>
  <si>
    <t>3.988</t>
  </si>
  <si>
    <t>16.002</t>
  </si>
  <si>
    <t>5.763</t>
  </si>
  <si>
    <t>20.674.584</t>
  </si>
  <si>
    <t>16.065</t>
  </si>
  <si>
    <t>5.638</t>
  </si>
  <si>
    <t>5.574</t>
  </si>
  <si>
    <t>21.439</t>
  </si>
  <si>
    <t>3.728</t>
  </si>
  <si>
    <t>34.731.180</t>
  </si>
  <si>
    <t>11.053.227</t>
  </si>
  <si>
    <t>4.058</t>
  </si>
  <si>
    <t>16.128</t>
  </si>
  <si>
    <t>4.032</t>
  </si>
  <si>
    <t>16.182</t>
  </si>
  <si>
    <t>20.971.872</t>
  </si>
  <si>
    <t>16.191</t>
  </si>
  <si>
    <t>5.682</t>
  </si>
  <si>
    <t>5.618</t>
  </si>
  <si>
    <t>21.607</t>
  </si>
  <si>
    <t>3.757</t>
  </si>
  <si>
    <t>35.003.340</t>
  </si>
  <si>
    <t>4.102</t>
  </si>
  <si>
    <t>16.306</t>
  </si>
  <si>
    <t>4.076</t>
  </si>
  <si>
    <t>16.362</t>
  </si>
  <si>
    <t>5.890</t>
  </si>
  <si>
    <t>21.270.600</t>
  </si>
  <si>
    <t>11.226.513</t>
  </si>
  <si>
    <t>Culture Vulture</t>
  </si>
  <si>
    <t>4.066</t>
  </si>
  <si>
    <t>4.118</t>
  </si>
  <si>
    <t>16.576</t>
  </si>
  <si>
    <t>16.208</t>
  </si>
  <si>
    <t>10.535.200</t>
  </si>
  <si>
    <t>16.432</t>
  </si>
  <si>
    <t>5.767</t>
  </si>
  <si>
    <t>5.702</t>
  </si>
  <si>
    <t>21.930</t>
  </si>
  <si>
    <t>35.636.248</t>
  </si>
  <si>
    <t>16.547</t>
  </si>
  <si>
    <t>5.807</t>
  </si>
  <si>
    <t>22.089</t>
  </si>
  <si>
    <t>3.837</t>
  </si>
  <si>
    <t>36.005.072</t>
  </si>
  <si>
    <t>11.399.799</t>
  </si>
  <si>
    <t>16.611</t>
  </si>
  <si>
    <t>5.830</t>
  </si>
  <si>
    <t>5.764</t>
  </si>
  <si>
    <t>22.173</t>
  </si>
  <si>
    <t>3.851</t>
  </si>
  <si>
    <t>36.141.992</t>
  </si>
  <si>
    <t>4.195</t>
  </si>
  <si>
    <t>16.674</t>
  </si>
  <si>
    <t>4.169</t>
  </si>
  <si>
    <t>16.735</t>
  </si>
  <si>
    <t>6.023</t>
  </si>
  <si>
    <t>21.822.440</t>
  </si>
  <si>
    <t>16.790</t>
  </si>
  <si>
    <t>5.892</t>
  </si>
  <si>
    <t>5.826</t>
  </si>
  <si>
    <t>22.414</t>
  </si>
  <si>
    <t>3.891</t>
  </si>
  <si>
    <t>36.646.888</t>
  </si>
  <si>
    <t>11.577.075</t>
  </si>
  <si>
    <t>16.854</t>
  </si>
  <si>
    <t>4.213</t>
  </si>
  <si>
    <t>16.918</t>
  </si>
  <si>
    <t>22.128.744</t>
  </si>
  <si>
    <t>Devastor</t>
  </si>
  <si>
    <t>5.937</t>
  </si>
  <si>
    <t>5.871</t>
  </si>
  <si>
    <t>22.584</t>
  </si>
  <si>
    <t>3.921</t>
  </si>
  <si>
    <t>36.924.840</t>
  </si>
  <si>
    <t>Furious Fury</t>
  </si>
  <si>
    <t>17.035</t>
  </si>
  <si>
    <t>5.978</t>
  </si>
  <si>
    <t>22.745</t>
  </si>
  <si>
    <t>3.946</t>
  </si>
  <si>
    <t>37.301.800</t>
  </si>
  <si>
    <t>11.755.135</t>
  </si>
  <si>
    <t>Humpty Dumpty</t>
  </si>
  <si>
    <t>17.098</t>
  </si>
  <si>
    <t>6.001</t>
  </si>
  <si>
    <t>5.934</t>
  </si>
  <si>
    <t>22.830</t>
  </si>
  <si>
    <t>3.961</t>
  </si>
  <si>
    <t>37.441.200</t>
  </si>
  <si>
    <t>Knilight</t>
  </si>
  <si>
    <t>4.317</t>
  </si>
  <si>
    <t>17.162</t>
  </si>
  <si>
    <t>4.291</t>
  </si>
  <si>
    <t>17.229</t>
  </si>
  <si>
    <t>6.198</t>
  </si>
  <si>
    <t>22.604.448</t>
  </si>
  <si>
    <t>17.280</t>
  </si>
  <si>
    <t>6.064</t>
  </si>
  <si>
    <t>5.997</t>
  </si>
  <si>
    <t>23.077</t>
  </si>
  <si>
    <t>4.001</t>
  </si>
  <si>
    <t>37.961.664</t>
  </si>
  <si>
    <t>11.937.336</t>
  </si>
  <si>
    <t>Flowerlina</t>
  </si>
  <si>
    <t>17.344</t>
  </si>
  <si>
    <t>6.019</t>
  </si>
  <si>
    <t>23.162</t>
  </si>
  <si>
    <t>4.016</t>
  </si>
  <si>
    <t>38.101.488</t>
  </si>
  <si>
    <t>Ex-Exorcist</t>
  </si>
  <si>
    <t>17.408</t>
  </si>
  <si>
    <t>6.109</t>
  </si>
  <si>
    <t>6.041</t>
  </si>
  <si>
    <t>23.248</t>
  </si>
  <si>
    <t>4.031</t>
  </si>
  <si>
    <t>38.242.960</t>
  </si>
  <si>
    <t>Lunatic Monster Rabbit</t>
  </si>
  <si>
    <t>4.409</t>
  </si>
  <si>
    <t>17.527</t>
  </si>
  <si>
    <t>4.382</t>
  </si>
  <si>
    <t>17.600</t>
  </si>
  <si>
    <t>6.328</t>
  </si>
  <si>
    <t>23.232.000</t>
  </si>
  <si>
    <t>12.119.538</t>
  </si>
  <si>
    <t>Cinderella</t>
  </si>
  <si>
    <t>4.425</t>
  </si>
  <si>
    <t>17.591</t>
  </si>
  <si>
    <t>4.398</t>
  </si>
  <si>
    <t>17.665</t>
  </si>
  <si>
    <t>6.351</t>
  </si>
  <si>
    <t>23.317.800</t>
  </si>
  <si>
    <t>Problem Bear</t>
  </si>
  <si>
    <t>17.655</t>
  </si>
  <si>
    <t>6.196</t>
  </si>
  <si>
    <t>6.127</t>
  </si>
  <si>
    <t>23.579</t>
  </si>
  <si>
    <t>4.086</t>
  </si>
  <si>
    <t>38.905.352</t>
  </si>
  <si>
    <t>4.416</t>
  </si>
  <si>
    <t>4.471</t>
  </si>
  <si>
    <t>17.995</t>
  </si>
  <si>
    <t>17.620</t>
  </si>
  <si>
    <t>6.403</t>
  </si>
  <si>
    <t>11.664.440</t>
  </si>
  <si>
    <t>12.306.741</t>
  </si>
  <si>
    <t>Biting Mutt</t>
  </si>
  <si>
    <t>4.432</t>
  </si>
  <si>
    <t>4.487</t>
  </si>
  <si>
    <t>17.684</t>
  </si>
  <si>
    <t>11.706.808</t>
  </si>
  <si>
    <t>4.504</t>
  </si>
  <si>
    <t>17.903</t>
  </si>
  <si>
    <t>4.476</t>
  </si>
  <si>
    <t>17.981</t>
  </si>
  <si>
    <t>6.463</t>
  </si>
  <si>
    <t>23.806.844</t>
  </si>
  <si>
    <t>Petdacat</t>
  </si>
  <si>
    <t>4.534</t>
  </si>
  <si>
    <t>18.023</t>
  </si>
  <si>
    <t>4.506</t>
  </si>
  <si>
    <t>18.104</t>
  </si>
  <si>
    <t>6.506</t>
  </si>
  <si>
    <t>24.042.112</t>
  </si>
  <si>
    <t>12.493.945</t>
  </si>
  <si>
    <t>4.550</t>
  </si>
  <si>
    <t>18.088</t>
  </si>
  <si>
    <t>4.522</t>
  </si>
  <si>
    <t>18.169</t>
  </si>
  <si>
    <t>6.530</t>
  </si>
  <si>
    <t>24.128.432</t>
  </si>
  <si>
    <t>Terror Tree</t>
  </si>
  <si>
    <t>18.153</t>
  </si>
  <si>
    <t>6.370</t>
  </si>
  <si>
    <t>6.300</t>
  </si>
  <si>
    <t>24.250</t>
  </si>
  <si>
    <t>4.198</t>
  </si>
  <si>
    <t>40.255.000</t>
  </si>
  <si>
    <t>Finnettle</t>
  </si>
  <si>
    <t>18.274</t>
  </si>
  <si>
    <t>6.413</t>
  </si>
  <si>
    <t>6.342</t>
  </si>
  <si>
    <t>24.417</t>
  </si>
  <si>
    <t>4.224</t>
  </si>
  <si>
    <t>40.654.304</t>
  </si>
  <si>
    <t>12.685.480</t>
  </si>
  <si>
    <t>The Last Airgazer</t>
  </si>
  <si>
    <t>4.556</t>
  </si>
  <si>
    <t>4.613</t>
  </si>
  <si>
    <t>18.565</t>
  </si>
  <si>
    <t>18.186</t>
  </si>
  <si>
    <t>6.605</t>
  </si>
  <si>
    <t>12.111.876</t>
  </si>
  <si>
    <t>Jellclops</t>
  </si>
  <si>
    <t>4.572</t>
  </si>
  <si>
    <t>4.629</t>
  </si>
  <si>
    <t>18.630</t>
  </si>
  <si>
    <t>18.250</t>
  </si>
  <si>
    <t>6.629</t>
  </si>
  <si>
    <t>12.154.500</t>
  </si>
  <si>
    <t>4.603</t>
  </si>
  <si>
    <t>18.753</t>
  </si>
  <si>
    <t>18.374</t>
  </si>
  <si>
    <t>6.672</t>
  </si>
  <si>
    <t>12.273.832</t>
  </si>
  <si>
    <t>12.877.848</t>
  </si>
  <si>
    <t>18.590</t>
  </si>
  <si>
    <t>6.452</t>
  </si>
  <si>
    <t>24.844</t>
  </si>
  <si>
    <t>4.296</t>
  </si>
  <si>
    <t>41.489.480</t>
  </si>
  <si>
    <t>Reckless Reaper</t>
  </si>
  <si>
    <t>18.655</t>
  </si>
  <si>
    <t>6.546</t>
  </si>
  <si>
    <t>6.475</t>
  </si>
  <si>
    <t>24.931</t>
  </si>
  <si>
    <t>4.311</t>
  </si>
  <si>
    <t>41.634.768</t>
  </si>
  <si>
    <t>4.723</t>
  </si>
  <si>
    <t>18.778</t>
  </si>
  <si>
    <t>4.694</t>
  </si>
  <si>
    <t>18.870</t>
  </si>
  <si>
    <t>6.777</t>
  </si>
  <si>
    <t>25.285.800</t>
  </si>
  <si>
    <t>13.074.548</t>
  </si>
  <si>
    <t>18.843</t>
  </si>
  <si>
    <t>6.612</t>
  </si>
  <si>
    <t>25.183</t>
  </si>
  <si>
    <t>4.352</t>
  </si>
  <si>
    <t>42.181.524</t>
  </si>
  <si>
    <t>18.908</t>
  </si>
  <si>
    <t>6.635</t>
  </si>
  <si>
    <t>25.270</t>
  </si>
  <si>
    <t>42.327.248</t>
  </si>
  <si>
    <t>4.729</t>
  </si>
  <si>
    <t>4.787</t>
  </si>
  <si>
    <t>19.264</t>
  </si>
  <si>
    <t>18.883</t>
  </si>
  <si>
    <t>6.853</t>
  </si>
  <si>
    <t>12.689.376</t>
  </si>
  <si>
    <t>13.271.248</t>
  </si>
  <si>
    <t>4.745</t>
  </si>
  <si>
    <t>4.803</t>
  </si>
  <si>
    <t>19.330</t>
  </si>
  <si>
    <t>18.948</t>
  </si>
  <si>
    <t>6.877</t>
  </si>
  <si>
    <t>12.733.056</t>
  </si>
  <si>
    <t>B. O. Wolf</t>
  </si>
  <si>
    <t>19.397</t>
  </si>
  <si>
    <t>19.012</t>
  </si>
  <si>
    <t>6.900</t>
  </si>
  <si>
    <t>12.776.064</t>
  </si>
  <si>
    <t>Monkorrage</t>
  </si>
  <si>
    <t>19.286</t>
  </si>
  <si>
    <t>4.822</t>
  </si>
  <si>
    <t>19.386</t>
  </si>
  <si>
    <t>6.959</t>
  </si>
  <si>
    <t>26.132.328</t>
  </si>
  <si>
    <t>13.473.359</t>
  </si>
  <si>
    <t>Lampcess</t>
  </si>
  <si>
    <t>4.809</t>
  </si>
  <si>
    <t>4.868</t>
  </si>
  <si>
    <t>19.588</t>
  </si>
  <si>
    <t>19.205</t>
  </si>
  <si>
    <t>6.968</t>
  </si>
  <si>
    <t>12.944.170</t>
  </si>
  <si>
    <t>Premature Hellspawn</t>
  </si>
  <si>
    <t>4.825</t>
  </si>
  <si>
    <t>4.884</t>
  </si>
  <si>
    <t>19.654</t>
  </si>
  <si>
    <t>19.270</t>
  </si>
  <si>
    <t>6.992</t>
  </si>
  <si>
    <t>12.987.980</t>
  </si>
  <si>
    <t>Stomper</t>
  </si>
  <si>
    <t>19.543</t>
  </si>
  <si>
    <t>6.858</t>
  </si>
  <si>
    <t>6.783</t>
  </si>
  <si>
    <t>26.130</t>
  </si>
  <si>
    <t>4.508</t>
  </si>
  <si>
    <t>44.159.700</t>
  </si>
  <si>
    <t>13.675.470</t>
  </si>
  <si>
    <t>Snowflake</t>
  </si>
  <si>
    <t>4.932</t>
  </si>
  <si>
    <t>19.608</t>
  </si>
  <si>
    <t>4.902</t>
  </si>
  <si>
    <t>19.713</t>
  </si>
  <si>
    <t>7.075</t>
  </si>
  <si>
    <t>26.651.976</t>
  </si>
  <si>
    <t>4.948</t>
  </si>
  <si>
    <t>19.674</t>
  </si>
  <si>
    <t>4.919</t>
  </si>
  <si>
    <t>19.779</t>
  </si>
  <si>
    <t>7.098</t>
  </si>
  <si>
    <t>26.741.208</t>
  </si>
  <si>
    <t>Mirrored Fool</t>
  </si>
  <si>
    <t>19.800</t>
  </si>
  <si>
    <t>6.948</t>
  </si>
  <si>
    <t>6.873</t>
  </si>
  <si>
    <t>26.479</t>
  </si>
  <si>
    <t>4.566</t>
  </si>
  <si>
    <t>44.881.904</t>
  </si>
  <si>
    <t>13.882.118</t>
  </si>
  <si>
    <t>4.997</t>
  </si>
  <si>
    <t>19.866</t>
  </si>
  <si>
    <t>19.974</t>
  </si>
  <si>
    <t>7.167</t>
  </si>
  <si>
    <t>27.084.744</t>
  </si>
  <si>
    <t>4.953</t>
  </si>
  <si>
    <t>5.013</t>
  </si>
  <si>
    <t>20.174</t>
  </si>
  <si>
    <t>19.787</t>
  </si>
  <si>
    <t>7.176</t>
  </si>
  <si>
    <t>13.415.586</t>
  </si>
  <si>
    <t>20.059</t>
  </si>
  <si>
    <t>7.039</t>
  </si>
  <si>
    <t>6.963</t>
  </si>
  <si>
    <t>26.826</t>
  </si>
  <si>
    <t>45.604.200</t>
  </si>
  <si>
    <t>14.089.639</t>
  </si>
  <si>
    <t>5.062</t>
  </si>
  <si>
    <t>20.125</t>
  </si>
  <si>
    <t>5.031</t>
  </si>
  <si>
    <t>20.238</t>
  </si>
  <si>
    <t>7.260</t>
  </si>
  <si>
    <t>27.523.680</t>
  </si>
  <si>
    <t>Lion</t>
  </si>
  <si>
    <t>5.017</t>
  </si>
  <si>
    <t>5.078</t>
  </si>
  <si>
    <t>20.435</t>
  </si>
  <si>
    <t>20.048</t>
  </si>
  <si>
    <t>7.268</t>
  </si>
  <si>
    <t>13.632.640</t>
  </si>
  <si>
    <t>Singing Dumpling</t>
  </si>
  <si>
    <t>5.049</t>
  </si>
  <si>
    <t>5.110</t>
  </si>
  <si>
    <t>20.178</t>
  </si>
  <si>
    <t>7.313</t>
  </si>
  <si>
    <t>13.761.396</t>
  </si>
  <si>
    <t>14.301.863</t>
  </si>
  <si>
    <t>Three Hungry Bears</t>
  </si>
  <si>
    <t>20.385</t>
  </si>
  <si>
    <t>7.153</t>
  </si>
  <si>
    <t>27.267</t>
  </si>
  <si>
    <t>4.697</t>
  </si>
  <si>
    <t>46.490.236</t>
  </si>
  <si>
    <t>20.451</t>
  </si>
  <si>
    <t>7.099</t>
  </si>
  <si>
    <t>27.357</t>
  </si>
  <si>
    <t>4.712</t>
  </si>
  <si>
    <t>46.643.684</t>
  </si>
  <si>
    <t>Bottomcreeper</t>
  </si>
  <si>
    <t>5.176</t>
  </si>
  <si>
    <t>20.579</t>
  </si>
  <si>
    <t>5.145</t>
  </si>
  <si>
    <t>20.700</t>
  </si>
  <si>
    <t>7.422</t>
  </si>
  <si>
    <t>28.317.600</t>
  </si>
  <si>
    <t>14.514.086</t>
  </si>
  <si>
    <t>20.646</t>
  </si>
  <si>
    <t>7.245</t>
  </si>
  <si>
    <t>27.619</t>
  </si>
  <si>
    <t>4.755</t>
  </si>
  <si>
    <t>47.228.488</t>
  </si>
  <si>
    <t>War ogre of war</t>
  </si>
  <si>
    <t>20.713</t>
  </si>
  <si>
    <t>5.178</t>
  </si>
  <si>
    <t>20.834</t>
  </si>
  <si>
    <t>7.470</t>
  </si>
  <si>
    <t>28.500.912</t>
  </si>
  <si>
    <t>5.226</t>
  </si>
  <si>
    <t>20.779</t>
  </si>
  <si>
    <t>5.195</t>
  </si>
  <si>
    <t>20.901</t>
  </si>
  <si>
    <t>7.494</t>
  </si>
  <si>
    <t>28.592.568</t>
  </si>
  <si>
    <t>20.908</t>
  </si>
  <si>
    <t>7.337</t>
  </si>
  <si>
    <t>7.258</t>
  </si>
  <si>
    <t>27.975</t>
  </si>
  <si>
    <t>4.814</t>
  </si>
  <si>
    <t>47.977.124</t>
  </si>
  <si>
    <t>14.731.980</t>
  </si>
  <si>
    <t>Voodoo Skeleton</t>
  </si>
  <si>
    <t>20.975</t>
  </si>
  <si>
    <t>7.360</t>
  </si>
  <si>
    <t>28.064</t>
  </si>
  <si>
    <t>4.829</t>
  </si>
  <si>
    <t>48.129.760</t>
  </si>
  <si>
    <t>Goose in Luck</t>
  </si>
  <si>
    <t>21.042</t>
  </si>
  <si>
    <t>21.168</t>
  </si>
  <si>
    <t>7.588</t>
  </si>
  <si>
    <t>29.042.496</t>
  </si>
  <si>
    <t>21.109</t>
  </si>
  <si>
    <t>7.407</t>
  </si>
  <si>
    <t>7.328</t>
  </si>
  <si>
    <t>28.243</t>
  </si>
  <si>
    <t>48.436.744</t>
  </si>
  <si>
    <t>21.239</t>
  </si>
  <si>
    <t>7.453</t>
  </si>
  <si>
    <t>7.373</t>
  </si>
  <si>
    <t>28.422</t>
  </si>
  <si>
    <t>48.885.840</t>
  </si>
  <si>
    <t>14.949.874</t>
  </si>
  <si>
    <t>Badly Raised Boys</t>
  </si>
  <si>
    <t>21.306</t>
  </si>
  <si>
    <t>7.476</t>
  </si>
  <si>
    <t>28.512</t>
  </si>
  <si>
    <t>4.904</t>
  </si>
  <si>
    <t>49.040.640</t>
  </si>
  <si>
    <t>5.375</t>
  </si>
  <si>
    <t>21.373</t>
  </si>
  <si>
    <t>5.343</t>
  </si>
  <si>
    <t>21.504</t>
  </si>
  <si>
    <t>7.707</t>
  </si>
  <si>
    <t>29.589.504</t>
  </si>
  <si>
    <t>Ruminant</t>
  </si>
  <si>
    <t>5.328</t>
  </si>
  <si>
    <t>5.392</t>
  </si>
  <si>
    <t>21.696</t>
  </si>
  <si>
    <t>21.302</t>
  </si>
  <si>
    <t>7.715</t>
  </si>
  <si>
    <t>14.655.776</t>
  </si>
  <si>
    <t>5.361</t>
  </si>
  <si>
    <t>5.425</t>
  </si>
  <si>
    <t>21.828</t>
  </si>
  <si>
    <t>21.437</t>
  </si>
  <si>
    <t>7.762</t>
  </si>
  <si>
    <t>14.791.530</t>
  </si>
  <si>
    <t>15.172.685</t>
  </si>
  <si>
    <t>Blind Cyclops</t>
  </si>
  <si>
    <t>5.442</t>
  </si>
  <si>
    <t>21.638</t>
  </si>
  <si>
    <t>5.410</t>
  </si>
  <si>
    <t>21.774</t>
  </si>
  <si>
    <t>7.802</t>
  </si>
  <si>
    <t>30.048.120</t>
  </si>
  <si>
    <t>Lance Strongarm</t>
  </si>
  <si>
    <t>5.394</t>
  </si>
  <si>
    <t>5.459</t>
  </si>
  <si>
    <t>21.964</t>
  </si>
  <si>
    <t>21.570</t>
  </si>
  <si>
    <t>7.810</t>
  </si>
  <si>
    <t>14.883.300</t>
  </si>
  <si>
    <t>5.476</t>
  </si>
  <si>
    <t>21.773</t>
  </si>
  <si>
    <t>5.443</t>
  </si>
  <si>
    <t>21.909</t>
  </si>
  <si>
    <t>7.851</t>
  </si>
  <si>
    <t>30.234.420</t>
  </si>
  <si>
    <t>5.444</t>
  </si>
  <si>
    <t>5.509</t>
  </si>
  <si>
    <t>22.165</t>
  </si>
  <si>
    <t>21.772</t>
  </si>
  <si>
    <t>7.881</t>
  </si>
  <si>
    <t>15.066.224</t>
  </si>
  <si>
    <t>15.396.424</t>
  </si>
  <si>
    <t>Unikor</t>
  </si>
  <si>
    <t>21.972</t>
  </si>
  <si>
    <t>7.710</t>
  </si>
  <si>
    <t>7.628</t>
  </si>
  <si>
    <t>29.411</t>
  </si>
  <si>
    <t>5.053</t>
  </si>
  <si>
    <t>50.881.032</t>
  </si>
  <si>
    <t>Malicious Martha</t>
  </si>
  <si>
    <t>5.543</t>
  </si>
  <si>
    <t>22.301</t>
  </si>
  <si>
    <t>21.906</t>
  </si>
  <si>
    <t>7.930</t>
  </si>
  <si>
    <t>15.158.952</t>
  </si>
  <si>
    <t>Eyeorwhat</t>
  </si>
  <si>
    <t>22.107</t>
  </si>
  <si>
    <t>7.757</t>
  </si>
  <si>
    <t>7.675</t>
  </si>
  <si>
    <t>29.591</t>
  </si>
  <si>
    <t>5.084</t>
  </si>
  <si>
    <t>51.192.432</t>
  </si>
  <si>
    <t>Roarear</t>
  </si>
  <si>
    <t>5.527</t>
  </si>
  <si>
    <t>5.593</t>
  </si>
  <si>
    <t>22.504</t>
  </si>
  <si>
    <t>22.109</t>
  </si>
  <si>
    <t>8.001</t>
  </si>
  <si>
    <t>15.343.646</t>
  </si>
  <si>
    <t>15.625.080</t>
  </si>
  <si>
    <t>Angbite</t>
  </si>
  <si>
    <t>5.610</t>
  </si>
  <si>
    <t>22.308</t>
  </si>
  <si>
    <t>5.577</t>
  </si>
  <si>
    <t>22.453</t>
  </si>
  <si>
    <t>8.042</t>
  </si>
  <si>
    <t>31.164.764</t>
  </si>
  <si>
    <t>22.376</t>
  </si>
  <si>
    <t>7.769</t>
  </si>
  <si>
    <t>29.952</t>
  </si>
  <si>
    <t>5.144</t>
  </si>
  <si>
    <t>51.966.720</t>
  </si>
  <si>
    <t>22.443</t>
  </si>
  <si>
    <t>7.875</t>
  </si>
  <si>
    <t>7.792</t>
  </si>
  <si>
    <t>30.043</t>
  </si>
  <si>
    <t>5.159</t>
  </si>
  <si>
    <t>52.124.604</t>
  </si>
  <si>
    <t>Big Badgerer</t>
  </si>
  <si>
    <t>22.577</t>
  </si>
  <si>
    <t>7.922</t>
  </si>
  <si>
    <t>7.839</t>
  </si>
  <si>
    <t>30.227</t>
  </si>
  <si>
    <t>5.188</t>
  </si>
  <si>
    <t>52.594.980</t>
  </si>
  <si>
    <t>15.853.736</t>
  </si>
  <si>
    <t>Boogerus the Booger Giant</t>
  </si>
  <si>
    <t>5.695</t>
  </si>
  <si>
    <t>22.645</t>
  </si>
  <si>
    <t>5.661</t>
  </si>
  <si>
    <t>22.796</t>
  </si>
  <si>
    <t>8.163</t>
  </si>
  <si>
    <t>31.732.032</t>
  </si>
  <si>
    <t>5.645</t>
  </si>
  <si>
    <t>22.981</t>
  </si>
  <si>
    <t>22.582</t>
  </si>
  <si>
    <t>8.171</t>
  </si>
  <si>
    <t>15.717.072</t>
  </si>
  <si>
    <t>5.729</t>
  </si>
  <si>
    <t>22.781</t>
  </si>
  <si>
    <t>22.932</t>
  </si>
  <si>
    <t>8.212</t>
  </si>
  <si>
    <t>31.921.344</t>
  </si>
  <si>
    <t>22.916</t>
  </si>
  <si>
    <t>7.957</t>
  </si>
  <si>
    <t>30.686</t>
  </si>
  <si>
    <t>5.264</t>
  </si>
  <si>
    <t>53.547.072</t>
  </si>
  <si>
    <t>16.088.503</t>
  </si>
  <si>
    <t>5.780</t>
  </si>
  <si>
    <t>22.984</t>
  </si>
  <si>
    <t>5.746</t>
  </si>
  <si>
    <t>23.140</t>
  </si>
  <si>
    <t>8.284</t>
  </si>
  <si>
    <t>32.303.440</t>
  </si>
  <si>
    <t>Valkyrie</t>
  </si>
  <si>
    <t>5.797</t>
  </si>
  <si>
    <t>23.052</t>
  </si>
  <si>
    <t>23.208</t>
  </si>
  <si>
    <t>8.309</t>
  </si>
  <si>
    <t>32.398.368</t>
  </si>
  <si>
    <t>Dynamic Peter</t>
  </si>
  <si>
    <t>5.814</t>
  </si>
  <si>
    <t>23.392</t>
  </si>
  <si>
    <t>8.316</t>
  </si>
  <si>
    <t>16.047.718</t>
  </si>
  <si>
    <t>23.256</t>
  </si>
  <si>
    <t>8.160</t>
  </si>
  <si>
    <t>8.075</t>
  </si>
  <si>
    <t>31.143</t>
  </si>
  <si>
    <t>5.340</t>
  </si>
  <si>
    <t>54.500.248</t>
  </si>
  <si>
    <t>16.323.270</t>
  </si>
  <si>
    <t>5.865</t>
  </si>
  <si>
    <t>23.324</t>
  </si>
  <si>
    <t>5.831</t>
  </si>
  <si>
    <t>23.485</t>
  </si>
  <si>
    <t>8.406</t>
  </si>
  <si>
    <t>32.879.000</t>
  </si>
  <si>
    <t>Phantasto the Blacksmith</t>
  </si>
  <si>
    <t>23.393</t>
  </si>
  <si>
    <t>8.122</t>
  </si>
  <si>
    <t>31.326</t>
  </si>
  <si>
    <t>5.371</t>
  </si>
  <si>
    <t>54.820.500</t>
  </si>
  <si>
    <t>23.736</t>
  </si>
  <si>
    <t>23.333</t>
  </si>
  <si>
    <t>8.438</t>
  </si>
  <si>
    <t>16.333.100</t>
  </si>
  <si>
    <t>Rotten Crow</t>
  </si>
  <si>
    <t>23.598</t>
  </si>
  <si>
    <t>23.764</t>
  </si>
  <si>
    <t>8.504</t>
  </si>
  <si>
    <t>33.364.656</t>
  </si>
  <si>
    <t>16.563.175</t>
  </si>
  <si>
    <t>23.666</t>
  </si>
  <si>
    <t>8.304</t>
  </si>
  <si>
    <t>8.217</t>
  </si>
  <si>
    <t>31.697</t>
  </si>
  <si>
    <t>5.432</t>
  </si>
  <si>
    <t>55.628.236</t>
  </si>
  <si>
    <t>Mud Blob</t>
  </si>
  <si>
    <t>5.899</t>
  </si>
  <si>
    <t>5.968</t>
  </si>
  <si>
    <t>24.012</t>
  </si>
  <si>
    <t>23.610</t>
  </si>
  <si>
    <t>8.536</t>
  </si>
  <si>
    <t>16.574.220</t>
  </si>
  <si>
    <t>23.803</t>
  </si>
  <si>
    <t>8.352</t>
  </si>
  <si>
    <t>8.265</t>
  </si>
  <si>
    <t>31.881</t>
  </si>
  <si>
    <t>5.464</t>
  </si>
  <si>
    <t>55.951.156</t>
  </si>
  <si>
    <t>Watnake</t>
  </si>
  <si>
    <t>6.373</t>
  </si>
  <si>
    <t>25.351</t>
  </si>
  <si>
    <t>6.338</t>
  </si>
  <si>
    <t>25.593</t>
  </si>
  <si>
    <t>9.119</t>
  </si>
  <si>
    <t>36.034.944</t>
  </si>
  <si>
    <t>16.804.066</t>
  </si>
  <si>
    <t>Baba Yaga</t>
  </si>
  <si>
    <t>6.321</t>
  </si>
  <si>
    <t>6.391</t>
  </si>
  <si>
    <t>25.704</t>
  </si>
  <si>
    <t>25.372</t>
  </si>
  <si>
    <t>17.861.888</t>
  </si>
  <si>
    <t>25.497</t>
  </si>
  <si>
    <t>8.943</t>
  </si>
  <si>
    <t>8.856</t>
  </si>
  <si>
    <t>34.234</t>
  </si>
  <si>
    <t>5.809</t>
  </si>
  <si>
    <t>60.251.840</t>
  </si>
  <si>
    <t>25.569</t>
  </si>
  <si>
    <t>8.969</t>
  </si>
  <si>
    <t>8.881</t>
  </si>
  <si>
    <t>34.332</t>
  </si>
  <si>
    <t>60.424.320</t>
  </si>
  <si>
    <t>6.467</t>
  </si>
  <si>
    <t>25.727</t>
  </si>
  <si>
    <t>6.432</t>
  </si>
  <si>
    <t>25.975</t>
  </si>
  <si>
    <t>9.256</t>
  </si>
  <si>
    <t>36.676.700</t>
  </si>
  <si>
    <t>17.050.281</t>
  </si>
  <si>
    <t>Witch</t>
  </si>
  <si>
    <t>25.800</t>
  </si>
  <si>
    <t>9.052</t>
  </si>
  <si>
    <t>8.963</t>
  </si>
  <si>
    <t>34.646</t>
  </si>
  <si>
    <t>5.876</t>
  </si>
  <si>
    <t>61.150.192</t>
  </si>
  <si>
    <t>25.872</t>
  </si>
  <si>
    <t>8.989</t>
  </si>
  <si>
    <t>34.745</t>
  </si>
  <si>
    <t>5.893</t>
  </si>
  <si>
    <t>61.324.924</t>
  </si>
  <si>
    <t>Tikiricky</t>
  </si>
  <si>
    <t>6.522</t>
  </si>
  <si>
    <t>25.945</t>
  </si>
  <si>
    <t>6.486</t>
  </si>
  <si>
    <t>26.195</t>
  </si>
  <si>
    <t>9.334</t>
  </si>
  <si>
    <t>36.987.340</t>
  </si>
  <si>
    <t>6.490</t>
  </si>
  <si>
    <t>6.562</t>
  </si>
  <si>
    <t>26.389</t>
  </si>
  <si>
    <t>26.060</t>
  </si>
  <si>
    <t>9.371</t>
  </si>
  <si>
    <t>18.450.480</t>
  </si>
  <si>
    <t>17.296.497</t>
  </si>
  <si>
    <t>Nipprabs</t>
  </si>
  <si>
    <t>26.177</t>
  </si>
  <si>
    <t>9.183</t>
  </si>
  <si>
    <t>9.093</t>
  </si>
  <si>
    <t>35.158</t>
  </si>
  <si>
    <t>5.957</t>
  </si>
  <si>
    <t>62.229.660</t>
  </si>
  <si>
    <t>6.598</t>
  </si>
  <si>
    <t>26.250</t>
  </si>
  <si>
    <t>26.507</t>
  </si>
  <si>
    <t>9.442</t>
  </si>
  <si>
    <t>37.533.912</t>
  </si>
  <si>
    <t>26.323</t>
  </si>
  <si>
    <t>9.234</t>
  </si>
  <si>
    <t>9.144</t>
  </si>
  <si>
    <t>35.355</t>
  </si>
  <si>
    <t>5.990</t>
  </si>
  <si>
    <t>62.578.352</t>
  </si>
  <si>
    <t>Muscular Muzzle</t>
  </si>
  <si>
    <t>26.483</t>
  </si>
  <si>
    <t>9.292</t>
  </si>
  <si>
    <t>35.570</t>
  </si>
  <si>
    <t>6.025</t>
  </si>
  <si>
    <t>63.136.752</t>
  </si>
  <si>
    <t>17.549.113</t>
  </si>
  <si>
    <t>6.603</t>
  </si>
  <si>
    <t>6.675</t>
  </si>
  <si>
    <t>26.846</t>
  </si>
  <si>
    <t>26.516</t>
  </si>
  <si>
    <t>9.535</t>
  </si>
  <si>
    <t>18.826.360</t>
  </si>
  <si>
    <t>26.630</t>
  </si>
  <si>
    <t>9.344</t>
  </si>
  <si>
    <t>9.253</t>
  </si>
  <si>
    <t>35.767</t>
  </si>
  <si>
    <t>6.058</t>
  </si>
  <si>
    <t>63.486.424</t>
  </si>
  <si>
    <t>Gray Gargoyle</t>
  </si>
  <si>
    <t>26.703</t>
  </si>
  <si>
    <t>9.369</t>
  </si>
  <si>
    <t>9.278</t>
  </si>
  <si>
    <t>35.866</t>
  </si>
  <si>
    <t>6.075</t>
  </si>
  <si>
    <t>63.662.152</t>
  </si>
  <si>
    <t>6.869</t>
  </si>
  <si>
    <t>6.942</t>
  </si>
  <si>
    <t>27.922</t>
  </si>
  <si>
    <t>27.632</t>
  </si>
  <si>
    <t>9.910</t>
  </si>
  <si>
    <t>19.673.984</t>
  </si>
  <si>
    <t>17.801.729</t>
  </si>
  <si>
    <t>6.888</t>
  </si>
  <si>
    <t>6.961</t>
  </si>
  <si>
    <t>27.999</t>
  </si>
  <si>
    <t>27.708</t>
  </si>
  <si>
    <t>9.937</t>
  </si>
  <si>
    <t>19.728.096</t>
  </si>
  <si>
    <t>Eight Legged Ariane</t>
  </si>
  <si>
    <t>6.980</t>
  </si>
  <si>
    <t>27.782</t>
  </si>
  <si>
    <t>28.092</t>
  </si>
  <si>
    <t>9.982</t>
  </si>
  <si>
    <t>40.003.008</t>
  </si>
  <si>
    <t>6.926</t>
  </si>
  <si>
    <t>6.999</t>
  </si>
  <si>
    <t>28.152</t>
  </si>
  <si>
    <t>27.860</t>
  </si>
  <si>
    <t>9.991</t>
  </si>
  <si>
    <t>19.836.320</t>
  </si>
  <si>
    <t>6.849</t>
  </si>
  <si>
    <t>27.247</t>
  </si>
  <si>
    <t>6.812</t>
  </si>
  <si>
    <t>27.525</t>
  </si>
  <si>
    <t>9.797</t>
  </si>
  <si>
    <t>39.305.700</t>
  </si>
  <si>
    <t>18.059.901</t>
  </si>
  <si>
    <t>27.321</t>
  </si>
  <si>
    <t>9.583</t>
  </si>
  <si>
    <t>9.491</t>
  </si>
  <si>
    <t>36.706</t>
  </si>
  <si>
    <t>6.212</t>
  </si>
  <si>
    <t>65.520.208</t>
  </si>
  <si>
    <t>27.395</t>
  </si>
  <si>
    <t>9.609</t>
  </si>
  <si>
    <t>9.516</t>
  </si>
  <si>
    <t>36.805</t>
  </si>
  <si>
    <t>65.696.924</t>
  </si>
  <si>
    <t>6.830</t>
  </si>
  <si>
    <t>6.904</t>
  </si>
  <si>
    <t>27.766</t>
  </si>
  <si>
    <t>27.435</t>
  </si>
  <si>
    <t>9.858</t>
  </si>
  <si>
    <t>19.588.590</t>
  </si>
  <si>
    <t>Martyrdom's Maiden</t>
  </si>
  <si>
    <t>9.694</t>
  </si>
  <si>
    <t>9.601</t>
  </si>
  <si>
    <t>37.128</t>
  </si>
  <si>
    <t>6.281</t>
  </si>
  <si>
    <t>66.459.120</t>
  </si>
  <si>
    <t>18.319.104</t>
  </si>
  <si>
    <t>27.706</t>
  </si>
  <si>
    <t>9.627</t>
  </si>
  <si>
    <t>37.228</t>
  </si>
  <si>
    <t>6.298</t>
  </si>
  <si>
    <t>66.638.120</t>
  </si>
  <si>
    <t>27.780</t>
  </si>
  <si>
    <t>9.746</t>
  </si>
  <si>
    <t>9.652</t>
  </si>
  <si>
    <t>37.328</t>
  </si>
  <si>
    <t>6.315</t>
  </si>
  <si>
    <t>66.817</t>
  </si>
  <si>
    <t>7.001</t>
  </si>
  <si>
    <t>27.854</t>
  </si>
  <si>
    <t>6.964</t>
  </si>
  <si>
    <t>28.141</t>
  </si>
  <si>
    <t>10.017</t>
  </si>
  <si>
    <t>40.297.912</t>
  </si>
  <si>
    <t>Freshly Dressed Emperor</t>
  </si>
  <si>
    <t>7.042</t>
  </si>
  <si>
    <t>28.019</t>
  </si>
  <si>
    <t>7.005</t>
  </si>
  <si>
    <t>28.311</t>
  </si>
  <si>
    <t>10.073</t>
  </si>
  <si>
    <t>40.654.596</t>
  </si>
  <si>
    <t>18.583.863</t>
  </si>
  <si>
    <t>6.985</t>
  </si>
  <si>
    <t>7.061</t>
  </si>
  <si>
    <t>28.395</t>
  </si>
  <si>
    <t>28.069</t>
  </si>
  <si>
    <t>10.081</t>
  </si>
  <si>
    <t>20.153.542</t>
  </si>
  <si>
    <t>15.583.863</t>
  </si>
  <si>
    <t>Dirty Bat</t>
  </si>
  <si>
    <t>28.167</t>
  </si>
  <si>
    <t>9.881</t>
  </si>
  <si>
    <t>9.786</t>
  </si>
  <si>
    <t>37.853</t>
  </si>
  <si>
    <t>6.398</t>
  </si>
  <si>
    <t>67.946.136</t>
  </si>
  <si>
    <t>28.242</t>
  </si>
  <si>
    <t>9.907</t>
  </si>
  <si>
    <t>9.812</t>
  </si>
  <si>
    <t>37.953</t>
  </si>
  <si>
    <t>6.414</t>
  </si>
  <si>
    <t>68.125.632</t>
  </si>
  <si>
    <t>28.407</t>
  </si>
  <si>
    <t>9.967</t>
  </si>
  <si>
    <t>9.872</t>
  </si>
  <si>
    <t>38.181</t>
  </si>
  <si>
    <t>6.450</t>
  </si>
  <si>
    <t>68.725.800</t>
  </si>
  <si>
    <t>18.848.623</t>
  </si>
  <si>
    <t>28.482</t>
  </si>
  <si>
    <t>9.993</t>
  </si>
  <si>
    <t>9.898</t>
  </si>
  <si>
    <t>38.281</t>
  </si>
  <si>
    <t>68.905.800</t>
  </si>
  <si>
    <t>28.556</t>
  </si>
  <si>
    <t>10.019</t>
  </si>
  <si>
    <t>9.924</t>
  </si>
  <si>
    <t>38.382</t>
  </si>
  <si>
    <t>69.087.600</t>
  </si>
  <si>
    <t>28.631</t>
  </si>
  <si>
    <t>10.045</t>
  </si>
  <si>
    <t>9.949</t>
  </si>
  <si>
    <t>38.481</t>
  </si>
  <si>
    <t>6.501</t>
  </si>
  <si>
    <t>69.265.800</t>
  </si>
  <si>
    <t>30.492</t>
  </si>
  <si>
    <t>10.695</t>
  </si>
  <si>
    <t>10.599</t>
  </si>
  <si>
    <t>41.076</t>
  </si>
  <si>
    <t>6.876</t>
  </si>
  <si>
    <t>74.142.176</t>
  </si>
  <si>
    <t>19.120.282</t>
  </si>
  <si>
    <t>30.571</t>
  </si>
  <si>
    <t>10.723</t>
  </si>
  <si>
    <t>10.627</t>
  </si>
  <si>
    <t>41.182</t>
  </si>
  <si>
    <t>6.894</t>
  </si>
  <si>
    <t>74.333.512</t>
  </si>
  <si>
    <t>30.650</t>
  </si>
  <si>
    <t>10.751</t>
  </si>
  <si>
    <t>10.654</t>
  </si>
  <si>
    <t>41.289</t>
  </si>
  <si>
    <t>6.912</t>
  </si>
  <si>
    <t>74.526.648</t>
  </si>
  <si>
    <t>30.730</t>
  </si>
  <si>
    <t>10.779</t>
  </si>
  <si>
    <t>10.683</t>
  </si>
  <si>
    <t>41.396</t>
  </si>
  <si>
    <t>6.930</t>
  </si>
  <si>
    <t>74.719.776</t>
  </si>
  <si>
    <t>Total Bull</t>
  </si>
  <si>
    <t>29.191</t>
  </si>
  <si>
    <t>10.238</t>
  </si>
  <si>
    <t>10.141</t>
  </si>
  <si>
    <t>39.244</t>
  </si>
  <si>
    <t>6.625</t>
  </si>
  <si>
    <t>71.031.640</t>
  </si>
  <si>
    <t>19.391.941</t>
  </si>
  <si>
    <t>Archfallen</t>
  </si>
  <si>
    <t>29.266</t>
  </si>
  <si>
    <t>10.265</t>
  </si>
  <si>
    <t>10.167</t>
  </si>
  <si>
    <t>39.345</t>
  </si>
  <si>
    <t>6.642</t>
  </si>
  <si>
    <t>71.214.448</t>
  </si>
  <si>
    <t>7.296</t>
  </si>
  <si>
    <t>7.374</t>
  </si>
  <si>
    <t>29.653</t>
  </si>
  <si>
    <t>29.330</t>
  </si>
  <si>
    <t>10.526</t>
  </si>
  <si>
    <t>21.234.920</t>
  </si>
  <si>
    <t>29.416</t>
  </si>
  <si>
    <t>10.317</t>
  </si>
  <si>
    <t>10.219</t>
  </si>
  <si>
    <t>39.546</t>
  </si>
  <si>
    <t>6.676</t>
  </si>
  <si>
    <t>71.578.256</t>
  </si>
  <si>
    <t>Frost Demon</t>
  </si>
  <si>
    <t>29.585</t>
  </si>
  <si>
    <t>10.379</t>
  </si>
  <si>
    <t>10.281</t>
  </si>
  <si>
    <t>39.779</t>
  </si>
  <si>
    <t>6.712</t>
  </si>
  <si>
    <t>72.198.888</t>
  </si>
  <si>
    <t>19.669.408</t>
  </si>
  <si>
    <t>29.660</t>
  </si>
  <si>
    <t>10.406</t>
  </si>
  <si>
    <t>10.307</t>
  </si>
  <si>
    <t>39.881</t>
  </si>
  <si>
    <t>6.730</t>
  </si>
  <si>
    <t>72.384.016</t>
  </si>
  <si>
    <t>Shadow Scorpion</t>
  </si>
  <si>
    <t>29.736</t>
  </si>
  <si>
    <t>10.432</t>
  </si>
  <si>
    <t>10.333</t>
  </si>
  <si>
    <t>39.982</t>
  </si>
  <si>
    <t>6.747</t>
  </si>
  <si>
    <t>72.567.328</t>
  </si>
  <si>
    <t>7.413</t>
  </si>
  <si>
    <t>7.492</t>
  </si>
  <si>
    <t>30.128</t>
  </si>
  <si>
    <t>29.804</t>
  </si>
  <si>
    <t>10.696</t>
  </si>
  <si>
    <t>21.637.704</t>
  </si>
  <si>
    <t>Smaponyck</t>
  </si>
  <si>
    <t>7.456</t>
  </si>
  <si>
    <t>7.535</t>
  </si>
  <si>
    <t>30.299</t>
  </si>
  <si>
    <t>29.980</t>
  </si>
  <si>
    <t>10.755</t>
  </si>
  <si>
    <t>21.825.440</t>
  </si>
  <si>
    <t>19.947.967</t>
  </si>
  <si>
    <t>30.057</t>
  </si>
  <si>
    <t>10.543</t>
  </si>
  <si>
    <t>10.444</t>
  </si>
  <si>
    <t>40.420</t>
  </si>
  <si>
    <t>6.814</t>
  </si>
  <si>
    <t>73.564.400</t>
  </si>
  <si>
    <t>Sunnya</t>
  </si>
  <si>
    <t>30.132</t>
  </si>
  <si>
    <t>10.570</t>
  </si>
  <si>
    <t>10.470</t>
  </si>
  <si>
    <t>40.521</t>
  </si>
  <si>
    <t>6.831</t>
  </si>
  <si>
    <t>73.748.224</t>
  </si>
  <si>
    <t>Neon yellow death</t>
  </si>
  <si>
    <t>7.512</t>
  </si>
  <si>
    <t>30.528</t>
  </si>
  <si>
    <t>30.206</t>
  </si>
  <si>
    <t>10.836</t>
  </si>
  <si>
    <t>21.989.968</t>
  </si>
  <si>
    <t>7.555</t>
  </si>
  <si>
    <t>7.635</t>
  </si>
  <si>
    <t>30.701</t>
  </si>
  <si>
    <t>30.383</t>
  </si>
  <si>
    <t>10.899</t>
  </si>
  <si>
    <t>22.179.590</t>
  </si>
  <si>
    <t>20.232.534</t>
  </si>
  <si>
    <t>Brown Gargoyle</t>
  </si>
  <si>
    <t>7.574</t>
  </si>
  <si>
    <t>30.777</t>
  </si>
  <si>
    <t>30.458</t>
  </si>
  <si>
    <t>10.926</t>
  </si>
  <si>
    <t>22.234.340</t>
  </si>
  <si>
    <t>Fire Glompf</t>
  </si>
  <si>
    <t>7.673</t>
  </si>
  <si>
    <t>30.531</t>
  </si>
  <si>
    <t>7.633</t>
  </si>
  <si>
    <t>30.873</t>
  </si>
  <si>
    <t>10.974</t>
  </si>
  <si>
    <t>45.074.580</t>
  </si>
  <si>
    <t>Horror of the Night</t>
  </si>
  <si>
    <t>30.607</t>
  </si>
  <si>
    <t>10.738</t>
  </si>
  <si>
    <t>10.637</t>
  </si>
  <si>
    <t>41.164</t>
  </si>
  <si>
    <t>6.937</t>
  </si>
  <si>
    <t>75.124.304</t>
  </si>
  <si>
    <t>33.574</t>
  </si>
  <si>
    <t>11.777</t>
  </si>
  <si>
    <t>11.672</t>
  </si>
  <si>
    <t>45.302</t>
  </si>
  <si>
    <t>7.533</t>
  </si>
  <si>
    <t>82.902.656</t>
  </si>
  <si>
    <t>20.517.101</t>
  </si>
  <si>
    <t>33.657</t>
  </si>
  <si>
    <t>11.806</t>
  </si>
  <si>
    <t>11.701</t>
  </si>
  <si>
    <t>45.414</t>
  </si>
  <si>
    <t>7.552</t>
  </si>
  <si>
    <t>83.107.616</t>
  </si>
  <si>
    <t>8.474</t>
  </si>
  <si>
    <t>33.740</t>
  </si>
  <si>
    <t>8.433</t>
  </si>
  <si>
    <t>34.231</t>
  </si>
  <si>
    <t>12.096</t>
  </si>
  <si>
    <t>50.114.184</t>
  </si>
  <si>
    <t>Mykon</t>
  </si>
  <si>
    <t>8.413</t>
  </si>
  <si>
    <t>8.495</t>
  </si>
  <si>
    <t>34.150</t>
  </si>
  <si>
    <t>33.972</t>
  </si>
  <si>
    <t>24.867.504</t>
  </si>
  <si>
    <t>7.836</t>
  </si>
  <si>
    <t>31.182</t>
  </si>
  <si>
    <t>7.796</t>
  </si>
  <si>
    <t>31.539</t>
  </si>
  <si>
    <t>11.203</t>
  </si>
  <si>
    <t>46.299.252</t>
  </si>
  <si>
    <t>20.808.868</t>
  </si>
  <si>
    <t>7.856</t>
  </si>
  <si>
    <t>31.258</t>
  </si>
  <si>
    <t>7.815</t>
  </si>
  <si>
    <t>31.616</t>
  </si>
  <si>
    <t>46.412.288</t>
  </si>
  <si>
    <t>Reaprim</t>
  </si>
  <si>
    <t>7.793</t>
  </si>
  <si>
    <t>31.663</t>
  </si>
  <si>
    <t>31.348</t>
  </si>
  <si>
    <t>11.237</t>
  </si>
  <si>
    <t>23.009.432</t>
  </si>
  <si>
    <t>Obstructor</t>
  </si>
  <si>
    <t>7.812</t>
  </si>
  <si>
    <t>7.894</t>
  </si>
  <si>
    <t>31.740</t>
  </si>
  <si>
    <t>31.424</t>
  </si>
  <si>
    <t>11.264</t>
  </si>
  <si>
    <t>23.065.216</t>
  </si>
  <si>
    <t>7.938</t>
  </si>
  <si>
    <t>31.586</t>
  </si>
  <si>
    <t>7.897</t>
  </si>
  <si>
    <t>31.952</t>
  </si>
  <si>
    <t>11.349</t>
  </si>
  <si>
    <t>47.033.344</t>
  </si>
  <si>
    <t>21.100.634</t>
  </si>
  <si>
    <t>11.108</t>
  </si>
  <si>
    <t>11.004</t>
  </si>
  <si>
    <t>42.596</t>
  </si>
  <si>
    <t>7.170</t>
  </si>
  <si>
    <t>78.376.640</t>
  </si>
  <si>
    <t>Frost Alligator</t>
  </si>
  <si>
    <t>31.739</t>
  </si>
  <si>
    <t>11.134</t>
  </si>
  <si>
    <t>11.031</t>
  </si>
  <si>
    <t>42.699</t>
  </si>
  <si>
    <t>7.188</t>
  </si>
  <si>
    <t>78.566.160</t>
  </si>
  <si>
    <t>Crococopter</t>
  </si>
  <si>
    <t>7.912</t>
  </si>
  <si>
    <t>7.996</t>
  </si>
  <si>
    <t>32.148</t>
  </si>
  <si>
    <t>31.834</t>
  </si>
  <si>
    <t>11.411</t>
  </si>
  <si>
    <t>23.429.824</t>
  </si>
  <si>
    <t>Shaggyll</t>
  </si>
  <si>
    <t>8.040</t>
  </si>
  <si>
    <t>31.992</t>
  </si>
  <si>
    <t>32.366</t>
  </si>
  <si>
    <t>11.493</t>
  </si>
  <si>
    <t>47.772.216</t>
  </si>
  <si>
    <t>21.398.670</t>
  </si>
  <si>
    <t>7.975</t>
  </si>
  <si>
    <t>8.059</t>
  </si>
  <si>
    <t>32.403</t>
  </si>
  <si>
    <t>32.092</t>
  </si>
  <si>
    <t>11.499</t>
  </si>
  <si>
    <t>23.683.896</t>
  </si>
  <si>
    <t>32.146</t>
  </si>
  <si>
    <t>11.275</t>
  </si>
  <si>
    <t>11.171</t>
  </si>
  <si>
    <t>43.252</t>
  </si>
  <si>
    <t>7.274</t>
  </si>
  <si>
    <t>79.799.936</t>
  </si>
  <si>
    <t>8.098</t>
  </si>
  <si>
    <t>32.558</t>
  </si>
  <si>
    <t>32.246</t>
  </si>
  <si>
    <t>11.554</t>
  </si>
  <si>
    <t>23.797.548</t>
  </si>
  <si>
    <t>8.142</t>
  </si>
  <si>
    <t>32.400</t>
  </si>
  <si>
    <t>32.782</t>
  </si>
  <si>
    <t>11.641</t>
  </si>
  <si>
    <t>48.517.360</t>
  </si>
  <si>
    <t>21.697.862</t>
  </si>
  <si>
    <t>Three Little Pigs</t>
  </si>
  <si>
    <t>8.077</t>
  </si>
  <si>
    <t>8.161</t>
  </si>
  <si>
    <t>32.815</t>
  </si>
  <si>
    <t>32.506</t>
  </si>
  <si>
    <t>11.647</t>
  </si>
  <si>
    <t>24.054.440</t>
  </si>
  <si>
    <t>32.554</t>
  </si>
  <si>
    <t>11.421</t>
  </si>
  <si>
    <t>11.315</t>
  </si>
  <si>
    <t>43.806</t>
  </si>
  <si>
    <t>7.364</t>
  </si>
  <si>
    <t>81.041.104</t>
  </si>
  <si>
    <t>Aquirella the Dazzler</t>
  </si>
  <si>
    <t>8.115</t>
  </si>
  <si>
    <t>32.970</t>
  </si>
  <si>
    <t>32.660</t>
  </si>
  <si>
    <t>11.702</t>
  </si>
  <si>
    <t>24.168.400</t>
  </si>
  <si>
    <t>9.180</t>
  </si>
  <si>
    <t>9.265</t>
  </si>
  <si>
    <t>37.230</t>
  </si>
  <si>
    <t>13.192</t>
  </si>
  <si>
    <t>27.548.976</t>
  </si>
  <si>
    <t>22.003.323</t>
  </si>
  <si>
    <t>36.977</t>
  </si>
  <si>
    <t>12.967</t>
  </si>
  <si>
    <t>12.861</t>
  </si>
  <si>
    <t>49.973</t>
  </si>
  <si>
    <t>8.256</t>
  </si>
  <si>
    <t>92.699.912</t>
  </si>
  <si>
    <t>37.064</t>
  </si>
  <si>
    <t>12.998</t>
  </si>
  <si>
    <t>12.891</t>
  </si>
  <si>
    <t>50.089</t>
  </si>
  <si>
    <t>92.915.096</t>
  </si>
  <si>
    <t>37.150</t>
  </si>
  <si>
    <t>13.028</t>
  </si>
  <si>
    <t>12.921</t>
  </si>
  <si>
    <t>50.207</t>
  </si>
  <si>
    <t>8.295</t>
  </si>
  <si>
    <t>93.133.984</t>
  </si>
  <si>
    <t>8.263</t>
  </si>
  <si>
    <t>8.348</t>
  </si>
  <si>
    <t>33.565</t>
  </si>
  <si>
    <t>33.261</t>
  </si>
  <si>
    <t>11.909</t>
  </si>
  <si>
    <t>24.746.184</t>
  </si>
  <si>
    <t>22.308.783</t>
  </si>
  <si>
    <t>Thorny Lion</t>
  </si>
  <si>
    <t>33.299</t>
  </si>
  <si>
    <t>11.679</t>
  </si>
  <si>
    <t>11.571</t>
  </si>
  <si>
    <t>44.820</t>
  </si>
  <si>
    <t>7.529</t>
  </si>
  <si>
    <t>83.365.200</t>
  </si>
  <si>
    <t>Hellmutt</t>
  </si>
  <si>
    <t>8.387</t>
  </si>
  <si>
    <t>33.377</t>
  </si>
  <si>
    <t>8.344</t>
  </si>
  <si>
    <t>33.779</t>
  </si>
  <si>
    <t>11.986</t>
  </si>
  <si>
    <t>50.263.152</t>
  </si>
  <si>
    <t>8.407</t>
  </si>
  <si>
    <t>33.454</t>
  </si>
  <si>
    <t>8.364</t>
  </si>
  <si>
    <t>33.856</t>
  </si>
  <si>
    <t>12.014</t>
  </si>
  <si>
    <t>50.377.728</t>
  </si>
  <si>
    <t>Henchdemon</t>
  </si>
  <si>
    <t>8.452</t>
  </si>
  <si>
    <t>33.635</t>
  </si>
  <si>
    <t>8.409</t>
  </si>
  <si>
    <t>34.044</t>
  </si>
  <si>
    <t>50.793.648</t>
  </si>
  <si>
    <t>22.621.991</t>
  </si>
  <si>
    <t>33.713</t>
  </si>
  <si>
    <t>11.826</t>
  </si>
  <si>
    <t>11.718</t>
  </si>
  <si>
    <t>45.383</t>
  </si>
  <si>
    <t>7.621</t>
  </si>
  <si>
    <t>84.639.296</t>
  </si>
  <si>
    <t>8.491</t>
  </si>
  <si>
    <t>33.791</t>
  </si>
  <si>
    <t>8.448</t>
  </si>
  <si>
    <t>34.202</t>
  </si>
  <si>
    <t>12.136</t>
  </si>
  <si>
    <t>51.029.384</t>
  </si>
  <si>
    <t>Brute</t>
  </si>
  <si>
    <t>33.868</t>
  </si>
  <si>
    <t>11.881</t>
  </si>
  <si>
    <t>11.772</t>
  </si>
  <si>
    <t>45.592</t>
  </si>
  <si>
    <t>7.656</t>
  </si>
  <si>
    <t>85.029.080</t>
  </si>
  <si>
    <t>34.051</t>
  </si>
  <si>
    <t>8.513</t>
  </si>
  <si>
    <t>34.468</t>
  </si>
  <si>
    <t>12.227</t>
  </si>
  <si>
    <t>51.564.128</t>
  </si>
  <si>
    <t>22.935.198</t>
  </si>
  <si>
    <t>8.488</t>
  </si>
  <si>
    <t>8.576</t>
  </si>
  <si>
    <t>34.479</t>
  </si>
  <si>
    <t>34.180</t>
  </si>
  <si>
    <t>12.233</t>
  </si>
  <si>
    <t>25.566.640</t>
  </si>
  <si>
    <t>8.508</t>
  </si>
  <si>
    <t>8.596</t>
  </si>
  <si>
    <t>34.558</t>
  </si>
  <si>
    <t>34.257</t>
  </si>
  <si>
    <t>25.624.236</t>
  </si>
  <si>
    <t>Zombie</t>
  </si>
  <si>
    <t>8.615</t>
  </si>
  <si>
    <t>34.285</t>
  </si>
  <si>
    <t>8.571</t>
  </si>
  <si>
    <t>34.706</t>
  </si>
  <si>
    <t>12.311</t>
  </si>
  <si>
    <t>51.920.176</t>
  </si>
  <si>
    <t>Robber Hopsenplops</t>
  </si>
  <si>
    <t>34.469</t>
  </si>
  <si>
    <t>12.092</t>
  </si>
  <si>
    <t>11.982</t>
  </si>
  <si>
    <t>46.411</t>
  </si>
  <si>
    <t>7.784</t>
  </si>
  <si>
    <t>87.020.624</t>
  </si>
  <si>
    <t>23.254.942</t>
  </si>
  <si>
    <t>8.592</t>
  </si>
  <si>
    <t>8.681</t>
  </si>
  <si>
    <t>34.900</t>
  </si>
  <si>
    <t>34.604</t>
  </si>
  <si>
    <t>12.385</t>
  </si>
  <si>
    <t>25.953.000</t>
  </si>
  <si>
    <t>34.625</t>
  </si>
  <si>
    <t>12.147</t>
  </si>
  <si>
    <t>12.036</t>
  </si>
  <si>
    <t>46.622</t>
  </si>
  <si>
    <t>7.819</t>
  </si>
  <si>
    <t>87.416.248</t>
  </si>
  <si>
    <t>34.703</t>
  </si>
  <si>
    <t>12.063</t>
  </si>
  <si>
    <t>46.727</t>
  </si>
  <si>
    <t>7.837</t>
  </si>
  <si>
    <t>87.613.128</t>
  </si>
  <si>
    <t>10.435</t>
  </si>
  <si>
    <t>41.563</t>
  </si>
  <si>
    <t>10.391</t>
  </si>
  <si>
    <t>42.333</t>
  </si>
  <si>
    <t>14.863</t>
  </si>
  <si>
    <t>63.668.832</t>
  </si>
  <si>
    <t>23.575.896</t>
  </si>
  <si>
    <t>Green Centaur</t>
  </si>
  <si>
    <t>10.369</t>
  </si>
  <si>
    <t>10.459</t>
  </si>
  <si>
    <t>42.013</t>
  </si>
  <si>
    <t>42.054</t>
  </si>
  <si>
    <t>31.624.608</t>
  </si>
  <si>
    <t>14.639</t>
  </si>
  <si>
    <t>14.527</t>
  </si>
  <si>
    <t>56.556</t>
  </si>
  <si>
    <t>106.325.280</t>
  </si>
  <si>
    <t>10.506</t>
  </si>
  <si>
    <t>41.843</t>
  </si>
  <si>
    <t>10.461</t>
  </si>
  <si>
    <t>42.618</t>
  </si>
  <si>
    <t>14.963</t>
  </si>
  <si>
    <t>64.097.472</t>
  </si>
  <si>
    <t>35.309</t>
  </si>
  <si>
    <t>12.383</t>
  </si>
  <si>
    <t>12.271</t>
  </si>
  <si>
    <t>47.556</t>
  </si>
  <si>
    <t>89.643.056</t>
  </si>
  <si>
    <t>23.903.614</t>
  </si>
  <si>
    <t>Shadow Cobra</t>
  </si>
  <si>
    <t>35.388</t>
  </si>
  <si>
    <t>12.411</t>
  </si>
  <si>
    <t>12.298</t>
  </si>
  <si>
    <t>47.662</t>
  </si>
  <si>
    <t>7.988</t>
  </si>
  <si>
    <t>89.842.872</t>
  </si>
  <si>
    <t>Swamp Ghoul</t>
  </si>
  <si>
    <t>35.467</t>
  </si>
  <si>
    <t>12.439</t>
  </si>
  <si>
    <t>12.326</t>
  </si>
  <si>
    <t>47.767</t>
  </si>
  <si>
    <t>8.005</t>
  </si>
  <si>
    <t>90.040.792</t>
  </si>
  <si>
    <t>8.932</t>
  </si>
  <si>
    <t>35.545</t>
  </si>
  <si>
    <t>8.896</t>
  </si>
  <si>
    <t>35.994</t>
  </si>
  <si>
    <t>12.760</t>
  </si>
  <si>
    <t>54.278.952</t>
  </si>
  <si>
    <t>35.733</t>
  </si>
  <si>
    <t>12.535</t>
  </si>
  <si>
    <t>12.421</t>
  </si>
  <si>
    <t>48.131</t>
  </si>
  <si>
    <t>8.063</t>
  </si>
  <si>
    <t>90.967.592</t>
  </si>
  <si>
    <t>24.231.331</t>
  </si>
  <si>
    <t>35.812</t>
  </si>
  <si>
    <t>12.562</t>
  </si>
  <si>
    <t>12.449</t>
  </si>
  <si>
    <t>48.237</t>
  </si>
  <si>
    <t>8.081</t>
  </si>
  <si>
    <t>91.167.928</t>
  </si>
  <si>
    <t>9.018</t>
  </si>
  <si>
    <t>35.890</t>
  </si>
  <si>
    <t>8.973</t>
  </si>
  <si>
    <t>36.347</t>
  </si>
  <si>
    <t>12.886</t>
  </si>
  <si>
    <t>54.956.664</t>
  </si>
  <si>
    <t>Bittnutz</t>
  </si>
  <si>
    <t>8.947</t>
  </si>
  <si>
    <t>9.038</t>
  </si>
  <si>
    <t>36.334</t>
  </si>
  <si>
    <t>36.044</t>
  </si>
  <si>
    <t>27.249.264</t>
  </si>
  <si>
    <t>Sabertoothed Kitty</t>
  </si>
  <si>
    <t>9.085</t>
  </si>
  <si>
    <t>36.158</t>
  </si>
  <si>
    <t>9.039</t>
  </si>
  <si>
    <t>36.622</t>
  </si>
  <si>
    <t>12.979</t>
  </si>
  <si>
    <t>55.518.952</t>
  </si>
  <si>
    <t>24.567.146</t>
  </si>
  <si>
    <t>9.013</t>
  </si>
  <si>
    <t>9.105</t>
  </si>
  <si>
    <t>36.603</t>
  </si>
  <si>
    <t>36.317</t>
  </si>
  <si>
    <t>12.984</t>
  </si>
  <si>
    <t>27.528.286</t>
  </si>
  <si>
    <t>9.033</t>
  </si>
  <si>
    <t>9.125</t>
  </si>
  <si>
    <t>36.683</t>
  </si>
  <si>
    <t>36.397</t>
  </si>
  <si>
    <t>13.013</t>
  </si>
  <si>
    <t>27.588.926</t>
  </si>
  <si>
    <t>Lilbeatzup</t>
  </si>
  <si>
    <t>36.395</t>
  </si>
  <si>
    <t>12.765</t>
  </si>
  <si>
    <t>12.650</t>
  </si>
  <si>
    <t>49.030</t>
  </si>
  <si>
    <t>8.206</t>
  </si>
  <si>
    <t>92.911.848</t>
  </si>
  <si>
    <t>Slender Person</t>
  </si>
  <si>
    <t>9.192</t>
  </si>
  <si>
    <t>36.585</t>
  </si>
  <si>
    <t>9.146</t>
  </si>
  <si>
    <t>37.059</t>
  </si>
  <si>
    <t>13.134</t>
  </si>
  <si>
    <t>56.329.680</t>
  </si>
  <si>
    <t>24.902.960</t>
  </si>
  <si>
    <t>Swamp Glompf</t>
  </si>
  <si>
    <t>9.120</t>
  </si>
  <si>
    <t>9.212</t>
  </si>
  <si>
    <t>37.034</t>
  </si>
  <si>
    <t>36.751</t>
  </si>
  <si>
    <t>13.139</t>
  </si>
  <si>
    <t>27.930.760</t>
  </si>
  <si>
    <t>Ghastly Grey</t>
  </si>
  <si>
    <t>36.744</t>
  </si>
  <si>
    <t>12.890</t>
  </si>
  <si>
    <t>12.774</t>
  </si>
  <si>
    <t>49.500</t>
  </si>
  <si>
    <t>8.283</t>
  </si>
  <si>
    <t>94.050.000</t>
  </si>
  <si>
    <t>9.252</t>
  </si>
  <si>
    <t>36.823</t>
  </si>
  <si>
    <t>9.206</t>
  </si>
  <si>
    <t>37.300</t>
  </si>
  <si>
    <t>56.696.000</t>
  </si>
  <si>
    <t>12.378</t>
  </si>
  <si>
    <t>12.471</t>
  </si>
  <si>
    <t>50.081</t>
  </si>
  <si>
    <t>50.437</t>
  </si>
  <si>
    <t>17.707</t>
  </si>
  <si>
    <t>38.432.992</t>
  </si>
  <si>
    <t>25.245.819</t>
  </si>
  <si>
    <t>12.498</t>
  </si>
  <si>
    <t>49.815</t>
  </si>
  <si>
    <t>12.452</t>
  </si>
  <si>
    <t>50.937</t>
  </si>
  <si>
    <t>17.764</t>
  </si>
  <si>
    <t>77.627.984</t>
  </si>
  <si>
    <t>12.432</t>
  </si>
  <si>
    <t>12.525</t>
  </si>
  <si>
    <t>50.296</t>
  </si>
  <si>
    <t>50.653</t>
  </si>
  <si>
    <t>17.783</t>
  </si>
  <si>
    <t>38.597.584</t>
  </si>
  <si>
    <t>12.458</t>
  </si>
  <si>
    <t>12.552</t>
  </si>
  <si>
    <t>50.404</t>
  </si>
  <si>
    <t>50.761</t>
  </si>
  <si>
    <t>17.821</t>
  </si>
  <si>
    <t>38.679.880</t>
  </si>
  <si>
    <t>Jungle Scorpion</t>
  </si>
  <si>
    <t>37.445</t>
  </si>
  <si>
    <t>13.132</t>
  </si>
  <si>
    <t>13.015</t>
  </si>
  <si>
    <t>50.457</t>
  </si>
  <si>
    <t>8.437</t>
  </si>
  <si>
    <t>96.372.872</t>
  </si>
  <si>
    <t>25.589.958</t>
  </si>
  <si>
    <t>37.525</t>
  </si>
  <si>
    <t>13.160</t>
  </si>
  <si>
    <t>13.043</t>
  </si>
  <si>
    <t>50.564</t>
  </si>
  <si>
    <t>8.455</t>
  </si>
  <si>
    <t>96.577.240</t>
  </si>
  <si>
    <t>37.605</t>
  </si>
  <si>
    <t>13.188</t>
  </si>
  <si>
    <t>13.070</t>
  </si>
  <si>
    <t>50.672</t>
  </si>
  <si>
    <t>8.473</t>
  </si>
  <si>
    <t>96.783.520</t>
  </si>
  <si>
    <t>37.684</t>
  </si>
  <si>
    <t>13.216</t>
  </si>
  <si>
    <t>13.098</t>
  </si>
  <si>
    <t>50.779</t>
  </si>
  <si>
    <t>96.987.888</t>
  </si>
  <si>
    <t>Devilsatt</t>
  </si>
  <si>
    <t>37.878</t>
  </si>
  <si>
    <t>13.287</t>
  </si>
  <si>
    <t>13.168</t>
  </si>
  <si>
    <t>51.046</t>
  </si>
  <si>
    <t>8.533</t>
  </si>
  <si>
    <t>97.753.088</t>
  </si>
  <si>
    <t>25.941.140</t>
  </si>
  <si>
    <t>9.537</t>
  </si>
  <si>
    <t>38.337</t>
  </si>
  <si>
    <t>38.065</t>
  </si>
  <si>
    <t>13.599</t>
  </si>
  <si>
    <t>29.157.790</t>
  </si>
  <si>
    <t>38.038</t>
  </si>
  <si>
    <t>13.343</t>
  </si>
  <si>
    <t>13.224</t>
  </si>
  <si>
    <t>51.261</t>
  </si>
  <si>
    <t>98.164.816</t>
  </si>
  <si>
    <t>38.118</t>
  </si>
  <si>
    <t>13.371</t>
  </si>
  <si>
    <t>13.252</t>
  </si>
  <si>
    <t>51.369</t>
  </si>
  <si>
    <t>8.587</t>
  </si>
  <si>
    <t>98.371.632</t>
  </si>
  <si>
    <t>38.313</t>
  </si>
  <si>
    <t>13.318</t>
  </si>
  <si>
    <t>51.638</t>
  </si>
  <si>
    <t>99.144.960</t>
  </si>
  <si>
    <t>26.292.323</t>
  </si>
  <si>
    <t>Spidor</t>
  </si>
  <si>
    <t>9.550</t>
  </si>
  <si>
    <t>9.646</t>
  </si>
  <si>
    <t>38.775</t>
  </si>
  <si>
    <t>38.506</t>
  </si>
  <si>
    <t>13.752</t>
  </si>
  <si>
    <t>29.572.608</t>
  </si>
  <si>
    <t>38.473</t>
  </si>
  <si>
    <t>13.493</t>
  </si>
  <si>
    <t>13.374</t>
  </si>
  <si>
    <t>51.854</t>
  </si>
  <si>
    <t>8.660</t>
  </si>
  <si>
    <t>99.559.680</t>
  </si>
  <si>
    <t>9.686</t>
  </si>
  <si>
    <t>38.554</t>
  </si>
  <si>
    <t>9.638</t>
  </si>
  <si>
    <t>39.071</t>
  </si>
  <si>
    <t>13.834</t>
  </si>
  <si>
    <t>60.013.056</t>
  </si>
  <si>
    <t>38.749</t>
  </si>
  <si>
    <t>13.593</t>
  </si>
  <si>
    <t>13.473</t>
  </si>
  <si>
    <t>52.232</t>
  </si>
  <si>
    <t>8.721</t>
  </si>
  <si>
    <t>100.546.600</t>
  </si>
  <si>
    <t>26.652.189</t>
  </si>
  <si>
    <t>Cybernetic zombie</t>
  </si>
  <si>
    <t>9.659</t>
  </si>
  <si>
    <t>9.756</t>
  </si>
  <si>
    <t>39.216</t>
  </si>
  <si>
    <t>38.950</t>
  </si>
  <si>
    <t>13.911</t>
  </si>
  <si>
    <t>29.991.500</t>
  </si>
  <si>
    <t>9.776</t>
  </si>
  <si>
    <t>38.910</t>
  </si>
  <si>
    <t>9.728</t>
  </si>
  <si>
    <t>39.436</t>
  </si>
  <si>
    <t>13.964</t>
  </si>
  <si>
    <t>60.731.440</t>
  </si>
  <si>
    <t>38.991</t>
  </si>
  <si>
    <t>13.678</t>
  </si>
  <si>
    <t>13.557</t>
  </si>
  <si>
    <t>52.558</t>
  </si>
  <si>
    <t>8.775</t>
  </si>
  <si>
    <t>101.174.152</t>
  </si>
  <si>
    <t>14.104</t>
  </si>
  <si>
    <t>56.211</t>
  </si>
  <si>
    <t>14.055</t>
  </si>
  <si>
    <t>57.596</t>
  </si>
  <si>
    <t>20.021</t>
  </si>
  <si>
    <t>88.928.224</t>
  </si>
  <si>
    <t>27.012.054</t>
  </si>
  <si>
    <t>Grey Ghoul</t>
  </si>
  <si>
    <t>56.327</t>
  </si>
  <si>
    <t>19.741</t>
  </si>
  <si>
    <t>19.625</t>
  </si>
  <si>
    <t>76.759</t>
  </si>
  <si>
    <t>12.247</t>
  </si>
  <si>
    <t>148.144.864</t>
  </si>
  <si>
    <t>14.162</t>
  </si>
  <si>
    <t>56.443</t>
  </si>
  <si>
    <t>14.113</t>
  </si>
  <si>
    <t>57.834</t>
  </si>
  <si>
    <t>20.103</t>
  </si>
  <si>
    <t>89.295.696</t>
  </si>
  <si>
    <t>56.559</t>
  </si>
  <si>
    <t>19.823</t>
  </si>
  <si>
    <t>19.705</t>
  </si>
  <si>
    <t>77.075</t>
  </si>
  <si>
    <t>148.754.752</t>
  </si>
  <si>
    <t>9.956</t>
  </si>
  <si>
    <t>40.020</t>
  </si>
  <si>
    <t>39.761</t>
  </si>
  <si>
    <t>14.191</t>
  </si>
  <si>
    <t>30.775.014</t>
  </si>
  <si>
    <t>27.379.265</t>
  </si>
  <si>
    <t>Nutty Natter</t>
  </si>
  <si>
    <t>9.878</t>
  </si>
  <si>
    <t>9.976</t>
  </si>
  <si>
    <t>40.102</t>
  </si>
  <si>
    <t>39.843</t>
  </si>
  <si>
    <t>14.220</t>
  </si>
  <si>
    <t>30.838.482</t>
  </si>
  <si>
    <t>Grey Rex</t>
  </si>
  <si>
    <t>9.899</t>
  </si>
  <si>
    <t>9.997</t>
  </si>
  <si>
    <t>40.183</t>
  </si>
  <si>
    <t>39.924</t>
  </si>
  <si>
    <t>14.249</t>
  </si>
  <si>
    <t>30.901.176</t>
  </si>
  <si>
    <t>39.872</t>
  </si>
  <si>
    <t>13.983</t>
  </si>
  <si>
    <t>13.860</t>
  </si>
  <si>
    <t>53.758</t>
  </si>
  <si>
    <t>104.021.728</t>
  </si>
  <si>
    <t>9.968</t>
  </si>
  <si>
    <t>10.067</t>
  </si>
  <si>
    <t>40.465</t>
  </si>
  <si>
    <t>40.211</t>
  </si>
  <si>
    <t>14.351</t>
  </si>
  <si>
    <t>31.203.736</t>
  </si>
  <si>
    <t>27.747.829</t>
  </si>
  <si>
    <t>9.989</t>
  </si>
  <si>
    <t>10.087</t>
  </si>
  <si>
    <t>40.548</t>
  </si>
  <si>
    <t>40.293</t>
  </si>
  <si>
    <t>14.380</t>
  </si>
  <si>
    <t>31.267.368</t>
  </si>
  <si>
    <t>40.234</t>
  </si>
  <si>
    <t>14.112</t>
  </si>
  <si>
    <t>13.989</t>
  </si>
  <si>
    <t>54.251</t>
  </si>
  <si>
    <t>9.049</t>
  </si>
  <si>
    <t>105.246.944</t>
  </si>
  <si>
    <t>10.029</t>
  </si>
  <si>
    <t>10.128</t>
  </si>
  <si>
    <t>40.712</t>
  </si>
  <si>
    <t>40.455</t>
  </si>
  <si>
    <t>14.439</t>
  </si>
  <si>
    <t>31.393.080</t>
  </si>
  <si>
    <t>10.179</t>
  </si>
  <si>
    <t>40.515</t>
  </si>
  <si>
    <t>10.129</t>
  </si>
  <si>
    <t>41.080</t>
  </si>
  <si>
    <t>14.532</t>
  </si>
  <si>
    <t>63.920.480</t>
  </si>
  <si>
    <t>28.123.981</t>
  </si>
  <si>
    <t>40.597</t>
  </si>
  <si>
    <t>14.238</t>
  </si>
  <si>
    <t>54.748</t>
  </si>
  <si>
    <t>9.123</t>
  </si>
  <si>
    <t>106.484.864</t>
  </si>
  <si>
    <t>Toothey</t>
  </si>
  <si>
    <t>40.678</t>
  </si>
  <si>
    <t>14.266</t>
  </si>
  <si>
    <t>14.142</t>
  </si>
  <si>
    <t>54.857</t>
  </si>
  <si>
    <t>9.142</t>
  </si>
  <si>
    <t>106.696.864</t>
  </si>
  <si>
    <t>Harmless Teddy Bear</t>
  </si>
  <si>
    <t>40.760</t>
  </si>
  <si>
    <t>14.295</t>
  </si>
  <si>
    <t>14.170</t>
  </si>
  <si>
    <t>54.968</t>
  </si>
  <si>
    <t>9.160</t>
  </si>
  <si>
    <t>106.912.760</t>
  </si>
  <si>
    <t>40.962</t>
  </si>
  <si>
    <t>14.369</t>
  </si>
  <si>
    <t>14.243</t>
  </si>
  <si>
    <t>55.246</t>
  </si>
  <si>
    <t>9.203</t>
  </si>
  <si>
    <t>107.729.696</t>
  </si>
  <si>
    <t>28.500.134</t>
  </si>
  <si>
    <t>Ice Wolf</t>
  </si>
  <si>
    <t>10.311</t>
  </si>
  <si>
    <t>41.044</t>
  </si>
  <si>
    <t>10.261</t>
  </si>
  <si>
    <t>41.620</t>
  </si>
  <si>
    <t>14.724</t>
  </si>
  <si>
    <t>64.927.200</t>
  </si>
  <si>
    <t>10.332</t>
  </si>
  <si>
    <t>41.125</t>
  </si>
  <si>
    <t>41.703</t>
  </si>
  <si>
    <t>14.753</t>
  </si>
  <si>
    <t>65.056.680</t>
  </si>
  <si>
    <t>Mouthrexor</t>
  </si>
  <si>
    <t>10.251</t>
  </si>
  <si>
    <t>10.352</t>
  </si>
  <si>
    <t>41.610</t>
  </si>
  <si>
    <t>41.363</t>
  </si>
  <si>
    <t>14.757</t>
  </si>
  <si>
    <t>32.263.140</t>
  </si>
  <si>
    <t>15.882</t>
  </si>
  <si>
    <t>63.327</t>
  </si>
  <si>
    <t>15.832</t>
  </si>
  <si>
    <t>65.009</t>
  </si>
  <si>
    <t>22.523</t>
  </si>
  <si>
    <t>101.674.080</t>
  </si>
  <si>
    <t>28.885.344</t>
  </si>
  <si>
    <t>63.452</t>
  </si>
  <si>
    <t>22.239</t>
  </si>
  <si>
    <t>22.112</t>
  </si>
  <si>
    <t>86.633</t>
  </si>
  <si>
    <t>13.713</t>
  </si>
  <si>
    <t>169.367.520</t>
  </si>
  <si>
    <t>Firelog</t>
  </si>
  <si>
    <t>15.945</t>
  </si>
  <si>
    <t>63.578</t>
  </si>
  <si>
    <t>15.894</t>
  </si>
  <si>
    <t>65.266</t>
  </si>
  <si>
    <t>22.612</t>
  </si>
  <si>
    <t>102.076.024</t>
  </si>
  <si>
    <t>63.703</t>
  </si>
  <si>
    <t>22.327</t>
  </si>
  <si>
    <t>22.200</t>
  </si>
  <si>
    <t>86.976</t>
  </si>
  <si>
    <t>13.767</t>
  </si>
  <si>
    <t>170.038.080</t>
  </si>
  <si>
    <t>Mingho</t>
  </si>
  <si>
    <t>10.516</t>
  </si>
  <si>
    <t>10.465</t>
  </si>
  <si>
    <t>42.457</t>
  </si>
  <si>
    <t>15.010</t>
  </si>
  <si>
    <t>66.572.576</t>
  </si>
  <si>
    <t>29.270.554</t>
  </si>
  <si>
    <t>10.537</t>
  </si>
  <si>
    <t>42.350</t>
  </si>
  <si>
    <t>42.111</t>
  </si>
  <si>
    <t>15.014</t>
  </si>
  <si>
    <t>33.015.024</t>
  </si>
  <si>
    <t>42.025</t>
  </si>
  <si>
    <t>14.737</t>
  </si>
  <si>
    <t>14.609</t>
  </si>
  <si>
    <t>56.692</t>
  </si>
  <si>
    <t>111.116.320</t>
  </si>
  <si>
    <t>10.476</t>
  </si>
  <si>
    <t>10.578</t>
  </si>
  <si>
    <t>42.516</t>
  </si>
  <si>
    <t>42.277</t>
  </si>
  <si>
    <t>15.073</t>
  </si>
  <si>
    <t>33.145.168</t>
  </si>
  <si>
    <t>10.629</t>
  </si>
  <si>
    <t>42.312</t>
  </si>
  <si>
    <t>42.920</t>
  </si>
  <si>
    <t>15.175</t>
  </si>
  <si>
    <t>67.470.240</t>
  </si>
  <si>
    <t>29.663.666</t>
  </si>
  <si>
    <t>42.395</t>
  </si>
  <si>
    <t>14.870</t>
  </si>
  <si>
    <t>14.742</t>
  </si>
  <si>
    <t>57.192</t>
  </si>
  <si>
    <t>9.519</t>
  </si>
  <si>
    <t>112.382.280</t>
  </si>
  <si>
    <t>10.568</t>
  </si>
  <si>
    <t>10.671</t>
  </si>
  <si>
    <t>42.889</t>
  </si>
  <si>
    <t>42.654</t>
  </si>
  <si>
    <t>15.208</t>
  </si>
  <si>
    <t>33.526.044</t>
  </si>
  <si>
    <t>10.692</t>
  </si>
  <si>
    <t>42.560</t>
  </si>
  <si>
    <t>10.640</t>
  </si>
  <si>
    <t>43.171</t>
  </si>
  <si>
    <t>15.263</t>
  </si>
  <si>
    <t>67.864.816</t>
  </si>
  <si>
    <t>10.743</t>
  </si>
  <si>
    <t>43.180</t>
  </si>
  <si>
    <t>42.950</t>
  </si>
  <si>
    <t>15.308</t>
  </si>
  <si>
    <t>33.844.600</t>
  </si>
  <si>
    <t>10.660</t>
  </si>
  <si>
    <t>10.764</t>
  </si>
  <si>
    <t>43.263</t>
  </si>
  <si>
    <t>43.033</t>
  </si>
  <si>
    <t>15.338</t>
  </si>
  <si>
    <t>33.910.004</t>
  </si>
  <si>
    <t>42.932</t>
  </si>
  <si>
    <t>15.056</t>
  </si>
  <si>
    <t>14.926</t>
  </si>
  <si>
    <t>57.923</t>
  </si>
  <si>
    <t>9.633</t>
  </si>
  <si>
    <t>114.108.312</t>
  </si>
  <si>
    <t>10.806</t>
  </si>
  <si>
    <t>43.014</t>
  </si>
  <si>
    <t>10.754</t>
  </si>
  <si>
    <t>43.636</t>
  </si>
  <si>
    <t>15.423</t>
  </si>
  <si>
    <t>68.770.336</t>
  </si>
  <si>
    <t>Bloodlusty Butcher</t>
  </si>
  <si>
    <t>10.858</t>
  </si>
  <si>
    <t>43.222</t>
  </si>
  <si>
    <t>43.851</t>
  </si>
  <si>
    <t>69.284.576</t>
  </si>
  <si>
    <t>Spittle Cobra</t>
  </si>
  <si>
    <t>10.774</t>
  </si>
  <si>
    <t>10.878</t>
  </si>
  <si>
    <t>43.723</t>
  </si>
  <si>
    <t>43.497</t>
  </si>
  <si>
    <t>15.503</t>
  </si>
  <si>
    <t>34.362.632</t>
  </si>
  <si>
    <t>10.795</t>
  </si>
  <si>
    <t>43.580</t>
  </si>
  <si>
    <t>15.533</t>
  </si>
  <si>
    <t>34.428.200</t>
  </si>
  <si>
    <t>43.471</t>
  </si>
  <si>
    <t>15.248</t>
  </si>
  <si>
    <t>15.117</t>
  </si>
  <si>
    <t>58.657</t>
  </si>
  <si>
    <t>9.752</t>
  </si>
  <si>
    <t>115.847.576</t>
  </si>
  <si>
    <t>17.824</t>
  </si>
  <si>
    <t>71.085</t>
  </si>
  <si>
    <t>17.771</t>
  </si>
  <si>
    <t>73.096</t>
  </si>
  <si>
    <t>25.252</t>
  </si>
  <si>
    <t>115.784.064</t>
  </si>
  <si>
    <t>17.752</t>
  </si>
  <si>
    <t>17.858</t>
  </si>
  <si>
    <t>71.641</t>
  </si>
  <si>
    <t>72.793</t>
  </si>
  <si>
    <t>25.274</t>
  </si>
  <si>
    <t>57.652.056</t>
  </si>
  <si>
    <t>17.892</t>
  </si>
  <si>
    <t>71.356</t>
  </si>
  <si>
    <t>17.839</t>
  </si>
  <si>
    <t>73.374</t>
  </si>
  <si>
    <t>25.349</t>
  </si>
  <si>
    <t>116.224.416</t>
  </si>
  <si>
    <t>71.491</t>
  </si>
  <si>
    <t>25.054</t>
  </si>
  <si>
    <t>24.922</t>
  </si>
  <si>
    <t>97.774</t>
  </si>
  <si>
    <t>15.365</t>
  </si>
  <si>
    <t>193.592.512</t>
  </si>
  <si>
    <t>44.140</t>
  </si>
  <si>
    <t>15.479</t>
  </si>
  <si>
    <t>15.346</t>
  </si>
  <si>
    <t>59.572</t>
  </si>
  <si>
    <t>118.250.416</t>
  </si>
  <si>
    <t>11.003</t>
  </si>
  <si>
    <t>11.109</t>
  </si>
  <si>
    <t>44.647</t>
  </si>
  <si>
    <t>44.431</t>
  </si>
  <si>
    <t>35.278.216</t>
  </si>
  <si>
    <t>11.130</t>
  </si>
  <si>
    <t>44.307</t>
  </si>
  <si>
    <t>11.077</t>
  </si>
  <si>
    <t>44.961</t>
  </si>
  <si>
    <t>71.398.064</t>
  </si>
  <si>
    <t>11.044</t>
  </si>
  <si>
    <t>11.151</t>
  </si>
  <si>
    <t>44.816</t>
  </si>
  <si>
    <t>44.599</t>
  </si>
  <si>
    <t>15.886</t>
  </si>
  <si>
    <t>35.411.608</t>
  </si>
  <si>
    <t>11.204</t>
  </si>
  <si>
    <t>44.601</t>
  </si>
  <si>
    <t>11.150</t>
  </si>
  <si>
    <t>45.264</t>
  </si>
  <si>
    <t>15.990</t>
  </si>
  <si>
    <t>72.060.288</t>
  </si>
  <si>
    <t>11.118</t>
  </si>
  <si>
    <t>11.225</t>
  </si>
  <si>
    <t>45.112</t>
  </si>
  <si>
    <t>44.901</t>
  </si>
  <si>
    <t>15.993</t>
  </si>
  <si>
    <t>35.741.196</t>
  </si>
  <si>
    <t>11.246</t>
  </si>
  <si>
    <t>44.769</t>
  </si>
  <si>
    <t>11.192</t>
  </si>
  <si>
    <t>45.435</t>
  </si>
  <si>
    <t>16.050</t>
  </si>
  <si>
    <t>72.332.520</t>
  </si>
  <si>
    <t>11.267</t>
  </si>
  <si>
    <t>44.852</t>
  </si>
  <si>
    <t>11.213</t>
  </si>
  <si>
    <t>45.520</t>
  </si>
  <si>
    <t>16.080</t>
  </si>
  <si>
    <t>72.467.840</t>
  </si>
  <si>
    <t>45.065</t>
  </si>
  <si>
    <t>15.804</t>
  </si>
  <si>
    <t>15.670</t>
  </si>
  <si>
    <t>60.834</t>
  </si>
  <si>
    <t>10.096</t>
  </si>
  <si>
    <t>121.363.832</t>
  </si>
  <si>
    <t>45.149</t>
  </si>
  <si>
    <t>15.833</t>
  </si>
  <si>
    <t>15.699</t>
  </si>
  <si>
    <t>60.947</t>
  </si>
  <si>
    <t>10.114</t>
  </si>
  <si>
    <t>121.589.264</t>
  </si>
  <si>
    <t>Grinning Cat</t>
  </si>
  <si>
    <t>45.233</t>
  </si>
  <si>
    <t>15.863</t>
  </si>
  <si>
    <t>15.728</t>
  </si>
  <si>
    <t>61.061</t>
  </si>
  <si>
    <t>10.133</t>
  </si>
  <si>
    <t>121.816.696</t>
  </si>
  <si>
    <t>Thorny Devourer</t>
  </si>
  <si>
    <t>11.383</t>
  </si>
  <si>
    <t>45.749</t>
  </si>
  <si>
    <t>45.542</t>
  </si>
  <si>
    <t>16.216</t>
  </si>
  <si>
    <t>36.342.516</t>
  </si>
  <si>
    <t>Bat hags</t>
  </si>
  <si>
    <t>45.531</t>
  </si>
  <si>
    <t>15.970</t>
  </si>
  <si>
    <t>15.835</t>
  </si>
  <si>
    <t>61.469</t>
  </si>
  <si>
    <t>10.198</t>
  </si>
  <si>
    <t>122.938.000</t>
  </si>
  <si>
    <t>45.615</t>
  </si>
  <si>
    <t>15.864</t>
  </si>
  <si>
    <t>61.583</t>
  </si>
  <si>
    <t>10.217</t>
  </si>
  <si>
    <t>123.166.000</t>
  </si>
  <si>
    <t>Starfish of death</t>
  </si>
  <si>
    <t>45.699</t>
  </si>
  <si>
    <t>16.029</t>
  </si>
  <si>
    <t>61.696</t>
  </si>
  <si>
    <t>10.236</t>
  </si>
  <si>
    <t>123.392.000</t>
  </si>
  <si>
    <t>45.783</t>
  </si>
  <si>
    <t>46.473</t>
  </si>
  <si>
    <t>16.412</t>
  </si>
  <si>
    <t>74.356.800</t>
  </si>
  <si>
    <t>22.890</t>
  </si>
  <si>
    <t>22.999</t>
  </si>
  <si>
    <t>92.214</t>
  </si>
  <si>
    <t>94.307</t>
  </si>
  <si>
    <t>32.482</t>
  </si>
  <si>
    <t>75.634.216</t>
  </si>
  <si>
    <t>91.946</t>
  </si>
  <si>
    <t>32.214</t>
  </si>
  <si>
    <t>32.077</t>
  </si>
  <si>
    <t>126.269</t>
  </si>
  <si>
    <t>19.492</t>
  </si>
  <si>
    <t>253.169.344</t>
  </si>
  <si>
    <t>23.083</t>
  </si>
  <si>
    <t>92.115</t>
  </si>
  <si>
    <t>23.029</t>
  </si>
  <si>
    <t>95.112</t>
  </si>
  <si>
    <t>32.629</t>
  </si>
  <si>
    <t>152.559.648</t>
  </si>
  <si>
    <t>Number Nip</t>
  </si>
  <si>
    <t>23.126</t>
  </si>
  <si>
    <t>92.283</t>
  </si>
  <si>
    <t>23.071</t>
  </si>
  <si>
    <t>95.286</t>
  </si>
  <si>
    <t>32.688</t>
  </si>
  <si>
    <t>152.838.752</t>
  </si>
  <si>
    <t>46.467</t>
  </si>
  <si>
    <t>47.177</t>
  </si>
  <si>
    <t>16.651</t>
  </si>
  <si>
    <t>75.860.616</t>
  </si>
  <si>
    <t>11.583</t>
  </si>
  <si>
    <t>11.693</t>
  </si>
  <si>
    <t>46.992</t>
  </si>
  <si>
    <t>46.801</t>
  </si>
  <si>
    <t>16.654</t>
  </si>
  <si>
    <t>37.628.004</t>
  </si>
  <si>
    <t>46.637</t>
  </si>
  <si>
    <t>16.354</t>
  </si>
  <si>
    <t>62.975</t>
  </si>
  <si>
    <t>10.441</t>
  </si>
  <si>
    <t>126.579.752</t>
  </si>
  <si>
    <t>46.721</t>
  </si>
  <si>
    <t>16.383</t>
  </si>
  <si>
    <t>16.245</t>
  </si>
  <si>
    <t>63.089</t>
  </si>
  <si>
    <t>10.460</t>
  </si>
  <si>
    <t>126.808.888</t>
  </si>
  <si>
    <t>47.381</t>
  </si>
  <si>
    <t>47.195</t>
  </si>
  <si>
    <t>16.795</t>
  </si>
  <si>
    <t>38.039.168</t>
  </si>
  <si>
    <t>11.811</t>
  </si>
  <si>
    <t>47.024</t>
  </si>
  <si>
    <t>11.756</t>
  </si>
  <si>
    <t>47.746</t>
  </si>
  <si>
    <t>16.853</t>
  </si>
  <si>
    <t>76.966.552</t>
  </si>
  <si>
    <t>11.833</t>
  </si>
  <si>
    <t>47.552</t>
  </si>
  <si>
    <t>47.366</t>
  </si>
  <si>
    <t>16.855</t>
  </si>
  <si>
    <t>38.176.996</t>
  </si>
  <si>
    <t>11.743</t>
  </si>
  <si>
    <t>11.854</t>
  </si>
  <si>
    <t>47.638</t>
  </si>
  <si>
    <t>47.452</t>
  </si>
  <si>
    <t>16.886</t>
  </si>
  <si>
    <t>38.246.312</t>
  </si>
  <si>
    <t>47.412</t>
  </si>
  <si>
    <t>16.626</t>
  </si>
  <si>
    <t>16.487</t>
  </si>
  <si>
    <t>64.035</t>
  </si>
  <si>
    <t>10.605</t>
  </si>
  <si>
    <t>129.350.704</t>
  </si>
  <si>
    <t>47.497</t>
  </si>
  <si>
    <t>16.656</t>
  </si>
  <si>
    <t>16.517</t>
  </si>
  <si>
    <t>64.150</t>
  </si>
  <si>
    <t>10.624</t>
  </si>
  <si>
    <t>129.583.000</t>
  </si>
  <si>
    <t>Evil Taurus</t>
  </si>
  <si>
    <t>47.582</t>
  </si>
  <si>
    <t>16.686</t>
  </si>
  <si>
    <t>16.546</t>
  </si>
  <si>
    <t>64.265</t>
  </si>
  <si>
    <t>10.643</t>
  </si>
  <si>
    <t>129.815.296</t>
  </si>
  <si>
    <t>11.861</t>
  </si>
  <si>
    <t>11.973</t>
  </si>
  <si>
    <t>48.115</t>
  </si>
  <si>
    <t>47.934</t>
  </si>
  <si>
    <t>17.052</t>
  </si>
  <si>
    <t>38.730.672</t>
  </si>
  <si>
    <t>Cloudning</t>
  </si>
  <si>
    <t>12.028</t>
  </si>
  <si>
    <t>47.887</t>
  </si>
  <si>
    <t>48.632</t>
  </si>
  <si>
    <t>17.161</t>
  </si>
  <si>
    <t>78.783.840</t>
  </si>
  <si>
    <t>11.937</t>
  </si>
  <si>
    <t>12.049</t>
  </si>
  <si>
    <t>48.422</t>
  </si>
  <si>
    <t>48.246</t>
  </si>
  <si>
    <t>17.163</t>
  </si>
  <si>
    <t>39.079.260</t>
  </si>
  <si>
    <t>12.071</t>
  </si>
  <si>
    <t>48.058</t>
  </si>
  <si>
    <t>48.805</t>
  </si>
  <si>
    <t>17.222</t>
  </si>
  <si>
    <t>79.064.096</t>
  </si>
  <si>
    <t>Tritosting</t>
  </si>
  <si>
    <t>11.979</t>
  </si>
  <si>
    <t>48.594</t>
  </si>
  <si>
    <t>48.419</t>
  </si>
  <si>
    <t>17.225</t>
  </si>
  <si>
    <t>39.219.392</t>
  </si>
  <si>
    <t>12.034</t>
  </si>
  <si>
    <t>12.148</t>
  </si>
  <si>
    <t>48.816</t>
  </si>
  <si>
    <t>48.646</t>
  </si>
  <si>
    <t>17.300</t>
  </si>
  <si>
    <t>39.500.552</t>
  </si>
  <si>
    <t>12.169</t>
  </si>
  <si>
    <t>48.450</t>
  </si>
  <si>
    <t>12.112</t>
  </si>
  <si>
    <t>49.208</t>
  </si>
  <si>
    <t>17.359</t>
  </si>
  <si>
    <t>79.913.792</t>
  </si>
  <si>
    <t>John or Tom?</t>
  </si>
  <si>
    <t>12.190</t>
  </si>
  <si>
    <t>48.535</t>
  </si>
  <si>
    <t>12.134</t>
  </si>
  <si>
    <t>49.295</t>
  </si>
  <si>
    <t>17.390</t>
  </si>
  <si>
    <t>80.055.080</t>
  </si>
  <si>
    <t>Ambitious Frog</t>
  </si>
  <si>
    <t>12.212</t>
  </si>
  <si>
    <t>48.621</t>
  </si>
  <si>
    <t>12.155</t>
  </si>
  <si>
    <t>49.382</t>
  </si>
  <si>
    <t>17.421</t>
  </si>
  <si>
    <t>80.196.368</t>
  </si>
  <si>
    <t>12.268</t>
  </si>
  <si>
    <t>48.843</t>
  </si>
  <si>
    <t>12.211</t>
  </si>
  <si>
    <t>49.612</t>
  </si>
  <si>
    <t>17.497</t>
  </si>
  <si>
    <t>80.768.336</t>
  </si>
  <si>
    <t>12.289</t>
  </si>
  <si>
    <t>48.929</t>
  </si>
  <si>
    <t>12.232</t>
  </si>
  <si>
    <t>49.700</t>
  </si>
  <si>
    <t>17.528</t>
  </si>
  <si>
    <t>80.911.600</t>
  </si>
  <si>
    <t>12.197</t>
  </si>
  <si>
    <t>49.471</t>
  </si>
  <si>
    <t>49.307</t>
  </si>
  <si>
    <t>40.135.896</t>
  </si>
  <si>
    <t>49.100</t>
  </si>
  <si>
    <t>17.217</t>
  </si>
  <si>
    <t>17.074</t>
  </si>
  <si>
    <t>66.331</t>
  </si>
  <si>
    <t>10.977</t>
  </si>
  <si>
    <t>134.983.584</t>
  </si>
  <si>
    <t>12.388</t>
  </si>
  <si>
    <t>49.324</t>
  </si>
  <si>
    <t>12.331</t>
  </si>
  <si>
    <t>50.105</t>
  </si>
  <si>
    <t>17.671</t>
  </si>
  <si>
    <t>81.771.360</t>
  </si>
  <si>
    <t>12.295</t>
  </si>
  <si>
    <t>12.410</t>
  </si>
  <si>
    <t>49.869</t>
  </si>
  <si>
    <t>49.711</t>
  </si>
  <si>
    <t>17.673</t>
  </si>
  <si>
    <t>40.564.176</t>
  </si>
  <si>
    <t>49.496</t>
  </si>
  <si>
    <t>17.216</t>
  </si>
  <si>
    <t>66.871</t>
  </si>
  <si>
    <t>11.063</t>
  </si>
  <si>
    <t>136.416.832</t>
  </si>
  <si>
    <t>12.453</t>
  </si>
  <si>
    <t>49.582</t>
  </si>
  <si>
    <t>12.396</t>
  </si>
  <si>
    <t>50.367</t>
  </si>
  <si>
    <t>82.198.944</t>
  </si>
  <si>
    <t>Dotty from Kansas</t>
  </si>
  <si>
    <t>12.394</t>
  </si>
  <si>
    <t>12.509</t>
  </si>
  <si>
    <t>50.115</t>
  </si>
  <si>
    <t>17.812</t>
  </si>
  <si>
    <t>40.994.072</t>
  </si>
  <si>
    <t>49.893</t>
  </si>
  <si>
    <t>17.496</t>
  </si>
  <si>
    <t>17.352</t>
  </si>
  <si>
    <t>67.414</t>
  </si>
  <si>
    <t>11.144</t>
  </si>
  <si>
    <t>137.861.632</t>
  </si>
  <si>
    <t>49.979</t>
  </si>
  <si>
    <t>17.526</t>
  </si>
  <si>
    <t>17.382</t>
  </si>
  <si>
    <t>67.531</t>
  </si>
  <si>
    <t>11.163</t>
  </si>
  <si>
    <t>138.100.896</t>
  </si>
  <si>
    <t>12.574</t>
  </si>
  <si>
    <t>50.066</t>
  </si>
  <si>
    <t>12.516</t>
  </si>
  <si>
    <t>50.864</t>
  </si>
  <si>
    <t>17.934</t>
  </si>
  <si>
    <t>83.213.504</t>
  </si>
  <si>
    <t>50.291</t>
  </si>
  <si>
    <t>17.639</t>
  </si>
  <si>
    <t>17.494</t>
  </si>
  <si>
    <t>67.959</t>
  </si>
  <si>
    <t>139.315.952</t>
  </si>
  <si>
    <t>12.536</t>
  </si>
  <si>
    <t>12.653</t>
  </si>
  <si>
    <t>50.844</t>
  </si>
  <si>
    <t>50.697</t>
  </si>
  <si>
    <t>18.019</t>
  </si>
  <si>
    <t>41.571.540</t>
  </si>
  <si>
    <t>12.558</t>
  </si>
  <si>
    <t>12.674</t>
  </si>
  <si>
    <t>50.931</t>
  </si>
  <si>
    <t>50.784</t>
  </si>
  <si>
    <t>18.050</t>
  </si>
  <si>
    <t>41.642.880</t>
  </si>
  <si>
    <t>12.696</t>
  </si>
  <si>
    <t>50.551</t>
  </si>
  <si>
    <t>12.638</t>
  </si>
  <si>
    <t>51.362</t>
  </si>
  <si>
    <t>18.110</t>
  </si>
  <si>
    <t>84.233.680</t>
  </si>
  <si>
    <t>50.778</t>
  </si>
  <si>
    <t>17.807</t>
  </si>
  <si>
    <t>17.661</t>
  </si>
  <si>
    <t>68.624</t>
  </si>
  <si>
    <t>11.337</t>
  </si>
  <si>
    <t>141.022.320</t>
  </si>
  <si>
    <t>12.658</t>
  </si>
  <si>
    <t>12.775</t>
  </si>
  <si>
    <t>51.334</t>
  </si>
  <si>
    <t>51.193</t>
  </si>
  <si>
    <t>18.189</t>
  </si>
  <si>
    <t>42.080.648</t>
  </si>
  <si>
    <t>50.952</t>
  </si>
  <si>
    <t>17.868</t>
  </si>
  <si>
    <t>17.722</t>
  </si>
  <si>
    <t>68.859</t>
  </si>
  <si>
    <t>11.376</t>
  </si>
  <si>
    <t>141.505.248</t>
  </si>
  <si>
    <t>Puppeteer's Right</t>
  </si>
  <si>
    <t>51.038</t>
  </si>
  <si>
    <t>17.899</t>
  </si>
  <si>
    <t>68.976</t>
  </si>
  <si>
    <t>11.395</t>
  </si>
  <si>
    <t>141.745.680</t>
  </si>
  <si>
    <t>12.758</t>
  </si>
  <si>
    <t>12.876</t>
  </si>
  <si>
    <t>51.738</t>
  </si>
  <si>
    <t>51.603</t>
  </si>
  <si>
    <t>42.520.872</t>
  </si>
  <si>
    <t>12.779</t>
  </si>
  <si>
    <t>12.897</t>
  </si>
  <si>
    <t>51.826</t>
  </si>
  <si>
    <t>51.692</t>
  </si>
  <si>
    <t>18.361</t>
  </si>
  <si>
    <t>42.594.208</t>
  </si>
  <si>
    <t>51.441</t>
  </si>
  <si>
    <t>18.037</t>
  </si>
  <si>
    <t>17.890</t>
  </si>
  <si>
    <t>69.527</t>
  </si>
  <si>
    <t>11.483</t>
  </si>
  <si>
    <t>143.225.616</t>
  </si>
  <si>
    <t>51.528</t>
  </si>
  <si>
    <t>18.068</t>
  </si>
  <si>
    <t>17.920</t>
  </si>
  <si>
    <t>69.644</t>
  </si>
  <si>
    <t>143.466.640</t>
  </si>
  <si>
    <t>The boss</t>
  </si>
  <si>
    <t>12.999</t>
  </si>
  <si>
    <t>51.757</t>
  </si>
  <si>
    <t>12.939</t>
  </si>
  <si>
    <t>52.602</t>
  </si>
  <si>
    <t>18.537</t>
  </si>
  <si>
    <t>86.898.504</t>
  </si>
  <si>
    <t>13.020</t>
  </si>
  <si>
    <t>51.844</t>
  </si>
  <si>
    <t>12.961</t>
  </si>
  <si>
    <t>52.690</t>
  </si>
  <si>
    <t>18.568</t>
  </si>
  <si>
    <t>87.043.880</t>
  </si>
  <si>
    <t>51.932</t>
  </si>
  <si>
    <t>18.213</t>
  </si>
  <si>
    <t>18.064</t>
  </si>
  <si>
    <t>70.197</t>
  </si>
  <si>
    <t>11.591</t>
  </si>
  <si>
    <t>144.956.800</t>
  </si>
  <si>
    <t>13.064</t>
  </si>
  <si>
    <t>52.019</t>
  </si>
  <si>
    <t>13.005</t>
  </si>
  <si>
    <t>52.868</t>
  </si>
  <si>
    <t>18.631</t>
  </si>
  <si>
    <t>87.337.936</t>
  </si>
  <si>
    <t>52.249</t>
  </si>
  <si>
    <t>18.322</t>
  </si>
  <si>
    <t>18.173</t>
  </si>
  <si>
    <t>70.634</t>
  </si>
  <si>
    <t>11.653</t>
  </si>
  <si>
    <t>146.212.384</t>
  </si>
  <si>
    <t>52.337</t>
  </si>
  <si>
    <t>18.353</t>
  </si>
  <si>
    <t>18.203</t>
  </si>
  <si>
    <t>70.752</t>
  </si>
  <si>
    <t>11.673</t>
  </si>
  <si>
    <t>146.456.640</t>
  </si>
  <si>
    <t>13.166</t>
  </si>
  <si>
    <t>52.424</t>
  </si>
  <si>
    <t>13.106</t>
  </si>
  <si>
    <t>53.284</t>
  </si>
  <si>
    <t>18.773</t>
  </si>
  <si>
    <t>88.238.304</t>
  </si>
  <si>
    <t>52.512</t>
  </si>
  <si>
    <t>13.128</t>
  </si>
  <si>
    <t>53.374</t>
  </si>
  <si>
    <t>18.804</t>
  </si>
  <si>
    <t>88.387.344</t>
  </si>
  <si>
    <t>Poisnake</t>
  </si>
  <si>
    <t>13.246</t>
  </si>
  <si>
    <t>52.744</t>
  </si>
  <si>
    <t>13.186</t>
  </si>
  <si>
    <t>53.614</t>
  </si>
  <si>
    <t>18.889</t>
  </si>
  <si>
    <t>88.999.240</t>
  </si>
  <si>
    <t>Matchlit</t>
  </si>
  <si>
    <t>13.268</t>
  </si>
  <si>
    <t>52.832</t>
  </si>
  <si>
    <t>13.208</t>
  </si>
  <si>
    <t>53.703</t>
  </si>
  <si>
    <t>18.921</t>
  </si>
  <si>
    <t>89.146.976</t>
  </si>
  <si>
    <t>52.919</t>
  </si>
  <si>
    <t>18.410</t>
  </si>
  <si>
    <t>71.546</t>
  </si>
  <si>
    <t>11.801</t>
  </si>
  <si>
    <t>148.457.952</t>
  </si>
  <si>
    <t>Apstick</t>
  </si>
  <si>
    <t>13.312</t>
  </si>
  <si>
    <t>53.490</t>
  </si>
  <si>
    <t>53.375</t>
  </si>
  <si>
    <t>18.954</t>
  </si>
  <si>
    <t>44.301.248</t>
  </si>
  <si>
    <t>53.240</t>
  </si>
  <si>
    <t>18.670</t>
  </si>
  <si>
    <t>18.519</t>
  </si>
  <si>
    <t>71.987</t>
  </si>
  <si>
    <t>11.870</t>
  </si>
  <si>
    <t>149.732.960</t>
  </si>
  <si>
    <t>13.271</t>
  </si>
  <si>
    <t>13.393</t>
  </si>
  <si>
    <t>53.813</t>
  </si>
  <si>
    <t>19.065</t>
  </si>
  <si>
    <t>44.680.896</t>
  </si>
  <si>
    <t>Three Ghosts</t>
  </si>
  <si>
    <t>53.416</t>
  </si>
  <si>
    <t>18.732</t>
  </si>
  <si>
    <t>18.580</t>
  </si>
  <si>
    <t>72.224</t>
  </si>
  <si>
    <t>150.225.920</t>
  </si>
  <si>
    <t>53.504</t>
  </si>
  <si>
    <t>13.376</t>
  </si>
  <si>
    <t>54.392</t>
  </si>
  <si>
    <t>19.158</t>
  </si>
  <si>
    <t>90.508.288</t>
  </si>
  <si>
    <t>53.738</t>
  </si>
  <si>
    <t>18.842</t>
  </si>
  <si>
    <t>18.690</t>
  </si>
  <si>
    <t>72.667</t>
  </si>
  <si>
    <t>151.510.688</t>
  </si>
  <si>
    <t>Parsifal</t>
  </si>
  <si>
    <t>53.826</t>
  </si>
  <si>
    <t>18.873</t>
  </si>
  <si>
    <t>18.721</t>
  </si>
  <si>
    <t>72.786</t>
  </si>
  <si>
    <t>11.999</t>
  </si>
  <si>
    <t>151.758.816</t>
  </si>
  <si>
    <t>53.915</t>
  </si>
  <si>
    <t>13.479</t>
  </si>
  <si>
    <t>54.814</t>
  </si>
  <si>
    <t>19.301</t>
  </si>
  <si>
    <t>91.429.752</t>
  </si>
  <si>
    <t>54.003</t>
  </si>
  <si>
    <t>18.935</t>
  </si>
  <si>
    <t>18.782</t>
  </si>
  <si>
    <t>73.025</t>
  </si>
  <si>
    <t>12.038</t>
  </si>
  <si>
    <t>152.257.120</t>
  </si>
  <si>
    <t>Hydra</t>
  </si>
  <si>
    <t>13.621</t>
  </si>
  <si>
    <t>54.238</t>
  </si>
  <si>
    <t>13.560</t>
  </si>
  <si>
    <t>55.148</t>
  </si>
  <si>
    <t>19.420</t>
  </si>
  <si>
    <t>92.207.456</t>
  </si>
  <si>
    <t>13.520</t>
  </si>
  <si>
    <t>13.643</t>
  </si>
  <si>
    <t>54.818</t>
  </si>
  <si>
    <t>54.722</t>
  </si>
  <si>
    <t>19.421</t>
  </si>
  <si>
    <t>45.747.592</t>
  </si>
  <si>
    <t>13.542</t>
  </si>
  <si>
    <t>13.665</t>
  </si>
  <si>
    <t>54.907</t>
  </si>
  <si>
    <t>54.811</t>
  </si>
  <si>
    <t>19.452</t>
  </si>
  <si>
    <t>45.821.996</t>
  </si>
  <si>
    <t>54.504</t>
  </si>
  <si>
    <t>19.114</t>
  </si>
  <si>
    <t>18.960</t>
  </si>
  <si>
    <t>73.703</t>
  </si>
  <si>
    <t>154.039.264</t>
  </si>
  <si>
    <t>13.747</t>
  </si>
  <si>
    <t>54.740</t>
  </si>
  <si>
    <t>13.685</t>
  </si>
  <si>
    <t>55.664</t>
  </si>
  <si>
    <t>19.596</t>
  </si>
  <si>
    <t>93.292.864</t>
  </si>
  <si>
    <t>13.769</t>
  </si>
  <si>
    <t>54.829</t>
  </si>
  <si>
    <t>13.707</t>
  </si>
  <si>
    <t>55.754</t>
  </si>
  <si>
    <t>19.628</t>
  </si>
  <si>
    <t>93.443.704</t>
  </si>
  <si>
    <t>Dumbo</t>
  </si>
  <si>
    <t>13.791</t>
  </si>
  <si>
    <t>54.918</t>
  </si>
  <si>
    <t>13.729</t>
  </si>
  <si>
    <t>55.843</t>
  </si>
  <si>
    <t>19.659</t>
  </si>
  <si>
    <t>93.592.864</t>
  </si>
  <si>
    <t>13.690</t>
  </si>
  <si>
    <t>13.814</t>
  </si>
  <si>
    <t>55.502</t>
  </si>
  <si>
    <t>55.413</t>
  </si>
  <si>
    <t>19.660</t>
  </si>
  <si>
    <t>46.436.096</t>
  </si>
  <si>
    <t>Debugger's Doom</t>
  </si>
  <si>
    <t>13.873</t>
  </si>
  <si>
    <t>55.244</t>
  </si>
  <si>
    <t>13.811</t>
  </si>
  <si>
    <t>56.180</t>
  </si>
  <si>
    <t>94.382.400</t>
  </si>
  <si>
    <t>13.895</t>
  </si>
  <si>
    <t>55.333</t>
  </si>
  <si>
    <t>13.833</t>
  </si>
  <si>
    <t>56.272</t>
  </si>
  <si>
    <t>19.811</t>
  </si>
  <si>
    <t>94.536.960</t>
  </si>
  <si>
    <t>Star Money</t>
  </si>
  <si>
    <t>55.422</t>
  </si>
  <si>
    <t>19.438</t>
  </si>
  <si>
    <t>19.282</t>
  </si>
  <si>
    <t>74.960</t>
  </si>
  <si>
    <t>12.342</t>
  </si>
  <si>
    <t>157.416.000</t>
  </si>
  <si>
    <t>13.940</t>
  </si>
  <si>
    <t>55.511</t>
  </si>
  <si>
    <t>13.878</t>
  </si>
  <si>
    <t>56.452</t>
  </si>
  <si>
    <t>19.874</t>
  </si>
  <si>
    <t>94.839.360</t>
  </si>
  <si>
    <t>Heraldon</t>
  </si>
  <si>
    <t>13.875</t>
  </si>
  <si>
    <t>56.250</t>
  </si>
  <si>
    <t>56.175</t>
  </si>
  <si>
    <t>19.925</t>
  </si>
  <si>
    <t>47.299.352</t>
  </si>
  <si>
    <t>13.897</t>
  </si>
  <si>
    <t>14.022</t>
  </si>
  <si>
    <t>56.340</t>
  </si>
  <si>
    <t>56.265</t>
  </si>
  <si>
    <t>19.957</t>
  </si>
  <si>
    <t>47.375.128</t>
  </si>
  <si>
    <t>14.045</t>
  </si>
  <si>
    <t>55.928</t>
  </si>
  <si>
    <t>13.982</t>
  </si>
  <si>
    <t>56.882</t>
  </si>
  <si>
    <t>20.020</t>
  </si>
  <si>
    <t>95.789.288</t>
  </si>
  <si>
    <t>14.067</t>
  </si>
  <si>
    <t>56.018</t>
  </si>
  <si>
    <t>14.004</t>
  </si>
  <si>
    <t>56.972</t>
  </si>
  <si>
    <t>20.052</t>
  </si>
  <si>
    <t>95.940.848</t>
  </si>
  <si>
    <t>56.258</t>
  </si>
  <si>
    <t>19.725</t>
  </si>
  <si>
    <t>19.568</t>
  </si>
  <si>
    <t>76.104</t>
  </si>
  <si>
    <t>12.523</t>
  </si>
  <si>
    <t>160.579.440</t>
  </si>
  <si>
    <t>Donkey Shot</t>
  </si>
  <si>
    <t>56.347</t>
  </si>
  <si>
    <t>19.757</t>
  </si>
  <si>
    <t>19.599</t>
  </si>
  <si>
    <t>76.225</t>
  </si>
  <si>
    <t>12.543</t>
  </si>
  <si>
    <t>160.834.752</t>
  </si>
  <si>
    <t>Fatty on the Rocks</t>
  </si>
  <si>
    <t>14.046</t>
  </si>
  <si>
    <t>14.172</t>
  </si>
  <si>
    <t>56.941</t>
  </si>
  <si>
    <t>56.873</t>
  </si>
  <si>
    <t>20.167</t>
  </si>
  <si>
    <t>48.000.812</t>
  </si>
  <si>
    <t>Snake Mage</t>
  </si>
  <si>
    <t>14.068</t>
  </si>
  <si>
    <t>14.195</t>
  </si>
  <si>
    <t>57.032</t>
  </si>
  <si>
    <t>56.964</t>
  </si>
  <si>
    <t>20.199</t>
  </si>
  <si>
    <t>48.077.616</t>
  </si>
  <si>
    <t>14.129</t>
  </si>
  <si>
    <t>14.255</t>
  </si>
  <si>
    <t>57.274</t>
  </si>
  <si>
    <t>57.213</t>
  </si>
  <si>
    <t>20.288</t>
  </si>
  <si>
    <t>48.402.200</t>
  </si>
  <si>
    <t>14.278</t>
  </si>
  <si>
    <t>56.857</t>
  </si>
  <si>
    <t>14.214</t>
  </si>
  <si>
    <t>57.836</t>
  </si>
  <si>
    <t>20.351</t>
  </si>
  <si>
    <t>97.858.512</t>
  </si>
  <si>
    <t>14.173</t>
  </si>
  <si>
    <t>14.300</t>
  </si>
  <si>
    <t>57.455</t>
  </si>
  <si>
    <t>57.394</t>
  </si>
  <si>
    <t>20.352</t>
  </si>
  <si>
    <t>48.555.324</t>
  </si>
  <si>
    <t>14.323</t>
  </si>
  <si>
    <t>57.036</t>
  </si>
  <si>
    <t>14.259</t>
  </si>
  <si>
    <t>58.019</t>
  </si>
  <si>
    <t>98.168.144</t>
  </si>
  <si>
    <t>14.256</t>
  </si>
  <si>
    <t>14.383</t>
  </si>
  <si>
    <t>57.789</t>
  </si>
  <si>
    <t>57.735</t>
  </si>
  <si>
    <t>20.467</t>
  </si>
  <si>
    <t>48.959.280</t>
  </si>
  <si>
    <t>57.369</t>
  </si>
  <si>
    <t>20.116</t>
  </si>
  <si>
    <t>77.621</t>
  </si>
  <si>
    <t>164.556.512</t>
  </si>
  <si>
    <t>Hulda the Cloud Fairy</t>
  </si>
  <si>
    <t>57.459</t>
  </si>
  <si>
    <t>20.148</t>
  </si>
  <si>
    <t>19.988</t>
  </si>
  <si>
    <t>77.743</t>
  </si>
  <si>
    <t>164.815.168</t>
  </si>
  <si>
    <t>20.179</t>
  </si>
  <si>
    <t>20.019</t>
  </si>
  <si>
    <t>77.865</t>
  </si>
  <si>
    <t>12.800</t>
  </si>
  <si>
    <t>165.073.792</t>
  </si>
  <si>
    <t>57.793</t>
  </si>
  <si>
    <t>20.268</t>
  </si>
  <si>
    <t>20.108</t>
  </si>
  <si>
    <t>78.202</t>
  </si>
  <si>
    <t>12.852</t>
  </si>
  <si>
    <t>166.179.248</t>
  </si>
  <si>
    <t>14.406</t>
  </si>
  <si>
    <t>14.535</t>
  </si>
  <si>
    <t>58.396</t>
  </si>
  <si>
    <t>58.351</t>
  </si>
  <si>
    <t>20.685</t>
  </si>
  <si>
    <t>49.598.352</t>
  </si>
  <si>
    <t>14.429</t>
  </si>
  <si>
    <t>58.487</t>
  </si>
  <si>
    <t>58.441</t>
  </si>
  <si>
    <t>20.717</t>
  </si>
  <si>
    <t>49.674.848</t>
  </si>
  <si>
    <t>Birblazey</t>
  </si>
  <si>
    <t>58.063</t>
  </si>
  <si>
    <t>20.363</t>
  </si>
  <si>
    <t>20.202</t>
  </si>
  <si>
    <t>78.567</t>
  </si>
  <si>
    <t>12.912</t>
  </si>
  <si>
    <t>166.954.880</t>
  </si>
  <si>
    <t>14.513</t>
  </si>
  <si>
    <t>14.642</t>
  </si>
  <si>
    <t>58.824</t>
  </si>
  <si>
    <t>58.785</t>
  </si>
  <si>
    <t>50.084.820</t>
  </si>
  <si>
    <t>Evil Enchantress</t>
  </si>
  <si>
    <t>14.664</t>
  </si>
  <si>
    <t>58.398</t>
  </si>
  <si>
    <t>59.420</t>
  </si>
  <si>
    <t>20.898</t>
  </si>
  <si>
    <t>101.251.680</t>
  </si>
  <si>
    <t>Peppryon</t>
  </si>
  <si>
    <t>14.687</t>
  </si>
  <si>
    <t>58.489</t>
  </si>
  <si>
    <t>14.622</t>
  </si>
  <si>
    <t>59.511</t>
  </si>
  <si>
    <t>20.930</t>
  </si>
  <si>
    <t>101.406.744</t>
  </si>
  <si>
    <t>14.580</t>
  </si>
  <si>
    <t>14.710</t>
  </si>
  <si>
    <t>59.098</t>
  </si>
  <si>
    <t>59.058</t>
  </si>
  <si>
    <t>50.317.416</t>
  </si>
  <si>
    <t>14.771</t>
  </si>
  <si>
    <t>58.825</t>
  </si>
  <si>
    <t>14.706</t>
  </si>
  <si>
    <t>59.858</t>
  </si>
  <si>
    <t>21.047</t>
  </si>
  <si>
    <t>102.237.464</t>
  </si>
  <si>
    <t>14.794</t>
  </si>
  <si>
    <t>59.436</t>
  </si>
  <si>
    <t>59.405</t>
  </si>
  <si>
    <t>50.731.872</t>
  </si>
  <si>
    <t>Pied Piper</t>
  </si>
  <si>
    <t>59.007</t>
  </si>
  <si>
    <t>20.689</t>
  </si>
  <si>
    <t>20.526</t>
  </si>
  <si>
    <t>79.859</t>
  </si>
  <si>
    <t>13.118</t>
  </si>
  <si>
    <t>170.498.960</t>
  </si>
  <si>
    <t>Eight-legged Arachnid</t>
  </si>
  <si>
    <t>14.840</t>
  </si>
  <si>
    <t>59.097</t>
  </si>
  <si>
    <t>14.774</t>
  </si>
  <si>
    <t>60.136</t>
  </si>
  <si>
    <t>21.144</t>
  </si>
  <si>
    <t>102.712.288</t>
  </si>
  <si>
    <t>14.901</t>
  </si>
  <si>
    <t>59.867</t>
  </si>
  <si>
    <t>59.844</t>
  </si>
  <si>
    <t>21.203</t>
  </si>
  <si>
    <t>51.226.464</t>
  </si>
  <si>
    <t>Leprechore</t>
  </si>
  <si>
    <t>20.843</t>
  </si>
  <si>
    <t>80.447</t>
  </si>
  <si>
    <t>172.156.576</t>
  </si>
  <si>
    <t>Ninstarr</t>
  </si>
  <si>
    <t>59.526</t>
  </si>
  <si>
    <t>20.875</t>
  </si>
  <si>
    <t>20.711</t>
  </si>
  <si>
    <t>80.570</t>
  </si>
  <si>
    <t>13.231</t>
  </si>
  <si>
    <t>172.419.808</t>
  </si>
  <si>
    <t>14.839</t>
  </si>
  <si>
    <t>14.970</t>
  </si>
  <si>
    <t>60.142</t>
  </si>
  <si>
    <t>60.119</t>
  </si>
  <si>
    <t>21.300</t>
  </si>
  <si>
    <t>51.461.864</t>
  </si>
  <si>
    <t>59.866</t>
  </si>
  <si>
    <t>20.991</t>
  </si>
  <si>
    <t>20.827</t>
  </si>
  <si>
    <t>81.037</t>
  </si>
  <si>
    <t>13.298</t>
  </si>
  <si>
    <t>173.824.368</t>
  </si>
  <si>
    <t>59.957</t>
  </si>
  <si>
    <t>21.023</t>
  </si>
  <si>
    <t>20.859</t>
  </si>
  <si>
    <t>81.160</t>
  </si>
  <si>
    <t>174.088.192</t>
  </si>
  <si>
    <t>Barbpunzel</t>
  </si>
  <si>
    <t>14.946</t>
  </si>
  <si>
    <t>15.078</t>
  </si>
  <si>
    <t>60.575</t>
  </si>
  <si>
    <t>60.560</t>
  </si>
  <si>
    <t>21.450</t>
  </si>
  <si>
    <t>51.960.480</t>
  </si>
  <si>
    <t>14.969</t>
  </si>
  <si>
    <t>15.101</t>
  </si>
  <si>
    <t>60.667</t>
  </si>
  <si>
    <t>60.651</t>
  </si>
  <si>
    <t>21.483</t>
  </si>
  <si>
    <t>52.038.560</t>
  </si>
  <si>
    <t>15.163</t>
  </si>
  <si>
    <t>60.389</t>
  </si>
  <si>
    <t>15.097</t>
  </si>
  <si>
    <t>61.465</t>
  </si>
  <si>
    <t>21.608</t>
  </si>
  <si>
    <t>105.719.800</t>
  </si>
  <si>
    <t>15.186</t>
  </si>
  <si>
    <t>60.480</t>
  </si>
  <si>
    <t>61.558</t>
  </si>
  <si>
    <t>21.641</t>
  </si>
  <si>
    <t>105.879.760</t>
  </si>
  <si>
    <t>15.077</t>
  </si>
  <si>
    <t>15.209</t>
  </si>
  <si>
    <t>61.102</t>
  </si>
  <si>
    <t>61.094</t>
  </si>
  <si>
    <t>21.640</t>
  </si>
  <si>
    <t>52.540.840</t>
  </si>
  <si>
    <t>15.099</t>
  </si>
  <si>
    <t>15.232</t>
  </si>
  <si>
    <t>61.194</t>
  </si>
  <si>
    <t>61.187</t>
  </si>
  <si>
    <t>21.673</t>
  </si>
  <si>
    <t>52.620.820</t>
  </si>
  <si>
    <t>15.162</t>
  </si>
  <si>
    <t>15.295</t>
  </si>
  <si>
    <t>61.446</t>
  </si>
  <si>
    <t>21.759</t>
  </si>
  <si>
    <t>52.966.452</t>
  </si>
  <si>
    <t>15.318</t>
  </si>
  <si>
    <t>61.006</t>
  </si>
  <si>
    <t>15.251</t>
  </si>
  <si>
    <t>62.098</t>
  </si>
  <si>
    <t>21.825</t>
  </si>
  <si>
    <t>107.056.952</t>
  </si>
  <si>
    <t>15.341</t>
  </si>
  <si>
    <t>61.097</t>
  </si>
  <si>
    <t>15.274</t>
  </si>
  <si>
    <t>62.192</t>
  </si>
  <si>
    <t>21.858</t>
  </si>
  <si>
    <t>107.219.008</t>
  </si>
  <si>
    <t>61.189</t>
  </si>
  <si>
    <t>21.456</t>
  </si>
  <si>
    <t>21.289</t>
  </si>
  <si>
    <t>82.836</t>
  </si>
  <si>
    <t>13.587</t>
  </si>
  <si>
    <t>178.511.584</t>
  </si>
  <si>
    <t>15.427</t>
  </si>
  <si>
    <t>61.441</t>
  </si>
  <si>
    <t>15.360</t>
  </si>
  <si>
    <t>62.546</t>
  </si>
  <si>
    <t>21.977</t>
  </si>
  <si>
    <t>108.079.488</t>
  </si>
  <si>
    <t>61.533</t>
  </si>
  <si>
    <t>21.574</t>
  </si>
  <si>
    <t>21.406</t>
  </si>
  <si>
    <t>83.308</t>
  </si>
  <si>
    <t>13.661</t>
  </si>
  <si>
    <t>179.945.280</t>
  </si>
  <si>
    <t>Holger Nilsson</t>
  </si>
  <si>
    <t>15.473</t>
  </si>
  <si>
    <t>61.625</t>
  </si>
  <si>
    <t>15.406</t>
  </si>
  <si>
    <t>62.733</t>
  </si>
  <si>
    <t>22.042</t>
  </si>
  <si>
    <t>108.402.624</t>
  </si>
  <si>
    <t>61.716</t>
  </si>
  <si>
    <t>21.470</t>
  </si>
  <si>
    <t>83.557</t>
  </si>
  <si>
    <t>13.702</t>
  </si>
  <si>
    <t>180.483.120</t>
  </si>
  <si>
    <t>Etrock</t>
  </si>
  <si>
    <t>61.970</t>
  </si>
  <si>
    <t>21.731</t>
  </si>
  <si>
    <t>21.563</t>
  </si>
  <si>
    <t>83.908</t>
  </si>
  <si>
    <t>181.660.816</t>
  </si>
  <si>
    <t>Bloodthirsty Baron</t>
  </si>
  <si>
    <t>15.448</t>
  </si>
  <si>
    <t>15.583</t>
  </si>
  <si>
    <t>62.601</t>
  </si>
  <si>
    <t>62.618</t>
  </si>
  <si>
    <t>22.168</t>
  </si>
  <si>
    <t>54.227.188</t>
  </si>
  <si>
    <t>62.154</t>
  </si>
  <si>
    <t>21.796</t>
  </si>
  <si>
    <t>21.627</t>
  </si>
  <si>
    <t>84.158</t>
  </si>
  <si>
    <t>13.797</t>
  </si>
  <si>
    <t>182.202.064</t>
  </si>
  <si>
    <t>15.629</t>
  </si>
  <si>
    <t>62.246</t>
  </si>
  <si>
    <t>15.562</t>
  </si>
  <si>
    <t>63.371</t>
  </si>
  <si>
    <t>22.267</t>
  </si>
  <si>
    <t>109.758.576</t>
  </si>
  <si>
    <t>15.693</t>
  </si>
  <si>
    <t>62.501</t>
  </si>
  <si>
    <t>15.625</t>
  </si>
  <si>
    <t>63.635</t>
  </si>
  <si>
    <t>22.355</t>
  </si>
  <si>
    <t>110.470.360</t>
  </si>
  <si>
    <t>Okultacle</t>
  </si>
  <si>
    <t>15.580</t>
  </si>
  <si>
    <t>15.716</t>
  </si>
  <si>
    <t>63.135</t>
  </si>
  <si>
    <t>63.160</t>
  </si>
  <si>
    <t>22.354</t>
  </si>
  <si>
    <t>54.822.880</t>
  </si>
  <si>
    <t>Blazingtongues</t>
  </si>
  <si>
    <t>62.685</t>
  </si>
  <si>
    <t>21.979</t>
  </si>
  <si>
    <t>21.809</t>
  </si>
  <si>
    <t>84.884</t>
  </si>
  <si>
    <t>13.906</t>
  </si>
  <si>
    <t>184.198.272</t>
  </si>
  <si>
    <t>62.778</t>
  </si>
  <si>
    <t>22.012</t>
  </si>
  <si>
    <t>21.842</t>
  </si>
  <si>
    <t>85.009</t>
  </si>
  <si>
    <t>13.926</t>
  </si>
  <si>
    <t>184.469.536</t>
  </si>
  <si>
    <t>63.033</t>
  </si>
  <si>
    <t>15.758</t>
  </si>
  <si>
    <t>64.183</t>
  </si>
  <si>
    <t>22.548</t>
  </si>
  <si>
    <t>111.678.416</t>
  </si>
  <si>
    <t>Dancing ogre brothers</t>
  </si>
  <si>
    <t>63.126</t>
  </si>
  <si>
    <t>15.781</t>
  </si>
  <si>
    <t>64.277</t>
  </si>
  <si>
    <t>22.581</t>
  </si>
  <si>
    <t>111.841.984</t>
  </si>
  <si>
    <t>Antlar</t>
  </si>
  <si>
    <t>15.873</t>
  </si>
  <si>
    <t>63.218</t>
  </si>
  <si>
    <t>15.805</t>
  </si>
  <si>
    <t>64.371</t>
  </si>
  <si>
    <t>22.614</t>
  </si>
  <si>
    <t>112.005.536</t>
  </si>
  <si>
    <t>Brown Bear</t>
  </si>
  <si>
    <t>15.896</t>
  </si>
  <si>
    <t>63.311</t>
  </si>
  <si>
    <t>15.828</t>
  </si>
  <si>
    <t>64.466</t>
  </si>
  <si>
    <t>22.647</t>
  </si>
  <si>
    <t>112.170.840</t>
  </si>
  <si>
    <t>15.960</t>
  </si>
  <si>
    <t>63.568</t>
  </si>
  <si>
    <t>15.892</t>
  </si>
  <si>
    <t>64.733</t>
  </si>
  <si>
    <t>22.735</t>
  </si>
  <si>
    <t>112.894.352</t>
  </si>
  <si>
    <t>15.847</t>
  </si>
  <si>
    <t>15.984</t>
  </si>
  <si>
    <t>64.210</t>
  </si>
  <si>
    <t>64.251</t>
  </si>
  <si>
    <t>22.734</t>
  </si>
  <si>
    <t>56.026.872</t>
  </si>
  <si>
    <t>63.754</t>
  </si>
  <si>
    <t>22.183</t>
  </si>
  <si>
    <t>86.346</t>
  </si>
  <si>
    <t>14.138</t>
  </si>
  <si>
    <t>188.234.272</t>
  </si>
  <si>
    <t>Bear Fear</t>
  </si>
  <si>
    <t>63.846</t>
  </si>
  <si>
    <t>22.388</t>
  </si>
  <si>
    <t>22.216</t>
  </si>
  <si>
    <t>86.472</t>
  </si>
  <si>
    <t>14.159</t>
  </si>
  <si>
    <t>188.508.960</t>
  </si>
  <si>
    <t>64.105</t>
  </si>
  <si>
    <t>22.475</t>
  </si>
  <si>
    <t>22.303</t>
  </si>
  <si>
    <t>86.829</t>
  </si>
  <si>
    <t>189.721.360</t>
  </si>
  <si>
    <t>15.980</t>
  </si>
  <si>
    <t>16.118</t>
  </si>
  <si>
    <t>64.750</t>
  </si>
  <si>
    <t>64.800</t>
  </si>
  <si>
    <t>22.922</t>
  </si>
  <si>
    <t>56.635.200</t>
  </si>
  <si>
    <t>16.004</t>
  </si>
  <si>
    <t>16.142</t>
  </si>
  <si>
    <t>64.843</t>
  </si>
  <si>
    <t>64.893</t>
  </si>
  <si>
    <t>22.955</t>
  </si>
  <si>
    <t>56.716.480</t>
  </si>
  <si>
    <t>64.384</t>
  </si>
  <si>
    <t>22.573</t>
  </si>
  <si>
    <t>22.400</t>
  </si>
  <si>
    <t>87.207</t>
  </si>
  <si>
    <t>14.276</t>
  </si>
  <si>
    <t>190.547.296</t>
  </si>
  <si>
    <t>Jackobu</t>
  </si>
  <si>
    <t>64.643</t>
  </si>
  <si>
    <t>22.668</t>
  </si>
  <si>
    <t>22.495</t>
  </si>
  <si>
    <t>87.566</t>
  </si>
  <si>
    <t>14.331</t>
  </si>
  <si>
    <t>191.769.536</t>
  </si>
  <si>
    <t>Armored fire dragon</t>
  </si>
  <si>
    <t>64.736</t>
  </si>
  <si>
    <t>22.701</t>
  </si>
  <si>
    <t>22.527</t>
  </si>
  <si>
    <t>87.692</t>
  </si>
  <si>
    <t>14.352</t>
  </si>
  <si>
    <t>192.045.472</t>
  </si>
  <si>
    <t>Red Gnoll</t>
  </si>
  <si>
    <t>64.830</t>
  </si>
  <si>
    <t>22.733</t>
  </si>
  <si>
    <t>22.560</t>
  </si>
  <si>
    <t>87.818</t>
  </si>
  <si>
    <t>14.373</t>
  </si>
  <si>
    <t>192.321.424</t>
  </si>
  <si>
    <t>64.923</t>
  </si>
  <si>
    <t>22.766</t>
  </si>
  <si>
    <t>22.592</t>
  </si>
  <si>
    <t>87.945</t>
  </si>
  <si>
    <t>14.393</t>
  </si>
  <si>
    <t>192.599.552</t>
  </si>
  <si>
    <t>16.226</t>
  </si>
  <si>
    <t>16.366</t>
  </si>
  <si>
    <t>65.741</t>
  </si>
  <si>
    <t>65.808</t>
  </si>
  <si>
    <t>23.273</t>
  </si>
  <si>
    <t>57.779.424</t>
  </si>
  <si>
    <t>65.277</t>
  </si>
  <si>
    <t>22.887</t>
  </si>
  <si>
    <t>22.713</t>
  </si>
  <si>
    <t>88.432</t>
  </si>
  <si>
    <t>14.463</t>
  </si>
  <si>
    <t>194.108.240</t>
  </si>
  <si>
    <t>65.370</t>
  </si>
  <si>
    <t>22.920</t>
  </si>
  <si>
    <t>88.558</t>
  </si>
  <si>
    <t>14.483</t>
  </si>
  <si>
    <t>194.384.816</t>
  </si>
  <si>
    <t>16.296</t>
  </si>
  <si>
    <t>16.436</t>
  </si>
  <si>
    <t>66.024</t>
  </si>
  <si>
    <t>66.091</t>
  </si>
  <si>
    <t>23.373</t>
  </si>
  <si>
    <t>58.027.896</t>
  </si>
  <si>
    <t>65.726</t>
  </si>
  <si>
    <t>23.049</t>
  </si>
  <si>
    <t>22.874</t>
  </si>
  <si>
    <t>89.047</t>
  </si>
  <si>
    <t>14.560</t>
  </si>
  <si>
    <t>195.903.392</t>
  </si>
  <si>
    <t>65.820</t>
  </si>
  <si>
    <t>23.082</t>
  </si>
  <si>
    <t>22.906</t>
  </si>
  <si>
    <t>89.174</t>
  </si>
  <si>
    <t>14.581</t>
  </si>
  <si>
    <t>196.182.800</t>
  </si>
  <si>
    <t>65.913</t>
  </si>
  <si>
    <t>23.115</t>
  </si>
  <si>
    <t>22.939</t>
  </si>
  <si>
    <t>89.301</t>
  </si>
  <si>
    <t>14.601</t>
  </si>
  <si>
    <t>196.462.208</t>
  </si>
  <si>
    <t>16.431</t>
  </si>
  <si>
    <t>16.572</t>
  </si>
  <si>
    <t>66.570</t>
  </si>
  <si>
    <t>66.647</t>
  </si>
  <si>
    <t>23.570</t>
  </si>
  <si>
    <t>58.649.360</t>
  </si>
  <si>
    <t>66.270</t>
  </si>
  <si>
    <t>23.237</t>
  </si>
  <si>
    <t>23.061</t>
  </si>
  <si>
    <t>89.792</t>
  </si>
  <si>
    <t>14.678</t>
  </si>
  <si>
    <t>197.991.360</t>
  </si>
  <si>
    <t>The mother-in-law</t>
  </si>
  <si>
    <t>66.364</t>
  </si>
  <si>
    <t>23.270</t>
  </si>
  <si>
    <t>23.093</t>
  </si>
  <si>
    <t>89.920</t>
  </si>
  <si>
    <t>14.699</t>
  </si>
  <si>
    <t>198.273.600</t>
  </si>
  <si>
    <t>16.544</t>
  </si>
  <si>
    <t>16.685</t>
  </si>
  <si>
    <t>67.024</t>
  </si>
  <si>
    <t>67.109</t>
  </si>
  <si>
    <t>23.727</t>
  </si>
  <si>
    <t>59.190.136</t>
  </si>
  <si>
    <t>66.552</t>
  </si>
  <si>
    <t>23.336</t>
  </si>
  <si>
    <t>23.159</t>
  </si>
  <si>
    <t>90.174</t>
  </si>
  <si>
    <t>14.741</t>
  </si>
  <si>
    <t>198.833.664</t>
  </si>
  <si>
    <t>66.816</t>
  </si>
  <si>
    <t>23.425</t>
  </si>
  <si>
    <t>90.540</t>
  </si>
  <si>
    <t>14.797</t>
  </si>
  <si>
    <t>200.093.408</t>
  </si>
  <si>
    <t>Wild Sod</t>
  </si>
  <si>
    <t>66.910</t>
  </si>
  <si>
    <t>23.458</t>
  </si>
  <si>
    <t>23.281</t>
  </si>
  <si>
    <t>90.668</t>
  </si>
  <si>
    <t>14.818</t>
  </si>
  <si>
    <t>200.376.288</t>
  </si>
  <si>
    <t>67.005</t>
  </si>
  <si>
    <t>23.491</t>
  </si>
  <si>
    <t>23.314</t>
  </si>
  <si>
    <t>90.796</t>
  </si>
  <si>
    <t>200.659.168</t>
  </si>
  <si>
    <t>16.704</t>
  </si>
  <si>
    <t>16.846</t>
  </si>
  <si>
    <t>67.668</t>
  </si>
  <si>
    <t>67.763</t>
  </si>
  <si>
    <t>23.952</t>
  </si>
  <si>
    <t>59.902.492</t>
  </si>
  <si>
    <t>67.364</t>
  </si>
  <si>
    <t>23.622</t>
  </si>
  <si>
    <t>23.443</t>
  </si>
  <si>
    <t>91.283</t>
  </si>
  <si>
    <t>14.916</t>
  </si>
  <si>
    <t>202.191.840</t>
  </si>
  <si>
    <t>16.793</t>
  </si>
  <si>
    <t>16.936</t>
  </si>
  <si>
    <t>68.030</t>
  </si>
  <si>
    <t>68.132</t>
  </si>
  <si>
    <t>24.083</t>
  </si>
  <si>
    <t>60.364.952</t>
  </si>
  <si>
    <t>16.960</t>
  </si>
  <si>
    <t>67.553</t>
  </si>
  <si>
    <t>16.888</t>
  </si>
  <si>
    <t>68.829</t>
  </si>
  <si>
    <t>24.153</t>
  </si>
  <si>
    <t>121.964.992</t>
  </si>
  <si>
    <t>67.648</t>
  </si>
  <si>
    <t>23.721</t>
  </si>
  <si>
    <t>23.542</t>
  </si>
  <si>
    <t>91.667</t>
  </si>
  <si>
    <t>14.979</t>
  </si>
  <si>
    <t>203.042.400</t>
  </si>
  <si>
    <t>16.907</t>
  </si>
  <si>
    <t>17.050</t>
  </si>
  <si>
    <t>68.488</t>
  </si>
  <si>
    <t>68.600</t>
  </si>
  <si>
    <t>24.242</t>
  </si>
  <si>
    <t>60.916.800</t>
  </si>
  <si>
    <t>68.009</t>
  </si>
  <si>
    <t>23.845</t>
  </si>
  <si>
    <t>23.665</t>
  </si>
  <si>
    <t>92.165</t>
  </si>
  <si>
    <t>15.049</t>
  </si>
  <si>
    <t>204.606.304</t>
  </si>
  <si>
    <t>68.104</t>
  </si>
  <si>
    <t>23.878</t>
  </si>
  <si>
    <t>23.698</t>
  </si>
  <si>
    <t>92.293</t>
  </si>
  <si>
    <t>15.070</t>
  </si>
  <si>
    <t>204.890.464</t>
  </si>
  <si>
    <t>16.978</t>
  </si>
  <si>
    <t>17.122</t>
  </si>
  <si>
    <t>68.774</t>
  </si>
  <si>
    <t>68.886</t>
  </si>
  <si>
    <t>24.343</t>
  </si>
  <si>
    <t>61.170.768</t>
  </si>
  <si>
    <t>17.044</t>
  </si>
  <si>
    <t>17.189</t>
  </si>
  <si>
    <t>69.043</t>
  </si>
  <si>
    <t>69.165</t>
  </si>
  <si>
    <t>24.442</t>
  </si>
  <si>
    <t>61.556.848</t>
  </si>
  <si>
    <t>17.212</t>
  </si>
  <si>
    <t>68.561</t>
  </si>
  <si>
    <t>17.140</t>
  </si>
  <si>
    <t>69.867</t>
  </si>
  <si>
    <t>24.512</t>
  </si>
  <si>
    <t>124.363.264</t>
  </si>
  <si>
    <t>17.092</t>
  </si>
  <si>
    <t>17.236</t>
  </si>
  <si>
    <t>69.234</t>
  </si>
  <si>
    <t>69.356</t>
  </si>
  <si>
    <t>24.510</t>
  </si>
  <si>
    <t>61.726.840</t>
  </si>
  <si>
    <t>17.260</t>
  </si>
  <si>
    <t>68.751</t>
  </si>
  <si>
    <t>17.188</t>
  </si>
  <si>
    <t>70.060</t>
  </si>
  <si>
    <t>24.580</t>
  </si>
  <si>
    <t>124.706.800</t>
  </si>
  <si>
    <t>17.328</t>
  </si>
  <si>
    <t>69.020</t>
  </si>
  <si>
    <t>17.255</t>
  </si>
  <si>
    <t>70.340</t>
  </si>
  <si>
    <t>24.672</t>
  </si>
  <si>
    <t>125.486.560</t>
  </si>
  <si>
    <t>Sand Cyclops</t>
  </si>
  <si>
    <t>17.206</t>
  </si>
  <si>
    <t>17.351</t>
  </si>
  <si>
    <t>69.696</t>
  </si>
  <si>
    <t>69.827</t>
  </si>
  <si>
    <t>24.669</t>
  </si>
  <si>
    <t>62.285.684</t>
  </si>
  <si>
    <t>Reaper man</t>
  </si>
  <si>
    <t>17.375</t>
  </si>
  <si>
    <t>69.210</t>
  </si>
  <si>
    <t>17.303</t>
  </si>
  <si>
    <t>70.534</t>
  </si>
  <si>
    <t>24.740</t>
  </si>
  <si>
    <t>125.832.656</t>
  </si>
  <si>
    <t>69.306</t>
  </si>
  <si>
    <t>24.301</t>
  </si>
  <si>
    <t>24.119</t>
  </si>
  <si>
    <t>93.937</t>
  </si>
  <si>
    <t>15.332</t>
  </si>
  <si>
    <t>209.479.504</t>
  </si>
  <si>
    <t>69.576</t>
  </si>
  <si>
    <t>24.392</t>
  </si>
  <si>
    <t>24.210</t>
  </si>
  <si>
    <t>94.311</t>
  </si>
  <si>
    <t>15.389</t>
  </si>
  <si>
    <t>210.785.088</t>
  </si>
  <si>
    <t>69.671</t>
  </si>
  <si>
    <t>24.426</t>
  </si>
  <si>
    <t>24.243</t>
  </si>
  <si>
    <t>94.440</t>
  </si>
  <si>
    <t>15.410</t>
  </si>
  <si>
    <t>211.073.408</t>
  </si>
  <si>
    <t>17.369</t>
  </si>
  <si>
    <t>17.515</t>
  </si>
  <si>
    <t>70.351</t>
  </si>
  <si>
    <t>70.492</t>
  </si>
  <si>
    <t>24.898</t>
  </si>
  <si>
    <t>63.019.848</t>
  </si>
  <si>
    <t>17.539</t>
  </si>
  <si>
    <t>69.862</t>
  </si>
  <si>
    <t>17.466</t>
  </si>
  <si>
    <t>71.203</t>
  </si>
  <si>
    <t>24.969</t>
  </si>
  <si>
    <t>127.310.960</t>
  </si>
  <si>
    <t>17.607</t>
  </si>
  <si>
    <t>70.133</t>
  </si>
  <si>
    <t>17.533</t>
  </si>
  <si>
    <t>71.485</t>
  </si>
  <si>
    <t>25.069</t>
  </si>
  <si>
    <t>128.101.120</t>
  </si>
  <si>
    <t>17.631</t>
  </si>
  <si>
    <t>70.229</t>
  </si>
  <si>
    <t>17.557</t>
  </si>
  <si>
    <t>71.583</t>
  </si>
  <si>
    <t>25.103</t>
  </si>
  <si>
    <t>128.276.736</t>
  </si>
  <si>
    <t>17.508</t>
  </si>
  <si>
    <t>70.913</t>
  </si>
  <si>
    <t>71.063</t>
  </si>
  <si>
    <t>25.100</t>
  </si>
  <si>
    <t>63.672.448</t>
  </si>
  <si>
    <t>70.420</t>
  </si>
  <si>
    <t>24.693</t>
  </si>
  <si>
    <t>24.509</t>
  </si>
  <si>
    <t>95.464</t>
  </si>
  <si>
    <t>15.574</t>
  </si>
  <si>
    <t>213.839.360</t>
  </si>
  <si>
    <t>17.747</t>
  </si>
  <si>
    <t>70.693</t>
  </si>
  <si>
    <t>72.060</t>
  </si>
  <si>
    <t>25.264</t>
  </si>
  <si>
    <t>129.419.760</t>
  </si>
  <si>
    <t>Little Badgerer</t>
  </si>
  <si>
    <t>17.623</t>
  </si>
  <si>
    <t>71.379</t>
  </si>
  <si>
    <t>71.539</t>
  </si>
  <si>
    <t>25.262</t>
  </si>
  <si>
    <t>64.242.024</t>
  </si>
  <si>
    <t>70.885</t>
  </si>
  <si>
    <t>24.853</t>
  </si>
  <si>
    <t>24.668</t>
  </si>
  <si>
    <t>96.101</t>
  </si>
  <si>
    <t>15.667</t>
  </si>
  <si>
    <t>215.746.752</t>
  </si>
  <si>
    <t>17.819</t>
  </si>
  <si>
    <t>70.981</t>
  </si>
  <si>
    <t>17.745</t>
  </si>
  <si>
    <t>72.354</t>
  </si>
  <si>
    <t>25.367</t>
  </si>
  <si>
    <t>129.947.784</t>
  </si>
  <si>
    <t>17.888</t>
  </si>
  <si>
    <t>71.255</t>
  </si>
  <si>
    <t>17.814</t>
  </si>
  <si>
    <t>72.639</t>
  </si>
  <si>
    <t>25.468</t>
  </si>
  <si>
    <t>130.750.200</t>
  </si>
  <si>
    <t>17.763</t>
  </si>
  <si>
    <t>17.912</t>
  </si>
  <si>
    <t>71.944</t>
  </si>
  <si>
    <t>72.114</t>
  </si>
  <si>
    <t>25.465</t>
  </si>
  <si>
    <t>64.902.600</t>
  </si>
  <si>
    <t>71.447</t>
  </si>
  <si>
    <t>24.868</t>
  </si>
  <si>
    <t>96.871</t>
  </si>
  <si>
    <t>15.789</t>
  </si>
  <si>
    <t>217.959.744</t>
  </si>
  <si>
    <t>17.960</t>
  </si>
  <si>
    <t>71.543</t>
  </si>
  <si>
    <t>17.886</t>
  </si>
  <si>
    <t>72.933</t>
  </si>
  <si>
    <t>25.571</t>
  </si>
  <si>
    <t>131.279.400</t>
  </si>
  <si>
    <t>Walrophin</t>
  </si>
  <si>
    <t>18.029</t>
  </si>
  <si>
    <t>71.818</t>
  </si>
  <si>
    <t>17.955</t>
  </si>
  <si>
    <t>73.219</t>
  </si>
  <si>
    <t>25.665</t>
  </si>
  <si>
    <t>132.087.072</t>
  </si>
  <si>
    <t>71.914</t>
  </si>
  <si>
    <t>25.215</t>
  </si>
  <si>
    <t>25.028</t>
  </si>
  <si>
    <t>97.514</t>
  </si>
  <si>
    <t>15.890</t>
  </si>
  <si>
    <t>219.894.064</t>
  </si>
  <si>
    <t>Choleric Monster Rabbit</t>
  </si>
  <si>
    <t>72.011</t>
  </si>
  <si>
    <t>25.249</t>
  </si>
  <si>
    <t>25.062</t>
  </si>
  <si>
    <t>97.644</t>
  </si>
  <si>
    <t>15.911</t>
  </si>
  <si>
    <t>220.187.216</t>
  </si>
  <si>
    <t>18.102</t>
  </si>
  <si>
    <t>72.107</t>
  </si>
  <si>
    <t>18.027</t>
  </si>
  <si>
    <t>73.514</t>
  </si>
  <si>
    <t>25.769</t>
  </si>
  <si>
    <t>132.619.256</t>
  </si>
  <si>
    <t>72.204</t>
  </si>
  <si>
    <t>25.316</t>
  </si>
  <si>
    <t>25.129</t>
  </si>
  <si>
    <t>97.905</t>
  </si>
  <si>
    <t>15.954</t>
  </si>
  <si>
    <t>220.775.776</t>
  </si>
  <si>
    <t>72.480</t>
  </si>
  <si>
    <t>25.410</t>
  </si>
  <si>
    <t>25.222</t>
  </si>
  <si>
    <t>98.288</t>
  </si>
  <si>
    <t>16.012</t>
  </si>
  <si>
    <t>222.130.880</t>
  </si>
  <si>
    <t>72.577</t>
  </si>
  <si>
    <t>25.444</t>
  </si>
  <si>
    <t>25.256</t>
  </si>
  <si>
    <t>98.419</t>
  </si>
  <si>
    <t>16.034</t>
  </si>
  <si>
    <t>222.426.944</t>
  </si>
  <si>
    <t>Nasty Trapper</t>
  </si>
  <si>
    <t>18.244</t>
  </si>
  <si>
    <t>72.673</t>
  </si>
  <si>
    <t>18.168</t>
  </si>
  <si>
    <t>74.096</t>
  </si>
  <si>
    <t>25.967</t>
  </si>
  <si>
    <t>133.965.568</t>
  </si>
  <si>
    <t>18.117</t>
  </si>
  <si>
    <t>18.268</t>
  </si>
  <si>
    <t>73.372</t>
  </si>
  <si>
    <t>73.562</t>
  </si>
  <si>
    <t>25.963</t>
  </si>
  <si>
    <t>66.500.048</t>
  </si>
  <si>
    <t>18.292</t>
  </si>
  <si>
    <t>72.867</t>
  </si>
  <si>
    <t>18.217</t>
  </si>
  <si>
    <t>74.293</t>
  </si>
  <si>
    <t>26.036</t>
  </si>
  <si>
    <t>134.321.744</t>
  </si>
  <si>
    <t>18.362</t>
  </si>
  <si>
    <t>73.144</t>
  </si>
  <si>
    <t>18.286</t>
  </si>
  <si>
    <t>74.582</t>
  </si>
  <si>
    <t>26.138</t>
  </si>
  <si>
    <t>135.142.592</t>
  </si>
  <si>
    <t>18.235</t>
  </si>
  <si>
    <t>18.386</t>
  </si>
  <si>
    <t>73.846</t>
  </si>
  <si>
    <t>74.046</t>
  </si>
  <si>
    <t>26.135</t>
  </si>
  <si>
    <t>67.085.676</t>
  </si>
  <si>
    <t>73.338</t>
  </si>
  <si>
    <t>18.335</t>
  </si>
  <si>
    <t>74.780</t>
  </si>
  <si>
    <t>26.207</t>
  </si>
  <si>
    <t>135.501.360</t>
  </si>
  <si>
    <t>18.435</t>
  </si>
  <si>
    <t>73.435</t>
  </si>
  <si>
    <t>18.359</t>
  </si>
  <si>
    <t>74.879</t>
  </si>
  <si>
    <t>26.242</t>
  </si>
  <si>
    <t>135.680.752</t>
  </si>
  <si>
    <t>18.307</t>
  </si>
  <si>
    <t>18.459</t>
  </si>
  <si>
    <t>74.139</t>
  </si>
  <si>
    <t>74.340</t>
  </si>
  <si>
    <t>26.239</t>
  </si>
  <si>
    <t>67.352.040</t>
  </si>
  <si>
    <t>18.377</t>
  </si>
  <si>
    <t>18.529</t>
  </si>
  <si>
    <t>74.419</t>
  </si>
  <si>
    <t>74.629</t>
  </si>
  <si>
    <t>26.334</t>
  </si>
  <si>
    <t>67.763.136</t>
  </si>
  <si>
    <t>Slobba the Mudd</t>
  </si>
  <si>
    <t>73.908</t>
  </si>
  <si>
    <t>25.912</t>
  </si>
  <si>
    <t>25.722</t>
  </si>
  <si>
    <t>100.240</t>
  </si>
  <si>
    <t>16.316</t>
  </si>
  <si>
    <t>227.544.800</t>
  </si>
  <si>
    <t>18.425</t>
  </si>
  <si>
    <t>18.578</t>
  </si>
  <si>
    <t>74.615</t>
  </si>
  <si>
    <t>74.825</t>
  </si>
  <si>
    <t>26.403</t>
  </si>
  <si>
    <t>67.941.104</t>
  </si>
  <si>
    <t>Mud Crocodile</t>
  </si>
  <si>
    <t>74.103</t>
  </si>
  <si>
    <t>25.980</t>
  </si>
  <si>
    <t>25.789</t>
  </si>
  <si>
    <t>100.504</t>
  </si>
  <si>
    <t>16.359</t>
  </si>
  <si>
    <t>228.144.080</t>
  </si>
  <si>
    <t>18.474</t>
  </si>
  <si>
    <t>18.626</t>
  </si>
  <si>
    <t>74.811</t>
  </si>
  <si>
    <t>75.021</t>
  </si>
  <si>
    <t>26.473</t>
  </si>
  <si>
    <t>68.119.072</t>
  </si>
  <si>
    <t>74.480</t>
  </si>
  <si>
    <t>26.117</t>
  </si>
  <si>
    <t>25.926</t>
  </si>
  <si>
    <t>101.016</t>
  </si>
  <si>
    <t>16.440</t>
  </si>
  <si>
    <t>229.811.392</t>
  </si>
  <si>
    <t>74.578</t>
  </si>
  <si>
    <t>26.151</t>
  </si>
  <si>
    <t>101.149</t>
  </si>
  <si>
    <t>16.461</t>
  </si>
  <si>
    <t>230.113.968</t>
  </si>
  <si>
    <t>18.745</t>
  </si>
  <si>
    <t>74.675</t>
  </si>
  <si>
    <t>18.669</t>
  </si>
  <si>
    <t>76.154</t>
  </si>
  <si>
    <t>26.684</t>
  </si>
  <si>
    <t>138.600.288</t>
  </si>
  <si>
    <t>Snapping Raptor</t>
  </si>
  <si>
    <t>74.772</t>
  </si>
  <si>
    <t>101.413</t>
  </si>
  <si>
    <t>16.504</t>
  </si>
  <si>
    <t>230.714.576</t>
  </si>
  <si>
    <t>74.870</t>
  </si>
  <si>
    <t>26.254</t>
  </si>
  <si>
    <t>26.061</t>
  </si>
  <si>
    <t>101.544</t>
  </si>
  <si>
    <t>16.526</t>
  </si>
  <si>
    <t>231.012.608</t>
  </si>
  <si>
    <t>Full Duplex Zombie</t>
  </si>
  <si>
    <t>18.865</t>
  </si>
  <si>
    <t>75.152</t>
  </si>
  <si>
    <t>18.788</t>
  </si>
  <si>
    <t>76.646</t>
  </si>
  <si>
    <t>26.850</t>
  </si>
  <si>
    <t>139.802.304</t>
  </si>
  <si>
    <t>18.735</t>
  </si>
  <si>
    <t>75.866</t>
  </si>
  <si>
    <t>76.098</t>
  </si>
  <si>
    <t>69.401.376</t>
  </si>
  <si>
    <t>18.914</t>
  </si>
  <si>
    <t>75.347</t>
  </si>
  <si>
    <t>18.837</t>
  </si>
  <si>
    <t>76.845</t>
  </si>
  <si>
    <t>26.920</t>
  </si>
  <si>
    <t>140.165.280</t>
  </si>
  <si>
    <t>18.784</t>
  </si>
  <si>
    <t>18.939</t>
  </si>
  <si>
    <t>76.063</t>
  </si>
  <si>
    <t>76.295</t>
  </si>
  <si>
    <t>26.916</t>
  </si>
  <si>
    <t>69.581.040</t>
  </si>
  <si>
    <t>18.963</t>
  </si>
  <si>
    <t>75.542</t>
  </si>
  <si>
    <t>18.886</t>
  </si>
  <si>
    <t>77.044</t>
  </si>
  <si>
    <t>26.989</t>
  </si>
  <si>
    <t>140.528.256</t>
  </si>
  <si>
    <t>18.879</t>
  </si>
  <si>
    <t>19.034</t>
  </si>
  <si>
    <t>76.446</t>
  </si>
  <si>
    <t>76.688</t>
  </si>
  <si>
    <t>27.048</t>
  </si>
  <si>
    <t>70.092.832</t>
  </si>
  <si>
    <t>19.059</t>
  </si>
  <si>
    <t>75.924</t>
  </si>
  <si>
    <t>18.981</t>
  </si>
  <si>
    <t>77.439</t>
  </si>
  <si>
    <t>27.121</t>
  </si>
  <si>
    <t>141.558.496</t>
  </si>
  <si>
    <t>76.022</t>
  </si>
  <si>
    <t>26.651</t>
  </si>
  <si>
    <t>26.457</t>
  </si>
  <si>
    <t>103.124</t>
  </si>
  <si>
    <t>16.775</t>
  </si>
  <si>
    <t>235.638.336</t>
  </si>
  <si>
    <t>18.952</t>
  </si>
  <si>
    <t>19.108</t>
  </si>
  <si>
    <t>76.742</t>
  </si>
  <si>
    <t>76.985</t>
  </si>
  <si>
    <t>27.152</t>
  </si>
  <si>
    <t>70.364.288</t>
  </si>
  <si>
    <t>18.976</t>
  </si>
  <si>
    <t>76.841</t>
  </si>
  <si>
    <t>77.084</t>
  </si>
  <si>
    <t>27.187</t>
  </si>
  <si>
    <t>70.454.776</t>
  </si>
  <si>
    <t>76.502</t>
  </si>
  <si>
    <t>26.824</t>
  </si>
  <si>
    <t>26.629</t>
  </si>
  <si>
    <t>103.784</t>
  </si>
  <si>
    <t>16.879</t>
  </si>
  <si>
    <t>237.665.360</t>
  </si>
  <si>
    <t>19.072</t>
  </si>
  <si>
    <t>19.228</t>
  </si>
  <si>
    <t>77.225</t>
  </si>
  <si>
    <t>77.478</t>
  </si>
  <si>
    <t>27.327</t>
  </si>
  <si>
    <t>70.969.848</t>
  </si>
  <si>
    <t>19.253</t>
  </si>
  <si>
    <t>76.699</t>
  </si>
  <si>
    <t>19.175</t>
  </si>
  <si>
    <t>78.234</t>
  </si>
  <si>
    <t>27.401</t>
  </si>
  <si>
    <t>143.324.688</t>
  </si>
  <si>
    <t>19.277</t>
  </si>
  <si>
    <t>76.797</t>
  </si>
  <si>
    <t>19.199</t>
  </si>
  <si>
    <t>78.334</t>
  </si>
  <si>
    <t>27.436</t>
  </si>
  <si>
    <t>143.507.888</t>
  </si>
  <si>
    <t>Blaxta</t>
  </si>
  <si>
    <t>19.145</t>
  </si>
  <si>
    <t>19.302</t>
  </si>
  <si>
    <t>77.522</t>
  </si>
  <si>
    <t>77.776</t>
  </si>
  <si>
    <t>27.432</t>
  </si>
  <si>
    <t>71.242.816</t>
  </si>
  <si>
    <t>19.374</t>
  </si>
  <si>
    <t>77.181</t>
  </si>
  <si>
    <t>19.295</t>
  </si>
  <si>
    <t>78.732</t>
  </si>
  <si>
    <t>27.569</t>
  </si>
  <si>
    <t>144.551.952</t>
  </si>
  <si>
    <t>19.241</t>
  </si>
  <si>
    <t>19.398</t>
  </si>
  <si>
    <t>77.908</t>
  </si>
  <si>
    <t>78.173</t>
  </si>
  <si>
    <t>27.565</t>
  </si>
  <si>
    <t>71.762.816</t>
  </si>
  <si>
    <t>77.378</t>
  </si>
  <si>
    <t>27.128</t>
  </si>
  <si>
    <t>26.931</t>
  </si>
  <si>
    <t>104.979</t>
  </si>
  <si>
    <t>17.062</t>
  </si>
  <si>
    <t>240.926.800</t>
  </si>
  <si>
    <t>19.290</t>
  </si>
  <si>
    <t>19.448</t>
  </si>
  <si>
    <t>78.107</t>
  </si>
  <si>
    <t>78.371</t>
  </si>
  <si>
    <t>27.635</t>
  </si>
  <si>
    <t>71.944.576</t>
  </si>
  <si>
    <t>77.574</t>
  </si>
  <si>
    <t>27.197</t>
  </si>
  <si>
    <t>105.247</t>
  </si>
  <si>
    <t>17.106</t>
  </si>
  <si>
    <t>241.541.872</t>
  </si>
  <si>
    <t>19.387</t>
  </si>
  <si>
    <t>19.545</t>
  </si>
  <si>
    <t>78.494</t>
  </si>
  <si>
    <t>78.769</t>
  </si>
  <si>
    <t>27.776</t>
  </si>
  <si>
    <t>72.467.480</t>
  </si>
  <si>
    <t>Soldier of Doom</t>
  </si>
  <si>
    <t>19.569</t>
  </si>
  <si>
    <t>77.961</t>
  </si>
  <si>
    <t>19.490</t>
  </si>
  <si>
    <t>79.533</t>
  </si>
  <si>
    <t>27.851</t>
  </si>
  <si>
    <t>146.340.720</t>
  </si>
  <si>
    <t>Julio and Romy</t>
  </si>
  <si>
    <t>19.594</t>
  </si>
  <si>
    <t>78.060</t>
  </si>
  <si>
    <t>19.515</t>
  </si>
  <si>
    <t>79.634</t>
  </si>
  <si>
    <t>27.886</t>
  </si>
  <si>
    <t>146.526.560</t>
  </si>
  <si>
    <t>78.158</t>
  </si>
  <si>
    <t>27.406</t>
  </si>
  <si>
    <t>27.208</t>
  </si>
  <si>
    <t>106.046</t>
  </si>
  <si>
    <t>17.232</t>
  </si>
  <si>
    <t>243.905.792</t>
  </si>
  <si>
    <t>Snow Troll</t>
  </si>
  <si>
    <t>19.485</t>
  </si>
  <si>
    <t>19.644</t>
  </si>
  <si>
    <t>78.892</t>
  </si>
  <si>
    <t>79.168</t>
  </si>
  <si>
    <t>27.917</t>
  </si>
  <si>
    <t>72.834.560</t>
  </si>
  <si>
    <t>Nevorfull</t>
  </si>
  <si>
    <t>19.557</t>
  </si>
  <si>
    <t>19.716</t>
  </si>
  <si>
    <t>79.182</t>
  </si>
  <si>
    <t>79.468</t>
  </si>
  <si>
    <t>28.016</t>
  </si>
  <si>
    <t>73.269.496</t>
  </si>
  <si>
    <t>Peter the Wolf</t>
  </si>
  <si>
    <t>78.645</t>
  </si>
  <si>
    <t>19.661</t>
  </si>
  <si>
    <t>80.237</t>
  </si>
  <si>
    <t>28.091</t>
  </si>
  <si>
    <t>147.957.024</t>
  </si>
  <si>
    <t>19.766</t>
  </si>
  <si>
    <t>78.744</t>
  </si>
  <si>
    <t>19.686</t>
  </si>
  <si>
    <t>80.338</t>
  </si>
  <si>
    <t>28.126</t>
  </si>
  <si>
    <t>148.143.264</t>
  </si>
  <si>
    <t>19.631</t>
  </si>
  <si>
    <t>19.790</t>
  </si>
  <si>
    <t>79.481</t>
  </si>
  <si>
    <t>79.769</t>
  </si>
  <si>
    <t>28.122</t>
  </si>
  <si>
    <t>73.547.016</t>
  </si>
  <si>
    <t>78.941</t>
  </si>
  <si>
    <t>27.677</t>
  </si>
  <si>
    <t>27.478</t>
  </si>
  <si>
    <t>107.117</t>
  </si>
  <si>
    <t>17.402</t>
  </si>
  <si>
    <t>246.904.688</t>
  </si>
  <si>
    <t>79.232</t>
  </si>
  <si>
    <t>27.576</t>
  </si>
  <si>
    <t>107.520</t>
  </si>
  <si>
    <t>17.464</t>
  </si>
  <si>
    <t>248.371.200</t>
  </si>
  <si>
    <t>19.913</t>
  </si>
  <si>
    <t>79.331</t>
  </si>
  <si>
    <t>19.833</t>
  </si>
  <si>
    <t>80.942</t>
  </si>
  <si>
    <t>28.331</t>
  </si>
  <si>
    <t>149.580.816</t>
  </si>
  <si>
    <t>79.430</t>
  </si>
  <si>
    <t>27.845</t>
  </si>
  <si>
    <t>27.645</t>
  </si>
  <si>
    <t>107.789</t>
  </si>
  <si>
    <t>248.992.592</t>
  </si>
  <si>
    <t>19.802</t>
  </si>
  <si>
    <t>19.963</t>
  </si>
  <si>
    <t>80.172</t>
  </si>
  <si>
    <t>80.470</t>
  </si>
  <si>
    <t>28.362</t>
  </si>
  <si>
    <t>74.354.280</t>
  </si>
  <si>
    <t>19.827</t>
  </si>
  <si>
    <t>19.987</t>
  </si>
  <si>
    <t>80.271</t>
  </si>
  <si>
    <t>80.571</t>
  </si>
  <si>
    <t>28.397</t>
  </si>
  <si>
    <t>74.447.600</t>
  </si>
  <si>
    <t>19.900</t>
  </si>
  <si>
    <t>20.061</t>
  </si>
  <si>
    <t>80.564</t>
  </si>
  <si>
    <t>80.873</t>
  </si>
  <si>
    <t>28.505</t>
  </si>
  <si>
    <t>74.888.400</t>
  </si>
  <si>
    <t>19.924</t>
  </si>
  <si>
    <t>20.086</t>
  </si>
  <si>
    <t>80.664</t>
  </si>
  <si>
    <t>80.974</t>
  </si>
  <si>
    <t>28.540</t>
  </si>
  <si>
    <t>74.981.920</t>
  </si>
  <si>
    <t>19.949</t>
  </si>
  <si>
    <t>20.110</t>
  </si>
  <si>
    <t>80.765</t>
  </si>
  <si>
    <t>81.075</t>
  </si>
  <si>
    <t>28.576</t>
  </si>
  <si>
    <t>75.075.448</t>
  </si>
  <si>
    <t>20.135</t>
  </si>
  <si>
    <t>80.218</t>
  </si>
  <si>
    <t>20.055</t>
  </si>
  <si>
    <t>81.854</t>
  </si>
  <si>
    <t>28.652</t>
  </si>
  <si>
    <t>151.593.600</t>
  </si>
  <si>
    <t>His Pestilence</t>
  </si>
  <si>
    <t>19.998</t>
  </si>
  <si>
    <t>20.160</t>
  </si>
  <si>
    <t>80.965</t>
  </si>
  <si>
    <t>81.275</t>
  </si>
  <si>
    <t>28.647</t>
  </si>
  <si>
    <t>75.260.648</t>
  </si>
  <si>
    <t>20.072</t>
  </si>
  <si>
    <t>20.234</t>
  </si>
  <si>
    <t>81.259</t>
  </si>
  <si>
    <t>81.580</t>
  </si>
  <si>
    <t>28.747</t>
  </si>
  <si>
    <t>75.706.240</t>
  </si>
  <si>
    <t>20.097</t>
  </si>
  <si>
    <t>20.259</t>
  </si>
  <si>
    <t>81.360</t>
  </si>
  <si>
    <t>81.681</t>
  </si>
  <si>
    <t>28.782</t>
  </si>
  <si>
    <t>75.799.968</t>
  </si>
  <si>
    <t>20.121</t>
  </si>
  <si>
    <t>20.284</t>
  </si>
  <si>
    <t>81.460</t>
  </si>
  <si>
    <t>81.781</t>
  </si>
  <si>
    <t>28.818</t>
  </si>
  <si>
    <t>75.892.768</t>
  </si>
  <si>
    <t>80.910</t>
  </si>
  <si>
    <t>28.366</t>
  </si>
  <si>
    <t>28.162</t>
  </si>
  <si>
    <t>109.813</t>
  </si>
  <si>
    <t>254.766.160</t>
  </si>
  <si>
    <t>20.334</t>
  </si>
  <si>
    <t>81.009</t>
  </si>
  <si>
    <t>20.252</t>
  </si>
  <si>
    <t>82.666</t>
  </si>
  <si>
    <t>28.930</t>
  </si>
  <si>
    <t>153.428.096</t>
  </si>
  <si>
    <t>20.408</t>
  </si>
  <si>
    <t>81.304</t>
  </si>
  <si>
    <t>20.326</t>
  </si>
  <si>
    <t>82.973</t>
  </si>
  <si>
    <t>29.038</t>
  </si>
  <si>
    <t>154.329.776</t>
  </si>
  <si>
    <t>20.433</t>
  </si>
  <si>
    <t>81.404</t>
  </si>
  <si>
    <t>83.075</t>
  </si>
  <si>
    <t>29.074</t>
  </si>
  <si>
    <t>154.519.504</t>
  </si>
  <si>
    <t>20.458</t>
  </si>
  <si>
    <t>81.504</t>
  </si>
  <si>
    <t>20.376</t>
  </si>
  <si>
    <t>83.177</t>
  </si>
  <si>
    <t>29.110</t>
  </si>
  <si>
    <t>154.709.216</t>
  </si>
  <si>
    <t>20.483</t>
  </si>
  <si>
    <t>81.604</t>
  </si>
  <si>
    <t>20.401</t>
  </si>
  <si>
    <t>83.279</t>
  </si>
  <si>
    <t>29.145</t>
  </si>
  <si>
    <t>154.898.944</t>
  </si>
  <si>
    <t>81.703</t>
  </si>
  <si>
    <t>28.649</t>
  </si>
  <si>
    <t>28.444</t>
  </si>
  <si>
    <t>110.899</t>
  </si>
  <si>
    <t>17.993</t>
  </si>
  <si>
    <t>257.840.176</t>
  </si>
  <si>
    <t>20.418</t>
  </si>
  <si>
    <t>20.582</t>
  </si>
  <si>
    <t>82.656</t>
  </si>
  <si>
    <t>83.000</t>
  </si>
  <si>
    <t>29.241</t>
  </si>
  <si>
    <t>77.356.000</t>
  </si>
  <si>
    <t>Shniva</t>
  </si>
  <si>
    <t>20.607</t>
  </si>
  <si>
    <t>82.100</t>
  </si>
  <si>
    <t>20.525</t>
  </si>
  <si>
    <t>83.791</t>
  </si>
  <si>
    <t>29.318</t>
  </si>
  <si>
    <t>156.186.432</t>
  </si>
  <si>
    <t>82.200</t>
  </si>
  <si>
    <t>28.819</t>
  </si>
  <si>
    <t>28.614</t>
  </si>
  <si>
    <t>111.581</t>
  </si>
  <si>
    <t>18.100</t>
  </si>
  <si>
    <t>259.983.728</t>
  </si>
  <si>
    <t>20.493</t>
  </si>
  <si>
    <t>20.657</t>
  </si>
  <si>
    <t>82.958</t>
  </si>
  <si>
    <t>83.304</t>
  </si>
  <si>
    <t>29.348</t>
  </si>
  <si>
    <t>77.639.328</t>
  </si>
  <si>
    <t>82.400</t>
  </si>
  <si>
    <t>28.889</t>
  </si>
  <si>
    <t>28.683</t>
  </si>
  <si>
    <t>111.853</t>
  </si>
  <si>
    <t>18.144</t>
  </si>
  <si>
    <t>260.617.488</t>
  </si>
  <si>
    <t>82.698</t>
  </si>
  <si>
    <t>28.990</t>
  </si>
  <si>
    <t>28.784</t>
  </si>
  <si>
    <t>112.266</t>
  </si>
  <si>
    <t>18.208</t>
  </si>
  <si>
    <t>262.141.104</t>
  </si>
  <si>
    <t>82.798</t>
  </si>
  <si>
    <t>29.026</t>
  </si>
  <si>
    <t>112.403</t>
  </si>
  <si>
    <t>18.230</t>
  </si>
  <si>
    <t>262.461.008</t>
  </si>
  <si>
    <t>20.642</t>
  </si>
  <si>
    <t>20.807</t>
  </si>
  <si>
    <t>83.560</t>
  </si>
  <si>
    <t>83.917</t>
  </si>
  <si>
    <t>29.557</t>
  </si>
  <si>
    <t>78.378.480</t>
  </si>
  <si>
    <t>20.667</t>
  </si>
  <si>
    <t>20.832</t>
  </si>
  <si>
    <t>83.661</t>
  </si>
  <si>
    <t>84.019</t>
  </si>
  <si>
    <t>29.593</t>
  </si>
  <si>
    <t>78.473.744</t>
  </si>
  <si>
    <t>20.692</t>
  </si>
  <si>
    <t>20.858</t>
  </si>
  <si>
    <t>83.762</t>
  </si>
  <si>
    <t>84.121</t>
  </si>
  <si>
    <t>29.628</t>
  </si>
  <si>
    <t>78.569.016</t>
  </si>
  <si>
    <t>83.398</t>
  </si>
  <si>
    <t>29.033</t>
  </si>
  <si>
    <t>113.216</t>
  </si>
  <si>
    <t>18.360</t>
  </si>
  <si>
    <t>264.925.440</t>
  </si>
  <si>
    <t>Pets</t>
  </si>
  <si>
    <t>20.958</t>
  </si>
  <si>
    <t>83.499</t>
  </si>
  <si>
    <t>85.231</t>
  </si>
  <si>
    <t>29.816</t>
  </si>
  <si>
    <t>159.552.432</t>
  </si>
  <si>
    <t>20.817</t>
  </si>
  <si>
    <t>20.983</t>
  </si>
  <si>
    <t>84.265</t>
  </si>
  <si>
    <t>84.634</t>
  </si>
  <si>
    <t>29.811</t>
  </si>
  <si>
    <t>79.217.424</t>
  </si>
  <si>
    <t>20.842</t>
  </si>
  <si>
    <t>21.008</t>
  </si>
  <si>
    <t>84.366</t>
  </si>
  <si>
    <t>84.736</t>
  </si>
  <si>
    <t>29.846</t>
  </si>
  <si>
    <t>79.312.896</t>
  </si>
  <si>
    <t>Pokerhontas</t>
  </si>
  <si>
    <t>83.800</t>
  </si>
  <si>
    <t>29.382</t>
  </si>
  <si>
    <t>29.173</t>
  </si>
  <si>
    <t>113.762</t>
  </si>
  <si>
    <t>18.448</t>
  </si>
  <si>
    <t>266.203.072</t>
  </si>
  <si>
    <t>Well-Meaning Fairy</t>
  </si>
  <si>
    <t>84.101</t>
  </si>
  <si>
    <t>29.484</t>
  </si>
  <si>
    <t>29.275</t>
  </si>
  <si>
    <t>114.179</t>
  </si>
  <si>
    <t>18.504</t>
  </si>
  <si>
    <t>267.749.760</t>
  </si>
  <si>
    <t>King Arthur</t>
  </si>
  <si>
    <t>21.134</t>
  </si>
  <si>
    <t>84.202</t>
  </si>
  <si>
    <t>21.050</t>
  </si>
  <si>
    <t>85.954</t>
  </si>
  <si>
    <t>30.063</t>
  </si>
  <si>
    <t>161.249.696</t>
  </si>
  <si>
    <t>21.159</t>
  </si>
  <si>
    <t>84.303</t>
  </si>
  <si>
    <t>21.076</t>
  </si>
  <si>
    <t>86.057</t>
  </si>
  <si>
    <t>30.099</t>
  </si>
  <si>
    <t>161.442.928</t>
  </si>
  <si>
    <t>21.017</t>
  </si>
  <si>
    <t>21.185</t>
  </si>
  <si>
    <t>85.074</t>
  </si>
  <si>
    <t>85.456</t>
  </si>
  <si>
    <t>30.093</t>
  </si>
  <si>
    <t>80.157.728</t>
  </si>
  <si>
    <t>21.210</t>
  </si>
  <si>
    <t>85.175</t>
  </si>
  <si>
    <t>85.558</t>
  </si>
  <si>
    <t>80.253.408</t>
  </si>
  <si>
    <t>21.286</t>
  </si>
  <si>
    <t>84.806</t>
  </si>
  <si>
    <t>21.202</t>
  </si>
  <si>
    <t>86.577</t>
  </si>
  <si>
    <t>30.282</t>
  </si>
  <si>
    <t>162.764.768</t>
  </si>
  <si>
    <t>21.143</t>
  </si>
  <si>
    <t>21.311</t>
  </si>
  <si>
    <t>85.580</t>
  </si>
  <si>
    <t>85.974</t>
  </si>
  <si>
    <t>30.276</t>
  </si>
  <si>
    <t>80.815.560</t>
  </si>
  <si>
    <t>85.008</t>
  </si>
  <si>
    <t>29.807</t>
  </si>
  <si>
    <t>29.596</t>
  </si>
  <si>
    <t>115.419</t>
  </si>
  <si>
    <t>18.701</t>
  </si>
  <si>
    <t>271.234.656</t>
  </si>
  <si>
    <t>21.362</t>
  </si>
  <si>
    <t>85.109</t>
  </si>
  <si>
    <t>21.277</t>
  </si>
  <si>
    <t>86.886</t>
  </si>
  <si>
    <t>30.390</t>
  </si>
  <si>
    <t>163.345.680</t>
  </si>
  <si>
    <t>21.387</t>
  </si>
  <si>
    <t>85.210</t>
  </si>
  <si>
    <t>21.303</t>
  </si>
  <si>
    <t>86.989</t>
  </si>
  <si>
    <t>30.426</t>
  </si>
  <si>
    <t>163.539.328</t>
  </si>
  <si>
    <t>21.294</t>
  </si>
  <si>
    <t>21.463</t>
  </si>
  <si>
    <t>86.190</t>
  </si>
  <si>
    <t>86.596</t>
  </si>
  <si>
    <t>30.488</t>
  </si>
  <si>
    <t>81.573.432</t>
  </si>
  <si>
    <t>21.488</t>
  </si>
  <si>
    <t>85.615</t>
  </si>
  <si>
    <t>21.404</t>
  </si>
  <si>
    <t>87.408</t>
  </si>
  <si>
    <t>30.566</t>
  </si>
  <si>
    <t>164.676.672</t>
  </si>
  <si>
    <t>21.344</t>
  </si>
  <si>
    <t>21.514</t>
  </si>
  <si>
    <t>86.394</t>
  </si>
  <si>
    <t>86.800</t>
  </si>
  <si>
    <t>30.560</t>
  </si>
  <si>
    <t>81.765.600</t>
  </si>
  <si>
    <t>Grey Gnoll</t>
  </si>
  <si>
    <t>21.539</t>
  </si>
  <si>
    <t>85.818</t>
  </si>
  <si>
    <t>21.454</t>
  </si>
  <si>
    <t>87.615</t>
  </si>
  <si>
    <t>30.638</t>
  </si>
  <si>
    <t>165.066.656</t>
  </si>
  <si>
    <t>21.565</t>
  </si>
  <si>
    <t>85.919</t>
  </si>
  <si>
    <t>21.480</t>
  </si>
  <si>
    <t>87.719</t>
  </si>
  <si>
    <t>30.674</t>
  </si>
  <si>
    <t>165.262.592</t>
  </si>
  <si>
    <t>21.471</t>
  </si>
  <si>
    <t>86.904</t>
  </si>
  <si>
    <t>87.322</t>
  </si>
  <si>
    <t>30.736</t>
  </si>
  <si>
    <t>82.431.968</t>
  </si>
  <si>
    <t>86.325</t>
  </si>
  <si>
    <t>30.262</t>
  </si>
  <si>
    <t>30.049</t>
  </si>
  <si>
    <t>117.225</t>
  </si>
  <si>
    <t>18.986</t>
  </si>
  <si>
    <t>276.651.008</t>
  </si>
  <si>
    <t>Great Uncle of Untidiness</t>
  </si>
  <si>
    <t>86.427</t>
  </si>
  <si>
    <t>30.297</t>
  </si>
  <si>
    <t>30.084</t>
  </si>
  <si>
    <t>117.363</t>
  </si>
  <si>
    <t>19.008</t>
  </si>
  <si>
    <t>276.976.672</t>
  </si>
  <si>
    <t>21.717</t>
  </si>
  <si>
    <t>86.528</t>
  </si>
  <si>
    <t>21.632</t>
  </si>
  <si>
    <t>88.347</t>
  </si>
  <si>
    <t>30.887</t>
  </si>
  <si>
    <t>166.799.136</t>
  </si>
  <si>
    <t>Baby Elephant</t>
  </si>
  <si>
    <t>86.630</t>
  </si>
  <si>
    <t>30.368</t>
  </si>
  <si>
    <t>30.155</t>
  </si>
  <si>
    <t>117.638</t>
  </si>
  <si>
    <t>19.053</t>
  </si>
  <si>
    <t>277.625.664</t>
  </si>
  <si>
    <t>21.820</t>
  </si>
  <si>
    <t>86.936</t>
  </si>
  <si>
    <t>21.734</t>
  </si>
  <si>
    <t>88.769</t>
  </si>
  <si>
    <t>31.037</t>
  </si>
  <si>
    <t>167.950.944</t>
  </si>
  <si>
    <t>87.038</t>
  </si>
  <si>
    <t>30.516</t>
  </si>
  <si>
    <t>30.302</t>
  </si>
  <si>
    <t>118.202</t>
  </si>
  <si>
    <t>19.140</t>
  </si>
  <si>
    <t>279.547.744</t>
  </si>
  <si>
    <t>87.140</t>
  </si>
  <si>
    <t>30.552</t>
  </si>
  <si>
    <t>30.338</t>
  </si>
  <si>
    <t>118.339</t>
  </si>
  <si>
    <t>279.871.744</t>
  </si>
  <si>
    <t>21.896</t>
  </si>
  <si>
    <t>87.241</t>
  </si>
  <si>
    <t>21.810</t>
  </si>
  <si>
    <t>89.081</t>
  </si>
  <si>
    <t>31.145</t>
  </si>
  <si>
    <t>168.541.248</t>
  </si>
  <si>
    <t>21.922</t>
  </si>
  <si>
    <t>87.343</t>
  </si>
  <si>
    <t>21.836</t>
  </si>
  <si>
    <t>89.185</t>
  </si>
  <si>
    <t>168.738.016</t>
  </si>
  <si>
    <t>21.999</t>
  </si>
  <si>
    <t>87.651</t>
  </si>
  <si>
    <t>21.913</t>
  </si>
  <si>
    <t>89.505</t>
  </si>
  <si>
    <t>31.287</t>
  </si>
  <si>
    <t>169.701.472</t>
  </si>
  <si>
    <t>22.024</t>
  </si>
  <si>
    <t>87.753</t>
  </si>
  <si>
    <t>21.938</t>
  </si>
  <si>
    <t>89.609</t>
  </si>
  <si>
    <t>31.323</t>
  </si>
  <si>
    <t>169.898.656</t>
  </si>
  <si>
    <t>Blood-Red Riding Hood</t>
  </si>
  <si>
    <t>87.855</t>
  </si>
  <si>
    <t>30.799</t>
  </si>
  <si>
    <t>30.584</t>
  </si>
  <si>
    <t>119.319</t>
  </si>
  <si>
    <t>19.309</t>
  </si>
  <si>
    <t>282.786.016</t>
  </si>
  <si>
    <t>87.957</t>
  </si>
  <si>
    <t>30.835</t>
  </si>
  <si>
    <t>30.619</t>
  </si>
  <si>
    <t>119.457</t>
  </si>
  <si>
    <t>19.331</t>
  </si>
  <si>
    <t>283.113.088</t>
  </si>
  <si>
    <t>21.928</t>
  </si>
  <si>
    <t>22.101</t>
  </si>
  <si>
    <t>88.750</t>
  </si>
  <si>
    <t>89.195</t>
  </si>
  <si>
    <t>31.389</t>
  </si>
  <si>
    <t>84.556.864</t>
  </si>
  <si>
    <t>22.006</t>
  </si>
  <si>
    <t>22.179</t>
  </si>
  <si>
    <t>89.060</t>
  </si>
  <si>
    <t>89.517</t>
  </si>
  <si>
    <t>31.503</t>
  </si>
  <si>
    <t>85.041.152</t>
  </si>
  <si>
    <t>22.031</t>
  </si>
  <si>
    <t>22.204</t>
  </si>
  <si>
    <t>89.163</t>
  </si>
  <si>
    <t>89.621</t>
  </si>
  <si>
    <t>31.540</t>
  </si>
  <si>
    <t>85.139.952</t>
  </si>
  <si>
    <t>88.573</t>
  </si>
  <si>
    <t>31.056</t>
  </si>
  <si>
    <t>30.839</t>
  </si>
  <si>
    <t>120.303</t>
  </si>
  <si>
    <t>19.464</t>
  </si>
  <si>
    <t>285.719.616</t>
  </si>
  <si>
    <t>88.675</t>
  </si>
  <si>
    <t>31.092</t>
  </si>
  <si>
    <t>30.875</t>
  </si>
  <si>
    <t>120.441</t>
  </si>
  <si>
    <t>19.487</t>
  </si>
  <si>
    <t>286.047.360</t>
  </si>
  <si>
    <t>88.777</t>
  </si>
  <si>
    <t>31.128</t>
  </si>
  <si>
    <t>30.910</t>
  </si>
  <si>
    <t>120.580</t>
  </si>
  <si>
    <t>19.509</t>
  </si>
  <si>
    <t>286.377.504</t>
  </si>
  <si>
    <t>89.088</t>
  </si>
  <si>
    <t>31.233</t>
  </si>
  <si>
    <t>31.015</t>
  </si>
  <si>
    <t>121.011</t>
  </si>
  <si>
    <t>19.575</t>
  </si>
  <si>
    <t>288.006.176</t>
  </si>
  <si>
    <t>89.190</t>
  </si>
  <si>
    <t>31.269</t>
  </si>
  <si>
    <t>31.051</t>
  </si>
  <si>
    <t>121.150</t>
  </si>
  <si>
    <t>19.598</t>
  </si>
  <si>
    <t>288.336.992</t>
  </si>
  <si>
    <t>89.293</t>
  </si>
  <si>
    <t>31.305</t>
  </si>
  <si>
    <t>31.087</t>
  </si>
  <si>
    <t>121.290</t>
  </si>
  <si>
    <t>19.620</t>
  </si>
  <si>
    <t>288.670.208</t>
  </si>
  <si>
    <t>89.395</t>
  </si>
  <si>
    <t>31.341</t>
  </si>
  <si>
    <t>31.122</t>
  </si>
  <si>
    <t>121.428</t>
  </si>
  <si>
    <t>19.643</t>
  </si>
  <si>
    <t>288.998.656</t>
  </si>
  <si>
    <t>89.498</t>
  </si>
  <si>
    <t>31.377</t>
  </si>
  <si>
    <t>31.158</t>
  </si>
  <si>
    <t>121.568</t>
  </si>
  <si>
    <t>19.665</t>
  </si>
  <si>
    <t>289.331.840</t>
  </si>
  <si>
    <t>89.810</t>
  </si>
  <si>
    <t>31.482</t>
  </si>
  <si>
    <t>31.264</t>
  </si>
  <si>
    <t>122.001</t>
  </si>
  <si>
    <t>19.731</t>
  </si>
  <si>
    <t>290.972.384</t>
  </si>
  <si>
    <t>89.913</t>
  </si>
  <si>
    <t>31.518</t>
  </si>
  <si>
    <t>31.299</t>
  </si>
  <si>
    <t>122.140</t>
  </si>
  <si>
    <t>19.754</t>
  </si>
  <si>
    <t>291.303.904</t>
  </si>
  <si>
    <t>90.015</t>
  </si>
  <si>
    <t>31.554</t>
  </si>
  <si>
    <t>31.335</t>
  </si>
  <si>
    <t>122.280</t>
  </si>
  <si>
    <t>19.776</t>
  </si>
  <si>
    <t>291.637.792</t>
  </si>
  <si>
    <t>22.442</t>
  </si>
  <si>
    <t>22.617</t>
  </si>
  <si>
    <t>90.820</t>
  </si>
  <si>
    <t>91.305</t>
  </si>
  <si>
    <t>32.117</t>
  </si>
  <si>
    <t>87.104.968</t>
  </si>
  <si>
    <t>90.221</t>
  </si>
  <si>
    <t>31.626</t>
  </si>
  <si>
    <t>31.407</t>
  </si>
  <si>
    <t>122.558</t>
  </si>
  <si>
    <t>19.821</t>
  </si>
  <si>
    <t>292.300.832</t>
  </si>
  <si>
    <t>22.722</t>
  </si>
  <si>
    <t>90.534</t>
  </si>
  <si>
    <t>22.634</t>
  </si>
  <si>
    <t>92.474</t>
  </si>
  <si>
    <t>32.314</t>
  </si>
  <si>
    <t>176.810.288</t>
  </si>
  <si>
    <t>90.637</t>
  </si>
  <si>
    <t>31.778</t>
  </si>
  <si>
    <t>31.557</t>
  </si>
  <si>
    <t>123.134</t>
  </si>
  <si>
    <t>19.911</t>
  </si>
  <si>
    <t>294.290.272</t>
  </si>
  <si>
    <t>22.773</t>
  </si>
  <si>
    <t>90.740</t>
  </si>
  <si>
    <t>22.685</t>
  </si>
  <si>
    <t>92.685</t>
  </si>
  <si>
    <t>32.387</t>
  </si>
  <si>
    <t>177.213.728</t>
  </si>
  <si>
    <t>90.843</t>
  </si>
  <si>
    <t>31.850</t>
  </si>
  <si>
    <t>31.629</t>
  </si>
  <si>
    <t>123.413</t>
  </si>
  <si>
    <t>19.956</t>
  </si>
  <si>
    <t>294.957.056</t>
  </si>
  <si>
    <t>22.825</t>
  </si>
  <si>
    <t>90.946</t>
  </si>
  <si>
    <t>22.736</t>
  </si>
  <si>
    <t>92.895</t>
  </si>
  <si>
    <t>32.460</t>
  </si>
  <si>
    <t>177.615.232</t>
  </si>
  <si>
    <t>22.904</t>
  </si>
  <si>
    <t>91.261</t>
  </si>
  <si>
    <t>22.815</t>
  </si>
  <si>
    <t>93.222</t>
  </si>
  <si>
    <t>32.568</t>
  </si>
  <si>
    <t>178.613.344</t>
  </si>
  <si>
    <t>91.364</t>
  </si>
  <si>
    <t>32.029</t>
  </si>
  <si>
    <t>31.807</t>
  </si>
  <si>
    <t>124.130</t>
  </si>
  <si>
    <t>297.291.360</t>
  </si>
  <si>
    <t>22.956</t>
  </si>
  <si>
    <t>91.467</t>
  </si>
  <si>
    <t>22.867</t>
  </si>
  <si>
    <t>93.433</t>
  </si>
  <si>
    <t>32.642</t>
  </si>
  <si>
    <t>179.017.632</t>
  </si>
  <si>
    <t>Ungorth the Merciless</t>
  </si>
  <si>
    <t>22.804</t>
  </si>
  <si>
    <t>92.281</t>
  </si>
  <si>
    <t>92.793</t>
  </si>
  <si>
    <t>32.634</t>
  </si>
  <si>
    <t>88.895.696</t>
  </si>
  <si>
    <t>Rockastonn</t>
  </si>
  <si>
    <t>23.007</t>
  </si>
  <si>
    <t>91.674</t>
  </si>
  <si>
    <t>22.918</t>
  </si>
  <si>
    <t>93.643</t>
  </si>
  <si>
    <t>32.715</t>
  </si>
  <si>
    <t>179.419.984</t>
  </si>
  <si>
    <t>91.990</t>
  </si>
  <si>
    <t>32.254</t>
  </si>
  <si>
    <t>32.031</t>
  </si>
  <si>
    <t>124.980</t>
  </si>
  <si>
    <t>20.194</t>
  </si>
  <si>
    <t>299.952.000</t>
  </si>
  <si>
    <t>92.094</t>
  </si>
  <si>
    <t>32.290</t>
  </si>
  <si>
    <t>32.067</t>
  </si>
  <si>
    <t>125.120</t>
  </si>
  <si>
    <t>20.217</t>
  </si>
  <si>
    <t>300.288.000</t>
  </si>
  <si>
    <t>92.197</t>
  </si>
  <si>
    <t>32.326</t>
  </si>
  <si>
    <t>32.103</t>
  </si>
  <si>
    <t>125.261</t>
  </si>
  <si>
    <t>20.239</t>
  </si>
  <si>
    <t>300.626.400</t>
  </si>
  <si>
    <t>92.300</t>
  </si>
  <si>
    <t>32.362</t>
  </si>
  <si>
    <t>32.139</t>
  </si>
  <si>
    <t>125.402</t>
  </si>
  <si>
    <t>20.262</t>
  </si>
  <si>
    <t>300.964.800</t>
  </si>
  <si>
    <t>23.012</t>
  </si>
  <si>
    <t>93.119</t>
  </si>
  <si>
    <t>93.644</t>
  </si>
  <si>
    <t>32.935</t>
  </si>
  <si>
    <t>89.898.240</t>
  </si>
  <si>
    <t>92.722</t>
  </si>
  <si>
    <t>23.180</t>
  </si>
  <si>
    <t>94.727</t>
  </si>
  <si>
    <t>33.088</t>
  </si>
  <si>
    <t>182.254.752</t>
  </si>
  <si>
    <t>23.296</t>
  </si>
  <si>
    <t>92.826</t>
  </si>
  <si>
    <t>23.206</t>
  </si>
  <si>
    <t>94.833</t>
  </si>
  <si>
    <t>33.125</t>
  </si>
  <si>
    <t>182.458.688</t>
  </si>
  <si>
    <t>Goldy</t>
  </si>
  <si>
    <t>92.929</t>
  </si>
  <si>
    <t>32.579</t>
  </si>
  <si>
    <t>32.355</t>
  </si>
  <si>
    <t>126.265</t>
  </si>
  <si>
    <t>20.398</t>
  </si>
  <si>
    <t>303.667.328</t>
  </si>
  <si>
    <t>93.033</t>
  </si>
  <si>
    <t>32.615</t>
  </si>
  <si>
    <t>32.391</t>
  </si>
  <si>
    <t>126.405</t>
  </si>
  <si>
    <t>20.421</t>
  </si>
  <si>
    <t>304.004.032</t>
  </si>
  <si>
    <t>Terrifying Demon</t>
  </si>
  <si>
    <t>23.374</t>
  </si>
  <si>
    <t>93.136</t>
  </si>
  <si>
    <t>23.284</t>
  </si>
  <si>
    <t>95.150</t>
  </si>
  <si>
    <t>33.236</t>
  </si>
  <si>
    <t>183.068.608</t>
  </si>
  <si>
    <t>23.454</t>
  </si>
  <si>
    <t>93.456</t>
  </si>
  <si>
    <t>23.364</t>
  </si>
  <si>
    <t>95.483</t>
  </si>
  <si>
    <t>33.345</t>
  </si>
  <si>
    <t>184.091.232</t>
  </si>
  <si>
    <t>93.560</t>
  </si>
  <si>
    <t>23.390</t>
  </si>
  <si>
    <t>95.589</t>
  </si>
  <si>
    <t>33.382</t>
  </si>
  <si>
    <t>184.295.584</t>
  </si>
  <si>
    <t>93.664</t>
  </si>
  <si>
    <t>32.833</t>
  </si>
  <si>
    <t>32.607</t>
  </si>
  <si>
    <t>127.272</t>
  </si>
  <si>
    <t>20.557</t>
  </si>
  <si>
    <t>306.725.504</t>
  </si>
  <si>
    <t>93.768</t>
  </si>
  <si>
    <t>32.869</t>
  </si>
  <si>
    <t>32.643</t>
  </si>
  <si>
    <t>307.062.912</t>
  </si>
  <si>
    <t>Deeply Fallen</t>
  </si>
  <si>
    <t>93.871</t>
  </si>
  <si>
    <t>32.906</t>
  </si>
  <si>
    <t>32.680</t>
  </si>
  <si>
    <t>127.554</t>
  </si>
  <si>
    <t>20.602</t>
  </si>
  <si>
    <t>307.405.152</t>
  </si>
  <si>
    <t>23.639</t>
  </si>
  <si>
    <t>94.192</t>
  </si>
  <si>
    <t>23.548</t>
  </si>
  <si>
    <t>96.241</t>
  </si>
  <si>
    <t>33.612</t>
  </si>
  <si>
    <t>185.937.616</t>
  </si>
  <si>
    <t>94.296</t>
  </si>
  <si>
    <t>23.574</t>
  </si>
  <si>
    <t>96.348</t>
  </si>
  <si>
    <t>33.649</t>
  </si>
  <si>
    <t>186.144.336</t>
  </si>
  <si>
    <t>94.401</t>
  </si>
  <si>
    <t>33.096</t>
  </si>
  <si>
    <t>32.870</t>
  </si>
  <si>
    <t>128.282</t>
  </si>
  <si>
    <t>20.716</t>
  </si>
  <si>
    <t>309.801.024</t>
  </si>
  <si>
    <t>Ewilgryn</t>
  </si>
  <si>
    <t>23.717</t>
  </si>
  <si>
    <t>94.505</t>
  </si>
  <si>
    <t>23.626</t>
  </si>
  <si>
    <t>96.560</t>
  </si>
  <si>
    <t>33.723</t>
  </si>
  <si>
    <t>186.553.920</t>
  </si>
  <si>
    <t>23.561</t>
  </si>
  <si>
    <t>23.743</t>
  </si>
  <si>
    <t>95.336</t>
  </si>
  <si>
    <t>95.903</t>
  </si>
  <si>
    <t>33.715</t>
  </si>
  <si>
    <t>92.642.296</t>
  </si>
  <si>
    <t>23.642</t>
  </si>
  <si>
    <t>23.824</t>
  </si>
  <si>
    <t>95.659</t>
  </si>
  <si>
    <t>96.238</t>
  </si>
  <si>
    <t>33.825</t>
  </si>
  <si>
    <t>93.158.384</t>
  </si>
  <si>
    <t>Sinister Vampire</t>
  </si>
  <si>
    <t>95.036</t>
  </si>
  <si>
    <t>33.315</t>
  </si>
  <si>
    <t>129.153</t>
  </si>
  <si>
    <t>20.844</t>
  </si>
  <si>
    <t>312.550.272</t>
  </si>
  <si>
    <t>23.694</t>
  </si>
  <si>
    <t>23.876</t>
  </si>
  <si>
    <t>95.869</t>
  </si>
  <si>
    <t>96.450</t>
  </si>
  <si>
    <t>33.899</t>
  </si>
  <si>
    <t>93.363.600</t>
  </si>
  <si>
    <t>23.902</t>
  </si>
  <si>
    <t>95.244</t>
  </si>
  <si>
    <t>23.811</t>
  </si>
  <si>
    <t>97.322</t>
  </si>
  <si>
    <t>33.982</t>
  </si>
  <si>
    <t>188.415.392</t>
  </si>
  <si>
    <t>Tinck</t>
  </si>
  <si>
    <t>95.348</t>
  </si>
  <si>
    <t>33.425</t>
  </si>
  <si>
    <t>33.196</t>
  </si>
  <si>
    <t>129.578</t>
  </si>
  <si>
    <t>20.912</t>
  </si>
  <si>
    <t>313.578.752</t>
  </si>
  <si>
    <t>95.672</t>
  </si>
  <si>
    <t>33.544</t>
  </si>
  <si>
    <t>130.028</t>
  </si>
  <si>
    <t>20.981</t>
  </si>
  <si>
    <t>315.317.888</t>
  </si>
  <si>
    <t>24.036</t>
  </si>
  <si>
    <t>95.777</t>
  </si>
  <si>
    <t>23.944</t>
  </si>
  <si>
    <t>97.873</t>
  </si>
  <si>
    <t>34.176</t>
  </si>
  <si>
    <t>189.873.616</t>
  </si>
  <si>
    <t>Pack Rat</t>
  </si>
  <si>
    <t>24.062</t>
  </si>
  <si>
    <t>95.882</t>
  </si>
  <si>
    <t>23.970</t>
  </si>
  <si>
    <t>97.980</t>
  </si>
  <si>
    <t>34.213</t>
  </si>
  <si>
    <t>190.081.200</t>
  </si>
  <si>
    <t>23.905</t>
  </si>
  <si>
    <t>24.088</t>
  </si>
  <si>
    <t>96.720</t>
  </si>
  <si>
    <t>97.315</t>
  </si>
  <si>
    <t>34.205</t>
  </si>
  <si>
    <t>94.395.552</t>
  </si>
  <si>
    <t>23.931</t>
  </si>
  <si>
    <t>24.115</t>
  </si>
  <si>
    <t>96.826</t>
  </si>
  <si>
    <t>97.421</t>
  </si>
  <si>
    <t>34.242</t>
  </si>
  <si>
    <t>94.498.368</t>
  </si>
  <si>
    <t>Cannoturtle</t>
  </si>
  <si>
    <t>24.196</t>
  </si>
  <si>
    <t>96.416</t>
  </si>
  <si>
    <t>24.104</t>
  </si>
  <si>
    <t>98.532</t>
  </si>
  <si>
    <t>34.399</t>
  </si>
  <si>
    <t>191.546.208</t>
  </si>
  <si>
    <t>24.222</t>
  </si>
  <si>
    <t>96.521</t>
  </si>
  <si>
    <t>24.130</t>
  </si>
  <si>
    <t>98.639</t>
  </si>
  <si>
    <t>34.436</t>
  </si>
  <si>
    <t>191.754.208</t>
  </si>
  <si>
    <t>96.626</t>
  </si>
  <si>
    <t>33.874</t>
  </si>
  <si>
    <t>33.644</t>
  </si>
  <si>
    <t>131.333</t>
  </si>
  <si>
    <t>21.188</t>
  </si>
  <si>
    <t>319.139.200</t>
  </si>
  <si>
    <t>96.730</t>
  </si>
  <si>
    <t>33.911</t>
  </si>
  <si>
    <t>33.680</t>
  </si>
  <si>
    <t>131.475</t>
  </si>
  <si>
    <t>21.211</t>
  </si>
  <si>
    <t>319.484.256</t>
  </si>
  <si>
    <t>96.835</t>
  </si>
  <si>
    <t>24.209</t>
  </si>
  <si>
    <t>98.960</t>
  </si>
  <si>
    <t>34.548</t>
  </si>
  <si>
    <t>192.378.240</t>
  </si>
  <si>
    <t>Desert Devourer</t>
  </si>
  <si>
    <t>24.383</t>
  </si>
  <si>
    <t>97.162</t>
  </si>
  <si>
    <t>24.290</t>
  </si>
  <si>
    <t>99.301</t>
  </si>
  <si>
    <t>34.660</t>
  </si>
  <si>
    <t>193.438.352</t>
  </si>
  <si>
    <t>97.267</t>
  </si>
  <si>
    <t>34.095</t>
  </si>
  <si>
    <t>33.864</t>
  </si>
  <si>
    <t>132.213</t>
  </si>
  <si>
    <t>21.326</t>
  </si>
  <si>
    <t>321.938.656</t>
  </si>
  <si>
    <t>97.372</t>
  </si>
  <si>
    <t>34.132</t>
  </si>
  <si>
    <t>132.356</t>
  </si>
  <si>
    <t>21.349</t>
  </si>
  <si>
    <t>322.286.848</t>
  </si>
  <si>
    <t>97.477</t>
  </si>
  <si>
    <t>34.169</t>
  </si>
  <si>
    <t>33.937</t>
  </si>
  <si>
    <t>132.498</t>
  </si>
  <si>
    <t>21.372</t>
  </si>
  <si>
    <t>322.632.640</t>
  </si>
  <si>
    <t>24.303</t>
  </si>
  <si>
    <t>24.488</t>
  </si>
  <si>
    <t>98.325</t>
  </si>
  <si>
    <t>98.950</t>
  </si>
  <si>
    <t>34.763</t>
  </si>
  <si>
    <t>96.377.296</t>
  </si>
  <si>
    <t>24.571</t>
  </si>
  <si>
    <t>97.910</t>
  </si>
  <si>
    <t>24.478</t>
  </si>
  <si>
    <t>100.071</t>
  </si>
  <si>
    <t>34.931</t>
  </si>
  <si>
    <t>195.338.592</t>
  </si>
  <si>
    <t>98.016</t>
  </si>
  <si>
    <t>34.363</t>
  </si>
  <si>
    <t>34.130</t>
  </si>
  <si>
    <t>133.240</t>
  </si>
  <si>
    <t>21.487</t>
  </si>
  <si>
    <t>325.105.600</t>
  </si>
  <si>
    <t>24.437</t>
  </si>
  <si>
    <t>24.623</t>
  </si>
  <si>
    <t>98.867</t>
  </si>
  <si>
    <t>99.504</t>
  </si>
  <si>
    <t>34.959</t>
  </si>
  <si>
    <t>97.115.904</t>
  </si>
  <si>
    <t>24.650</t>
  </si>
  <si>
    <t>98.226</t>
  </si>
  <si>
    <t>24.557</t>
  </si>
  <si>
    <t>100.395</t>
  </si>
  <si>
    <t>35.043</t>
  </si>
  <si>
    <t>195.971.040</t>
  </si>
  <si>
    <t>98.332</t>
  </si>
  <si>
    <t>34.474</t>
  </si>
  <si>
    <t>34.240</t>
  </si>
  <si>
    <t>133.669</t>
  </si>
  <si>
    <t>21.557</t>
  </si>
  <si>
    <t>326.152.352</t>
  </si>
  <si>
    <t>98.661</t>
  </si>
  <si>
    <t>34.586</t>
  </si>
  <si>
    <t>34.352</t>
  </si>
  <si>
    <t>134.127</t>
  </si>
  <si>
    <t>21.617</t>
  </si>
  <si>
    <t>327.940.512</t>
  </si>
  <si>
    <t>98.767</t>
  </si>
  <si>
    <t>34.623</t>
  </si>
  <si>
    <t>34.389</t>
  </si>
  <si>
    <t>134.270</t>
  </si>
  <si>
    <t>328.290.144</t>
  </si>
  <si>
    <t>98.872</t>
  </si>
  <si>
    <t>34.425</t>
  </si>
  <si>
    <t>134.414</t>
  </si>
  <si>
    <t>21.663</t>
  </si>
  <si>
    <t>328.642.240</t>
  </si>
  <si>
    <t>98.978</t>
  </si>
  <si>
    <t>34.697</t>
  </si>
  <si>
    <t>34.462</t>
  </si>
  <si>
    <t>134.558</t>
  </si>
  <si>
    <t>21.687</t>
  </si>
  <si>
    <t>328.994.304</t>
  </si>
  <si>
    <t>99.083</t>
  </si>
  <si>
    <t>34.734</t>
  </si>
  <si>
    <t>34.499</t>
  </si>
  <si>
    <t>134.700</t>
  </si>
  <si>
    <t>21.710</t>
  </si>
  <si>
    <t>329.341.504</t>
  </si>
  <si>
    <t>24.760</t>
  </si>
  <si>
    <t>24.948</t>
  </si>
  <si>
    <t>100.166</t>
  </si>
  <si>
    <t>100.832</t>
  </si>
  <si>
    <t>35.419</t>
  </si>
  <si>
    <t>98.815.360</t>
  </si>
  <si>
    <t>99.520</t>
  </si>
  <si>
    <t>34.892</t>
  </si>
  <si>
    <t>34.657</t>
  </si>
  <si>
    <t>135.304</t>
  </si>
  <si>
    <t>21.803</t>
  </si>
  <si>
    <t>331.494.784</t>
  </si>
  <si>
    <t>24.812</t>
  </si>
  <si>
    <t>25.001</t>
  </si>
  <si>
    <t>100.380</t>
  </si>
  <si>
    <t>101.047</t>
  </si>
  <si>
    <t>35.495</t>
  </si>
  <si>
    <t>99.026.064</t>
  </si>
  <si>
    <t>24.839</t>
  </si>
  <si>
    <t>25.027</t>
  </si>
  <si>
    <t>100.486</t>
  </si>
  <si>
    <t>101.154</t>
  </si>
  <si>
    <t>35.532</t>
  </si>
  <si>
    <t>99.130.920</t>
  </si>
  <si>
    <t>99.837</t>
  </si>
  <si>
    <t>24.959</t>
  </si>
  <si>
    <t>102.054</t>
  </si>
  <si>
    <t>35.617</t>
  </si>
  <si>
    <t>200.025.840</t>
  </si>
  <si>
    <t>25.137</t>
  </si>
  <si>
    <t>100.170</t>
  </si>
  <si>
    <t>25.042</t>
  </si>
  <si>
    <t>102.400</t>
  </si>
  <si>
    <t>35.730</t>
  </si>
  <si>
    <t>201.113.600</t>
  </si>
  <si>
    <t>25.164</t>
  </si>
  <si>
    <t>100.276</t>
  </si>
  <si>
    <t>102.508</t>
  </si>
  <si>
    <t>35.768</t>
  </si>
  <si>
    <t>201.325.712</t>
  </si>
  <si>
    <t>100.382</t>
  </si>
  <si>
    <t>35.191</t>
  </si>
  <si>
    <t>34.954</t>
  </si>
  <si>
    <t>136.484</t>
  </si>
  <si>
    <t>21.989</t>
  </si>
  <si>
    <t>335.068.224</t>
  </si>
  <si>
    <t>Seven Hostages</t>
  </si>
  <si>
    <t>25.217</t>
  </si>
  <si>
    <t>100.488</t>
  </si>
  <si>
    <t>25.122</t>
  </si>
  <si>
    <t>102.726</t>
  </si>
  <si>
    <t>35.844</t>
  </si>
  <si>
    <t>201.753.856</t>
  </si>
  <si>
    <t>25.243</t>
  </si>
  <si>
    <t>100.594</t>
  </si>
  <si>
    <t>25.149</t>
  </si>
  <si>
    <t>102.834</t>
  </si>
  <si>
    <t>35.882</t>
  </si>
  <si>
    <t>201.965.984</t>
  </si>
  <si>
    <t>Birdychirp</t>
  </si>
  <si>
    <t>100.928</t>
  </si>
  <si>
    <t>35.378</t>
  </si>
  <si>
    <t>35.140</t>
  </si>
  <si>
    <t>137.236</t>
  </si>
  <si>
    <t>22.106</t>
  </si>
  <si>
    <t>337.600.576</t>
  </si>
  <si>
    <t>25.354</t>
  </si>
  <si>
    <t>101.034</t>
  </si>
  <si>
    <t>25.259</t>
  </si>
  <si>
    <t>103.290</t>
  </si>
  <si>
    <t>36.033</t>
  </si>
  <si>
    <t>203.274.720</t>
  </si>
  <si>
    <t>Super-assassin</t>
  </si>
  <si>
    <t>101.140</t>
  </si>
  <si>
    <t>35.452</t>
  </si>
  <si>
    <t>35.214</t>
  </si>
  <si>
    <t>137.525</t>
  </si>
  <si>
    <t>22.153</t>
  </si>
  <si>
    <t>338.311.488</t>
  </si>
  <si>
    <t>101.247</t>
  </si>
  <si>
    <t>35.490</t>
  </si>
  <si>
    <t>35.251</t>
  </si>
  <si>
    <t>137.670</t>
  </si>
  <si>
    <t>22.176</t>
  </si>
  <si>
    <t>338.668.192</t>
  </si>
  <si>
    <t>101.353</t>
  </si>
  <si>
    <t>35.527</t>
  </si>
  <si>
    <t>35.288</t>
  </si>
  <si>
    <t>137.814</t>
  </si>
  <si>
    <t>339.022.432</t>
  </si>
  <si>
    <t>25.518</t>
  </si>
  <si>
    <t>101.688</t>
  </si>
  <si>
    <t>25.422</t>
  </si>
  <si>
    <t>103.965</t>
  </si>
  <si>
    <t>36.271</t>
  </si>
  <si>
    <t>205.018.976</t>
  </si>
  <si>
    <t>25.544</t>
  </si>
  <si>
    <t>101.795</t>
  </si>
  <si>
    <t>25.449</t>
  </si>
  <si>
    <t>104.074</t>
  </si>
  <si>
    <t>36.309</t>
  </si>
  <si>
    <t>205.233.920</t>
  </si>
  <si>
    <t>101.901</t>
  </si>
  <si>
    <t>35.725</t>
  </si>
  <si>
    <t>35.486</t>
  </si>
  <si>
    <t>138.559</t>
  </si>
  <si>
    <t>22.317</t>
  </si>
  <si>
    <t>341.547.936</t>
  </si>
  <si>
    <t>102.008</t>
  </si>
  <si>
    <t>35.762</t>
  </si>
  <si>
    <t>35.523</t>
  </si>
  <si>
    <t>138.704</t>
  </si>
  <si>
    <t>22.341</t>
  </si>
  <si>
    <t>341.905.344</t>
  </si>
  <si>
    <t>102.114</t>
  </si>
  <si>
    <t>35.799</t>
  </si>
  <si>
    <t>35.560</t>
  </si>
  <si>
    <t>138.849</t>
  </si>
  <si>
    <t>22.364</t>
  </si>
  <si>
    <t>342.262.784</t>
  </si>
  <si>
    <t>25.709</t>
  </si>
  <si>
    <t>102.451</t>
  </si>
  <si>
    <t>25.613</t>
  </si>
  <si>
    <t>104.751</t>
  </si>
  <si>
    <t>36.538</t>
  </si>
  <si>
    <t>206.987.968</t>
  </si>
  <si>
    <t>25.736</t>
  </si>
  <si>
    <t>102.558</t>
  </si>
  <si>
    <t>25.639</t>
  </si>
  <si>
    <t>104.860</t>
  </si>
  <si>
    <t>36.576</t>
  </si>
  <si>
    <t>207.203.360</t>
  </si>
  <si>
    <t>102.665</t>
  </si>
  <si>
    <t>35.988</t>
  </si>
  <si>
    <t>35.748</t>
  </si>
  <si>
    <t>139.606</t>
  </si>
  <si>
    <t>22.472</t>
  </si>
  <si>
    <t>344.826.816</t>
  </si>
  <si>
    <t>25.597</t>
  </si>
  <si>
    <t>103.542</t>
  </si>
  <si>
    <t>104.270</t>
  </si>
  <si>
    <t>36.604</t>
  </si>
  <si>
    <t>103.018.760</t>
  </si>
  <si>
    <t>102.878</t>
  </si>
  <si>
    <t>36.063</t>
  </si>
  <si>
    <t>35.822</t>
  </si>
  <si>
    <t>139.896</t>
  </si>
  <si>
    <t>22.519</t>
  </si>
  <si>
    <t>345.543.104</t>
  </si>
  <si>
    <t>25.708</t>
  </si>
  <si>
    <t>25.901</t>
  </si>
  <si>
    <t>103.988</t>
  </si>
  <si>
    <t>104.729</t>
  </si>
  <si>
    <t>36.767</t>
  </si>
  <si>
    <t>103.681.712</t>
  </si>
  <si>
    <t>25.927</t>
  </si>
  <si>
    <t>103.323</t>
  </si>
  <si>
    <t>25.831</t>
  </si>
  <si>
    <t>105.650</t>
  </si>
  <si>
    <t>36.853</t>
  </si>
  <si>
    <t>209.187.008</t>
  </si>
  <si>
    <t>25.954</t>
  </si>
  <si>
    <t>103.430</t>
  </si>
  <si>
    <t>25.858</t>
  </si>
  <si>
    <t>105.759</t>
  </si>
  <si>
    <t>36.891</t>
  </si>
  <si>
    <t>209.402.816</t>
  </si>
  <si>
    <t>25.981</t>
  </si>
  <si>
    <t>103.537</t>
  </si>
  <si>
    <t>25.884</t>
  </si>
  <si>
    <t>105.868</t>
  </si>
  <si>
    <t>36.929</t>
  </si>
  <si>
    <t>209.618.640</t>
  </si>
  <si>
    <t>26.008</t>
  </si>
  <si>
    <t>103.644</t>
  </si>
  <si>
    <t>25.911</t>
  </si>
  <si>
    <t>105.978</t>
  </si>
  <si>
    <t>36.967</t>
  </si>
  <si>
    <t>209.836.448</t>
  </si>
  <si>
    <t>25.899</t>
  </si>
  <si>
    <t>26.093</t>
  </si>
  <si>
    <t>104.760</t>
  </si>
  <si>
    <t>105.517</t>
  </si>
  <si>
    <t>37.035</t>
  </si>
  <si>
    <t>104.672.864</t>
  </si>
  <si>
    <t>104.868</t>
  </si>
  <si>
    <t>105.626</t>
  </si>
  <si>
    <t>37.073</t>
  </si>
  <si>
    <t>104.780.992</t>
  </si>
  <si>
    <t>104.198</t>
  </si>
  <si>
    <t>36.528</t>
  </si>
  <si>
    <t>36.285</t>
  </si>
  <si>
    <t>141.710</t>
  </si>
  <si>
    <t>22.803</t>
  </si>
  <si>
    <t>351.440.800</t>
  </si>
  <si>
    <t>Pharamumm</t>
  </si>
  <si>
    <t>26.174</t>
  </si>
  <si>
    <t>104.306</t>
  </si>
  <si>
    <t>26.076</t>
  </si>
  <si>
    <t>106.660</t>
  </si>
  <si>
    <t>37.198</t>
  </si>
  <si>
    <t>211.613.440</t>
  </si>
  <si>
    <t>104.413</t>
  </si>
  <si>
    <t>36.359</t>
  </si>
  <si>
    <t>142.002</t>
  </si>
  <si>
    <t>22.850</t>
  </si>
  <si>
    <t>352.164.960</t>
  </si>
  <si>
    <t>104.754</t>
  </si>
  <si>
    <t>36.718</t>
  </si>
  <si>
    <t>36.475</t>
  </si>
  <si>
    <t>142.476</t>
  </si>
  <si>
    <t>354.052.864</t>
  </si>
  <si>
    <t>26.118</t>
  </si>
  <si>
    <t>26.313</t>
  </si>
  <si>
    <t>105.642</t>
  </si>
  <si>
    <t>106.415</t>
  </si>
  <si>
    <t>37.342</t>
  </si>
  <si>
    <t>105.776.512</t>
  </si>
  <si>
    <t>26.340</t>
  </si>
  <si>
    <t>104.969</t>
  </si>
  <si>
    <t>107.345</t>
  </si>
  <si>
    <t>37.429</t>
  </si>
  <si>
    <t>213.401.856</t>
  </si>
  <si>
    <t>Swamp Nymphomaniac</t>
  </si>
  <si>
    <t>105.076</t>
  </si>
  <si>
    <t>36.831</t>
  </si>
  <si>
    <t>36.587</t>
  </si>
  <si>
    <t>142.913</t>
  </si>
  <si>
    <t>22.993</t>
  </si>
  <si>
    <t>355.138.816</t>
  </si>
  <si>
    <t>105.184</t>
  </si>
  <si>
    <t>36.869</t>
  </si>
  <si>
    <t>36.624</t>
  </si>
  <si>
    <t>143.059</t>
  </si>
  <si>
    <t>23.016</t>
  </si>
  <si>
    <t>355.501.600</t>
  </si>
  <si>
    <t>105.526</t>
  </si>
  <si>
    <t>36.995</t>
  </si>
  <si>
    <t>36.750</t>
  </si>
  <si>
    <t>143.535</t>
  </si>
  <si>
    <t>23.089</t>
  </si>
  <si>
    <t>357.402.144</t>
  </si>
  <si>
    <t>Butthead</t>
  </si>
  <si>
    <t>105.634</t>
  </si>
  <si>
    <t>37.033</t>
  </si>
  <si>
    <t>36.788</t>
  </si>
  <si>
    <t>143.682</t>
  </si>
  <si>
    <t>23.112</t>
  </si>
  <si>
    <t>357.768.192</t>
  </si>
  <si>
    <t>26.337</t>
  </si>
  <si>
    <t>26.534</t>
  </si>
  <si>
    <t>106.527</t>
  </si>
  <si>
    <t>107.317</t>
  </si>
  <si>
    <t>37.660</t>
  </si>
  <si>
    <t>106.887.728</t>
  </si>
  <si>
    <t>Corpus Eruptus</t>
  </si>
  <si>
    <t>105.849</t>
  </si>
  <si>
    <t>37.108</t>
  </si>
  <si>
    <t>36.863</t>
  </si>
  <si>
    <t>143.975</t>
  </si>
  <si>
    <t>358.497.760</t>
  </si>
  <si>
    <t>Prince Charming</t>
  </si>
  <si>
    <t>26.391</t>
  </si>
  <si>
    <t>26.588</t>
  </si>
  <si>
    <t>106.744</t>
  </si>
  <si>
    <t>107.536</t>
  </si>
  <si>
    <t>37.736</t>
  </si>
  <si>
    <t>107.105.856</t>
  </si>
  <si>
    <t>26.674</t>
  </si>
  <si>
    <t>106.301</t>
  </si>
  <si>
    <t>26.575</t>
  </si>
  <si>
    <t>108.720</t>
  </si>
  <si>
    <t>37.903</t>
  </si>
  <si>
    <t>217.005.120</t>
  </si>
  <si>
    <t>106.409</t>
  </si>
  <si>
    <t>37.054</t>
  </si>
  <si>
    <t>144.746</t>
  </si>
  <si>
    <t>361.141.280</t>
  </si>
  <si>
    <t>26.728</t>
  </si>
  <si>
    <t>106.517</t>
  </si>
  <si>
    <t>108.941</t>
  </si>
  <si>
    <t>37.980</t>
  </si>
  <si>
    <t>217.446.240</t>
  </si>
  <si>
    <t>26.557</t>
  </si>
  <si>
    <t>26.755</t>
  </si>
  <si>
    <t>107.415</t>
  </si>
  <si>
    <t>108.221</t>
  </si>
  <si>
    <t>37.969</t>
  </si>
  <si>
    <t>108.004.560</t>
  </si>
  <si>
    <t>26.782</t>
  </si>
  <si>
    <t>106.733</t>
  </si>
  <si>
    <t>26.683</t>
  </si>
  <si>
    <t>109.162</t>
  </si>
  <si>
    <t>38.057</t>
  </si>
  <si>
    <t>217.887.360</t>
  </si>
  <si>
    <t>107.078</t>
  </si>
  <si>
    <t>37.541</t>
  </si>
  <si>
    <t>37.293</t>
  </si>
  <si>
    <t>145.665</t>
  </si>
  <si>
    <t>23.414</t>
  </si>
  <si>
    <t>364.162.496</t>
  </si>
  <si>
    <t>107.187</t>
  </si>
  <si>
    <t>37.579</t>
  </si>
  <si>
    <t>37.331</t>
  </si>
  <si>
    <t>145.812</t>
  </si>
  <si>
    <t>23.437</t>
  </si>
  <si>
    <t>364.529.984</t>
  </si>
  <si>
    <t>26.923</t>
  </si>
  <si>
    <t>107.295</t>
  </si>
  <si>
    <t>109.743</t>
  </si>
  <si>
    <t>38.261</t>
  </si>
  <si>
    <t>219.486.000</t>
  </si>
  <si>
    <t>26.950</t>
  </si>
  <si>
    <t>107.403</t>
  </si>
  <si>
    <t>26.851</t>
  </si>
  <si>
    <t>109.853</t>
  </si>
  <si>
    <t>38.300</t>
  </si>
  <si>
    <t>219.706.000</t>
  </si>
  <si>
    <t>107.511</t>
  </si>
  <si>
    <t>37.692</t>
  </si>
  <si>
    <t>37.444</t>
  </si>
  <si>
    <t>146.253</t>
  </si>
  <si>
    <t>23.508</t>
  </si>
  <si>
    <t>365.632.512</t>
  </si>
  <si>
    <t>107.858</t>
  </si>
  <si>
    <t>37.810</t>
  </si>
  <si>
    <t>37.561</t>
  </si>
  <si>
    <t>146.735</t>
  </si>
  <si>
    <t>23.581</t>
  </si>
  <si>
    <t>367.571.168</t>
  </si>
  <si>
    <t>26.892</t>
  </si>
  <si>
    <t>27.091</t>
  </si>
  <si>
    <t>108.763</t>
  </si>
  <si>
    <t>109.600</t>
  </si>
  <si>
    <t>38.446</t>
  </si>
  <si>
    <t>109.819.200</t>
  </si>
  <si>
    <t>27.118</t>
  </si>
  <si>
    <t>108.075</t>
  </si>
  <si>
    <t>27.019</t>
  </si>
  <si>
    <t>110.547</t>
  </si>
  <si>
    <t>38.534</t>
  </si>
  <si>
    <t>221.536.192</t>
  </si>
  <si>
    <t>108.183</t>
  </si>
  <si>
    <t>37.924</t>
  </si>
  <si>
    <t>37.675</t>
  </si>
  <si>
    <t>147.177</t>
  </si>
  <si>
    <t>23.653</t>
  </si>
  <si>
    <t>368.678.400</t>
  </si>
  <si>
    <t>108.292</t>
  </si>
  <si>
    <t>37.962</t>
  </si>
  <si>
    <t>37.712</t>
  </si>
  <si>
    <t>147.326</t>
  </si>
  <si>
    <t>23.676</t>
  </si>
  <si>
    <t>369.051.616</t>
  </si>
  <si>
    <t>34.075</t>
  </si>
  <si>
    <t>135.800</t>
  </si>
  <si>
    <t>33.950</t>
  </si>
  <si>
    <t>138.915</t>
  </si>
  <si>
    <t>48.412</t>
  </si>
  <si>
    <t>278.941.312</t>
  </si>
  <si>
    <t>Wanted</t>
  </si>
  <si>
    <t>Hydre 1</t>
  </si>
  <si>
    <t>Hydre 2</t>
  </si>
  <si>
    <t>Hydre 3</t>
  </si>
  <si>
    <t>Hydre 4</t>
  </si>
  <si>
    <t>Hydre 5</t>
  </si>
  <si>
    <t>Hydre 6</t>
  </si>
  <si>
    <t>Hydre 7</t>
  </si>
  <si>
    <t>Hydre 8</t>
  </si>
  <si>
    <t>Hydre 9</t>
  </si>
  <si>
    <t>Hydre 10</t>
  </si>
  <si>
    <t>Hydre 11</t>
  </si>
  <si>
    <t>Hydre 12</t>
  </si>
  <si>
    <t>Hydre 13</t>
  </si>
  <si>
    <t>Hydre 14</t>
  </si>
  <si>
    <t>Hydre 15</t>
  </si>
  <si>
    <t>Hydre 16</t>
  </si>
  <si>
    <t>Hydre 17</t>
  </si>
  <si>
    <t>Hydre 18</t>
  </si>
  <si>
    <t>Hydre 19</t>
  </si>
  <si>
    <t>Hydre 20</t>
  </si>
  <si>
    <t>Hp Factor</t>
  </si>
  <si>
    <t>Position</t>
  </si>
  <si>
    <t>Health</t>
  </si>
  <si>
    <t>Min</t>
  </si>
  <si>
    <t>Max</t>
  </si>
  <si>
    <t>Resistance</t>
  </si>
  <si>
    <t>Damage</t>
  </si>
  <si>
    <t>1 - Desecrated Catacomb</t>
  </si>
  <si>
    <t>2 - The Mines of Gloria</t>
  </si>
  <si>
    <t>3 - The Ruins of Gnark</t>
  </si>
  <si>
    <t>4 - The Cutthroat Grotto</t>
  </si>
  <si>
    <t>5 - The Emerald Scale Altar</t>
  </si>
  <si>
    <t>6 - The Toxic Tree</t>
  </si>
  <si>
    <t>7 - The Magma Stream</t>
  </si>
  <si>
    <t>8 - The Frost Blood Temple</t>
  </si>
  <si>
    <t>9 - The Pyramids of Madness</t>
  </si>
  <si>
    <t>10 - Black Skull Fortress</t>
  </si>
  <si>
    <t>11 - Circus of Terror</t>
  </si>
  <si>
    <t>12 - Hell</t>
  </si>
  <si>
    <t>15 - The 13th floor</t>
  </si>
  <si>
    <t>19 - Easteros</t>
  </si>
  <si>
    <t>17 - Time - honored School of Magic</t>
  </si>
  <si>
    <t>18 - Hemorridor</t>
  </si>
  <si>
    <t>24 - Nordic Gods</t>
  </si>
  <si>
    <t>27 - Mount Olympus</t>
  </si>
  <si>
    <t>21 - Tavern of the Dark Doppelgangers</t>
  </si>
  <si>
    <t>13 - Dragons Hoard</t>
  </si>
  <si>
    <t>14 - House of Horrors</t>
  </si>
  <si>
    <t>16 - The 3rd League of Superheroes</t>
  </si>
  <si>
    <t>20 - Dojo of Childhood Heroes</t>
  </si>
  <si>
    <t>28 - Monster Grotto</t>
  </si>
  <si>
    <t>22 - City of Intrigues</t>
  </si>
  <si>
    <t>23 - School of Magic Express</t>
  </si>
  <si>
    <t>25 - Ash Moutain</t>
  </si>
  <si>
    <t>26 - Playa HQ</t>
  </si>
  <si>
    <t>AverageDmg</t>
  </si>
  <si>
    <t>ClassWpn</t>
  </si>
  <si>
    <t>ClassHp</t>
  </si>
  <si>
    <t>ClearedWpn</t>
  </si>
  <si>
    <t>ClearedHp</t>
  </si>
  <si>
    <t>RuneDmg</t>
  </si>
  <si>
    <t>RuneHp</t>
  </si>
  <si>
    <t>Power</t>
  </si>
  <si>
    <t>Log</t>
  </si>
  <si>
    <t>Xp</t>
  </si>
  <si>
    <t>Root</t>
  </si>
  <si>
    <t>Factor</t>
  </si>
  <si>
    <t>TrueLevel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</si>
</sst>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1"/>
      <color rgb="FF000000"/>
      <name val="Calibri"/>
    </font>
    <font>
      <sz val="11"/>
      <color rgb="FF000000"/>
      <name val="Arial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FF"/>
        <bgColor rgb="FFFF00FF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</fills>
  <borders count="7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2" fillId="5" borderId="0" xfId="0" applyFont="1" applyFill="1" applyAlignment="1">
      <alignment horizontal="right"/>
    </xf>
    <xf numFmtId="0" fontId="3" fillId="3" borderId="1" xfId="0" applyFont="1" applyFill="1" applyBorder="1" applyAlignment="1">
      <alignment horizontal="right"/>
    </xf>
    <xf numFmtId="0" fontId="5" fillId="0" borderId="0" xfId="0" applyFont="1"/>
    <xf numFmtId="3" fontId="1" fillId="6" borderId="0" xfId="0" applyNumberFormat="1" applyFont="1" applyFill="1"/>
    <xf numFmtId="164" fontId="0" fillId="0" borderId="0" xfId="1" applyNumberFormat="1" applyFont="1"/>
    <xf numFmtId="164" fontId="6" fillId="0" borderId="0" xfId="1" applyNumberFormat="1" applyFont="1"/>
    <xf numFmtId="164" fontId="0" fillId="0" borderId="0" xfId="1" applyNumberFormat="1" applyFont="1" applyAlignment="1"/>
    <xf numFmtId="165" fontId="0" fillId="0" borderId="0" xfId="1" applyNumberFormat="1" applyFont="1"/>
    <xf numFmtId="43" fontId="0" fillId="0" borderId="0" xfId="1" applyFont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65" fontId="0" fillId="0" borderId="3" xfId="1" applyNumberFormat="1" applyFont="1" applyBorder="1"/>
    <xf numFmtId="165" fontId="6" fillId="0" borderId="4" xfId="1" applyNumberFormat="1" applyFont="1" applyBorder="1"/>
    <xf numFmtId="43" fontId="0" fillId="0" borderId="3" xfId="1" applyFont="1" applyBorder="1"/>
    <xf numFmtId="43" fontId="0" fillId="0" borderId="4" xfId="1" applyFont="1" applyBorder="1"/>
    <xf numFmtId="43" fontId="0" fillId="0" borderId="2" xfId="1" applyFont="1" applyBorder="1"/>
    <xf numFmtId="164" fontId="0" fillId="0" borderId="0" xfId="1" applyNumberFormat="1" applyFont="1" applyBorder="1"/>
    <xf numFmtId="164" fontId="0" fillId="0" borderId="6" xfId="1" applyNumberFormat="1" applyFont="1" applyBorder="1"/>
    <xf numFmtId="164" fontId="0" fillId="0" borderId="5" xfId="1" applyNumberFormat="1" applyFont="1" applyBorder="1"/>
    <xf numFmtId="166" fontId="0" fillId="0" borderId="3" xfId="1" applyNumberFormat="1" applyFont="1" applyBorder="1"/>
    <xf numFmtId="166" fontId="0" fillId="0" borderId="0" xfId="1" applyNumberFormat="1" applyFont="1"/>
  </cellXfs>
  <cellStyles count="2">
    <cellStyle name="Komma" xfId="1" builtinId="3"/>
    <cellStyle name="Standard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outlinePr summaryBelow="0" summaryRight="0"/>
  </sheetPr>
  <dimension ref="A1:AA1582"/>
  <sheetViews>
    <sheetView workbookViewId="0">
      <pane ySplit="1" topLeftCell="A685" activePane="bottomLeft" state="frozen"/>
      <selection pane="bottomLeft" activeCell="J1593" sqref="J1593"/>
    </sheetView>
  </sheetViews>
  <sheetFormatPr baseColWidth="10" defaultColWidth="12.5703125" defaultRowHeight="15.75" customHeight="1" x14ac:dyDescent="0.2"/>
  <cols>
    <col min="1" max="1" width="8.28515625" customWidth="1"/>
    <col min="2" max="2" width="27.42578125" customWidth="1"/>
    <col min="3" max="3" width="14.42578125" customWidth="1"/>
    <col min="4" max="4" width="7.28515625" hidden="1" customWidth="1"/>
    <col min="5" max="5" width="18.42578125" customWidth="1"/>
    <col min="6" max="6" width="8.85546875" customWidth="1"/>
    <col min="10" max="11" width="12.85546875" customWidth="1"/>
    <col min="14" max="14" width="12.42578125" customWidth="1"/>
    <col min="27" max="27" width="12.5703125" customWidth="1"/>
  </cols>
  <sheetData>
    <row r="1" spans="1:27" ht="12.7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8833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2.75" x14ac:dyDescent="0.2">
      <c r="A2" s="4" t="s">
        <v>14</v>
      </c>
      <c r="B2" s="5" t="s">
        <v>15</v>
      </c>
      <c r="C2" s="4">
        <v>1</v>
      </c>
      <c r="D2" s="6" t="e">
        <f t="shared" ref="D2:D256" si="0">CONCATENATE(A2:C2)</f>
        <v>#VALUE!</v>
      </c>
      <c r="E2" s="6" t="s">
        <v>16</v>
      </c>
      <c r="F2" s="7">
        <v>10</v>
      </c>
      <c r="G2" s="6" t="s">
        <v>17</v>
      </c>
      <c r="H2" s="8">
        <v>48</v>
      </c>
      <c r="I2" s="9">
        <v>52</v>
      </c>
      <c r="J2" s="10">
        <v>104</v>
      </c>
      <c r="K2" s="9">
        <v>77</v>
      </c>
      <c r="L2" s="9">
        <v>47</v>
      </c>
      <c r="M2" s="9" t="s">
        <v>18</v>
      </c>
      <c r="N2" s="9" t="s">
        <v>19</v>
      </c>
      <c r="O2" s="6">
        <f>M2/K2</f>
        <v>22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2.75" x14ac:dyDescent="0.2">
      <c r="A3" s="4" t="s">
        <v>14</v>
      </c>
      <c r="B3" s="5" t="s">
        <v>15</v>
      </c>
      <c r="C3" s="4">
        <v>2</v>
      </c>
      <c r="D3" s="6" t="e">
        <f t="shared" si="0"/>
        <v>#VALUE!</v>
      </c>
      <c r="E3" s="6" t="s">
        <v>20</v>
      </c>
      <c r="F3" s="7">
        <v>12</v>
      </c>
      <c r="G3" s="6" t="s">
        <v>21</v>
      </c>
      <c r="H3" s="11">
        <v>120</v>
      </c>
      <c r="I3" s="9">
        <v>68</v>
      </c>
      <c r="J3" s="9">
        <v>59</v>
      </c>
      <c r="K3" s="9">
        <v>101</v>
      </c>
      <c r="L3" s="9">
        <v>51</v>
      </c>
      <c r="M3" s="9" t="s">
        <v>22</v>
      </c>
      <c r="N3" s="9" t="s">
        <v>23</v>
      </c>
      <c r="O3" s="6">
        <f t="shared" ref="O3:O66" si="1">M3/K3</f>
        <v>65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2.75" x14ac:dyDescent="0.2">
      <c r="A4" s="4" t="s">
        <v>14</v>
      </c>
      <c r="B4" s="5" t="s">
        <v>15</v>
      </c>
      <c r="C4" s="4">
        <v>3</v>
      </c>
      <c r="D4" s="6" t="e">
        <f t="shared" si="0"/>
        <v>#VALUE!</v>
      </c>
      <c r="E4" s="6" t="s">
        <v>24</v>
      </c>
      <c r="F4" s="7">
        <v>14</v>
      </c>
      <c r="G4" s="6" t="s">
        <v>21</v>
      </c>
      <c r="H4" s="11">
        <v>149</v>
      </c>
      <c r="I4" s="9">
        <v>78</v>
      </c>
      <c r="J4" s="9">
        <v>69</v>
      </c>
      <c r="K4" s="9">
        <v>124</v>
      </c>
      <c r="L4" s="9">
        <v>65</v>
      </c>
      <c r="M4" s="9" t="s">
        <v>25</v>
      </c>
      <c r="N4" s="9" t="s">
        <v>26</v>
      </c>
      <c r="O4" s="6">
        <f t="shared" si="1"/>
        <v>75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2.75" x14ac:dyDescent="0.2">
      <c r="A5" s="4" t="s">
        <v>14</v>
      </c>
      <c r="B5" s="5" t="s">
        <v>15</v>
      </c>
      <c r="C5" s="4">
        <v>4</v>
      </c>
      <c r="D5" s="6" t="e">
        <f t="shared" si="0"/>
        <v>#VALUE!</v>
      </c>
      <c r="E5" s="6" t="s">
        <v>27</v>
      </c>
      <c r="F5" s="7">
        <v>16</v>
      </c>
      <c r="G5" s="6" t="s">
        <v>28</v>
      </c>
      <c r="H5" s="8">
        <v>84</v>
      </c>
      <c r="I5" s="10">
        <v>195</v>
      </c>
      <c r="J5" s="9">
        <v>83</v>
      </c>
      <c r="K5" s="9">
        <v>131</v>
      </c>
      <c r="L5" s="9">
        <v>94</v>
      </c>
      <c r="M5" s="9" t="s">
        <v>29</v>
      </c>
      <c r="N5" s="9" t="s">
        <v>30</v>
      </c>
      <c r="O5" s="6">
        <f t="shared" si="1"/>
        <v>68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2.75" x14ac:dyDescent="0.2">
      <c r="A6" s="4" t="s">
        <v>14</v>
      </c>
      <c r="B6" s="5" t="s">
        <v>15</v>
      </c>
      <c r="C6" s="4">
        <v>5</v>
      </c>
      <c r="D6" s="6" t="e">
        <f t="shared" si="0"/>
        <v>#VALUE!</v>
      </c>
      <c r="E6" s="6" t="s">
        <v>31</v>
      </c>
      <c r="F6" s="7">
        <v>18</v>
      </c>
      <c r="G6" s="6" t="s">
        <v>21</v>
      </c>
      <c r="H6" s="11">
        <v>214</v>
      </c>
      <c r="I6" s="9">
        <v>135</v>
      </c>
      <c r="J6" s="9">
        <v>122</v>
      </c>
      <c r="K6" s="9">
        <v>260</v>
      </c>
      <c r="L6" s="9">
        <v>142</v>
      </c>
      <c r="M6" s="9" t="s">
        <v>32</v>
      </c>
      <c r="N6" s="9" t="s">
        <v>33</v>
      </c>
      <c r="O6" s="6">
        <f t="shared" si="1"/>
        <v>61.75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2.75" x14ac:dyDescent="0.2">
      <c r="A7" s="4" t="s">
        <v>14</v>
      </c>
      <c r="B7" s="5" t="s">
        <v>15</v>
      </c>
      <c r="C7" s="4">
        <v>6</v>
      </c>
      <c r="D7" s="6" t="e">
        <f t="shared" si="0"/>
        <v>#VALUE!</v>
      </c>
      <c r="E7" s="6" t="s">
        <v>34</v>
      </c>
      <c r="F7" s="7">
        <v>22</v>
      </c>
      <c r="G7" s="6" t="s">
        <v>17</v>
      </c>
      <c r="H7" s="8">
        <v>97</v>
      </c>
      <c r="I7" s="9">
        <v>99</v>
      </c>
      <c r="J7" s="10">
        <v>303</v>
      </c>
      <c r="K7" s="9">
        <v>198</v>
      </c>
      <c r="L7" s="9">
        <v>137</v>
      </c>
      <c r="M7" s="9" t="s">
        <v>35</v>
      </c>
      <c r="N7" s="9" t="s">
        <v>36</v>
      </c>
      <c r="O7" s="6">
        <f t="shared" si="1"/>
        <v>46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2.75" x14ac:dyDescent="0.2">
      <c r="A8" s="4" t="s">
        <v>14</v>
      </c>
      <c r="B8" s="5" t="s">
        <v>15</v>
      </c>
      <c r="C8" s="4">
        <v>7</v>
      </c>
      <c r="D8" s="6" t="e">
        <f t="shared" si="0"/>
        <v>#VALUE!</v>
      </c>
      <c r="E8" s="6" t="s">
        <v>37</v>
      </c>
      <c r="F8" s="7">
        <v>26</v>
      </c>
      <c r="G8" s="6" t="s">
        <v>21</v>
      </c>
      <c r="H8" s="11">
        <v>359</v>
      </c>
      <c r="I8" s="9">
        <v>135</v>
      </c>
      <c r="J8" s="9">
        <v>122</v>
      </c>
      <c r="K8" s="9">
        <v>260</v>
      </c>
      <c r="L8" s="9">
        <v>142</v>
      </c>
      <c r="M8" s="9" t="s">
        <v>38</v>
      </c>
      <c r="N8" s="9" t="s">
        <v>39</v>
      </c>
      <c r="O8" s="6">
        <f t="shared" si="1"/>
        <v>135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2.75" x14ac:dyDescent="0.2">
      <c r="A9" s="4" t="s">
        <v>14</v>
      </c>
      <c r="B9" s="5" t="s">
        <v>15</v>
      </c>
      <c r="C9" s="4">
        <v>8</v>
      </c>
      <c r="D9" s="6" t="e">
        <f t="shared" si="0"/>
        <v>#VALUE!</v>
      </c>
      <c r="E9" s="6" t="s">
        <v>40</v>
      </c>
      <c r="F9" s="7">
        <v>30</v>
      </c>
      <c r="G9" s="6" t="s">
        <v>17</v>
      </c>
      <c r="H9" s="8">
        <v>126</v>
      </c>
      <c r="I9" s="9">
        <v>130</v>
      </c>
      <c r="J9" s="10">
        <v>460</v>
      </c>
      <c r="K9" s="9">
        <v>279</v>
      </c>
      <c r="L9" s="9">
        <v>193</v>
      </c>
      <c r="M9" s="9" t="s">
        <v>41</v>
      </c>
      <c r="N9" s="9" t="s">
        <v>42</v>
      </c>
      <c r="O9" s="6">
        <f t="shared" si="1"/>
        <v>62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2.75" x14ac:dyDescent="0.2">
      <c r="A10" s="4" t="s">
        <v>14</v>
      </c>
      <c r="B10" s="5" t="s">
        <v>15</v>
      </c>
      <c r="C10" s="4">
        <v>9</v>
      </c>
      <c r="D10" s="6" t="e">
        <f t="shared" si="0"/>
        <v>#VALUE!</v>
      </c>
      <c r="E10" s="6" t="s">
        <v>43</v>
      </c>
      <c r="F10" s="7">
        <v>40</v>
      </c>
      <c r="G10" s="6" t="s">
        <v>21</v>
      </c>
      <c r="H10" s="11">
        <v>614</v>
      </c>
      <c r="I10" s="9">
        <v>207</v>
      </c>
      <c r="J10" s="9">
        <v>191</v>
      </c>
      <c r="K10" s="9">
        <v>445</v>
      </c>
      <c r="L10" s="9">
        <v>238</v>
      </c>
      <c r="M10" s="9" t="s">
        <v>44</v>
      </c>
      <c r="N10" s="9" t="s">
        <v>45</v>
      </c>
      <c r="O10" s="6">
        <f t="shared" si="1"/>
        <v>205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2.75" x14ac:dyDescent="0.2">
      <c r="A11" s="4" t="s">
        <v>14</v>
      </c>
      <c r="B11" s="5" t="s">
        <v>15</v>
      </c>
      <c r="C11" s="4">
        <v>10</v>
      </c>
      <c r="D11" s="6" t="e">
        <f t="shared" si="0"/>
        <v>#VALUE!</v>
      </c>
      <c r="E11" s="6" t="s">
        <v>46</v>
      </c>
      <c r="F11" s="7">
        <v>50</v>
      </c>
      <c r="G11" s="6" t="s">
        <v>28</v>
      </c>
      <c r="H11" s="8">
        <v>221</v>
      </c>
      <c r="I11" s="10">
        <v>847</v>
      </c>
      <c r="J11" s="9">
        <v>213</v>
      </c>
      <c r="K11" s="9">
        <v>561</v>
      </c>
      <c r="L11" s="9">
        <v>292</v>
      </c>
      <c r="M11" s="9" t="s">
        <v>47</v>
      </c>
      <c r="N11" s="9" t="s">
        <v>48</v>
      </c>
      <c r="O11" s="6">
        <f t="shared" si="1"/>
        <v>204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2.75" x14ac:dyDescent="0.2">
      <c r="A12" s="4" t="s">
        <v>14</v>
      </c>
      <c r="B12" s="5" t="s">
        <v>49</v>
      </c>
      <c r="C12" s="4">
        <v>1</v>
      </c>
      <c r="D12" s="6" t="e">
        <f t="shared" si="0"/>
        <v>#VALUE!</v>
      </c>
      <c r="E12" s="6" t="s">
        <v>50</v>
      </c>
      <c r="F12" s="7">
        <v>20</v>
      </c>
      <c r="G12" s="6" t="s">
        <v>28</v>
      </c>
      <c r="H12" s="8">
        <v>101</v>
      </c>
      <c r="I12" s="10">
        <v>264</v>
      </c>
      <c r="J12" s="9">
        <v>101</v>
      </c>
      <c r="K12" s="9">
        <v>174</v>
      </c>
      <c r="L12" s="9">
        <v>119</v>
      </c>
      <c r="M12" s="9" t="s">
        <v>51</v>
      </c>
      <c r="N12" s="9" t="s">
        <v>52</v>
      </c>
      <c r="O12" s="6">
        <f t="shared" si="1"/>
        <v>84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2.75" x14ac:dyDescent="0.2">
      <c r="A13" s="4" t="s">
        <v>14</v>
      </c>
      <c r="B13" s="5" t="s">
        <v>49</v>
      </c>
      <c r="C13" s="4">
        <v>2</v>
      </c>
      <c r="D13" s="6" t="e">
        <f t="shared" si="0"/>
        <v>#VALUE!</v>
      </c>
      <c r="E13" s="6" t="s">
        <v>53</v>
      </c>
      <c r="F13" s="7">
        <v>24</v>
      </c>
      <c r="G13" s="6" t="s">
        <v>21</v>
      </c>
      <c r="H13" s="11">
        <v>317</v>
      </c>
      <c r="I13" s="9">
        <v>126</v>
      </c>
      <c r="J13" s="9">
        <v>117</v>
      </c>
      <c r="K13" s="9">
        <v>238</v>
      </c>
      <c r="L13" s="9">
        <v>130</v>
      </c>
      <c r="M13" s="9" t="s">
        <v>54</v>
      </c>
      <c r="N13" s="9" t="s">
        <v>55</v>
      </c>
      <c r="O13" s="6">
        <f t="shared" si="1"/>
        <v>125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2.75" x14ac:dyDescent="0.2">
      <c r="A14" s="4" t="s">
        <v>14</v>
      </c>
      <c r="B14" s="5" t="s">
        <v>49</v>
      </c>
      <c r="C14" s="4">
        <v>3</v>
      </c>
      <c r="D14" s="6" t="e">
        <f t="shared" si="0"/>
        <v>#VALUE!</v>
      </c>
      <c r="E14" s="6" t="s">
        <v>20</v>
      </c>
      <c r="F14" s="7">
        <v>28</v>
      </c>
      <c r="G14" s="6" t="s">
        <v>21</v>
      </c>
      <c r="H14" s="11">
        <v>393</v>
      </c>
      <c r="I14" s="9">
        <v>138</v>
      </c>
      <c r="J14" s="9">
        <v>125</v>
      </c>
      <c r="K14" s="9">
        <v>284</v>
      </c>
      <c r="L14" s="9">
        <v>152</v>
      </c>
      <c r="M14" s="9" t="s">
        <v>56</v>
      </c>
      <c r="N14" s="9" t="s">
        <v>57</v>
      </c>
      <c r="O14" s="6">
        <f t="shared" si="1"/>
        <v>145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2.75" x14ac:dyDescent="0.2">
      <c r="A15" s="4" t="s">
        <v>14</v>
      </c>
      <c r="B15" s="5" t="s">
        <v>49</v>
      </c>
      <c r="C15" s="4">
        <v>4</v>
      </c>
      <c r="D15" s="6" t="e">
        <f t="shared" si="0"/>
        <v>#VALUE!</v>
      </c>
      <c r="E15" s="6" t="s">
        <v>58</v>
      </c>
      <c r="F15" s="7">
        <v>34</v>
      </c>
      <c r="G15" s="6" t="s">
        <v>28</v>
      </c>
      <c r="H15" s="8">
        <v>143</v>
      </c>
      <c r="I15" s="10">
        <v>554</v>
      </c>
      <c r="J15" s="9">
        <v>144</v>
      </c>
      <c r="K15" s="9">
        <v>303</v>
      </c>
      <c r="L15" s="9">
        <v>216</v>
      </c>
      <c r="M15" s="9" t="s">
        <v>59</v>
      </c>
      <c r="N15" s="9" t="s">
        <v>60</v>
      </c>
      <c r="O15" s="6">
        <f t="shared" si="1"/>
        <v>140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2.75" x14ac:dyDescent="0.2">
      <c r="A16" s="4" t="s">
        <v>14</v>
      </c>
      <c r="B16" s="5" t="s">
        <v>49</v>
      </c>
      <c r="C16" s="4">
        <v>5</v>
      </c>
      <c r="D16" s="6" t="e">
        <f t="shared" si="0"/>
        <v>#VALUE!</v>
      </c>
      <c r="E16" s="6" t="s">
        <v>61</v>
      </c>
      <c r="F16" s="7">
        <v>38</v>
      </c>
      <c r="G16" s="6" t="s">
        <v>21</v>
      </c>
      <c r="H16" s="11">
        <v>592</v>
      </c>
      <c r="I16" s="9">
        <v>178</v>
      </c>
      <c r="J16" s="9">
        <v>162</v>
      </c>
      <c r="K16" s="9">
        <v>398</v>
      </c>
      <c r="L16" s="9">
        <v>195</v>
      </c>
      <c r="M16" s="9" t="s">
        <v>62</v>
      </c>
      <c r="N16" s="9" t="s">
        <v>63</v>
      </c>
      <c r="O16" s="6">
        <f t="shared" si="1"/>
        <v>195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2.75" x14ac:dyDescent="0.2">
      <c r="A17" s="4" t="s">
        <v>14</v>
      </c>
      <c r="B17" s="5" t="s">
        <v>49</v>
      </c>
      <c r="C17" s="4">
        <v>6</v>
      </c>
      <c r="D17" s="6" t="e">
        <f t="shared" si="0"/>
        <v>#VALUE!</v>
      </c>
      <c r="E17" s="6" t="s">
        <v>64</v>
      </c>
      <c r="F17" s="7">
        <v>44</v>
      </c>
      <c r="G17" s="6" t="s">
        <v>17</v>
      </c>
      <c r="H17" s="8">
        <v>191</v>
      </c>
      <c r="I17" s="9">
        <v>190</v>
      </c>
      <c r="J17" s="10">
        <v>780</v>
      </c>
      <c r="K17" s="9">
        <v>411</v>
      </c>
      <c r="L17" s="9">
        <v>259</v>
      </c>
      <c r="M17" s="9" t="s">
        <v>65</v>
      </c>
      <c r="N17" s="9" t="s">
        <v>66</v>
      </c>
      <c r="O17" s="6">
        <f t="shared" si="1"/>
        <v>90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2.75" x14ac:dyDescent="0.2">
      <c r="A18" s="4" t="s">
        <v>14</v>
      </c>
      <c r="B18" s="5" t="s">
        <v>49</v>
      </c>
      <c r="C18" s="4">
        <v>7</v>
      </c>
      <c r="D18" s="6" t="e">
        <f t="shared" si="0"/>
        <v>#VALUE!</v>
      </c>
      <c r="E18" s="6" t="s">
        <v>67</v>
      </c>
      <c r="F18" s="7">
        <v>48</v>
      </c>
      <c r="G18" s="6" t="s">
        <v>21</v>
      </c>
      <c r="H18" s="11">
        <v>744</v>
      </c>
      <c r="I18" s="9">
        <v>243</v>
      </c>
      <c r="J18" s="9">
        <v>230</v>
      </c>
      <c r="K18" s="9">
        <v>563</v>
      </c>
      <c r="L18" s="9">
        <v>246</v>
      </c>
      <c r="M18" s="9" t="s">
        <v>68</v>
      </c>
      <c r="N18" s="9" t="s">
        <v>69</v>
      </c>
      <c r="O18" s="6">
        <f t="shared" si="1"/>
        <v>245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2.75" x14ac:dyDescent="0.2">
      <c r="A19" s="4" t="s">
        <v>14</v>
      </c>
      <c r="B19" s="5" t="s">
        <v>49</v>
      </c>
      <c r="C19" s="4">
        <v>8</v>
      </c>
      <c r="D19" s="6" t="e">
        <f t="shared" si="0"/>
        <v>#VALUE!</v>
      </c>
      <c r="E19" s="6" t="s">
        <v>70</v>
      </c>
      <c r="F19" s="7">
        <v>56</v>
      </c>
      <c r="G19" s="6" t="s">
        <v>28</v>
      </c>
      <c r="H19" s="8">
        <v>250</v>
      </c>
      <c r="I19" s="10">
        <v>960</v>
      </c>
      <c r="J19" s="9">
        <v>240</v>
      </c>
      <c r="K19" s="9">
        <v>680</v>
      </c>
      <c r="L19" s="9">
        <v>345</v>
      </c>
      <c r="M19" s="9" t="s">
        <v>71</v>
      </c>
      <c r="N19" s="9" t="s">
        <v>72</v>
      </c>
      <c r="O19" s="6">
        <f t="shared" si="1"/>
        <v>228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2.75" x14ac:dyDescent="0.2">
      <c r="A20" s="4" t="s">
        <v>14</v>
      </c>
      <c r="B20" s="5" t="s">
        <v>49</v>
      </c>
      <c r="C20" s="4">
        <v>9</v>
      </c>
      <c r="D20" s="6" t="e">
        <f t="shared" si="0"/>
        <v>#VALUE!</v>
      </c>
      <c r="E20" s="6" t="s">
        <v>73</v>
      </c>
      <c r="F20" s="7">
        <v>66</v>
      </c>
      <c r="G20" s="6" t="s">
        <v>28</v>
      </c>
      <c r="H20" s="8">
        <v>300</v>
      </c>
      <c r="I20" s="10" t="s">
        <v>74</v>
      </c>
      <c r="J20" s="9">
        <v>290</v>
      </c>
      <c r="K20" s="9">
        <v>880</v>
      </c>
      <c r="L20" s="9">
        <v>420</v>
      </c>
      <c r="M20" s="9" t="s">
        <v>75</v>
      </c>
      <c r="N20" s="9" t="s">
        <v>76</v>
      </c>
      <c r="O20" s="6">
        <f t="shared" si="1"/>
        <v>268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2.75" x14ac:dyDescent="0.2">
      <c r="A21" s="4" t="s">
        <v>14</v>
      </c>
      <c r="B21" s="5" t="s">
        <v>49</v>
      </c>
      <c r="C21" s="4">
        <v>10</v>
      </c>
      <c r="D21" s="6" t="e">
        <f t="shared" si="0"/>
        <v>#VALUE!</v>
      </c>
      <c r="E21" s="6" t="s">
        <v>77</v>
      </c>
      <c r="F21" s="7">
        <v>70</v>
      </c>
      <c r="G21" s="6" t="s">
        <v>21</v>
      </c>
      <c r="H21" s="11" t="s">
        <v>78</v>
      </c>
      <c r="I21" s="9">
        <v>385</v>
      </c>
      <c r="J21" s="9">
        <v>360</v>
      </c>
      <c r="K21" s="9">
        <v>960</v>
      </c>
      <c r="L21" s="9">
        <v>340</v>
      </c>
      <c r="M21" s="9" t="s">
        <v>79</v>
      </c>
      <c r="N21" s="9" t="s">
        <v>80</v>
      </c>
      <c r="O21" s="6">
        <f t="shared" si="1"/>
        <v>355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2.75" x14ac:dyDescent="0.2">
      <c r="A22" s="4" t="s">
        <v>14</v>
      </c>
      <c r="B22" s="5" t="s">
        <v>81</v>
      </c>
      <c r="C22" s="4">
        <v>1</v>
      </c>
      <c r="D22" s="6" t="e">
        <f t="shared" si="0"/>
        <v>#VALUE!</v>
      </c>
      <c r="E22" s="6" t="s">
        <v>82</v>
      </c>
      <c r="F22" s="7">
        <v>32</v>
      </c>
      <c r="G22" s="6" t="s">
        <v>28</v>
      </c>
      <c r="H22" s="8">
        <v>155</v>
      </c>
      <c r="I22" s="10">
        <v>486</v>
      </c>
      <c r="J22" s="9">
        <v>161</v>
      </c>
      <c r="K22" s="9">
        <v>276</v>
      </c>
      <c r="L22" s="9">
        <v>205</v>
      </c>
      <c r="M22" s="9" t="s">
        <v>83</v>
      </c>
      <c r="N22" s="9" t="s">
        <v>84</v>
      </c>
      <c r="O22" s="6">
        <f t="shared" si="1"/>
        <v>132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ht="12.75" x14ac:dyDescent="0.2">
      <c r="A23" s="4" t="s">
        <v>14</v>
      </c>
      <c r="B23" s="5" t="s">
        <v>81</v>
      </c>
      <c r="C23" s="4">
        <v>2</v>
      </c>
      <c r="D23" s="6" t="e">
        <f t="shared" si="0"/>
        <v>#VALUE!</v>
      </c>
      <c r="E23" s="6" t="s">
        <v>85</v>
      </c>
      <c r="F23" s="7">
        <v>36</v>
      </c>
      <c r="G23" s="6" t="s">
        <v>28</v>
      </c>
      <c r="H23" s="8">
        <v>141</v>
      </c>
      <c r="I23" s="10">
        <v>602</v>
      </c>
      <c r="J23" s="9">
        <v>149</v>
      </c>
      <c r="K23" s="9">
        <v>344</v>
      </c>
      <c r="L23" s="9">
        <v>230</v>
      </c>
      <c r="M23" s="9" t="s">
        <v>86</v>
      </c>
      <c r="N23" s="9" t="s">
        <v>87</v>
      </c>
      <c r="O23" s="6">
        <f t="shared" si="1"/>
        <v>148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2.75" x14ac:dyDescent="0.2">
      <c r="A24" s="4" t="s">
        <v>14</v>
      </c>
      <c r="B24" s="5" t="s">
        <v>81</v>
      </c>
      <c r="C24" s="4">
        <v>3</v>
      </c>
      <c r="D24" s="6" t="e">
        <f t="shared" si="0"/>
        <v>#VALUE!</v>
      </c>
      <c r="E24" s="6" t="s">
        <v>88</v>
      </c>
      <c r="F24" s="7">
        <v>42</v>
      </c>
      <c r="G24" s="6" t="s">
        <v>28</v>
      </c>
      <c r="H24" s="8">
        <v>205</v>
      </c>
      <c r="I24" s="10">
        <v>726</v>
      </c>
      <c r="J24" s="9">
        <v>224</v>
      </c>
      <c r="K24" s="9">
        <v>403</v>
      </c>
      <c r="L24" s="9">
        <v>247</v>
      </c>
      <c r="M24" s="9" t="s">
        <v>89</v>
      </c>
      <c r="N24" s="9" t="s">
        <v>90</v>
      </c>
      <c r="O24" s="6">
        <f t="shared" si="1"/>
        <v>172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2.75" x14ac:dyDescent="0.2">
      <c r="A25" s="4" t="s">
        <v>14</v>
      </c>
      <c r="B25" s="5" t="s">
        <v>81</v>
      </c>
      <c r="C25" s="4">
        <v>4</v>
      </c>
      <c r="D25" s="6" t="e">
        <f t="shared" si="0"/>
        <v>#VALUE!</v>
      </c>
      <c r="E25" s="6" t="s">
        <v>91</v>
      </c>
      <c r="F25" s="7">
        <v>46</v>
      </c>
      <c r="G25" s="6" t="s">
        <v>21</v>
      </c>
      <c r="H25" s="11">
        <v>768</v>
      </c>
      <c r="I25" s="9">
        <v>215</v>
      </c>
      <c r="J25" s="9">
        <v>183</v>
      </c>
      <c r="K25" s="9">
        <v>539</v>
      </c>
      <c r="L25" s="9">
        <v>249</v>
      </c>
      <c r="M25" s="9" t="s">
        <v>92</v>
      </c>
      <c r="N25" s="9" t="s">
        <v>93</v>
      </c>
      <c r="O25" s="6">
        <f t="shared" si="1"/>
        <v>235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2.75" x14ac:dyDescent="0.2">
      <c r="A26" s="4" t="s">
        <v>14</v>
      </c>
      <c r="B26" s="5" t="s">
        <v>81</v>
      </c>
      <c r="C26" s="4">
        <v>5</v>
      </c>
      <c r="D26" s="6" t="e">
        <f t="shared" si="0"/>
        <v>#VALUE!</v>
      </c>
      <c r="E26" s="6" t="s">
        <v>94</v>
      </c>
      <c r="F26" s="7">
        <v>54</v>
      </c>
      <c r="G26" s="6" t="s">
        <v>21</v>
      </c>
      <c r="H26" s="11">
        <v>920</v>
      </c>
      <c r="I26" s="9">
        <v>265</v>
      </c>
      <c r="J26" s="9">
        <v>240</v>
      </c>
      <c r="K26" s="9">
        <v>640</v>
      </c>
      <c r="L26" s="9">
        <v>260</v>
      </c>
      <c r="M26" s="9" t="s">
        <v>95</v>
      </c>
      <c r="N26" s="9" t="s">
        <v>96</v>
      </c>
      <c r="O26" s="6">
        <f t="shared" si="1"/>
        <v>275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2.75" x14ac:dyDescent="0.2">
      <c r="A27" s="4" t="s">
        <v>14</v>
      </c>
      <c r="B27" s="5" t="s">
        <v>81</v>
      </c>
      <c r="C27" s="4">
        <v>6</v>
      </c>
      <c r="D27" s="6" t="e">
        <f t="shared" si="0"/>
        <v>#VALUE!</v>
      </c>
      <c r="E27" s="6" t="s">
        <v>97</v>
      </c>
      <c r="F27" s="7">
        <v>60</v>
      </c>
      <c r="G27" s="6" t="s">
        <v>28</v>
      </c>
      <c r="H27" s="8">
        <v>270</v>
      </c>
      <c r="I27" s="10" t="s">
        <v>98</v>
      </c>
      <c r="J27" s="9">
        <v>260</v>
      </c>
      <c r="K27" s="9">
        <v>760</v>
      </c>
      <c r="L27" s="9">
        <v>375</v>
      </c>
      <c r="M27" s="9" t="s">
        <v>99</v>
      </c>
      <c r="N27" s="9" t="s">
        <v>100</v>
      </c>
      <c r="O27" s="6">
        <f t="shared" si="1"/>
        <v>243.94736842105263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2.75" x14ac:dyDescent="0.2">
      <c r="A28" s="4" t="s">
        <v>14</v>
      </c>
      <c r="B28" s="5" t="s">
        <v>81</v>
      </c>
      <c r="C28" s="4">
        <v>7</v>
      </c>
      <c r="D28" s="6" t="e">
        <f t="shared" si="0"/>
        <v>#VALUE!</v>
      </c>
      <c r="E28" s="6" t="s">
        <v>101</v>
      </c>
      <c r="F28" s="7">
        <v>64</v>
      </c>
      <c r="G28" s="6" t="s">
        <v>21</v>
      </c>
      <c r="H28" s="11" t="s">
        <v>102</v>
      </c>
      <c r="I28" s="9">
        <v>340</v>
      </c>
      <c r="J28" s="9">
        <v>315</v>
      </c>
      <c r="K28" s="9">
        <v>840</v>
      </c>
      <c r="L28" s="9">
        <v>310</v>
      </c>
      <c r="M28" s="9" t="s">
        <v>103</v>
      </c>
      <c r="N28" s="9" t="s">
        <v>104</v>
      </c>
      <c r="O28" s="6">
        <f t="shared" si="1"/>
        <v>325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2.75" x14ac:dyDescent="0.2">
      <c r="A29" s="4" t="s">
        <v>14</v>
      </c>
      <c r="B29" s="5" t="s">
        <v>81</v>
      </c>
      <c r="C29" s="4">
        <v>8</v>
      </c>
      <c r="D29" s="6" t="e">
        <f t="shared" si="0"/>
        <v>#VALUE!</v>
      </c>
      <c r="E29" s="6" t="s">
        <v>105</v>
      </c>
      <c r="F29" s="7">
        <v>76</v>
      </c>
      <c r="G29" s="6" t="s">
        <v>28</v>
      </c>
      <c r="H29" s="8">
        <v>350</v>
      </c>
      <c r="I29" s="10" t="s">
        <v>106</v>
      </c>
      <c r="J29" s="9">
        <v>340</v>
      </c>
      <c r="K29" s="9" t="s">
        <v>107</v>
      </c>
      <c r="L29" s="9">
        <v>495</v>
      </c>
      <c r="M29" s="9" t="s">
        <v>108</v>
      </c>
      <c r="N29" s="9" t="s">
        <v>109</v>
      </c>
      <c r="O29" s="6">
        <f t="shared" si="1"/>
        <v>308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2.75" x14ac:dyDescent="0.2">
      <c r="A30" s="4" t="s">
        <v>14</v>
      </c>
      <c r="B30" s="5" t="s">
        <v>81</v>
      </c>
      <c r="C30" s="4">
        <v>9</v>
      </c>
      <c r="D30" s="6" t="e">
        <f t="shared" si="0"/>
        <v>#VALUE!</v>
      </c>
      <c r="E30" s="6" t="s">
        <v>110</v>
      </c>
      <c r="F30" s="7">
        <v>86</v>
      </c>
      <c r="G30" s="6" t="s">
        <v>21</v>
      </c>
      <c r="H30" s="11" t="s">
        <v>111</v>
      </c>
      <c r="I30" s="9">
        <v>505</v>
      </c>
      <c r="J30" s="9">
        <v>480</v>
      </c>
      <c r="K30" s="9" t="s">
        <v>112</v>
      </c>
      <c r="L30" s="9">
        <v>420</v>
      </c>
      <c r="M30" s="9" t="s">
        <v>113</v>
      </c>
      <c r="N30" s="9" t="s">
        <v>114</v>
      </c>
      <c r="O30" s="6">
        <f t="shared" si="1"/>
        <v>435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2.75" x14ac:dyDescent="0.2">
      <c r="A31" s="4" t="s">
        <v>14</v>
      </c>
      <c r="B31" s="5" t="s">
        <v>81</v>
      </c>
      <c r="C31" s="4">
        <v>10</v>
      </c>
      <c r="D31" s="6" t="e">
        <f t="shared" si="0"/>
        <v>#VALUE!</v>
      </c>
      <c r="E31" s="6" t="s">
        <v>115</v>
      </c>
      <c r="F31" s="7">
        <v>90</v>
      </c>
      <c r="G31" s="6" t="s">
        <v>21</v>
      </c>
      <c r="H31" s="11" t="s">
        <v>116</v>
      </c>
      <c r="I31" s="9">
        <v>535</v>
      </c>
      <c r="J31" s="9">
        <v>510</v>
      </c>
      <c r="K31" s="9" t="s">
        <v>106</v>
      </c>
      <c r="L31" s="9">
        <v>440</v>
      </c>
      <c r="M31" s="9" t="s">
        <v>117</v>
      </c>
      <c r="N31" s="9" t="s">
        <v>118</v>
      </c>
      <c r="O31" s="6">
        <f t="shared" si="1"/>
        <v>455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2.75" x14ac:dyDescent="0.2">
      <c r="A32" s="4" t="s">
        <v>14</v>
      </c>
      <c r="B32" s="5" t="s">
        <v>119</v>
      </c>
      <c r="C32" s="4">
        <v>1</v>
      </c>
      <c r="D32" s="6" t="e">
        <f t="shared" si="0"/>
        <v>#VALUE!</v>
      </c>
      <c r="E32" s="6" t="s">
        <v>120</v>
      </c>
      <c r="F32" s="7">
        <v>52</v>
      </c>
      <c r="G32" s="6" t="s">
        <v>28</v>
      </c>
      <c r="H32" s="8">
        <v>230</v>
      </c>
      <c r="I32" s="10">
        <v>880</v>
      </c>
      <c r="J32" s="9">
        <v>220</v>
      </c>
      <c r="K32" s="9">
        <v>601</v>
      </c>
      <c r="L32" s="9">
        <v>315</v>
      </c>
      <c r="M32" s="9" t="s">
        <v>121</v>
      </c>
      <c r="N32" s="9" t="s">
        <v>122</v>
      </c>
      <c r="O32" s="6">
        <f t="shared" si="1"/>
        <v>212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ht="12.75" x14ac:dyDescent="0.2">
      <c r="A33" s="4" t="s">
        <v>14</v>
      </c>
      <c r="B33" s="5" t="s">
        <v>119</v>
      </c>
      <c r="C33" s="4">
        <v>2</v>
      </c>
      <c r="D33" s="6" t="e">
        <f t="shared" si="0"/>
        <v>#VALUE!</v>
      </c>
      <c r="E33" s="6" t="s">
        <v>123</v>
      </c>
      <c r="F33" s="7">
        <v>58</v>
      </c>
      <c r="G33" s="6" t="s">
        <v>28</v>
      </c>
      <c r="H33" s="8">
        <v>260</v>
      </c>
      <c r="I33" s="10" t="s">
        <v>124</v>
      </c>
      <c r="J33" s="9">
        <v>250</v>
      </c>
      <c r="K33" s="9">
        <v>720</v>
      </c>
      <c r="L33" s="9">
        <v>360</v>
      </c>
      <c r="M33" s="9" t="s">
        <v>125</v>
      </c>
      <c r="N33" s="9" t="s">
        <v>126</v>
      </c>
      <c r="O33" s="6">
        <f t="shared" si="1"/>
        <v>236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2.75" x14ac:dyDescent="0.2">
      <c r="A34" s="4" t="s">
        <v>14</v>
      </c>
      <c r="B34" s="5" t="s">
        <v>119</v>
      </c>
      <c r="C34" s="4">
        <v>3</v>
      </c>
      <c r="D34" s="6" t="e">
        <f t="shared" si="0"/>
        <v>#VALUE!</v>
      </c>
      <c r="E34" s="6" t="s">
        <v>91</v>
      </c>
      <c r="F34" s="7">
        <v>62</v>
      </c>
      <c r="G34" s="6" t="s">
        <v>21</v>
      </c>
      <c r="H34" s="11" t="s">
        <v>107</v>
      </c>
      <c r="I34" s="9">
        <v>325</v>
      </c>
      <c r="J34" s="9">
        <v>300</v>
      </c>
      <c r="K34" s="9">
        <v>800</v>
      </c>
      <c r="L34" s="9">
        <v>300</v>
      </c>
      <c r="M34" s="9" t="s">
        <v>127</v>
      </c>
      <c r="N34" s="9" t="s">
        <v>128</v>
      </c>
      <c r="O34" s="6">
        <f t="shared" si="1"/>
        <v>315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2.75" x14ac:dyDescent="0.2">
      <c r="A35" s="4" t="s">
        <v>14</v>
      </c>
      <c r="B35" s="5" t="s">
        <v>119</v>
      </c>
      <c r="C35" s="4">
        <v>4</v>
      </c>
      <c r="D35" s="6" t="e">
        <f t="shared" si="0"/>
        <v>#VALUE!</v>
      </c>
      <c r="E35" s="6" t="s">
        <v>129</v>
      </c>
      <c r="F35" s="7">
        <v>68</v>
      </c>
      <c r="G35" s="6" t="s">
        <v>21</v>
      </c>
      <c r="H35" s="11" t="s">
        <v>130</v>
      </c>
      <c r="I35" s="9">
        <v>370</v>
      </c>
      <c r="J35" s="9">
        <v>345</v>
      </c>
      <c r="K35" s="9">
        <v>920</v>
      </c>
      <c r="L35" s="9">
        <v>330</v>
      </c>
      <c r="M35" s="9" t="s">
        <v>131</v>
      </c>
      <c r="N35" s="9" t="s">
        <v>132</v>
      </c>
      <c r="O35" s="6">
        <f t="shared" si="1"/>
        <v>345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x14ac:dyDescent="0.2">
      <c r="A36" s="4" t="s">
        <v>14</v>
      </c>
      <c r="B36" s="5" t="s">
        <v>119</v>
      </c>
      <c r="C36" s="4">
        <v>5</v>
      </c>
      <c r="D36" s="6" t="e">
        <f t="shared" si="0"/>
        <v>#VALUE!</v>
      </c>
      <c r="E36" s="6" t="s">
        <v>133</v>
      </c>
      <c r="F36" s="7">
        <v>74</v>
      </c>
      <c r="G36" s="6" t="s">
        <v>21</v>
      </c>
      <c r="H36" s="11" t="s">
        <v>134</v>
      </c>
      <c r="I36" s="9">
        <v>415</v>
      </c>
      <c r="J36" s="9">
        <v>390</v>
      </c>
      <c r="K36" s="9" t="s">
        <v>98</v>
      </c>
      <c r="L36" s="9">
        <v>360</v>
      </c>
      <c r="M36" s="9" t="s">
        <v>135</v>
      </c>
      <c r="N36" s="9" t="s">
        <v>132</v>
      </c>
      <c r="O36" s="6">
        <f t="shared" si="1"/>
        <v>375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x14ac:dyDescent="0.2">
      <c r="A37" s="4" t="s">
        <v>14</v>
      </c>
      <c r="B37" s="5" t="s">
        <v>119</v>
      </c>
      <c r="C37" s="4">
        <v>6</v>
      </c>
      <c r="D37" s="6" t="e">
        <f t="shared" si="0"/>
        <v>#VALUE!</v>
      </c>
      <c r="E37" s="6" t="s">
        <v>136</v>
      </c>
      <c r="F37" s="7">
        <v>82</v>
      </c>
      <c r="G37" s="6" t="s">
        <v>28</v>
      </c>
      <c r="H37" s="8">
        <v>380</v>
      </c>
      <c r="I37" s="10" t="s">
        <v>137</v>
      </c>
      <c r="J37" s="9">
        <v>370</v>
      </c>
      <c r="K37" s="9" t="s">
        <v>130</v>
      </c>
      <c r="L37" s="9">
        <v>540</v>
      </c>
      <c r="M37" s="9" t="s">
        <v>138</v>
      </c>
      <c r="N37" s="9" t="s">
        <v>139</v>
      </c>
      <c r="O37" s="6">
        <f t="shared" si="1"/>
        <v>332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x14ac:dyDescent="0.2">
      <c r="A38" s="4" t="s">
        <v>14</v>
      </c>
      <c r="B38" s="5" t="s">
        <v>119</v>
      </c>
      <c r="C38" s="4">
        <v>7</v>
      </c>
      <c r="D38" s="6" t="e">
        <f t="shared" si="0"/>
        <v>#VALUE!</v>
      </c>
      <c r="E38" s="6" t="s">
        <v>140</v>
      </c>
      <c r="F38" s="7">
        <v>84</v>
      </c>
      <c r="G38" s="6" t="s">
        <v>21</v>
      </c>
      <c r="H38" s="11" t="s">
        <v>141</v>
      </c>
      <c r="I38" s="9">
        <v>490</v>
      </c>
      <c r="J38" s="9">
        <v>465</v>
      </c>
      <c r="K38" s="9" t="s">
        <v>78</v>
      </c>
      <c r="L38" s="9">
        <v>410</v>
      </c>
      <c r="M38" s="9" t="s">
        <v>142</v>
      </c>
      <c r="N38" s="9" t="s">
        <v>143</v>
      </c>
      <c r="O38" s="6">
        <f t="shared" si="1"/>
        <v>425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x14ac:dyDescent="0.2">
      <c r="A39" s="4" t="s">
        <v>14</v>
      </c>
      <c r="B39" s="5" t="s">
        <v>119</v>
      </c>
      <c r="C39" s="4">
        <v>8</v>
      </c>
      <c r="D39" s="6" t="e">
        <f t="shared" si="0"/>
        <v>#VALUE!</v>
      </c>
      <c r="E39" s="6" t="s">
        <v>144</v>
      </c>
      <c r="F39" s="7">
        <v>96</v>
      </c>
      <c r="G39" s="6" t="s">
        <v>21</v>
      </c>
      <c r="H39" s="11" t="s">
        <v>145</v>
      </c>
      <c r="I39" s="9">
        <v>580</v>
      </c>
      <c r="J39" s="9">
        <v>555</v>
      </c>
      <c r="K39" s="9" t="s">
        <v>137</v>
      </c>
      <c r="L39" s="9">
        <v>470</v>
      </c>
      <c r="M39" s="9" t="s">
        <v>146</v>
      </c>
      <c r="N39" s="9" t="s">
        <v>147</v>
      </c>
      <c r="O39" s="6">
        <f t="shared" si="1"/>
        <v>485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x14ac:dyDescent="0.2">
      <c r="A40" s="4" t="s">
        <v>14</v>
      </c>
      <c r="B40" s="5" t="s">
        <v>119</v>
      </c>
      <c r="C40" s="4">
        <v>9</v>
      </c>
      <c r="D40" s="6" t="e">
        <f t="shared" si="0"/>
        <v>#VALUE!</v>
      </c>
      <c r="E40" s="6" t="s">
        <v>148</v>
      </c>
      <c r="F40" s="7">
        <v>102</v>
      </c>
      <c r="G40" s="6" t="s">
        <v>28</v>
      </c>
      <c r="H40" s="8">
        <v>480</v>
      </c>
      <c r="I40" s="10" t="s">
        <v>149</v>
      </c>
      <c r="J40" s="9">
        <v>470</v>
      </c>
      <c r="K40" s="9" t="s">
        <v>150</v>
      </c>
      <c r="L40" s="9">
        <v>690</v>
      </c>
      <c r="M40" s="9" t="s">
        <v>151</v>
      </c>
      <c r="N40" s="9" t="s">
        <v>152</v>
      </c>
      <c r="O40" s="6">
        <f t="shared" si="1"/>
        <v>412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x14ac:dyDescent="0.2">
      <c r="A41" s="4" t="s">
        <v>14</v>
      </c>
      <c r="B41" s="5" t="s">
        <v>119</v>
      </c>
      <c r="C41" s="4">
        <v>10</v>
      </c>
      <c r="D41" s="6" t="e">
        <f t="shared" si="0"/>
        <v>#VALUE!</v>
      </c>
      <c r="E41" s="6" t="s">
        <v>153</v>
      </c>
      <c r="F41" s="7">
        <v>110</v>
      </c>
      <c r="G41" s="6" t="s">
        <v>28</v>
      </c>
      <c r="H41" s="8">
        <v>520</v>
      </c>
      <c r="I41" s="10" t="s">
        <v>154</v>
      </c>
      <c r="J41" s="9">
        <v>510</v>
      </c>
      <c r="K41" s="9" t="s">
        <v>145</v>
      </c>
      <c r="L41" s="9">
        <v>750</v>
      </c>
      <c r="M41" s="9" t="s">
        <v>155</v>
      </c>
      <c r="N41" s="9" t="s">
        <v>156</v>
      </c>
      <c r="O41" s="6">
        <f t="shared" si="1"/>
        <v>444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x14ac:dyDescent="0.2">
      <c r="A42" s="4" t="s">
        <v>14</v>
      </c>
      <c r="B42" s="5" t="s">
        <v>157</v>
      </c>
      <c r="C42" s="4">
        <v>1</v>
      </c>
      <c r="D42" s="6" t="e">
        <f t="shared" si="0"/>
        <v>#VALUE!</v>
      </c>
      <c r="E42" s="6" t="s">
        <v>158</v>
      </c>
      <c r="F42" s="7">
        <v>72</v>
      </c>
      <c r="G42" s="6" t="s">
        <v>28</v>
      </c>
      <c r="H42" s="8">
        <v>330</v>
      </c>
      <c r="I42" s="10" t="s">
        <v>112</v>
      </c>
      <c r="J42" s="9">
        <v>320</v>
      </c>
      <c r="K42" s="9" t="s">
        <v>124</v>
      </c>
      <c r="L42" s="9">
        <v>465</v>
      </c>
      <c r="M42" s="9" t="s">
        <v>159</v>
      </c>
      <c r="N42" s="9" t="s">
        <v>160</v>
      </c>
      <c r="O42" s="6">
        <f t="shared" si="1"/>
        <v>292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x14ac:dyDescent="0.2">
      <c r="A43" s="4" t="s">
        <v>14</v>
      </c>
      <c r="B43" s="5" t="s">
        <v>157</v>
      </c>
      <c r="C43" s="4">
        <v>2</v>
      </c>
      <c r="D43" s="6" t="e">
        <f t="shared" si="0"/>
        <v>#VALUE!</v>
      </c>
      <c r="E43" s="6" t="s">
        <v>161</v>
      </c>
      <c r="F43" s="7">
        <v>78</v>
      </c>
      <c r="G43" s="6" t="s">
        <v>28</v>
      </c>
      <c r="H43" s="8">
        <v>360</v>
      </c>
      <c r="I43" s="10" t="s">
        <v>162</v>
      </c>
      <c r="J43" s="9">
        <v>350</v>
      </c>
      <c r="K43" s="9" t="s">
        <v>102</v>
      </c>
      <c r="L43" s="9">
        <v>510</v>
      </c>
      <c r="M43" s="9" t="s">
        <v>163</v>
      </c>
      <c r="N43" s="9" t="s">
        <v>164</v>
      </c>
      <c r="O43" s="6">
        <f t="shared" si="1"/>
        <v>316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x14ac:dyDescent="0.2">
      <c r="A44" s="4" t="s">
        <v>14</v>
      </c>
      <c r="B44" s="5" t="s">
        <v>157</v>
      </c>
      <c r="C44" s="4">
        <v>3</v>
      </c>
      <c r="D44" s="6" t="e">
        <f t="shared" si="0"/>
        <v>#VALUE!</v>
      </c>
      <c r="E44" s="6" t="s">
        <v>165</v>
      </c>
      <c r="F44" s="7">
        <v>80</v>
      </c>
      <c r="G44" s="6" t="s">
        <v>28</v>
      </c>
      <c r="H44" s="8">
        <v>370</v>
      </c>
      <c r="I44" s="10" t="s">
        <v>166</v>
      </c>
      <c r="J44" s="9">
        <v>360</v>
      </c>
      <c r="K44" s="9" t="s">
        <v>74</v>
      </c>
      <c r="L44" s="9">
        <v>525</v>
      </c>
      <c r="M44" s="9" t="s">
        <v>167</v>
      </c>
      <c r="N44" s="9" t="s">
        <v>168</v>
      </c>
      <c r="O44" s="6">
        <f t="shared" si="1"/>
        <v>324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x14ac:dyDescent="0.2">
      <c r="A45" s="4" t="s">
        <v>14</v>
      </c>
      <c r="B45" s="5" t="s">
        <v>157</v>
      </c>
      <c r="C45" s="4">
        <v>4</v>
      </c>
      <c r="D45" s="6" t="e">
        <f t="shared" si="0"/>
        <v>#VALUE!</v>
      </c>
      <c r="E45" s="6" t="s">
        <v>169</v>
      </c>
      <c r="F45" s="7">
        <v>88</v>
      </c>
      <c r="G45" s="6" t="s">
        <v>28</v>
      </c>
      <c r="H45" s="8">
        <v>410</v>
      </c>
      <c r="I45" s="10" t="s">
        <v>150</v>
      </c>
      <c r="J45" s="9">
        <v>400</v>
      </c>
      <c r="K45" s="9" t="s">
        <v>134</v>
      </c>
      <c r="L45" s="9">
        <v>585</v>
      </c>
      <c r="M45" s="9" t="s">
        <v>170</v>
      </c>
      <c r="N45" s="9" t="s">
        <v>171</v>
      </c>
      <c r="O45" s="6">
        <f t="shared" si="1"/>
        <v>356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x14ac:dyDescent="0.2">
      <c r="A46" s="4" t="s">
        <v>14</v>
      </c>
      <c r="B46" s="5" t="s">
        <v>157</v>
      </c>
      <c r="C46" s="4">
        <v>5</v>
      </c>
      <c r="D46" s="6" t="e">
        <f t="shared" si="0"/>
        <v>#VALUE!</v>
      </c>
      <c r="E46" s="6" t="s">
        <v>172</v>
      </c>
      <c r="F46" s="7">
        <v>94</v>
      </c>
      <c r="G46" s="6" t="s">
        <v>21</v>
      </c>
      <c r="H46" s="11" t="s">
        <v>173</v>
      </c>
      <c r="I46" s="9">
        <v>565</v>
      </c>
      <c r="J46" s="9">
        <v>540</v>
      </c>
      <c r="K46" s="9" t="s">
        <v>166</v>
      </c>
      <c r="L46" s="9">
        <v>460</v>
      </c>
      <c r="M46" s="9" t="s">
        <v>174</v>
      </c>
      <c r="N46" s="9" t="s">
        <v>175</v>
      </c>
      <c r="O46" s="6">
        <f t="shared" si="1"/>
        <v>475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x14ac:dyDescent="0.2">
      <c r="A47" s="4" t="s">
        <v>14</v>
      </c>
      <c r="B47" s="5" t="s">
        <v>157</v>
      </c>
      <c r="C47" s="4">
        <v>6</v>
      </c>
      <c r="D47" s="6" t="e">
        <f t="shared" si="0"/>
        <v>#VALUE!</v>
      </c>
      <c r="E47" s="6" t="s">
        <v>176</v>
      </c>
      <c r="F47" s="7">
        <v>100</v>
      </c>
      <c r="G47" s="6" t="s">
        <v>28</v>
      </c>
      <c r="H47" s="8">
        <v>470</v>
      </c>
      <c r="I47" s="10" t="s">
        <v>177</v>
      </c>
      <c r="J47" s="9">
        <v>460</v>
      </c>
      <c r="K47" s="9" t="s">
        <v>111</v>
      </c>
      <c r="L47" s="9">
        <v>675</v>
      </c>
      <c r="M47" s="9" t="s">
        <v>178</v>
      </c>
      <c r="N47" s="9" t="s">
        <v>179</v>
      </c>
      <c r="O47" s="6">
        <f t="shared" si="1"/>
        <v>404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x14ac:dyDescent="0.2">
      <c r="A48" s="4" t="s">
        <v>14</v>
      </c>
      <c r="B48" s="5" t="s">
        <v>157</v>
      </c>
      <c r="C48" s="4">
        <v>7</v>
      </c>
      <c r="D48" s="6" t="e">
        <f t="shared" si="0"/>
        <v>#VALUE!</v>
      </c>
      <c r="E48" s="6" t="s">
        <v>180</v>
      </c>
      <c r="F48" s="7">
        <v>108</v>
      </c>
      <c r="G48" s="6" t="s">
        <v>21</v>
      </c>
      <c r="H48" s="11" t="s">
        <v>181</v>
      </c>
      <c r="I48" s="9">
        <v>670</v>
      </c>
      <c r="J48" s="9">
        <v>645</v>
      </c>
      <c r="K48" s="9" t="s">
        <v>173</v>
      </c>
      <c r="L48" s="9">
        <v>530</v>
      </c>
      <c r="M48" s="9" t="s">
        <v>182</v>
      </c>
      <c r="N48" s="9" t="s">
        <v>183</v>
      </c>
      <c r="O48" s="6">
        <f t="shared" si="1"/>
        <v>545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x14ac:dyDescent="0.2">
      <c r="A49" s="4" t="s">
        <v>14</v>
      </c>
      <c r="B49" s="5" t="s">
        <v>157</v>
      </c>
      <c r="C49" s="4">
        <v>8</v>
      </c>
      <c r="D49" s="6" t="e">
        <f t="shared" si="0"/>
        <v>#VALUE!</v>
      </c>
      <c r="E49" s="6" t="s">
        <v>184</v>
      </c>
      <c r="F49" s="7">
        <v>114</v>
      </c>
      <c r="G49" s="6" t="s">
        <v>17</v>
      </c>
      <c r="H49" s="8">
        <v>520</v>
      </c>
      <c r="I49" s="9">
        <v>540</v>
      </c>
      <c r="J49" s="10" t="s">
        <v>185</v>
      </c>
      <c r="K49" s="9" t="s">
        <v>145</v>
      </c>
      <c r="L49" s="9">
        <v>775</v>
      </c>
      <c r="M49" s="9" t="s">
        <v>186</v>
      </c>
      <c r="N49" s="9" t="s">
        <v>187</v>
      </c>
      <c r="O49" s="6">
        <f t="shared" si="1"/>
        <v>230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x14ac:dyDescent="0.2">
      <c r="A50" s="4" t="s">
        <v>14</v>
      </c>
      <c r="B50" s="5" t="s">
        <v>157</v>
      </c>
      <c r="C50" s="4">
        <v>9</v>
      </c>
      <c r="D50" s="6" t="e">
        <f t="shared" si="0"/>
        <v>#VALUE!</v>
      </c>
      <c r="E50" s="6" t="s">
        <v>188</v>
      </c>
      <c r="F50" s="7">
        <v>122</v>
      </c>
      <c r="G50" s="6" t="s">
        <v>21</v>
      </c>
      <c r="H50" s="11" t="s">
        <v>189</v>
      </c>
      <c r="I50" s="9">
        <v>775</v>
      </c>
      <c r="J50" s="9">
        <v>750</v>
      </c>
      <c r="K50" s="9" t="s">
        <v>181</v>
      </c>
      <c r="L50" s="9">
        <v>600</v>
      </c>
      <c r="M50" s="9" t="s">
        <v>190</v>
      </c>
      <c r="N50" s="9" t="s">
        <v>191</v>
      </c>
      <c r="O50" s="6">
        <f t="shared" si="1"/>
        <v>615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x14ac:dyDescent="0.2">
      <c r="A51" s="4" t="s">
        <v>14</v>
      </c>
      <c r="B51" s="5" t="s">
        <v>157</v>
      </c>
      <c r="C51" s="4">
        <v>10</v>
      </c>
      <c r="D51" s="6" t="e">
        <f t="shared" si="0"/>
        <v>#VALUE!</v>
      </c>
      <c r="E51" s="6" t="s">
        <v>192</v>
      </c>
      <c r="F51" s="7">
        <v>130</v>
      </c>
      <c r="G51" s="6" t="s">
        <v>28</v>
      </c>
      <c r="H51" s="8">
        <v>620</v>
      </c>
      <c r="I51" s="10" t="s">
        <v>193</v>
      </c>
      <c r="J51" s="9">
        <v>610</v>
      </c>
      <c r="K51" s="9" t="s">
        <v>194</v>
      </c>
      <c r="L51" s="9">
        <v>900</v>
      </c>
      <c r="M51" s="9" t="s">
        <v>195</v>
      </c>
      <c r="N51" s="9" t="s">
        <v>196</v>
      </c>
      <c r="O51" s="6">
        <f t="shared" si="1"/>
        <v>524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x14ac:dyDescent="0.2">
      <c r="A52" s="4" t="s">
        <v>14</v>
      </c>
      <c r="B52" s="5" t="s">
        <v>197</v>
      </c>
      <c r="C52" s="4">
        <v>1</v>
      </c>
      <c r="D52" s="6" t="e">
        <f t="shared" si="0"/>
        <v>#VALUE!</v>
      </c>
      <c r="E52" s="6" t="s">
        <v>198</v>
      </c>
      <c r="F52" s="7">
        <v>92</v>
      </c>
      <c r="G52" s="6" t="s">
        <v>21</v>
      </c>
      <c r="H52" s="11" t="s">
        <v>199</v>
      </c>
      <c r="I52" s="9">
        <v>550</v>
      </c>
      <c r="J52" s="9">
        <v>525</v>
      </c>
      <c r="K52" s="9" t="s">
        <v>162</v>
      </c>
      <c r="L52" s="9">
        <v>450</v>
      </c>
      <c r="M52" s="9" t="s">
        <v>200</v>
      </c>
      <c r="N52" s="9" t="s">
        <v>201</v>
      </c>
      <c r="O52" s="6">
        <f t="shared" si="1"/>
        <v>465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x14ac:dyDescent="0.2">
      <c r="A53" s="4" t="s">
        <v>14</v>
      </c>
      <c r="B53" s="5" t="s">
        <v>197</v>
      </c>
      <c r="C53" s="4">
        <v>2</v>
      </c>
      <c r="D53" s="6" t="e">
        <f t="shared" si="0"/>
        <v>#VALUE!</v>
      </c>
      <c r="E53" s="6" t="s">
        <v>58</v>
      </c>
      <c r="F53" s="7">
        <v>98</v>
      </c>
      <c r="G53" s="6" t="s">
        <v>28</v>
      </c>
      <c r="H53" s="8">
        <v>460</v>
      </c>
      <c r="I53" s="10" t="s">
        <v>202</v>
      </c>
      <c r="J53" s="9">
        <v>450</v>
      </c>
      <c r="K53" s="9" t="s">
        <v>141</v>
      </c>
      <c r="L53" s="9">
        <v>660</v>
      </c>
      <c r="M53" s="9" t="s">
        <v>203</v>
      </c>
      <c r="N53" s="9" t="s">
        <v>204</v>
      </c>
      <c r="O53" s="6">
        <f t="shared" si="1"/>
        <v>396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x14ac:dyDescent="0.2">
      <c r="A54" s="4" t="s">
        <v>14</v>
      </c>
      <c r="B54" s="5" t="s">
        <v>197</v>
      </c>
      <c r="C54" s="4">
        <v>3</v>
      </c>
      <c r="D54" s="6" t="e">
        <f t="shared" si="0"/>
        <v>#VALUE!</v>
      </c>
      <c r="E54" s="6" t="s">
        <v>205</v>
      </c>
      <c r="F54" s="7">
        <v>104</v>
      </c>
      <c r="G54" s="6" t="s">
        <v>17</v>
      </c>
      <c r="H54" s="8">
        <v>470</v>
      </c>
      <c r="I54" s="9">
        <v>490</v>
      </c>
      <c r="J54" s="10" t="s">
        <v>181</v>
      </c>
      <c r="K54" s="9" t="s">
        <v>111</v>
      </c>
      <c r="L54" s="9">
        <v>700</v>
      </c>
      <c r="M54" s="9" t="s">
        <v>206</v>
      </c>
      <c r="N54" s="9" t="s">
        <v>207</v>
      </c>
      <c r="O54" s="6">
        <f t="shared" si="1"/>
        <v>210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x14ac:dyDescent="0.2">
      <c r="A55" s="4" t="s">
        <v>14</v>
      </c>
      <c r="B55" s="5" t="s">
        <v>197</v>
      </c>
      <c r="C55" s="4">
        <v>4</v>
      </c>
      <c r="D55" s="6" t="e">
        <f t="shared" si="0"/>
        <v>#VALUE!</v>
      </c>
      <c r="E55" s="6" t="s">
        <v>208</v>
      </c>
      <c r="F55" s="7">
        <v>106</v>
      </c>
      <c r="G55" s="6" t="s">
        <v>28</v>
      </c>
      <c r="H55" s="8">
        <v>500</v>
      </c>
      <c r="I55" s="10" t="s">
        <v>209</v>
      </c>
      <c r="J55" s="9">
        <v>490</v>
      </c>
      <c r="K55" s="9" t="s">
        <v>199</v>
      </c>
      <c r="L55" s="9">
        <v>720</v>
      </c>
      <c r="M55" s="9" t="s">
        <v>210</v>
      </c>
      <c r="N55" s="9" t="s">
        <v>211</v>
      </c>
      <c r="O55" s="6">
        <f t="shared" si="1"/>
        <v>428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x14ac:dyDescent="0.2">
      <c r="A56" s="4" t="s">
        <v>14</v>
      </c>
      <c r="B56" s="5" t="s">
        <v>197</v>
      </c>
      <c r="C56" s="4">
        <v>5</v>
      </c>
      <c r="D56" s="6" t="e">
        <f t="shared" si="0"/>
        <v>#VALUE!</v>
      </c>
      <c r="E56" s="6" t="s">
        <v>212</v>
      </c>
      <c r="F56" s="7">
        <v>118</v>
      </c>
      <c r="G56" s="6" t="s">
        <v>28</v>
      </c>
      <c r="H56" s="8">
        <v>560</v>
      </c>
      <c r="I56" s="10" t="s">
        <v>185</v>
      </c>
      <c r="J56" s="9">
        <v>520</v>
      </c>
      <c r="K56" s="9" t="s">
        <v>213</v>
      </c>
      <c r="L56" s="9">
        <v>810</v>
      </c>
      <c r="M56" s="9" t="s">
        <v>214</v>
      </c>
      <c r="N56" s="9" t="s">
        <v>215</v>
      </c>
      <c r="O56" s="6">
        <f t="shared" si="1"/>
        <v>476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x14ac:dyDescent="0.2">
      <c r="A57" s="4" t="s">
        <v>14</v>
      </c>
      <c r="B57" s="5" t="s">
        <v>197</v>
      </c>
      <c r="C57" s="4">
        <v>6</v>
      </c>
      <c r="D57" s="6" t="e">
        <f t="shared" si="0"/>
        <v>#VALUE!</v>
      </c>
      <c r="E57" s="6" t="s">
        <v>216</v>
      </c>
      <c r="F57" s="7">
        <v>124</v>
      </c>
      <c r="G57" s="6" t="s">
        <v>21</v>
      </c>
      <c r="H57" s="11" t="s">
        <v>217</v>
      </c>
      <c r="I57" s="9">
        <v>790</v>
      </c>
      <c r="J57" s="9">
        <v>765</v>
      </c>
      <c r="K57" s="9" t="s">
        <v>154</v>
      </c>
      <c r="L57" s="9">
        <v>610</v>
      </c>
      <c r="M57" s="9" t="s">
        <v>218</v>
      </c>
      <c r="N57" s="9" t="s">
        <v>219</v>
      </c>
      <c r="O57" s="6">
        <f t="shared" si="1"/>
        <v>625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x14ac:dyDescent="0.2">
      <c r="A58" s="4" t="s">
        <v>14</v>
      </c>
      <c r="B58" s="5" t="s">
        <v>197</v>
      </c>
      <c r="C58" s="4">
        <v>7</v>
      </c>
      <c r="D58" s="6" t="e">
        <f t="shared" si="0"/>
        <v>#VALUE!</v>
      </c>
      <c r="E58" s="6" t="s">
        <v>220</v>
      </c>
      <c r="F58" s="7">
        <v>128</v>
      </c>
      <c r="G58" s="6" t="s">
        <v>28</v>
      </c>
      <c r="H58" s="8">
        <v>610</v>
      </c>
      <c r="I58" s="10" t="s">
        <v>221</v>
      </c>
      <c r="J58" s="9">
        <v>600</v>
      </c>
      <c r="K58" s="9" t="s">
        <v>222</v>
      </c>
      <c r="L58" s="9">
        <v>885</v>
      </c>
      <c r="M58" s="9" t="s">
        <v>223</v>
      </c>
      <c r="N58" s="9" t="s">
        <v>224</v>
      </c>
      <c r="O58" s="6">
        <f t="shared" si="1"/>
        <v>516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x14ac:dyDescent="0.2">
      <c r="A59" s="4" t="s">
        <v>14</v>
      </c>
      <c r="B59" s="5" t="s">
        <v>197</v>
      </c>
      <c r="C59" s="4">
        <v>8</v>
      </c>
      <c r="D59" s="6" t="e">
        <f t="shared" si="0"/>
        <v>#VALUE!</v>
      </c>
      <c r="E59" s="6" t="s">
        <v>225</v>
      </c>
      <c r="F59" s="7">
        <v>136</v>
      </c>
      <c r="G59" s="6" t="s">
        <v>17</v>
      </c>
      <c r="H59" s="8">
        <v>630</v>
      </c>
      <c r="I59" s="9">
        <v>650</v>
      </c>
      <c r="J59" s="10" t="s">
        <v>226</v>
      </c>
      <c r="K59" s="9" t="s">
        <v>185</v>
      </c>
      <c r="L59" s="9">
        <v>940</v>
      </c>
      <c r="M59" s="9" t="s">
        <v>227</v>
      </c>
      <c r="N59" s="9" t="s">
        <v>228</v>
      </c>
      <c r="O59" s="6">
        <f t="shared" si="1"/>
        <v>274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x14ac:dyDescent="0.2">
      <c r="A60" s="4" t="s">
        <v>14</v>
      </c>
      <c r="B60" s="5" t="s">
        <v>197</v>
      </c>
      <c r="C60" s="4">
        <v>9</v>
      </c>
      <c r="D60" s="6" t="e">
        <f t="shared" si="0"/>
        <v>#VALUE!</v>
      </c>
      <c r="E60" s="6" t="s">
        <v>229</v>
      </c>
      <c r="F60" s="7">
        <v>144</v>
      </c>
      <c r="G60" s="6" t="s">
        <v>28</v>
      </c>
      <c r="H60" s="8">
        <v>690</v>
      </c>
      <c r="I60" s="10" t="s">
        <v>230</v>
      </c>
      <c r="J60" s="9">
        <v>680</v>
      </c>
      <c r="K60" s="9" t="s">
        <v>193</v>
      </c>
      <c r="L60" s="9" t="s">
        <v>231</v>
      </c>
      <c r="M60" s="9" t="s">
        <v>232</v>
      </c>
      <c r="N60" s="9" t="s">
        <v>233</v>
      </c>
      <c r="O60" s="6">
        <f t="shared" si="1"/>
        <v>580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x14ac:dyDescent="0.2">
      <c r="A61" s="4" t="s">
        <v>14</v>
      </c>
      <c r="B61" s="5" t="s">
        <v>197</v>
      </c>
      <c r="C61" s="4">
        <v>10</v>
      </c>
      <c r="D61" s="6" t="e">
        <f t="shared" si="0"/>
        <v>#VALUE!</v>
      </c>
      <c r="E61" s="6" t="s">
        <v>234</v>
      </c>
      <c r="F61" s="7">
        <v>150</v>
      </c>
      <c r="G61" s="6" t="s">
        <v>28</v>
      </c>
      <c r="H61" s="8">
        <v>720</v>
      </c>
      <c r="I61" s="10" t="s">
        <v>235</v>
      </c>
      <c r="J61" s="9">
        <v>710</v>
      </c>
      <c r="K61" s="9" t="s">
        <v>236</v>
      </c>
      <c r="L61" s="9" t="s">
        <v>237</v>
      </c>
      <c r="M61" s="9" t="s">
        <v>238</v>
      </c>
      <c r="N61" s="9" t="s">
        <v>239</v>
      </c>
      <c r="O61" s="6">
        <f t="shared" si="1"/>
        <v>604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x14ac:dyDescent="0.2">
      <c r="A62" s="4" t="s">
        <v>14</v>
      </c>
      <c r="B62" s="5" t="s">
        <v>240</v>
      </c>
      <c r="C62" s="4">
        <v>1</v>
      </c>
      <c r="D62" s="6" t="e">
        <f t="shared" si="0"/>
        <v>#VALUE!</v>
      </c>
      <c r="E62" s="6" t="s">
        <v>241</v>
      </c>
      <c r="F62" s="7">
        <v>112</v>
      </c>
      <c r="G62" s="6" t="s">
        <v>28</v>
      </c>
      <c r="H62" s="8">
        <v>530</v>
      </c>
      <c r="I62" s="10" t="s">
        <v>242</v>
      </c>
      <c r="J62" s="9">
        <v>520</v>
      </c>
      <c r="K62" s="9" t="s">
        <v>202</v>
      </c>
      <c r="L62" s="9">
        <v>765</v>
      </c>
      <c r="M62" s="9" t="s">
        <v>243</v>
      </c>
      <c r="N62" s="9" t="s">
        <v>244</v>
      </c>
      <c r="O62" s="6">
        <f t="shared" si="1"/>
        <v>452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x14ac:dyDescent="0.2">
      <c r="A63" s="4" t="s">
        <v>14</v>
      </c>
      <c r="B63" s="5" t="s">
        <v>240</v>
      </c>
      <c r="C63" s="4">
        <v>2</v>
      </c>
      <c r="D63" s="6" t="e">
        <f t="shared" si="0"/>
        <v>#VALUE!</v>
      </c>
      <c r="E63" s="6" t="s">
        <v>245</v>
      </c>
      <c r="F63" s="7">
        <v>116</v>
      </c>
      <c r="G63" s="6" t="s">
        <v>28</v>
      </c>
      <c r="H63" s="8">
        <v>550</v>
      </c>
      <c r="I63" s="10" t="s">
        <v>194</v>
      </c>
      <c r="J63" s="9">
        <v>540</v>
      </c>
      <c r="K63" s="9" t="s">
        <v>149</v>
      </c>
      <c r="L63" s="9">
        <v>795</v>
      </c>
      <c r="M63" s="9" t="s">
        <v>246</v>
      </c>
      <c r="N63" s="9" t="s">
        <v>247</v>
      </c>
      <c r="O63" s="6">
        <f t="shared" si="1"/>
        <v>468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x14ac:dyDescent="0.2">
      <c r="A64" s="4" t="s">
        <v>14</v>
      </c>
      <c r="B64" s="5" t="s">
        <v>240</v>
      </c>
      <c r="C64" s="4">
        <v>3</v>
      </c>
      <c r="D64" s="6" t="e">
        <f t="shared" si="0"/>
        <v>#VALUE!</v>
      </c>
      <c r="E64" s="6" t="s">
        <v>248</v>
      </c>
      <c r="F64" s="7">
        <v>120</v>
      </c>
      <c r="G64" s="6" t="s">
        <v>17</v>
      </c>
      <c r="H64" s="8">
        <v>550</v>
      </c>
      <c r="I64" s="9">
        <v>570</v>
      </c>
      <c r="J64" s="10" t="s">
        <v>217</v>
      </c>
      <c r="K64" s="9" t="s">
        <v>149</v>
      </c>
      <c r="L64" s="9">
        <v>820</v>
      </c>
      <c r="M64" s="9" t="s">
        <v>249</v>
      </c>
      <c r="N64" s="9" t="s">
        <v>250</v>
      </c>
      <c r="O64" s="6">
        <f t="shared" si="1"/>
        <v>242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x14ac:dyDescent="0.2">
      <c r="A65" s="4" t="s">
        <v>14</v>
      </c>
      <c r="B65" s="5" t="s">
        <v>240</v>
      </c>
      <c r="C65" s="4">
        <v>4</v>
      </c>
      <c r="D65" s="6" t="e">
        <f t="shared" si="0"/>
        <v>#VALUE!</v>
      </c>
      <c r="E65" s="6" t="s">
        <v>251</v>
      </c>
      <c r="F65" s="7">
        <v>126</v>
      </c>
      <c r="G65" s="6" t="s">
        <v>21</v>
      </c>
      <c r="H65" s="11" t="s">
        <v>252</v>
      </c>
      <c r="I65" s="9">
        <v>805</v>
      </c>
      <c r="J65" s="9">
        <v>780</v>
      </c>
      <c r="K65" s="9" t="s">
        <v>242</v>
      </c>
      <c r="L65" s="9">
        <v>620</v>
      </c>
      <c r="M65" s="9" t="s">
        <v>253</v>
      </c>
      <c r="N65" s="9" t="s">
        <v>254</v>
      </c>
      <c r="O65" s="6">
        <f t="shared" si="1"/>
        <v>635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x14ac:dyDescent="0.2">
      <c r="A66" s="4" t="s">
        <v>14</v>
      </c>
      <c r="B66" s="5" t="s">
        <v>240</v>
      </c>
      <c r="C66" s="4">
        <v>5</v>
      </c>
      <c r="D66" s="6" t="e">
        <f t="shared" si="0"/>
        <v>#VALUE!</v>
      </c>
      <c r="E66" s="6" t="s">
        <v>255</v>
      </c>
      <c r="F66" s="7">
        <v>134</v>
      </c>
      <c r="G66" s="6" t="s">
        <v>21</v>
      </c>
      <c r="H66" s="11" t="s">
        <v>256</v>
      </c>
      <c r="I66" s="9">
        <v>865</v>
      </c>
      <c r="J66" s="9">
        <v>840</v>
      </c>
      <c r="K66" s="9" t="s">
        <v>257</v>
      </c>
      <c r="L66" s="9">
        <v>660</v>
      </c>
      <c r="M66" s="9" t="s">
        <v>258</v>
      </c>
      <c r="N66" s="9" t="s">
        <v>259</v>
      </c>
      <c r="O66" s="6">
        <f t="shared" si="1"/>
        <v>675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x14ac:dyDescent="0.2">
      <c r="A67" s="4" t="s">
        <v>14</v>
      </c>
      <c r="B67" s="5" t="s">
        <v>240</v>
      </c>
      <c r="C67" s="4">
        <v>6</v>
      </c>
      <c r="D67" s="6" t="e">
        <f t="shared" si="0"/>
        <v>#VALUE!</v>
      </c>
      <c r="E67" s="6" t="s">
        <v>260</v>
      </c>
      <c r="F67" s="7">
        <v>138</v>
      </c>
      <c r="G67" s="6" t="s">
        <v>21</v>
      </c>
      <c r="H67" s="11" t="s">
        <v>261</v>
      </c>
      <c r="I67" s="9">
        <v>895</v>
      </c>
      <c r="J67" s="9">
        <v>870</v>
      </c>
      <c r="K67" s="9" t="s">
        <v>217</v>
      </c>
      <c r="L67" s="9">
        <v>680</v>
      </c>
      <c r="M67" s="9" t="s">
        <v>262</v>
      </c>
      <c r="N67" s="9" t="s">
        <v>263</v>
      </c>
      <c r="O67" s="6">
        <f t="shared" ref="O67:O130" si="2">M67/K67</f>
        <v>695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x14ac:dyDescent="0.2">
      <c r="A68" s="4" t="s">
        <v>14</v>
      </c>
      <c r="B68" s="5" t="s">
        <v>240</v>
      </c>
      <c r="C68" s="4">
        <v>7</v>
      </c>
      <c r="D68" s="6" t="e">
        <f t="shared" si="0"/>
        <v>#VALUE!</v>
      </c>
      <c r="E68" s="6" t="s">
        <v>64</v>
      </c>
      <c r="F68" s="7">
        <v>142</v>
      </c>
      <c r="G68" s="6" t="s">
        <v>17</v>
      </c>
      <c r="H68" s="8">
        <v>660</v>
      </c>
      <c r="I68" s="9">
        <v>680</v>
      </c>
      <c r="J68" s="10" t="s">
        <v>264</v>
      </c>
      <c r="K68" s="9" t="s">
        <v>217</v>
      </c>
      <c r="L68" s="9">
        <v>985</v>
      </c>
      <c r="M68" s="9" t="s">
        <v>265</v>
      </c>
      <c r="N68" s="9" t="s">
        <v>266</v>
      </c>
      <c r="O68" s="6">
        <f t="shared" si="2"/>
        <v>286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x14ac:dyDescent="0.2">
      <c r="A69" s="4" t="s">
        <v>14</v>
      </c>
      <c r="B69" s="5" t="s">
        <v>240</v>
      </c>
      <c r="C69" s="4">
        <v>8</v>
      </c>
      <c r="D69" s="6" t="e">
        <f t="shared" si="0"/>
        <v>#VALUE!</v>
      </c>
      <c r="E69" s="6" t="s">
        <v>251</v>
      </c>
      <c r="F69" s="7">
        <v>146</v>
      </c>
      <c r="G69" s="6" t="s">
        <v>21</v>
      </c>
      <c r="H69" s="11" t="s">
        <v>264</v>
      </c>
      <c r="I69" s="9">
        <v>955</v>
      </c>
      <c r="J69" s="9">
        <v>930</v>
      </c>
      <c r="K69" s="9" t="s">
        <v>267</v>
      </c>
      <c r="L69" s="9">
        <v>720</v>
      </c>
      <c r="M69" s="9" t="s">
        <v>268</v>
      </c>
      <c r="N69" s="9" t="s">
        <v>269</v>
      </c>
      <c r="O69" s="6">
        <f t="shared" si="2"/>
        <v>735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x14ac:dyDescent="0.2">
      <c r="A70" s="4" t="s">
        <v>14</v>
      </c>
      <c r="B70" s="5" t="s">
        <v>240</v>
      </c>
      <c r="C70" s="4">
        <v>9</v>
      </c>
      <c r="D70" s="6" t="e">
        <f t="shared" si="0"/>
        <v>#VALUE!</v>
      </c>
      <c r="E70" s="6" t="s">
        <v>270</v>
      </c>
      <c r="F70" s="7">
        <v>148</v>
      </c>
      <c r="G70" s="6" t="s">
        <v>21</v>
      </c>
      <c r="H70" s="11" t="s">
        <v>271</v>
      </c>
      <c r="I70" s="9">
        <v>970</v>
      </c>
      <c r="J70" s="9">
        <v>945</v>
      </c>
      <c r="K70" s="9" t="s">
        <v>256</v>
      </c>
      <c r="L70" s="9">
        <v>730</v>
      </c>
      <c r="M70" s="9" t="s">
        <v>272</v>
      </c>
      <c r="N70" s="9" t="s">
        <v>273</v>
      </c>
      <c r="O70" s="6">
        <f t="shared" si="2"/>
        <v>745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x14ac:dyDescent="0.2">
      <c r="A71" s="4" t="s">
        <v>14</v>
      </c>
      <c r="B71" s="5" t="s">
        <v>240</v>
      </c>
      <c r="C71" s="4">
        <v>10</v>
      </c>
      <c r="D71" s="6" t="e">
        <f t="shared" si="0"/>
        <v>#VALUE!</v>
      </c>
      <c r="E71" s="6" t="s">
        <v>274</v>
      </c>
      <c r="F71" s="7">
        <v>170</v>
      </c>
      <c r="G71" s="6" t="s">
        <v>21</v>
      </c>
      <c r="H71" s="11" t="s">
        <v>275</v>
      </c>
      <c r="I71" s="9" t="s">
        <v>276</v>
      </c>
      <c r="J71" s="9" t="s">
        <v>277</v>
      </c>
      <c r="K71" s="9" t="s">
        <v>278</v>
      </c>
      <c r="L71" s="9">
        <v>840</v>
      </c>
      <c r="M71" s="9" t="s">
        <v>279</v>
      </c>
      <c r="N71" s="9" t="s">
        <v>280</v>
      </c>
      <c r="O71" s="6">
        <f t="shared" si="2"/>
        <v>855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x14ac:dyDescent="0.2">
      <c r="A72" s="4" t="s">
        <v>14</v>
      </c>
      <c r="B72" s="5" t="s">
        <v>281</v>
      </c>
      <c r="C72" s="4">
        <v>1</v>
      </c>
      <c r="D72" s="6" t="e">
        <f t="shared" si="0"/>
        <v>#VALUE!</v>
      </c>
      <c r="E72" s="6" t="s">
        <v>53</v>
      </c>
      <c r="F72" s="7">
        <v>132</v>
      </c>
      <c r="G72" s="6" t="s">
        <v>21</v>
      </c>
      <c r="H72" s="11" t="s">
        <v>267</v>
      </c>
      <c r="I72" s="9">
        <v>850</v>
      </c>
      <c r="J72" s="9">
        <v>825</v>
      </c>
      <c r="K72" s="9" t="s">
        <v>185</v>
      </c>
      <c r="L72" s="9">
        <v>650</v>
      </c>
      <c r="M72" s="9" t="s">
        <v>282</v>
      </c>
      <c r="N72" s="9" t="s">
        <v>283</v>
      </c>
      <c r="O72" s="6">
        <f t="shared" si="2"/>
        <v>665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x14ac:dyDescent="0.2">
      <c r="A73" s="4" t="s">
        <v>14</v>
      </c>
      <c r="B73" s="5" t="s">
        <v>281</v>
      </c>
      <c r="C73" s="4">
        <v>2</v>
      </c>
      <c r="D73" s="6" t="e">
        <f t="shared" si="0"/>
        <v>#VALUE!</v>
      </c>
      <c r="E73" s="6" t="s">
        <v>284</v>
      </c>
      <c r="F73" s="7">
        <v>140</v>
      </c>
      <c r="G73" s="6" t="s">
        <v>28</v>
      </c>
      <c r="H73" s="8">
        <v>670</v>
      </c>
      <c r="I73" s="10" t="s">
        <v>226</v>
      </c>
      <c r="J73" s="9">
        <v>660</v>
      </c>
      <c r="K73" s="9" t="s">
        <v>252</v>
      </c>
      <c r="L73" s="9">
        <v>975</v>
      </c>
      <c r="M73" s="9" t="s">
        <v>285</v>
      </c>
      <c r="N73" s="9" t="s">
        <v>286</v>
      </c>
      <c r="O73" s="6">
        <f t="shared" si="2"/>
        <v>564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.75" x14ac:dyDescent="0.2">
      <c r="A74" s="4" t="s">
        <v>14</v>
      </c>
      <c r="B74" s="5" t="s">
        <v>281</v>
      </c>
      <c r="C74" s="4">
        <v>3</v>
      </c>
      <c r="D74" s="6" t="e">
        <f t="shared" si="0"/>
        <v>#VALUE!</v>
      </c>
      <c r="E74" s="6" t="s">
        <v>287</v>
      </c>
      <c r="F74" s="7">
        <v>154</v>
      </c>
      <c r="G74" s="6" t="s">
        <v>21</v>
      </c>
      <c r="H74" s="11" t="s">
        <v>288</v>
      </c>
      <c r="I74" s="9" t="s">
        <v>289</v>
      </c>
      <c r="J74" s="9">
        <v>990</v>
      </c>
      <c r="K74" s="9" t="s">
        <v>226</v>
      </c>
      <c r="L74" s="9">
        <v>760</v>
      </c>
      <c r="M74" s="9" t="s">
        <v>290</v>
      </c>
      <c r="N74" s="9" t="s">
        <v>291</v>
      </c>
      <c r="O74" s="6">
        <f t="shared" si="2"/>
        <v>775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.75" x14ac:dyDescent="0.2">
      <c r="A75" s="4" t="s">
        <v>14</v>
      </c>
      <c r="B75" s="5" t="s">
        <v>281</v>
      </c>
      <c r="C75" s="4">
        <v>4</v>
      </c>
      <c r="D75" s="6" t="e">
        <f t="shared" si="0"/>
        <v>#VALUE!</v>
      </c>
      <c r="E75" s="6" t="s">
        <v>292</v>
      </c>
      <c r="F75" s="7">
        <v>158</v>
      </c>
      <c r="G75" s="6" t="s">
        <v>28</v>
      </c>
      <c r="H75" s="8">
        <v>760</v>
      </c>
      <c r="I75" s="10" t="s">
        <v>293</v>
      </c>
      <c r="J75" s="9">
        <v>750</v>
      </c>
      <c r="K75" s="9" t="s">
        <v>230</v>
      </c>
      <c r="L75" s="9" t="s">
        <v>277</v>
      </c>
      <c r="M75" s="9" t="s">
        <v>294</v>
      </c>
      <c r="N75" s="9" t="s">
        <v>295</v>
      </c>
      <c r="O75" s="6">
        <f t="shared" si="2"/>
        <v>636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.75" x14ac:dyDescent="0.2">
      <c r="A76" s="4" t="s">
        <v>14</v>
      </c>
      <c r="B76" s="5" t="s">
        <v>281</v>
      </c>
      <c r="C76" s="4">
        <v>5</v>
      </c>
      <c r="D76" s="6" t="e">
        <f t="shared" si="0"/>
        <v>#VALUE!</v>
      </c>
      <c r="E76" s="6" t="s">
        <v>296</v>
      </c>
      <c r="F76" s="7">
        <v>164</v>
      </c>
      <c r="G76" s="6" t="s">
        <v>28</v>
      </c>
      <c r="H76" s="8">
        <v>790</v>
      </c>
      <c r="I76" s="10" t="s">
        <v>297</v>
      </c>
      <c r="J76" s="9">
        <v>780</v>
      </c>
      <c r="K76" s="9" t="s">
        <v>235</v>
      </c>
      <c r="L76" s="9" t="s">
        <v>298</v>
      </c>
      <c r="M76" s="9" t="s">
        <v>299</v>
      </c>
      <c r="N76" s="9" t="s">
        <v>300</v>
      </c>
      <c r="O76" s="6">
        <f t="shared" si="2"/>
        <v>660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.75" x14ac:dyDescent="0.2">
      <c r="A77" s="4" t="s">
        <v>14</v>
      </c>
      <c r="B77" s="5" t="s">
        <v>281</v>
      </c>
      <c r="C77" s="4">
        <v>6</v>
      </c>
      <c r="D77" s="6" t="e">
        <f t="shared" si="0"/>
        <v>#VALUE!</v>
      </c>
      <c r="E77" s="6" t="s">
        <v>301</v>
      </c>
      <c r="F77" s="7">
        <v>168</v>
      </c>
      <c r="G77" s="6" t="s">
        <v>17</v>
      </c>
      <c r="H77" s="8">
        <v>790</v>
      </c>
      <c r="I77" s="9">
        <v>810</v>
      </c>
      <c r="J77" s="10" t="s">
        <v>302</v>
      </c>
      <c r="K77" s="9" t="s">
        <v>235</v>
      </c>
      <c r="L77" s="9" t="s">
        <v>303</v>
      </c>
      <c r="M77" s="9" t="s">
        <v>304</v>
      </c>
      <c r="N77" s="9" t="s">
        <v>305</v>
      </c>
      <c r="O77" s="6">
        <f t="shared" si="2"/>
        <v>338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.75" x14ac:dyDescent="0.2">
      <c r="A78" s="4" t="s">
        <v>14</v>
      </c>
      <c r="B78" s="5" t="s">
        <v>281</v>
      </c>
      <c r="C78" s="4">
        <v>7</v>
      </c>
      <c r="D78" s="6" t="e">
        <f t="shared" si="0"/>
        <v>#VALUE!</v>
      </c>
      <c r="E78" s="6" t="s">
        <v>306</v>
      </c>
      <c r="F78" s="7">
        <v>172</v>
      </c>
      <c r="G78" s="6" t="s">
        <v>21</v>
      </c>
      <c r="H78" s="11" t="s">
        <v>302</v>
      </c>
      <c r="I78" s="9" t="s">
        <v>307</v>
      </c>
      <c r="J78" s="9" t="s">
        <v>308</v>
      </c>
      <c r="K78" s="9" t="s">
        <v>293</v>
      </c>
      <c r="L78" s="9">
        <v>850</v>
      </c>
      <c r="M78" s="9" t="s">
        <v>309</v>
      </c>
      <c r="N78" s="9" t="s">
        <v>310</v>
      </c>
      <c r="O78" s="6">
        <f t="shared" si="2"/>
        <v>865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.75" x14ac:dyDescent="0.2">
      <c r="A79" s="4" t="s">
        <v>14</v>
      </c>
      <c r="B79" s="5" t="s">
        <v>281</v>
      </c>
      <c r="C79" s="4">
        <v>8</v>
      </c>
      <c r="D79" s="6" t="e">
        <f t="shared" si="0"/>
        <v>#VALUE!</v>
      </c>
      <c r="E79" s="6" t="s">
        <v>311</v>
      </c>
      <c r="F79" s="7">
        <v>180</v>
      </c>
      <c r="G79" s="6" t="s">
        <v>28</v>
      </c>
      <c r="H79" s="8">
        <v>870</v>
      </c>
      <c r="I79" s="10" t="s">
        <v>312</v>
      </c>
      <c r="J79" s="9">
        <v>860</v>
      </c>
      <c r="K79" s="9" t="s">
        <v>313</v>
      </c>
      <c r="L79" s="9" t="s">
        <v>314</v>
      </c>
      <c r="M79" s="9" t="s">
        <v>315</v>
      </c>
      <c r="N79" s="9" t="s">
        <v>316</v>
      </c>
      <c r="O79" s="6">
        <f t="shared" si="2"/>
        <v>724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.75" x14ac:dyDescent="0.2">
      <c r="A80" s="4" t="s">
        <v>14</v>
      </c>
      <c r="B80" s="5" t="s">
        <v>281</v>
      </c>
      <c r="C80" s="4">
        <v>9</v>
      </c>
      <c r="D80" s="6" t="e">
        <f t="shared" si="0"/>
        <v>#VALUE!</v>
      </c>
      <c r="E80" s="6" t="s">
        <v>317</v>
      </c>
      <c r="F80" s="7">
        <v>185</v>
      </c>
      <c r="G80" s="6" t="s">
        <v>17</v>
      </c>
      <c r="H80" s="8">
        <v>875</v>
      </c>
      <c r="I80" s="9">
        <v>895</v>
      </c>
      <c r="J80" s="10" t="s">
        <v>318</v>
      </c>
      <c r="K80" s="9" t="s">
        <v>319</v>
      </c>
      <c r="L80" s="9" t="s">
        <v>320</v>
      </c>
      <c r="M80" s="9" t="s">
        <v>321</v>
      </c>
      <c r="N80" s="9" t="s">
        <v>322</v>
      </c>
      <c r="O80" s="6">
        <f t="shared" si="2"/>
        <v>372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.75" x14ac:dyDescent="0.2">
      <c r="A81" s="4" t="s">
        <v>14</v>
      </c>
      <c r="B81" s="5" t="s">
        <v>281</v>
      </c>
      <c r="C81" s="4">
        <v>10</v>
      </c>
      <c r="D81" s="6" t="e">
        <f t="shared" si="0"/>
        <v>#VALUE!</v>
      </c>
      <c r="E81" s="6" t="s">
        <v>323</v>
      </c>
      <c r="F81" s="7">
        <v>200</v>
      </c>
      <c r="G81" s="6" t="s">
        <v>17</v>
      </c>
      <c r="H81" s="8">
        <v>950</v>
      </c>
      <c r="I81" s="9">
        <v>970</v>
      </c>
      <c r="J81" s="10" t="s">
        <v>324</v>
      </c>
      <c r="K81" s="9" t="s">
        <v>325</v>
      </c>
      <c r="L81" s="9" t="s">
        <v>326</v>
      </c>
      <c r="M81" s="9" t="s">
        <v>327</v>
      </c>
      <c r="N81" s="9" t="s">
        <v>328</v>
      </c>
      <c r="O81" s="6">
        <f t="shared" si="2"/>
        <v>402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.75" x14ac:dyDescent="0.2">
      <c r="A82" s="4" t="s">
        <v>14</v>
      </c>
      <c r="B82" s="5" t="s">
        <v>329</v>
      </c>
      <c r="C82" s="4">
        <v>1</v>
      </c>
      <c r="D82" s="6" t="e">
        <f t="shared" si="0"/>
        <v>#VALUE!</v>
      </c>
      <c r="E82" s="6" t="s">
        <v>330</v>
      </c>
      <c r="F82" s="7">
        <v>152</v>
      </c>
      <c r="G82" s="6" t="s">
        <v>21</v>
      </c>
      <c r="H82" s="11" t="s">
        <v>331</v>
      </c>
      <c r="I82" s="9" t="s">
        <v>124</v>
      </c>
      <c r="J82" s="9">
        <v>975</v>
      </c>
      <c r="K82" s="9" t="s">
        <v>261</v>
      </c>
      <c r="L82" s="9">
        <v>750</v>
      </c>
      <c r="M82" s="9" t="s">
        <v>332</v>
      </c>
      <c r="N82" s="9" t="s">
        <v>333</v>
      </c>
      <c r="O82" s="6">
        <f t="shared" si="2"/>
        <v>765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.75" x14ac:dyDescent="0.2">
      <c r="A83" s="4" t="s">
        <v>14</v>
      </c>
      <c r="B83" s="5" t="s">
        <v>329</v>
      </c>
      <c r="C83" s="4">
        <v>2</v>
      </c>
      <c r="D83" s="6" t="e">
        <f t="shared" si="0"/>
        <v>#VALUE!</v>
      </c>
      <c r="E83" s="6" t="s">
        <v>334</v>
      </c>
      <c r="F83" s="7">
        <v>156</v>
      </c>
      <c r="G83" s="6" t="s">
        <v>17</v>
      </c>
      <c r="H83" s="8">
        <v>730</v>
      </c>
      <c r="I83" s="9">
        <v>750</v>
      </c>
      <c r="J83" s="10" t="s">
        <v>335</v>
      </c>
      <c r="K83" s="9" t="s">
        <v>261</v>
      </c>
      <c r="L83" s="9" t="s">
        <v>336</v>
      </c>
      <c r="M83" s="9" t="s">
        <v>337</v>
      </c>
      <c r="N83" s="9" t="s">
        <v>338</v>
      </c>
      <c r="O83" s="6">
        <f t="shared" si="2"/>
        <v>314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.75" x14ac:dyDescent="0.2">
      <c r="A84" s="4" t="s">
        <v>14</v>
      </c>
      <c r="B84" s="5" t="s">
        <v>329</v>
      </c>
      <c r="C84" s="4">
        <v>3</v>
      </c>
      <c r="D84" s="6" t="e">
        <f t="shared" si="0"/>
        <v>#VALUE!</v>
      </c>
      <c r="E84" s="6" t="s">
        <v>296</v>
      </c>
      <c r="F84" s="7">
        <v>160</v>
      </c>
      <c r="G84" s="6" t="s">
        <v>28</v>
      </c>
      <c r="H84" s="8">
        <v>770</v>
      </c>
      <c r="I84" s="10" t="s">
        <v>335</v>
      </c>
      <c r="J84" s="9">
        <v>760</v>
      </c>
      <c r="K84" s="9" t="s">
        <v>264</v>
      </c>
      <c r="L84" s="9" t="s">
        <v>308</v>
      </c>
      <c r="M84" s="9" t="s">
        <v>339</v>
      </c>
      <c r="N84" s="9" t="s">
        <v>340</v>
      </c>
      <c r="O84" s="6">
        <f t="shared" si="2"/>
        <v>644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.75" x14ac:dyDescent="0.2">
      <c r="A85" s="4" t="s">
        <v>14</v>
      </c>
      <c r="B85" s="5" t="s">
        <v>329</v>
      </c>
      <c r="C85" s="4">
        <v>4</v>
      </c>
      <c r="D85" s="6" t="e">
        <f t="shared" si="0"/>
        <v>#VALUE!</v>
      </c>
      <c r="E85" s="6" t="s">
        <v>341</v>
      </c>
      <c r="F85" s="7">
        <v>162</v>
      </c>
      <c r="G85" s="6" t="s">
        <v>21</v>
      </c>
      <c r="H85" s="11" t="s">
        <v>342</v>
      </c>
      <c r="I85" s="9" t="s">
        <v>343</v>
      </c>
      <c r="J85" s="9" t="s">
        <v>237</v>
      </c>
      <c r="K85" s="9" t="s">
        <v>271</v>
      </c>
      <c r="L85" s="9">
        <v>800</v>
      </c>
      <c r="M85" s="9" t="s">
        <v>344</v>
      </c>
      <c r="N85" s="9" t="s">
        <v>345</v>
      </c>
      <c r="O85" s="6">
        <f t="shared" si="2"/>
        <v>815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.75" x14ac:dyDescent="0.2">
      <c r="A86" s="4" t="s">
        <v>14</v>
      </c>
      <c r="B86" s="5" t="s">
        <v>329</v>
      </c>
      <c r="C86" s="4">
        <v>5</v>
      </c>
      <c r="D86" s="6" t="e">
        <f t="shared" si="0"/>
        <v>#VALUE!</v>
      </c>
      <c r="E86" s="6" t="s">
        <v>16</v>
      </c>
      <c r="F86" s="7">
        <v>166</v>
      </c>
      <c r="G86" s="6" t="s">
        <v>17</v>
      </c>
      <c r="H86" s="8">
        <v>780</v>
      </c>
      <c r="I86" s="9">
        <v>800</v>
      </c>
      <c r="J86" s="10" t="s">
        <v>275</v>
      </c>
      <c r="K86" s="9" t="s">
        <v>271</v>
      </c>
      <c r="L86" s="9" t="s">
        <v>346</v>
      </c>
      <c r="M86" s="9" t="s">
        <v>347</v>
      </c>
      <c r="N86" s="9" t="s">
        <v>348</v>
      </c>
      <c r="O86" s="6">
        <f t="shared" si="2"/>
        <v>334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.75" x14ac:dyDescent="0.2">
      <c r="A87" s="4" t="s">
        <v>14</v>
      </c>
      <c r="B87" s="5" t="s">
        <v>329</v>
      </c>
      <c r="C87" s="4">
        <v>6</v>
      </c>
      <c r="D87" s="6" t="e">
        <f t="shared" si="0"/>
        <v>#VALUE!</v>
      </c>
      <c r="E87" s="6" t="s">
        <v>349</v>
      </c>
      <c r="F87" s="7">
        <v>174</v>
      </c>
      <c r="G87" s="6" t="s">
        <v>21</v>
      </c>
      <c r="H87" s="11" t="s">
        <v>350</v>
      </c>
      <c r="I87" s="9" t="s">
        <v>346</v>
      </c>
      <c r="J87" s="9" t="s">
        <v>351</v>
      </c>
      <c r="K87" s="9" t="s">
        <v>335</v>
      </c>
      <c r="L87" s="9">
        <v>860</v>
      </c>
      <c r="M87" s="9" t="s">
        <v>352</v>
      </c>
      <c r="N87" s="9" t="s">
        <v>353</v>
      </c>
      <c r="O87" s="6">
        <f t="shared" si="2"/>
        <v>875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.75" x14ac:dyDescent="0.2">
      <c r="A88" s="4" t="s">
        <v>14</v>
      </c>
      <c r="B88" s="5" t="s">
        <v>329</v>
      </c>
      <c r="C88" s="4">
        <v>7</v>
      </c>
      <c r="D88" s="6" t="e">
        <f t="shared" si="0"/>
        <v>#VALUE!</v>
      </c>
      <c r="E88" s="6" t="s">
        <v>354</v>
      </c>
      <c r="F88" s="7">
        <v>176</v>
      </c>
      <c r="G88" s="6" t="s">
        <v>28</v>
      </c>
      <c r="H88" s="8">
        <v>850</v>
      </c>
      <c r="I88" s="10" t="s">
        <v>355</v>
      </c>
      <c r="J88" s="9">
        <v>840</v>
      </c>
      <c r="K88" s="9" t="s">
        <v>342</v>
      </c>
      <c r="L88" s="9" t="s">
        <v>356</v>
      </c>
      <c r="M88" s="9" t="s">
        <v>357</v>
      </c>
      <c r="N88" s="9" t="s">
        <v>358</v>
      </c>
      <c r="O88" s="6">
        <f t="shared" si="2"/>
        <v>708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.75" x14ac:dyDescent="0.2">
      <c r="A89" s="4" t="s">
        <v>14</v>
      </c>
      <c r="B89" s="5" t="s">
        <v>329</v>
      </c>
      <c r="C89" s="4">
        <v>8</v>
      </c>
      <c r="D89" s="6" t="e">
        <f t="shared" si="0"/>
        <v>#VALUE!</v>
      </c>
      <c r="E89" s="6" t="s">
        <v>359</v>
      </c>
      <c r="F89" s="7">
        <v>178</v>
      </c>
      <c r="G89" s="6" t="s">
        <v>28</v>
      </c>
      <c r="H89" s="8">
        <v>860</v>
      </c>
      <c r="I89" s="10" t="s">
        <v>360</v>
      </c>
      <c r="J89" s="9">
        <v>850</v>
      </c>
      <c r="K89" s="9" t="s">
        <v>297</v>
      </c>
      <c r="L89" s="9" t="s">
        <v>361</v>
      </c>
      <c r="M89" s="9" t="s">
        <v>362</v>
      </c>
      <c r="N89" s="9" t="s">
        <v>363</v>
      </c>
      <c r="O89" s="6">
        <f t="shared" si="2"/>
        <v>716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.75" x14ac:dyDescent="0.2">
      <c r="A90" s="4" t="s">
        <v>14</v>
      </c>
      <c r="B90" s="5" t="s">
        <v>329</v>
      </c>
      <c r="C90" s="4">
        <v>9</v>
      </c>
      <c r="D90" s="6" t="e">
        <f t="shared" si="0"/>
        <v>#VALUE!</v>
      </c>
      <c r="E90" s="6" t="s">
        <v>34</v>
      </c>
      <c r="F90" s="7">
        <v>190</v>
      </c>
      <c r="G90" s="6" t="s">
        <v>17</v>
      </c>
      <c r="H90" s="8">
        <v>900</v>
      </c>
      <c r="I90" s="9">
        <v>920</v>
      </c>
      <c r="J90" s="10" t="s">
        <v>364</v>
      </c>
      <c r="K90" s="9" t="s">
        <v>302</v>
      </c>
      <c r="L90" s="9" t="s">
        <v>365</v>
      </c>
      <c r="M90" s="9" t="s">
        <v>366</v>
      </c>
      <c r="N90" s="9" t="s">
        <v>367</v>
      </c>
      <c r="O90" s="6">
        <f t="shared" si="2"/>
        <v>382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.75" x14ac:dyDescent="0.2">
      <c r="A91" s="4" t="s">
        <v>14</v>
      </c>
      <c r="B91" s="5" t="s">
        <v>329</v>
      </c>
      <c r="C91" s="4">
        <v>10</v>
      </c>
      <c r="D91" s="6" t="e">
        <f t="shared" si="0"/>
        <v>#VALUE!</v>
      </c>
      <c r="E91" s="6" t="s">
        <v>368</v>
      </c>
      <c r="F91" s="7"/>
      <c r="G91" s="6" t="s">
        <v>368</v>
      </c>
      <c r="H91" s="8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6" t="e">
        <f t="shared" si="2"/>
        <v>#DIV/0!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.75" x14ac:dyDescent="0.2">
      <c r="A92" s="4" t="s">
        <v>14</v>
      </c>
      <c r="B92" s="5" t="s">
        <v>369</v>
      </c>
      <c r="C92" s="4">
        <v>1</v>
      </c>
      <c r="D92" s="6" t="e">
        <f t="shared" si="0"/>
        <v>#VALUE!</v>
      </c>
      <c r="E92" s="6" t="s">
        <v>370</v>
      </c>
      <c r="F92" s="7">
        <v>205</v>
      </c>
      <c r="G92" s="6" t="s">
        <v>28</v>
      </c>
      <c r="H92" s="8">
        <v>995</v>
      </c>
      <c r="I92" s="10" t="s">
        <v>371</v>
      </c>
      <c r="J92" s="9">
        <v>985</v>
      </c>
      <c r="K92" s="9" t="s">
        <v>372</v>
      </c>
      <c r="L92" s="9" t="s">
        <v>373</v>
      </c>
      <c r="M92" s="9" t="s">
        <v>374</v>
      </c>
      <c r="N92" s="9" t="s">
        <v>375</v>
      </c>
      <c r="O92" s="6">
        <f t="shared" si="2"/>
        <v>824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.75" x14ac:dyDescent="0.2">
      <c r="A93" s="4" t="s">
        <v>14</v>
      </c>
      <c r="B93" s="5" t="s">
        <v>369</v>
      </c>
      <c r="C93" s="4">
        <v>2</v>
      </c>
      <c r="D93" s="6" t="e">
        <f t="shared" si="0"/>
        <v>#VALUE!</v>
      </c>
      <c r="E93" s="6" t="s">
        <v>376</v>
      </c>
      <c r="F93" s="7">
        <v>210</v>
      </c>
      <c r="G93" s="6" t="s">
        <v>21</v>
      </c>
      <c r="H93" s="11" t="s">
        <v>377</v>
      </c>
      <c r="I93" s="9" t="s">
        <v>378</v>
      </c>
      <c r="J93" s="9" t="s">
        <v>379</v>
      </c>
      <c r="K93" s="9" t="s">
        <v>380</v>
      </c>
      <c r="L93" s="9" t="s">
        <v>381</v>
      </c>
      <c r="M93" s="9" t="s">
        <v>382</v>
      </c>
      <c r="N93" s="9" t="s">
        <v>383</v>
      </c>
      <c r="O93" s="6">
        <f t="shared" si="2"/>
        <v>1055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.75" x14ac:dyDescent="0.2">
      <c r="A94" s="4" t="s">
        <v>14</v>
      </c>
      <c r="B94" s="5" t="s">
        <v>369</v>
      </c>
      <c r="C94" s="4">
        <v>3</v>
      </c>
      <c r="D94" s="6" t="e">
        <f t="shared" si="0"/>
        <v>#VALUE!</v>
      </c>
      <c r="E94" s="6" t="s">
        <v>384</v>
      </c>
      <c r="F94" s="7">
        <v>215</v>
      </c>
      <c r="G94" s="6" t="s">
        <v>21</v>
      </c>
      <c r="H94" s="11" t="s">
        <v>385</v>
      </c>
      <c r="I94" s="9" t="s">
        <v>386</v>
      </c>
      <c r="J94" s="9" t="s">
        <v>387</v>
      </c>
      <c r="K94" s="9" t="s">
        <v>388</v>
      </c>
      <c r="L94" s="9" t="s">
        <v>389</v>
      </c>
      <c r="M94" s="9" t="s">
        <v>390</v>
      </c>
      <c r="N94" s="9" t="s">
        <v>391</v>
      </c>
      <c r="O94" s="6">
        <f t="shared" si="2"/>
        <v>1080</v>
      </c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.75" x14ac:dyDescent="0.2">
      <c r="A95" s="4" t="s">
        <v>14</v>
      </c>
      <c r="B95" s="5" t="s">
        <v>369</v>
      </c>
      <c r="C95" s="4">
        <v>4</v>
      </c>
      <c r="D95" s="6" t="e">
        <f t="shared" si="0"/>
        <v>#VALUE!</v>
      </c>
      <c r="E95" s="6" t="s">
        <v>392</v>
      </c>
      <c r="F95" s="7">
        <v>220</v>
      </c>
      <c r="G95" s="6" t="s">
        <v>21</v>
      </c>
      <c r="H95" s="11" t="s">
        <v>393</v>
      </c>
      <c r="I95" s="9" t="s">
        <v>394</v>
      </c>
      <c r="J95" s="9" t="s">
        <v>395</v>
      </c>
      <c r="K95" s="9" t="s">
        <v>396</v>
      </c>
      <c r="L95" s="9" t="s">
        <v>237</v>
      </c>
      <c r="M95" s="9" t="s">
        <v>397</v>
      </c>
      <c r="N95" s="9" t="s">
        <v>398</v>
      </c>
      <c r="O95" s="6">
        <f t="shared" si="2"/>
        <v>1105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.75" x14ac:dyDescent="0.2">
      <c r="A96" s="4" t="s">
        <v>14</v>
      </c>
      <c r="B96" s="5" t="s">
        <v>369</v>
      </c>
      <c r="C96" s="4">
        <v>5</v>
      </c>
      <c r="D96" s="6" t="e">
        <f t="shared" si="0"/>
        <v>#VALUE!</v>
      </c>
      <c r="E96" s="6" t="s">
        <v>399</v>
      </c>
      <c r="F96" s="7">
        <v>225</v>
      </c>
      <c r="G96" s="6" t="s">
        <v>28</v>
      </c>
      <c r="H96" s="8" t="s">
        <v>400</v>
      </c>
      <c r="I96" s="10" t="s">
        <v>401</v>
      </c>
      <c r="J96" s="9" t="s">
        <v>402</v>
      </c>
      <c r="K96" s="9" t="s">
        <v>403</v>
      </c>
      <c r="L96" s="9" t="s">
        <v>404</v>
      </c>
      <c r="M96" s="9" t="s">
        <v>405</v>
      </c>
      <c r="N96" s="9" t="s">
        <v>406</v>
      </c>
      <c r="O96" s="6">
        <f t="shared" si="2"/>
        <v>904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.75" x14ac:dyDescent="0.2">
      <c r="A97" s="4" t="s">
        <v>14</v>
      </c>
      <c r="B97" s="5" t="s">
        <v>369</v>
      </c>
      <c r="C97" s="4">
        <v>6</v>
      </c>
      <c r="D97" s="6" t="e">
        <f t="shared" si="0"/>
        <v>#VALUE!</v>
      </c>
      <c r="E97" s="6" t="s">
        <v>407</v>
      </c>
      <c r="F97" s="7">
        <v>230</v>
      </c>
      <c r="G97" s="6" t="s">
        <v>28</v>
      </c>
      <c r="H97" s="8" t="s">
        <v>102</v>
      </c>
      <c r="I97" s="10" t="s">
        <v>408</v>
      </c>
      <c r="J97" s="9" t="s">
        <v>277</v>
      </c>
      <c r="K97" s="9" t="s">
        <v>409</v>
      </c>
      <c r="L97" s="9" t="s">
        <v>410</v>
      </c>
      <c r="M97" s="9" t="s">
        <v>411</v>
      </c>
      <c r="N97" s="9" t="s">
        <v>412</v>
      </c>
      <c r="O97" s="6">
        <f t="shared" si="2"/>
        <v>924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.75" x14ac:dyDescent="0.2">
      <c r="A98" s="4" t="s">
        <v>14</v>
      </c>
      <c r="B98" s="5" t="s">
        <v>369</v>
      </c>
      <c r="C98" s="4">
        <v>7</v>
      </c>
      <c r="D98" s="6" t="e">
        <f t="shared" si="0"/>
        <v>#VALUE!</v>
      </c>
      <c r="E98" s="6" t="s">
        <v>180</v>
      </c>
      <c r="F98" s="7">
        <v>235</v>
      </c>
      <c r="G98" s="6" t="s">
        <v>17</v>
      </c>
      <c r="H98" s="8" t="s">
        <v>308</v>
      </c>
      <c r="I98" s="9" t="s">
        <v>413</v>
      </c>
      <c r="J98" s="10" t="s">
        <v>414</v>
      </c>
      <c r="K98" s="9" t="s">
        <v>415</v>
      </c>
      <c r="L98" s="9" t="s">
        <v>416</v>
      </c>
      <c r="M98" s="9" t="s">
        <v>417</v>
      </c>
      <c r="N98" s="9" t="s">
        <v>418</v>
      </c>
      <c r="O98" s="6">
        <f t="shared" si="2"/>
        <v>472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.75" x14ac:dyDescent="0.2">
      <c r="A99" s="4" t="s">
        <v>14</v>
      </c>
      <c r="B99" s="5" t="s">
        <v>369</v>
      </c>
      <c r="C99" s="4">
        <v>8</v>
      </c>
      <c r="D99" s="6" t="e">
        <f t="shared" si="0"/>
        <v>#VALUE!</v>
      </c>
      <c r="E99" s="6" t="s">
        <v>384</v>
      </c>
      <c r="F99" s="7">
        <v>240</v>
      </c>
      <c r="G99" s="6" t="s">
        <v>21</v>
      </c>
      <c r="H99" s="11" t="s">
        <v>419</v>
      </c>
      <c r="I99" s="9" t="s">
        <v>420</v>
      </c>
      <c r="J99" s="9" t="s">
        <v>421</v>
      </c>
      <c r="K99" s="9" t="s">
        <v>422</v>
      </c>
      <c r="L99" s="9" t="s">
        <v>423</v>
      </c>
      <c r="M99" s="9" t="s">
        <v>424</v>
      </c>
      <c r="N99" s="9" t="s">
        <v>425</v>
      </c>
      <c r="O99" s="6">
        <f t="shared" si="2"/>
        <v>1205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.75" x14ac:dyDescent="0.2">
      <c r="A100" s="4" t="s">
        <v>14</v>
      </c>
      <c r="B100" s="5" t="s">
        <v>369</v>
      </c>
      <c r="C100" s="4">
        <v>9</v>
      </c>
      <c r="D100" s="6" t="e">
        <f t="shared" si="0"/>
        <v>#VALUE!</v>
      </c>
      <c r="E100" s="6" t="s">
        <v>255</v>
      </c>
      <c r="F100" s="7">
        <v>245</v>
      </c>
      <c r="G100" s="6" t="s">
        <v>21</v>
      </c>
      <c r="H100" s="11" t="s">
        <v>426</v>
      </c>
      <c r="I100" s="9" t="s">
        <v>427</v>
      </c>
      <c r="J100" s="9" t="s">
        <v>116</v>
      </c>
      <c r="K100" s="9" t="s">
        <v>428</v>
      </c>
      <c r="L100" s="9" t="s">
        <v>307</v>
      </c>
      <c r="M100" s="9" t="s">
        <v>429</v>
      </c>
      <c r="N100" s="9" t="s">
        <v>430</v>
      </c>
      <c r="O100" s="6">
        <f t="shared" si="2"/>
        <v>1230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.75" x14ac:dyDescent="0.2">
      <c r="A101" s="4" t="s">
        <v>14</v>
      </c>
      <c r="B101" s="5" t="s">
        <v>369</v>
      </c>
      <c r="C101" s="4">
        <v>10</v>
      </c>
      <c r="D101" s="6" t="e">
        <f t="shared" si="0"/>
        <v>#VALUE!</v>
      </c>
      <c r="E101" s="6" t="s">
        <v>431</v>
      </c>
      <c r="F101" s="7">
        <v>250</v>
      </c>
      <c r="G101" s="6" t="s">
        <v>21</v>
      </c>
      <c r="H101" s="11" t="s">
        <v>432</v>
      </c>
      <c r="I101" s="9" t="s">
        <v>433</v>
      </c>
      <c r="J101" s="9" t="s">
        <v>434</v>
      </c>
      <c r="K101" s="9" t="s">
        <v>435</v>
      </c>
      <c r="L101" s="9" t="s">
        <v>436</v>
      </c>
      <c r="M101" s="9" t="s">
        <v>437</v>
      </c>
      <c r="N101" s="9" t="s">
        <v>438</v>
      </c>
      <c r="O101" s="6">
        <f t="shared" si="2"/>
        <v>1255</v>
      </c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.75" x14ac:dyDescent="0.2">
      <c r="A102" s="4" t="s">
        <v>14</v>
      </c>
      <c r="B102" s="5" t="s">
        <v>439</v>
      </c>
      <c r="C102" s="4">
        <v>1</v>
      </c>
      <c r="D102" s="6" t="e">
        <f t="shared" si="0"/>
        <v>#VALUE!</v>
      </c>
      <c r="E102" s="6" t="s">
        <v>440</v>
      </c>
      <c r="F102" s="7">
        <v>255</v>
      </c>
      <c r="G102" s="6" t="s">
        <v>21</v>
      </c>
      <c r="H102" s="11" t="s">
        <v>441</v>
      </c>
      <c r="I102" s="9" t="s">
        <v>442</v>
      </c>
      <c r="J102" s="9" t="s">
        <v>443</v>
      </c>
      <c r="K102" s="9" t="s">
        <v>444</v>
      </c>
      <c r="L102" s="9" t="s">
        <v>445</v>
      </c>
      <c r="M102" s="9" t="s">
        <v>446</v>
      </c>
      <c r="N102" s="9" t="s">
        <v>447</v>
      </c>
      <c r="O102" s="6">
        <f t="shared" si="2"/>
        <v>1280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.75" x14ac:dyDescent="0.2">
      <c r="A103" s="4" t="s">
        <v>14</v>
      </c>
      <c r="B103" s="5" t="s">
        <v>439</v>
      </c>
      <c r="C103" s="4">
        <v>2</v>
      </c>
      <c r="D103" s="6" t="e">
        <f t="shared" si="0"/>
        <v>#VALUE!</v>
      </c>
      <c r="E103" s="6" t="s">
        <v>448</v>
      </c>
      <c r="F103" s="7">
        <v>260</v>
      </c>
      <c r="G103" s="6" t="s">
        <v>28</v>
      </c>
      <c r="H103" s="8" t="s">
        <v>449</v>
      </c>
      <c r="I103" s="10" t="s">
        <v>450</v>
      </c>
      <c r="J103" s="9" t="s">
        <v>361</v>
      </c>
      <c r="K103" s="9" t="s">
        <v>451</v>
      </c>
      <c r="L103" s="9" t="s">
        <v>452</v>
      </c>
      <c r="M103" s="9" t="s">
        <v>453</v>
      </c>
      <c r="N103" s="9" t="s">
        <v>454</v>
      </c>
      <c r="O103" s="6">
        <f t="shared" si="2"/>
        <v>1044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.75" x14ac:dyDescent="0.2">
      <c r="A104" s="4" t="s">
        <v>14</v>
      </c>
      <c r="B104" s="5" t="s">
        <v>439</v>
      </c>
      <c r="C104" s="4">
        <v>3</v>
      </c>
      <c r="D104" s="6" t="e">
        <f t="shared" si="0"/>
        <v>#VALUE!</v>
      </c>
      <c r="E104" s="6" t="s">
        <v>455</v>
      </c>
      <c r="F104" s="7">
        <v>265</v>
      </c>
      <c r="G104" s="6" t="s">
        <v>21</v>
      </c>
      <c r="H104" s="11" t="s">
        <v>456</v>
      </c>
      <c r="I104" s="9" t="s">
        <v>457</v>
      </c>
      <c r="J104" s="9" t="s">
        <v>458</v>
      </c>
      <c r="K104" s="9" t="s">
        <v>459</v>
      </c>
      <c r="L104" s="9" t="s">
        <v>460</v>
      </c>
      <c r="M104" s="9" t="s">
        <v>461</v>
      </c>
      <c r="N104" s="9" t="s">
        <v>462</v>
      </c>
      <c r="O104" s="6">
        <f t="shared" si="2"/>
        <v>1330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.75" x14ac:dyDescent="0.2">
      <c r="A105" s="4" t="s">
        <v>14</v>
      </c>
      <c r="B105" s="5" t="s">
        <v>439</v>
      </c>
      <c r="C105" s="4">
        <v>4</v>
      </c>
      <c r="D105" s="6" t="e">
        <f t="shared" si="0"/>
        <v>#VALUE!</v>
      </c>
      <c r="E105" s="6" t="s">
        <v>463</v>
      </c>
      <c r="F105" s="7">
        <v>270</v>
      </c>
      <c r="G105" s="6" t="s">
        <v>21</v>
      </c>
      <c r="H105" s="11" t="s">
        <v>464</v>
      </c>
      <c r="I105" s="9" t="s">
        <v>177</v>
      </c>
      <c r="J105" s="9" t="s">
        <v>465</v>
      </c>
      <c r="K105" s="9" t="s">
        <v>466</v>
      </c>
      <c r="L105" s="9" t="s">
        <v>467</v>
      </c>
      <c r="M105" s="9" t="s">
        <v>468</v>
      </c>
      <c r="N105" s="9" t="s">
        <v>469</v>
      </c>
      <c r="O105" s="6">
        <f t="shared" si="2"/>
        <v>1355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.75" x14ac:dyDescent="0.2">
      <c r="A106" s="4" t="s">
        <v>14</v>
      </c>
      <c r="B106" s="5" t="s">
        <v>439</v>
      </c>
      <c r="C106" s="4">
        <v>5</v>
      </c>
      <c r="D106" s="6" t="e">
        <f t="shared" si="0"/>
        <v>#VALUE!</v>
      </c>
      <c r="E106" s="6" t="s">
        <v>470</v>
      </c>
      <c r="F106" s="7">
        <v>275</v>
      </c>
      <c r="G106" s="6" t="s">
        <v>17</v>
      </c>
      <c r="H106" s="8" t="s">
        <v>471</v>
      </c>
      <c r="I106" s="9" t="s">
        <v>472</v>
      </c>
      <c r="J106" s="10" t="s">
        <v>473</v>
      </c>
      <c r="K106" s="9" t="s">
        <v>474</v>
      </c>
      <c r="L106" s="9" t="s">
        <v>475</v>
      </c>
      <c r="M106" s="9" t="s">
        <v>476</v>
      </c>
      <c r="N106" s="9" t="s">
        <v>477</v>
      </c>
      <c r="O106" s="6">
        <f t="shared" si="2"/>
        <v>552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.75" x14ac:dyDescent="0.2">
      <c r="A107" s="4" t="s">
        <v>14</v>
      </c>
      <c r="B107" s="5" t="s">
        <v>439</v>
      </c>
      <c r="C107" s="4">
        <v>6</v>
      </c>
      <c r="D107" s="6" t="e">
        <f t="shared" si="0"/>
        <v>#VALUE!</v>
      </c>
      <c r="E107" s="6" t="s">
        <v>478</v>
      </c>
      <c r="F107" s="7">
        <v>280</v>
      </c>
      <c r="G107" s="6" t="s">
        <v>28</v>
      </c>
      <c r="H107" s="8" t="s">
        <v>479</v>
      </c>
      <c r="I107" s="10" t="s">
        <v>480</v>
      </c>
      <c r="J107" s="9" t="s">
        <v>106</v>
      </c>
      <c r="K107" s="9" t="s">
        <v>481</v>
      </c>
      <c r="L107" s="9" t="s">
        <v>482</v>
      </c>
      <c r="M107" s="9" t="s">
        <v>483</v>
      </c>
      <c r="N107" s="9" t="s">
        <v>484</v>
      </c>
      <c r="O107" s="6">
        <f t="shared" si="2"/>
        <v>1124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.75" x14ac:dyDescent="0.2">
      <c r="A108" s="4" t="s">
        <v>14</v>
      </c>
      <c r="B108" s="5" t="s">
        <v>439</v>
      </c>
      <c r="C108" s="4">
        <v>7</v>
      </c>
      <c r="D108" s="6" t="e">
        <f t="shared" si="0"/>
        <v>#VALUE!</v>
      </c>
      <c r="E108" s="6" t="s">
        <v>485</v>
      </c>
      <c r="F108" s="7">
        <v>285</v>
      </c>
      <c r="G108" s="6" t="s">
        <v>21</v>
      </c>
      <c r="H108" s="11" t="s">
        <v>486</v>
      </c>
      <c r="I108" s="9" t="s">
        <v>487</v>
      </c>
      <c r="J108" s="9" t="s">
        <v>213</v>
      </c>
      <c r="K108" s="9" t="s">
        <v>488</v>
      </c>
      <c r="L108" s="9" t="s">
        <v>489</v>
      </c>
      <c r="M108" s="9" t="s">
        <v>490</v>
      </c>
      <c r="N108" s="9" t="s">
        <v>491</v>
      </c>
      <c r="O108" s="6">
        <f t="shared" si="2"/>
        <v>1430</v>
      </c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.75" x14ac:dyDescent="0.2">
      <c r="A109" s="4" t="s">
        <v>14</v>
      </c>
      <c r="B109" s="5" t="s">
        <v>439</v>
      </c>
      <c r="C109" s="4">
        <v>8</v>
      </c>
      <c r="D109" s="6" t="e">
        <f t="shared" si="0"/>
        <v>#VALUE!</v>
      </c>
      <c r="E109" s="6" t="s">
        <v>492</v>
      </c>
      <c r="F109" s="7">
        <v>290</v>
      </c>
      <c r="G109" s="6" t="s">
        <v>28</v>
      </c>
      <c r="H109" s="8" t="s">
        <v>378</v>
      </c>
      <c r="I109" s="10" t="s">
        <v>493</v>
      </c>
      <c r="J109" s="9" t="s">
        <v>326</v>
      </c>
      <c r="K109" s="9" t="s">
        <v>494</v>
      </c>
      <c r="L109" s="9" t="s">
        <v>495</v>
      </c>
      <c r="M109" s="9" t="s">
        <v>496</v>
      </c>
      <c r="N109" s="9" t="s">
        <v>497</v>
      </c>
      <c r="O109" s="6">
        <f t="shared" si="2"/>
        <v>1164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.75" x14ac:dyDescent="0.2">
      <c r="A110" s="4" t="s">
        <v>14</v>
      </c>
      <c r="B110" s="5" t="s">
        <v>439</v>
      </c>
      <c r="C110" s="4">
        <v>9</v>
      </c>
      <c r="D110" s="6" t="e">
        <f t="shared" si="0"/>
        <v>#VALUE!</v>
      </c>
      <c r="E110" s="6" t="s">
        <v>498</v>
      </c>
      <c r="F110" s="7">
        <v>295</v>
      </c>
      <c r="G110" s="6" t="s">
        <v>17</v>
      </c>
      <c r="H110" s="8" t="s">
        <v>499</v>
      </c>
      <c r="I110" s="9" t="s">
        <v>500</v>
      </c>
      <c r="J110" s="10" t="s">
        <v>501</v>
      </c>
      <c r="K110" s="9" t="s">
        <v>502</v>
      </c>
      <c r="L110" s="9" t="s">
        <v>503</v>
      </c>
      <c r="M110" s="9" t="s">
        <v>504</v>
      </c>
      <c r="N110" s="9" t="s">
        <v>505</v>
      </c>
      <c r="O110" s="6">
        <f t="shared" si="2"/>
        <v>592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.75" x14ac:dyDescent="0.2">
      <c r="A111" s="4" t="s">
        <v>14</v>
      </c>
      <c r="B111" s="5" t="s">
        <v>439</v>
      </c>
      <c r="C111" s="4">
        <v>10</v>
      </c>
      <c r="D111" s="6" t="e">
        <f t="shared" si="0"/>
        <v>#VALUE!</v>
      </c>
      <c r="E111" s="6" t="s">
        <v>506</v>
      </c>
      <c r="F111" s="7">
        <v>300</v>
      </c>
      <c r="G111" s="6" t="s">
        <v>21</v>
      </c>
      <c r="H111" s="11" t="s">
        <v>507</v>
      </c>
      <c r="I111" s="9" t="s">
        <v>508</v>
      </c>
      <c r="J111" s="9" t="s">
        <v>509</v>
      </c>
      <c r="K111" s="9" t="s">
        <v>510</v>
      </c>
      <c r="L111" s="9" t="s">
        <v>479</v>
      </c>
      <c r="M111" s="9" t="s">
        <v>511</v>
      </c>
      <c r="N111" s="9" t="s">
        <v>512</v>
      </c>
      <c r="O111" s="6">
        <f t="shared" si="2"/>
        <v>1580.4316546762591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.75" x14ac:dyDescent="0.2">
      <c r="A112" s="4" t="s">
        <v>14</v>
      </c>
      <c r="B112" s="5" t="s">
        <v>513</v>
      </c>
      <c r="C112" s="4">
        <v>1</v>
      </c>
      <c r="D112" s="6" t="e">
        <f t="shared" si="0"/>
        <v>#VALUE!</v>
      </c>
      <c r="E112" s="6" t="s">
        <v>514</v>
      </c>
      <c r="F112" s="7">
        <v>305</v>
      </c>
      <c r="G112" s="6" t="s">
        <v>17</v>
      </c>
      <c r="H112" s="8" t="s">
        <v>515</v>
      </c>
      <c r="I112" s="9" t="s">
        <v>516</v>
      </c>
      <c r="J112" s="10" t="s">
        <v>517</v>
      </c>
      <c r="K112" s="9" t="s">
        <v>518</v>
      </c>
      <c r="L112" s="9" t="s">
        <v>519</v>
      </c>
      <c r="M112" s="9" t="s">
        <v>520</v>
      </c>
      <c r="N112" s="9" t="s">
        <v>521</v>
      </c>
      <c r="O112" s="6">
        <f t="shared" si="2"/>
        <v>612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.75" x14ac:dyDescent="0.2">
      <c r="A113" s="4" t="s">
        <v>14</v>
      </c>
      <c r="B113" s="5" t="s">
        <v>513</v>
      </c>
      <c r="C113" s="4">
        <v>2</v>
      </c>
      <c r="D113" s="6" t="e">
        <f t="shared" si="0"/>
        <v>#VALUE!</v>
      </c>
      <c r="E113" s="6" t="s">
        <v>522</v>
      </c>
      <c r="F113" s="7">
        <v>310</v>
      </c>
      <c r="G113" s="6" t="s">
        <v>17</v>
      </c>
      <c r="H113" s="8" t="s">
        <v>523</v>
      </c>
      <c r="I113" s="9" t="s">
        <v>141</v>
      </c>
      <c r="J113" s="10" t="s">
        <v>524</v>
      </c>
      <c r="K113" s="9" t="s">
        <v>525</v>
      </c>
      <c r="L113" s="9" t="s">
        <v>526</v>
      </c>
      <c r="M113" s="9" t="s">
        <v>527</v>
      </c>
      <c r="N113" s="9" t="s">
        <v>528</v>
      </c>
      <c r="O113" s="6">
        <f t="shared" si="2"/>
        <v>622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.75" x14ac:dyDescent="0.2">
      <c r="A114" s="4" t="s">
        <v>14</v>
      </c>
      <c r="B114" s="5" t="s">
        <v>513</v>
      </c>
      <c r="C114" s="4">
        <v>3</v>
      </c>
      <c r="D114" s="6" t="e">
        <f t="shared" si="0"/>
        <v>#VALUE!</v>
      </c>
      <c r="E114" s="6" t="s">
        <v>529</v>
      </c>
      <c r="F114" s="7">
        <v>315</v>
      </c>
      <c r="G114" s="6" t="s">
        <v>21</v>
      </c>
      <c r="H114" s="11" t="s">
        <v>530</v>
      </c>
      <c r="I114" s="9" t="s">
        <v>531</v>
      </c>
      <c r="J114" s="9" t="s">
        <v>532</v>
      </c>
      <c r="K114" s="9" t="s">
        <v>533</v>
      </c>
      <c r="L114" s="9" t="s">
        <v>534</v>
      </c>
      <c r="M114" s="9" t="s">
        <v>535</v>
      </c>
      <c r="N114" s="9" t="s">
        <v>536</v>
      </c>
      <c r="O114" s="6">
        <f t="shared" si="2"/>
        <v>1580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.75" x14ac:dyDescent="0.2">
      <c r="A115" s="4" t="s">
        <v>14</v>
      </c>
      <c r="B115" s="5" t="s">
        <v>513</v>
      </c>
      <c r="C115" s="4">
        <v>4</v>
      </c>
      <c r="D115" s="6" t="e">
        <f t="shared" si="0"/>
        <v>#VALUE!</v>
      </c>
      <c r="E115" s="6" t="s">
        <v>537</v>
      </c>
      <c r="F115" s="7">
        <v>320</v>
      </c>
      <c r="G115" s="6" t="s">
        <v>28</v>
      </c>
      <c r="H115" s="8" t="s">
        <v>538</v>
      </c>
      <c r="I115" s="10" t="s">
        <v>539</v>
      </c>
      <c r="J115" s="9" t="s">
        <v>111</v>
      </c>
      <c r="K115" s="9" t="s">
        <v>540</v>
      </c>
      <c r="L115" s="9" t="s">
        <v>534</v>
      </c>
      <c r="M115" s="9" t="s">
        <v>541</v>
      </c>
      <c r="N115" s="9" t="s">
        <v>542</v>
      </c>
      <c r="O115" s="6">
        <f t="shared" si="2"/>
        <v>1284</v>
      </c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.75" x14ac:dyDescent="0.2">
      <c r="A116" s="4" t="s">
        <v>14</v>
      </c>
      <c r="B116" s="5" t="s">
        <v>513</v>
      </c>
      <c r="C116" s="4">
        <v>5</v>
      </c>
      <c r="D116" s="6" t="e">
        <f t="shared" si="0"/>
        <v>#VALUE!</v>
      </c>
      <c r="E116" s="6" t="s">
        <v>543</v>
      </c>
      <c r="F116" s="7">
        <v>325</v>
      </c>
      <c r="G116" s="6" t="s">
        <v>17</v>
      </c>
      <c r="H116" s="8" t="s">
        <v>544</v>
      </c>
      <c r="I116" s="9" t="s">
        <v>545</v>
      </c>
      <c r="J116" s="10" t="s">
        <v>546</v>
      </c>
      <c r="K116" s="9" t="s">
        <v>547</v>
      </c>
      <c r="L116" s="9" t="s">
        <v>548</v>
      </c>
      <c r="M116" s="9" t="s">
        <v>549</v>
      </c>
      <c r="N116" s="9" t="s">
        <v>550</v>
      </c>
      <c r="O116" s="6">
        <f t="shared" si="2"/>
        <v>652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.75" x14ac:dyDescent="0.2">
      <c r="A117" s="4" t="s">
        <v>14</v>
      </c>
      <c r="B117" s="5" t="s">
        <v>513</v>
      </c>
      <c r="C117" s="4">
        <v>6</v>
      </c>
      <c r="D117" s="6" t="e">
        <f t="shared" si="0"/>
        <v>#VALUE!</v>
      </c>
      <c r="E117" s="6" t="s">
        <v>551</v>
      </c>
      <c r="F117" s="7">
        <v>330</v>
      </c>
      <c r="G117" s="6" t="s">
        <v>21</v>
      </c>
      <c r="H117" s="11" t="s">
        <v>552</v>
      </c>
      <c r="I117" s="9" t="s">
        <v>553</v>
      </c>
      <c r="J117" s="9" t="s">
        <v>554</v>
      </c>
      <c r="K117" s="9" t="s">
        <v>555</v>
      </c>
      <c r="L117" s="9" t="s">
        <v>394</v>
      </c>
      <c r="M117" s="9" t="s">
        <v>556</v>
      </c>
      <c r="N117" s="9" t="s">
        <v>557</v>
      </c>
      <c r="O117" s="6">
        <f t="shared" si="2"/>
        <v>1655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.75" x14ac:dyDescent="0.2">
      <c r="A118" s="4" t="s">
        <v>14</v>
      </c>
      <c r="B118" s="5" t="s">
        <v>513</v>
      </c>
      <c r="C118" s="4">
        <v>7</v>
      </c>
      <c r="D118" s="6" t="e">
        <f t="shared" si="0"/>
        <v>#VALUE!</v>
      </c>
      <c r="E118" s="6" t="s">
        <v>558</v>
      </c>
      <c r="F118" s="7">
        <v>335</v>
      </c>
      <c r="G118" s="6" t="s">
        <v>28</v>
      </c>
      <c r="H118" s="8" t="s">
        <v>410</v>
      </c>
      <c r="I118" s="10" t="s">
        <v>559</v>
      </c>
      <c r="J118" s="9" t="s">
        <v>560</v>
      </c>
      <c r="K118" s="9" t="s">
        <v>561</v>
      </c>
      <c r="L118" s="9" t="s">
        <v>252</v>
      </c>
      <c r="M118" s="9" t="s">
        <v>562</v>
      </c>
      <c r="N118" s="9" t="s">
        <v>563</v>
      </c>
      <c r="O118" s="6">
        <f t="shared" si="2"/>
        <v>1344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.75" x14ac:dyDescent="0.2">
      <c r="A119" s="4" t="s">
        <v>14</v>
      </c>
      <c r="B119" s="5" t="s">
        <v>513</v>
      </c>
      <c r="C119" s="4">
        <v>8</v>
      </c>
      <c r="D119" s="6" t="e">
        <f t="shared" si="0"/>
        <v>#VALUE!</v>
      </c>
      <c r="E119" s="6" t="s">
        <v>564</v>
      </c>
      <c r="F119" s="7">
        <v>340</v>
      </c>
      <c r="G119" s="6" t="s">
        <v>21</v>
      </c>
      <c r="H119" s="11" t="s">
        <v>565</v>
      </c>
      <c r="I119" s="9" t="s">
        <v>566</v>
      </c>
      <c r="J119" s="9" t="s">
        <v>567</v>
      </c>
      <c r="K119" s="9" t="s">
        <v>568</v>
      </c>
      <c r="L119" s="9" t="s">
        <v>569</v>
      </c>
      <c r="M119" s="9" t="s">
        <v>570</v>
      </c>
      <c r="N119" s="9" t="s">
        <v>571</v>
      </c>
      <c r="O119" s="6">
        <f t="shared" si="2"/>
        <v>1705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.75" x14ac:dyDescent="0.2">
      <c r="A120" s="4" t="s">
        <v>14</v>
      </c>
      <c r="B120" s="5" t="s">
        <v>513</v>
      </c>
      <c r="C120" s="4">
        <v>9</v>
      </c>
      <c r="D120" s="6" t="e">
        <f t="shared" si="0"/>
        <v>#VALUE!</v>
      </c>
      <c r="E120" s="6" t="s">
        <v>572</v>
      </c>
      <c r="F120" s="7">
        <v>345</v>
      </c>
      <c r="G120" s="6" t="s">
        <v>21</v>
      </c>
      <c r="H120" s="11" t="s">
        <v>573</v>
      </c>
      <c r="I120" s="9" t="s">
        <v>574</v>
      </c>
      <c r="J120" s="9" t="s">
        <v>575</v>
      </c>
      <c r="K120" s="9" t="s">
        <v>576</v>
      </c>
      <c r="L120" s="9" t="s">
        <v>577</v>
      </c>
      <c r="M120" s="9" t="s">
        <v>578</v>
      </c>
      <c r="N120" s="9" t="s">
        <v>579</v>
      </c>
      <c r="O120" s="6">
        <f t="shared" si="2"/>
        <v>1730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.75" x14ac:dyDescent="0.2">
      <c r="A121" s="4" t="s">
        <v>14</v>
      </c>
      <c r="B121" s="5" t="s">
        <v>513</v>
      </c>
      <c r="C121" s="4">
        <v>10</v>
      </c>
      <c r="D121" s="6" t="e">
        <f t="shared" si="0"/>
        <v>#VALUE!</v>
      </c>
      <c r="E121" s="6" t="s">
        <v>580</v>
      </c>
      <c r="F121" s="7">
        <v>350</v>
      </c>
      <c r="G121" s="6" t="s">
        <v>21</v>
      </c>
      <c r="H121" s="11" t="s">
        <v>581</v>
      </c>
      <c r="I121" s="9" t="s">
        <v>221</v>
      </c>
      <c r="J121" s="9" t="s">
        <v>582</v>
      </c>
      <c r="K121" s="9" t="s">
        <v>583</v>
      </c>
      <c r="L121" s="9" t="s">
        <v>538</v>
      </c>
      <c r="M121" s="9" t="s">
        <v>584</v>
      </c>
      <c r="N121" s="9" t="s">
        <v>585</v>
      </c>
      <c r="O121" s="6">
        <f t="shared" si="2"/>
        <v>1755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.75" x14ac:dyDescent="0.2">
      <c r="A122" s="12" t="s">
        <v>14</v>
      </c>
      <c r="B122" s="13" t="s">
        <v>586</v>
      </c>
      <c r="C122" s="12">
        <v>1</v>
      </c>
      <c r="D122" s="14" t="e">
        <f t="shared" si="0"/>
        <v>#VALUE!</v>
      </c>
      <c r="E122" s="14" t="s">
        <v>587</v>
      </c>
      <c r="F122" s="15">
        <v>210</v>
      </c>
      <c r="G122" s="14" t="s">
        <v>28</v>
      </c>
      <c r="H122" s="8" t="s">
        <v>588</v>
      </c>
      <c r="I122" s="11" t="s">
        <v>589</v>
      </c>
      <c r="J122" s="8" t="s">
        <v>588</v>
      </c>
      <c r="K122" s="8" t="s">
        <v>590</v>
      </c>
      <c r="L122" s="8" t="s">
        <v>588</v>
      </c>
      <c r="M122" s="8" t="s">
        <v>591</v>
      </c>
      <c r="N122" s="8" t="s">
        <v>383</v>
      </c>
      <c r="O122" s="6">
        <f t="shared" si="2"/>
        <v>1523.8095238095239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ht="12.75" x14ac:dyDescent="0.2">
      <c r="A123" s="12" t="s">
        <v>14</v>
      </c>
      <c r="B123" s="13" t="s">
        <v>586</v>
      </c>
      <c r="C123" s="12">
        <v>2</v>
      </c>
      <c r="D123" s="14" t="e">
        <f t="shared" si="0"/>
        <v>#VALUE!</v>
      </c>
      <c r="E123" s="14" t="s">
        <v>592</v>
      </c>
      <c r="F123" s="15">
        <v>213</v>
      </c>
      <c r="G123" s="14" t="s">
        <v>21</v>
      </c>
      <c r="H123" s="11" t="s">
        <v>583</v>
      </c>
      <c r="I123" s="8" t="s">
        <v>302</v>
      </c>
      <c r="J123" s="8" t="s">
        <v>302</v>
      </c>
      <c r="K123" s="8" t="s">
        <v>593</v>
      </c>
      <c r="L123" s="8" t="s">
        <v>302</v>
      </c>
      <c r="M123" s="8" t="s">
        <v>594</v>
      </c>
      <c r="N123" s="8" t="s">
        <v>595</v>
      </c>
      <c r="O123" s="6">
        <f t="shared" si="2"/>
        <v>1708.3333333333333</v>
      </c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ht="12.75" x14ac:dyDescent="0.2">
      <c r="A124" s="12" t="s">
        <v>14</v>
      </c>
      <c r="B124" s="13" t="s">
        <v>586</v>
      </c>
      <c r="C124" s="12">
        <v>3</v>
      </c>
      <c r="D124" s="14" t="e">
        <f t="shared" si="0"/>
        <v>#VALUE!</v>
      </c>
      <c r="E124" s="14" t="s">
        <v>596</v>
      </c>
      <c r="F124" s="15">
        <v>216</v>
      </c>
      <c r="G124" s="14" t="s">
        <v>17</v>
      </c>
      <c r="H124" s="8" t="s">
        <v>597</v>
      </c>
      <c r="I124" s="8" t="s">
        <v>597</v>
      </c>
      <c r="J124" s="11" t="s">
        <v>598</v>
      </c>
      <c r="K124" s="8" t="s">
        <v>599</v>
      </c>
      <c r="L124" s="8" t="s">
        <v>597</v>
      </c>
      <c r="M124" s="8" t="s">
        <v>600</v>
      </c>
      <c r="N124" s="8" t="s">
        <v>601</v>
      </c>
      <c r="O124" s="6">
        <f t="shared" si="2"/>
        <v>1851.851851851852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12.75" x14ac:dyDescent="0.2">
      <c r="A125" s="12" t="s">
        <v>14</v>
      </c>
      <c r="B125" s="13" t="s">
        <v>586</v>
      </c>
      <c r="C125" s="12">
        <v>4</v>
      </c>
      <c r="D125" s="14" t="e">
        <f t="shared" si="0"/>
        <v>#VALUE!</v>
      </c>
      <c r="E125" s="14" t="s">
        <v>602</v>
      </c>
      <c r="F125" s="15">
        <v>219</v>
      </c>
      <c r="G125" s="14" t="s">
        <v>28</v>
      </c>
      <c r="H125" s="8" t="s">
        <v>603</v>
      </c>
      <c r="I125" s="11" t="s">
        <v>604</v>
      </c>
      <c r="J125" s="8" t="s">
        <v>603</v>
      </c>
      <c r="K125" s="8" t="s">
        <v>605</v>
      </c>
      <c r="L125" s="8" t="s">
        <v>603</v>
      </c>
      <c r="M125" s="8" t="s">
        <v>606</v>
      </c>
      <c r="N125" s="8" t="s">
        <v>607</v>
      </c>
      <c r="O125" s="6">
        <f t="shared" si="2"/>
        <v>1966.6666666666667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ht="12.75" x14ac:dyDescent="0.2">
      <c r="A126" s="12" t="s">
        <v>14</v>
      </c>
      <c r="B126" s="13" t="s">
        <v>586</v>
      </c>
      <c r="C126" s="12">
        <v>5</v>
      </c>
      <c r="D126" s="14" t="e">
        <f t="shared" si="0"/>
        <v>#VALUE!</v>
      </c>
      <c r="E126" s="14" t="s">
        <v>608</v>
      </c>
      <c r="F126" s="15">
        <v>222</v>
      </c>
      <c r="G126" s="14" t="s">
        <v>28</v>
      </c>
      <c r="H126" s="8" t="s">
        <v>609</v>
      </c>
      <c r="I126" s="11" t="s">
        <v>610</v>
      </c>
      <c r="J126" s="8" t="s">
        <v>609</v>
      </c>
      <c r="K126" s="8" t="s">
        <v>611</v>
      </c>
      <c r="L126" s="8" t="s">
        <v>609</v>
      </c>
      <c r="M126" s="8" t="s">
        <v>612</v>
      </c>
      <c r="N126" s="8" t="s">
        <v>613</v>
      </c>
      <c r="O126" s="6">
        <f t="shared" si="2"/>
        <v>2060.6060606060605</v>
      </c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ht="12.75" x14ac:dyDescent="0.2">
      <c r="A127" s="12" t="s">
        <v>14</v>
      </c>
      <c r="B127" s="13" t="s">
        <v>586</v>
      </c>
      <c r="C127" s="12">
        <v>6</v>
      </c>
      <c r="D127" s="14" t="e">
        <f t="shared" si="0"/>
        <v>#VALUE!</v>
      </c>
      <c r="E127" s="14" t="s">
        <v>614</v>
      </c>
      <c r="F127" s="15">
        <v>225</v>
      </c>
      <c r="G127" s="14" t="s">
        <v>28</v>
      </c>
      <c r="H127" s="8" t="s">
        <v>615</v>
      </c>
      <c r="I127" s="11">
        <v>8000</v>
      </c>
      <c r="J127" s="8" t="s">
        <v>615</v>
      </c>
      <c r="K127" s="8" t="s">
        <v>616</v>
      </c>
      <c r="L127" s="8" t="s">
        <v>615</v>
      </c>
      <c r="M127" s="8" t="s">
        <v>617</v>
      </c>
      <c r="N127" s="8" t="s">
        <v>618</v>
      </c>
      <c r="O127" s="6">
        <f t="shared" si="2"/>
        <v>2138.8888888888887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12.75" x14ac:dyDescent="0.2">
      <c r="A128" s="12" t="s">
        <v>14</v>
      </c>
      <c r="B128" s="13" t="s">
        <v>586</v>
      </c>
      <c r="C128" s="12">
        <v>7</v>
      </c>
      <c r="D128" s="14" t="e">
        <f t="shared" si="0"/>
        <v>#VALUE!</v>
      </c>
      <c r="E128" s="14" t="s">
        <v>619</v>
      </c>
      <c r="F128" s="15">
        <v>228</v>
      </c>
      <c r="G128" s="14" t="s">
        <v>21</v>
      </c>
      <c r="H128" s="11" t="s">
        <v>620</v>
      </c>
      <c r="I128" s="8" t="s">
        <v>415</v>
      </c>
      <c r="J128" s="8" t="s">
        <v>415</v>
      </c>
      <c r="K128" s="8" t="s">
        <v>621</v>
      </c>
      <c r="L128" s="8" t="s">
        <v>415</v>
      </c>
      <c r="M128" s="8" t="s">
        <v>622</v>
      </c>
      <c r="N128" s="8" t="s">
        <v>623</v>
      </c>
      <c r="O128" s="6">
        <f t="shared" si="2"/>
        <v>2205.1282051282051</v>
      </c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ht="12.75" x14ac:dyDescent="0.2">
      <c r="A129" s="12" t="s">
        <v>14</v>
      </c>
      <c r="B129" s="13" t="s">
        <v>586</v>
      </c>
      <c r="C129" s="12">
        <v>8</v>
      </c>
      <c r="D129" s="14" t="e">
        <f t="shared" si="0"/>
        <v>#VALUE!</v>
      </c>
      <c r="E129" s="14" t="s">
        <v>624</v>
      </c>
      <c r="F129" s="15">
        <v>231</v>
      </c>
      <c r="G129" s="14" t="s">
        <v>21</v>
      </c>
      <c r="H129" s="11" t="s">
        <v>625</v>
      </c>
      <c r="I129" s="8" t="s">
        <v>422</v>
      </c>
      <c r="J129" s="8" t="s">
        <v>422</v>
      </c>
      <c r="K129" s="8" t="s">
        <v>626</v>
      </c>
      <c r="L129" s="8" t="s">
        <v>422</v>
      </c>
      <c r="M129" s="8" t="s">
        <v>627</v>
      </c>
      <c r="N129" s="8" t="s">
        <v>628</v>
      </c>
      <c r="O129" s="6">
        <f t="shared" si="2"/>
        <v>2261.9047619047619</v>
      </c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ht="12.75" x14ac:dyDescent="0.2">
      <c r="A130" s="12" t="s">
        <v>14</v>
      </c>
      <c r="B130" s="13" t="s">
        <v>586</v>
      </c>
      <c r="C130" s="12">
        <v>9</v>
      </c>
      <c r="D130" s="14" t="e">
        <f t="shared" si="0"/>
        <v>#VALUE!</v>
      </c>
      <c r="E130" s="14" t="s">
        <v>629</v>
      </c>
      <c r="F130" s="15">
        <v>234</v>
      </c>
      <c r="G130" s="14" t="s">
        <v>28</v>
      </c>
      <c r="H130" s="8" t="s">
        <v>630</v>
      </c>
      <c r="I130" s="11" t="s">
        <v>631</v>
      </c>
      <c r="J130" s="8" t="s">
        <v>630</v>
      </c>
      <c r="K130" s="8" t="s">
        <v>632</v>
      </c>
      <c r="L130" s="8" t="s">
        <v>630</v>
      </c>
      <c r="M130" s="8" t="s">
        <v>633</v>
      </c>
      <c r="N130" s="8" t="s">
        <v>634</v>
      </c>
      <c r="O130" s="6">
        <f t="shared" si="2"/>
        <v>2311.1111111111113</v>
      </c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ht="12.75" x14ac:dyDescent="0.2">
      <c r="A131" s="12" t="s">
        <v>14</v>
      </c>
      <c r="B131" s="13" t="s">
        <v>586</v>
      </c>
      <c r="C131" s="12">
        <v>10</v>
      </c>
      <c r="D131" s="14" t="e">
        <f t="shared" si="0"/>
        <v>#VALUE!</v>
      </c>
      <c r="E131" s="14" t="s">
        <v>635</v>
      </c>
      <c r="F131" s="15">
        <v>240</v>
      </c>
      <c r="G131" s="14" t="s">
        <v>17</v>
      </c>
      <c r="H131" s="8" t="s">
        <v>636</v>
      </c>
      <c r="I131" s="8" t="s">
        <v>636</v>
      </c>
      <c r="J131" s="11" t="s">
        <v>637</v>
      </c>
      <c r="K131" s="8" t="s">
        <v>638</v>
      </c>
      <c r="L131" s="8" t="s">
        <v>636</v>
      </c>
      <c r="M131" s="8" t="s">
        <v>639</v>
      </c>
      <c r="N131" s="8" t="s">
        <v>425</v>
      </c>
      <c r="O131" s="6">
        <f t="shared" ref="O131:O194" si="3">M131/K131</f>
        <v>2392.1568627450979</v>
      </c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ht="12.75" x14ac:dyDescent="0.2">
      <c r="A132" s="12" t="s">
        <v>14</v>
      </c>
      <c r="B132" s="13" t="s">
        <v>640</v>
      </c>
      <c r="C132" s="12">
        <v>1</v>
      </c>
      <c r="D132" s="14" t="e">
        <f t="shared" si="0"/>
        <v>#VALUE!</v>
      </c>
      <c r="E132" s="14" t="s">
        <v>641</v>
      </c>
      <c r="F132" s="15">
        <v>240</v>
      </c>
      <c r="G132" s="14" t="s">
        <v>17</v>
      </c>
      <c r="H132" s="8" t="s">
        <v>636</v>
      </c>
      <c r="I132" s="8" t="s">
        <v>636</v>
      </c>
      <c r="J132" s="11" t="s">
        <v>637</v>
      </c>
      <c r="K132" s="8" t="s">
        <v>638</v>
      </c>
      <c r="L132" s="8" t="s">
        <v>636</v>
      </c>
      <c r="M132" s="8" t="s">
        <v>639</v>
      </c>
      <c r="N132" s="8" t="s">
        <v>425</v>
      </c>
      <c r="O132" s="6">
        <f t="shared" si="3"/>
        <v>2392.1568627450979</v>
      </c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x14ac:dyDescent="0.2">
      <c r="A133" s="12" t="s">
        <v>14</v>
      </c>
      <c r="B133" s="13" t="s">
        <v>640</v>
      </c>
      <c r="C133" s="12">
        <v>2</v>
      </c>
      <c r="D133" s="14" t="e">
        <f t="shared" si="0"/>
        <v>#VALUE!</v>
      </c>
      <c r="E133" s="14" t="s">
        <v>642</v>
      </c>
      <c r="F133" s="15">
        <v>243</v>
      </c>
      <c r="G133" s="14" t="s">
        <v>21</v>
      </c>
      <c r="H133" s="11" t="s">
        <v>643</v>
      </c>
      <c r="I133" s="8" t="s">
        <v>644</v>
      </c>
      <c r="J133" s="8" t="s">
        <v>644</v>
      </c>
      <c r="K133" s="8" t="s">
        <v>645</v>
      </c>
      <c r="L133" s="8" t="s">
        <v>644</v>
      </c>
      <c r="M133" s="8" t="s">
        <v>646</v>
      </c>
      <c r="N133" s="8" t="s">
        <v>647</v>
      </c>
      <c r="O133" s="6">
        <f t="shared" si="3"/>
        <v>2425.9259259259261</v>
      </c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x14ac:dyDescent="0.2">
      <c r="A134" s="12" t="s">
        <v>14</v>
      </c>
      <c r="B134" s="13" t="s">
        <v>640</v>
      </c>
      <c r="C134" s="12">
        <v>3</v>
      </c>
      <c r="D134" s="14" t="e">
        <f t="shared" si="0"/>
        <v>#VALUE!</v>
      </c>
      <c r="E134" s="14" t="s">
        <v>648</v>
      </c>
      <c r="F134" s="15">
        <v>246</v>
      </c>
      <c r="G134" s="14" t="s">
        <v>21</v>
      </c>
      <c r="H134" s="11" t="s">
        <v>649</v>
      </c>
      <c r="I134" s="8" t="s">
        <v>488</v>
      </c>
      <c r="J134" s="8" t="s">
        <v>488</v>
      </c>
      <c r="K134" s="8" t="s">
        <v>650</v>
      </c>
      <c r="L134" s="8" t="s">
        <v>488</v>
      </c>
      <c r="M134" s="8" t="s">
        <v>651</v>
      </c>
      <c r="N134" s="8" t="s">
        <v>652</v>
      </c>
      <c r="O134" s="6">
        <f t="shared" si="3"/>
        <v>2456.1403508771928</v>
      </c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x14ac:dyDescent="0.2">
      <c r="A135" s="12" t="s">
        <v>14</v>
      </c>
      <c r="B135" s="13" t="s">
        <v>640</v>
      </c>
      <c r="C135" s="12">
        <v>4</v>
      </c>
      <c r="D135" s="14" t="e">
        <f t="shared" si="0"/>
        <v>#VALUE!</v>
      </c>
      <c r="E135" s="14" t="s">
        <v>653</v>
      </c>
      <c r="F135" s="15">
        <v>249</v>
      </c>
      <c r="G135" s="14" t="s">
        <v>21</v>
      </c>
      <c r="H135" s="11" t="s">
        <v>654</v>
      </c>
      <c r="I135" s="8" t="s">
        <v>480</v>
      </c>
      <c r="J135" s="8" t="s">
        <v>480</v>
      </c>
      <c r="K135" s="8" t="s">
        <v>655</v>
      </c>
      <c r="L135" s="8" t="s">
        <v>480</v>
      </c>
      <c r="M135" s="8" t="s">
        <v>656</v>
      </c>
      <c r="N135" s="8" t="s">
        <v>657</v>
      </c>
      <c r="O135" s="6">
        <f t="shared" si="3"/>
        <v>2483.3333333333335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x14ac:dyDescent="0.2">
      <c r="A136" s="12" t="s">
        <v>14</v>
      </c>
      <c r="B136" s="13" t="s">
        <v>640</v>
      </c>
      <c r="C136" s="12">
        <v>5</v>
      </c>
      <c r="D136" s="14" t="e">
        <f t="shared" si="0"/>
        <v>#VALUE!</v>
      </c>
      <c r="E136" s="14" t="s">
        <v>658</v>
      </c>
      <c r="F136" s="15">
        <v>252</v>
      </c>
      <c r="G136" s="14" t="s">
        <v>28</v>
      </c>
      <c r="H136" s="8" t="s">
        <v>659</v>
      </c>
      <c r="I136" s="11" t="s">
        <v>660</v>
      </c>
      <c r="J136" s="8" t="s">
        <v>659</v>
      </c>
      <c r="K136" s="8" t="s">
        <v>661</v>
      </c>
      <c r="L136" s="8" t="s">
        <v>659</v>
      </c>
      <c r="M136" s="8" t="s">
        <v>662</v>
      </c>
      <c r="N136" s="8" t="s">
        <v>663</v>
      </c>
      <c r="O136" s="6">
        <f t="shared" si="3"/>
        <v>2507.936507936508</v>
      </c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x14ac:dyDescent="0.2">
      <c r="A137" s="12" t="s">
        <v>14</v>
      </c>
      <c r="B137" s="13" t="s">
        <v>640</v>
      </c>
      <c r="C137" s="12">
        <v>6</v>
      </c>
      <c r="D137" s="14" t="e">
        <f t="shared" si="0"/>
        <v>#VALUE!</v>
      </c>
      <c r="E137" s="14" t="s">
        <v>664</v>
      </c>
      <c r="F137" s="15">
        <v>255</v>
      </c>
      <c r="G137" s="14" t="s">
        <v>17</v>
      </c>
      <c r="H137" s="8" t="s">
        <v>665</v>
      </c>
      <c r="I137" s="8" t="s">
        <v>665</v>
      </c>
      <c r="J137" s="11" t="s">
        <v>666</v>
      </c>
      <c r="K137" s="8" t="s">
        <v>667</v>
      </c>
      <c r="L137" s="8" t="s">
        <v>665</v>
      </c>
      <c r="M137" s="8" t="s">
        <v>668</v>
      </c>
      <c r="N137" s="8" t="s">
        <v>447</v>
      </c>
      <c r="O137" s="6">
        <f t="shared" si="3"/>
        <v>2530.3030303030305</v>
      </c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x14ac:dyDescent="0.2">
      <c r="A138" s="12" t="s">
        <v>14</v>
      </c>
      <c r="B138" s="13" t="s">
        <v>640</v>
      </c>
      <c r="C138" s="12">
        <v>7</v>
      </c>
      <c r="D138" s="14" t="e">
        <f t="shared" si="0"/>
        <v>#VALUE!</v>
      </c>
      <c r="E138" s="14" t="s">
        <v>669</v>
      </c>
      <c r="F138" s="15">
        <v>258</v>
      </c>
      <c r="G138" s="14" t="s">
        <v>28</v>
      </c>
      <c r="H138" s="8" t="s">
        <v>547</v>
      </c>
      <c r="I138" s="11" t="s">
        <v>670</v>
      </c>
      <c r="J138" s="8" t="s">
        <v>547</v>
      </c>
      <c r="K138" s="8" t="s">
        <v>671</v>
      </c>
      <c r="L138" s="8" t="s">
        <v>547</v>
      </c>
      <c r="M138" s="8" t="s">
        <v>672</v>
      </c>
      <c r="N138" s="8" t="s">
        <v>673</v>
      </c>
      <c r="O138" s="6">
        <f t="shared" si="3"/>
        <v>2550.7246376811595</v>
      </c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x14ac:dyDescent="0.2">
      <c r="A139" s="12" t="s">
        <v>14</v>
      </c>
      <c r="B139" s="13" t="s">
        <v>640</v>
      </c>
      <c r="C139" s="12">
        <v>8</v>
      </c>
      <c r="D139" s="14" t="e">
        <f t="shared" si="0"/>
        <v>#VALUE!</v>
      </c>
      <c r="E139" s="14" t="s">
        <v>674</v>
      </c>
      <c r="F139" s="15">
        <v>261</v>
      </c>
      <c r="G139" s="14" t="s">
        <v>17</v>
      </c>
      <c r="H139" s="8" t="s">
        <v>555</v>
      </c>
      <c r="I139" s="8" t="s">
        <v>555</v>
      </c>
      <c r="J139" s="11" t="s">
        <v>675</v>
      </c>
      <c r="K139" s="8" t="s">
        <v>676</v>
      </c>
      <c r="L139" s="8" t="s">
        <v>555</v>
      </c>
      <c r="M139" s="8" t="s">
        <v>677</v>
      </c>
      <c r="N139" s="8" t="s">
        <v>678</v>
      </c>
      <c r="O139" s="6">
        <f t="shared" si="3"/>
        <v>2569.4444444444443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x14ac:dyDescent="0.2">
      <c r="A140" s="12" t="s">
        <v>14</v>
      </c>
      <c r="B140" s="13" t="s">
        <v>640</v>
      </c>
      <c r="C140" s="12">
        <v>9</v>
      </c>
      <c r="D140" s="14" t="e">
        <f t="shared" si="0"/>
        <v>#VALUE!</v>
      </c>
      <c r="E140" s="14" t="s">
        <v>679</v>
      </c>
      <c r="F140" s="15">
        <v>264</v>
      </c>
      <c r="G140" s="14" t="s">
        <v>17</v>
      </c>
      <c r="H140" s="8" t="s">
        <v>680</v>
      </c>
      <c r="I140" s="8" t="s">
        <v>680</v>
      </c>
      <c r="J140" s="11" t="s">
        <v>681</v>
      </c>
      <c r="K140" s="8" t="s">
        <v>682</v>
      </c>
      <c r="L140" s="8" t="s">
        <v>680</v>
      </c>
      <c r="M140" s="8" t="s">
        <v>683</v>
      </c>
      <c r="N140" s="8" t="s">
        <v>684</v>
      </c>
      <c r="O140" s="6">
        <f t="shared" si="3"/>
        <v>2586.6666666666665</v>
      </c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x14ac:dyDescent="0.2">
      <c r="A141" s="12" t="s">
        <v>14</v>
      </c>
      <c r="B141" s="13" t="s">
        <v>640</v>
      </c>
      <c r="C141" s="12">
        <v>10</v>
      </c>
      <c r="D141" s="14" t="e">
        <f t="shared" si="0"/>
        <v>#VALUE!</v>
      </c>
      <c r="E141" s="14" t="s">
        <v>685</v>
      </c>
      <c r="F141" s="15">
        <v>270</v>
      </c>
      <c r="G141" s="14" t="s">
        <v>28</v>
      </c>
      <c r="H141" s="8" t="s">
        <v>686</v>
      </c>
      <c r="I141" s="11" t="s">
        <v>687</v>
      </c>
      <c r="J141" s="8" t="s">
        <v>686</v>
      </c>
      <c r="K141" s="8" t="s">
        <v>688</v>
      </c>
      <c r="L141" s="8" t="s">
        <v>686</v>
      </c>
      <c r="M141" s="8" t="s">
        <v>689</v>
      </c>
      <c r="N141" s="8" t="s">
        <v>469</v>
      </c>
      <c r="O141" s="6">
        <f t="shared" si="3"/>
        <v>2617.2839506172841</v>
      </c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x14ac:dyDescent="0.2">
      <c r="A142" s="4" t="s">
        <v>14</v>
      </c>
      <c r="B142" s="5" t="s">
        <v>690</v>
      </c>
      <c r="C142" s="4">
        <v>1</v>
      </c>
      <c r="D142" s="6" t="e">
        <f t="shared" si="0"/>
        <v>#VALUE!</v>
      </c>
      <c r="E142" s="6" t="s">
        <v>691</v>
      </c>
      <c r="F142" s="7">
        <v>355</v>
      </c>
      <c r="G142" s="6" t="s">
        <v>21</v>
      </c>
      <c r="H142" s="11" t="s">
        <v>692</v>
      </c>
      <c r="I142" s="9" t="s">
        <v>693</v>
      </c>
      <c r="J142" s="9" t="s">
        <v>694</v>
      </c>
      <c r="K142" s="9" t="s">
        <v>695</v>
      </c>
      <c r="L142" s="9" t="s">
        <v>696</v>
      </c>
      <c r="M142" s="9" t="s">
        <v>697</v>
      </c>
      <c r="N142" s="9" t="s">
        <v>698</v>
      </c>
      <c r="O142" s="6">
        <f t="shared" si="3"/>
        <v>1780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.75" x14ac:dyDescent="0.2">
      <c r="A143" s="4" t="s">
        <v>14</v>
      </c>
      <c r="B143" s="5" t="s">
        <v>690</v>
      </c>
      <c r="C143" s="4">
        <v>2</v>
      </c>
      <c r="D143" s="6" t="e">
        <f t="shared" si="0"/>
        <v>#VALUE!</v>
      </c>
      <c r="E143" s="6" t="s">
        <v>699</v>
      </c>
      <c r="F143" s="7">
        <v>360</v>
      </c>
      <c r="G143" s="6" t="s">
        <v>17</v>
      </c>
      <c r="H143" s="8" t="s">
        <v>700</v>
      </c>
      <c r="I143" s="9" t="s">
        <v>701</v>
      </c>
      <c r="J143" s="10" t="s">
        <v>702</v>
      </c>
      <c r="K143" s="9" t="s">
        <v>703</v>
      </c>
      <c r="L143" s="9" t="s">
        <v>704</v>
      </c>
      <c r="M143" s="9" t="s">
        <v>705</v>
      </c>
      <c r="N143" s="9" t="s">
        <v>706</v>
      </c>
      <c r="O143" s="6">
        <f t="shared" si="3"/>
        <v>722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.75" x14ac:dyDescent="0.2">
      <c r="A144" s="4" t="s">
        <v>14</v>
      </c>
      <c r="B144" s="5" t="s">
        <v>690</v>
      </c>
      <c r="C144" s="4">
        <v>3</v>
      </c>
      <c r="D144" s="6" t="e">
        <f t="shared" si="0"/>
        <v>#VALUE!</v>
      </c>
      <c r="E144" s="6" t="s">
        <v>707</v>
      </c>
      <c r="F144" s="7">
        <v>365</v>
      </c>
      <c r="G144" s="6" t="s">
        <v>21</v>
      </c>
      <c r="H144" s="11" t="s">
        <v>708</v>
      </c>
      <c r="I144" s="9" t="s">
        <v>709</v>
      </c>
      <c r="J144" s="9" t="s">
        <v>710</v>
      </c>
      <c r="K144" s="9" t="s">
        <v>711</v>
      </c>
      <c r="L144" s="9" t="s">
        <v>712</v>
      </c>
      <c r="M144" s="9" t="s">
        <v>713</v>
      </c>
      <c r="N144" s="9" t="s">
        <v>714</v>
      </c>
      <c r="O144" s="6">
        <f t="shared" si="3"/>
        <v>1830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.75" x14ac:dyDescent="0.2">
      <c r="A145" s="4" t="s">
        <v>14</v>
      </c>
      <c r="B145" s="5" t="s">
        <v>690</v>
      </c>
      <c r="C145" s="4">
        <v>4</v>
      </c>
      <c r="D145" s="6" t="e">
        <f t="shared" si="0"/>
        <v>#VALUE!</v>
      </c>
      <c r="E145" s="6" t="s">
        <v>715</v>
      </c>
      <c r="F145" s="7">
        <v>370</v>
      </c>
      <c r="G145" s="6" t="s">
        <v>17</v>
      </c>
      <c r="H145" s="8" t="s">
        <v>194</v>
      </c>
      <c r="I145" s="9" t="s">
        <v>526</v>
      </c>
      <c r="J145" s="10" t="s">
        <v>716</v>
      </c>
      <c r="K145" s="9" t="s">
        <v>717</v>
      </c>
      <c r="L145" s="9" t="s">
        <v>718</v>
      </c>
      <c r="M145" s="9" t="s">
        <v>719</v>
      </c>
      <c r="N145" s="9" t="s">
        <v>720</v>
      </c>
      <c r="O145" s="6">
        <f t="shared" si="3"/>
        <v>742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.75" x14ac:dyDescent="0.2">
      <c r="A146" s="4" t="s">
        <v>14</v>
      </c>
      <c r="B146" s="5" t="s">
        <v>690</v>
      </c>
      <c r="C146" s="4">
        <v>5</v>
      </c>
      <c r="D146" s="6" t="e">
        <f t="shared" si="0"/>
        <v>#VALUE!</v>
      </c>
      <c r="E146" s="6" t="s">
        <v>721</v>
      </c>
      <c r="F146" s="7">
        <v>375</v>
      </c>
      <c r="G146" s="6" t="s">
        <v>21</v>
      </c>
      <c r="H146" s="11" t="s">
        <v>722</v>
      </c>
      <c r="I146" s="9" t="s">
        <v>723</v>
      </c>
      <c r="J146" s="9" t="s">
        <v>724</v>
      </c>
      <c r="K146" s="9" t="s">
        <v>725</v>
      </c>
      <c r="L146" s="9" t="s">
        <v>726</v>
      </c>
      <c r="M146" s="9" t="s">
        <v>727</v>
      </c>
      <c r="N146" s="9" t="s">
        <v>728</v>
      </c>
      <c r="O146" s="6">
        <f t="shared" si="3"/>
        <v>1880</v>
      </c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.75" x14ac:dyDescent="0.2">
      <c r="A147" s="4" t="s">
        <v>14</v>
      </c>
      <c r="B147" s="5" t="s">
        <v>690</v>
      </c>
      <c r="C147" s="4">
        <v>6</v>
      </c>
      <c r="D147" s="6" t="e">
        <f t="shared" si="0"/>
        <v>#VALUE!</v>
      </c>
      <c r="E147" s="6" t="s">
        <v>729</v>
      </c>
      <c r="F147" s="7">
        <v>380</v>
      </c>
      <c r="G147" s="6" t="s">
        <v>28</v>
      </c>
      <c r="H147" s="8" t="s">
        <v>730</v>
      </c>
      <c r="I147" s="10" t="s">
        <v>731</v>
      </c>
      <c r="J147" s="9" t="s">
        <v>732</v>
      </c>
      <c r="K147" s="9" t="s">
        <v>733</v>
      </c>
      <c r="L147" s="9" t="s">
        <v>734</v>
      </c>
      <c r="M147" s="9" t="s">
        <v>735</v>
      </c>
      <c r="N147" s="9" t="s">
        <v>736</v>
      </c>
      <c r="O147" s="6">
        <f t="shared" si="3"/>
        <v>1524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.75" x14ac:dyDescent="0.2">
      <c r="A148" s="4" t="s">
        <v>14</v>
      </c>
      <c r="B148" s="5" t="s">
        <v>690</v>
      </c>
      <c r="C148" s="4">
        <v>7</v>
      </c>
      <c r="D148" s="6" t="e">
        <f t="shared" si="0"/>
        <v>#VALUE!</v>
      </c>
      <c r="E148" s="6" t="s">
        <v>737</v>
      </c>
      <c r="F148" s="7">
        <v>385</v>
      </c>
      <c r="G148" s="6" t="s">
        <v>17</v>
      </c>
      <c r="H148" s="8" t="s">
        <v>738</v>
      </c>
      <c r="I148" s="9" t="s">
        <v>709</v>
      </c>
      <c r="J148" s="10" t="s">
        <v>739</v>
      </c>
      <c r="K148" s="9" t="s">
        <v>740</v>
      </c>
      <c r="L148" s="9" t="s">
        <v>741</v>
      </c>
      <c r="M148" s="9" t="s">
        <v>742</v>
      </c>
      <c r="N148" s="9" t="s">
        <v>743</v>
      </c>
      <c r="O148" s="6">
        <f t="shared" si="3"/>
        <v>772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.75" x14ac:dyDescent="0.2">
      <c r="A149" s="4" t="s">
        <v>14</v>
      </c>
      <c r="B149" s="5" t="s">
        <v>690</v>
      </c>
      <c r="C149" s="4">
        <v>8</v>
      </c>
      <c r="D149" s="6" t="e">
        <f t="shared" si="0"/>
        <v>#VALUE!</v>
      </c>
      <c r="E149" s="6" t="s">
        <v>744</v>
      </c>
      <c r="F149" s="7">
        <v>390</v>
      </c>
      <c r="G149" s="6" t="s">
        <v>21</v>
      </c>
      <c r="H149" s="11" t="s">
        <v>745</v>
      </c>
      <c r="I149" s="9" t="s">
        <v>746</v>
      </c>
      <c r="J149" s="9" t="s">
        <v>747</v>
      </c>
      <c r="K149" s="9" t="s">
        <v>748</v>
      </c>
      <c r="L149" s="9" t="s">
        <v>749</v>
      </c>
      <c r="M149" s="9" t="s">
        <v>750</v>
      </c>
      <c r="N149" s="9" t="s">
        <v>751</v>
      </c>
      <c r="O149" s="6">
        <f t="shared" si="3"/>
        <v>1955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.75" x14ac:dyDescent="0.2">
      <c r="A150" s="4" t="s">
        <v>14</v>
      </c>
      <c r="B150" s="5" t="s">
        <v>690</v>
      </c>
      <c r="C150" s="4">
        <v>9</v>
      </c>
      <c r="D150" s="6" t="e">
        <f t="shared" si="0"/>
        <v>#VALUE!</v>
      </c>
      <c r="E150" s="6" t="s">
        <v>752</v>
      </c>
      <c r="F150" s="7">
        <v>395</v>
      </c>
      <c r="G150" s="6" t="s">
        <v>21</v>
      </c>
      <c r="H150" s="11" t="s">
        <v>753</v>
      </c>
      <c r="I150" s="9" t="s">
        <v>754</v>
      </c>
      <c r="J150" s="9" t="s">
        <v>755</v>
      </c>
      <c r="K150" s="9" t="s">
        <v>756</v>
      </c>
      <c r="L150" s="9" t="s">
        <v>757</v>
      </c>
      <c r="M150" s="9" t="s">
        <v>758</v>
      </c>
      <c r="N150" s="9" t="s">
        <v>759</v>
      </c>
      <c r="O150" s="6">
        <f t="shared" si="3"/>
        <v>2001.5686274509803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.75" x14ac:dyDescent="0.2">
      <c r="A151" s="4" t="s">
        <v>14</v>
      </c>
      <c r="B151" s="5" t="s">
        <v>690</v>
      </c>
      <c r="C151" s="4">
        <v>10</v>
      </c>
      <c r="D151" s="6" t="e">
        <f t="shared" si="0"/>
        <v>#VALUE!</v>
      </c>
      <c r="E151" s="6" t="s">
        <v>760</v>
      </c>
      <c r="F151" s="7">
        <v>400</v>
      </c>
      <c r="G151" s="6" t="s">
        <v>21</v>
      </c>
      <c r="H151" s="11" t="s">
        <v>761</v>
      </c>
      <c r="I151" s="9" t="s">
        <v>762</v>
      </c>
      <c r="J151" s="9" t="s">
        <v>763</v>
      </c>
      <c r="K151" s="9" t="s">
        <v>764</v>
      </c>
      <c r="L151" s="9" t="s">
        <v>765</v>
      </c>
      <c r="M151" s="9" t="s">
        <v>766</v>
      </c>
      <c r="N151" s="9" t="s">
        <v>767</v>
      </c>
      <c r="O151" s="6">
        <f t="shared" si="3"/>
        <v>2007.4244256348247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.75" x14ac:dyDescent="0.2">
      <c r="A152" s="12" t="s">
        <v>14</v>
      </c>
      <c r="B152" s="13" t="s">
        <v>768</v>
      </c>
      <c r="C152" s="12">
        <v>1</v>
      </c>
      <c r="D152" s="14" t="e">
        <f t="shared" si="0"/>
        <v>#VALUE!</v>
      </c>
      <c r="E152" s="14" t="s">
        <v>769</v>
      </c>
      <c r="F152" s="15">
        <v>280</v>
      </c>
      <c r="G152" s="14" t="s">
        <v>17</v>
      </c>
      <c r="H152" s="8" t="s">
        <v>770</v>
      </c>
      <c r="I152" s="8" t="s">
        <v>770</v>
      </c>
      <c r="J152" s="11" t="s">
        <v>771</v>
      </c>
      <c r="K152" s="8" t="s">
        <v>772</v>
      </c>
      <c r="L152" s="8" t="s">
        <v>770</v>
      </c>
      <c r="M152" s="8" t="s">
        <v>773</v>
      </c>
      <c r="N152" s="8" t="s">
        <v>484</v>
      </c>
      <c r="O152" s="6">
        <f t="shared" si="3"/>
        <v>2659.3406593406594</v>
      </c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2.75" x14ac:dyDescent="0.2">
      <c r="A153" s="12" t="s">
        <v>14</v>
      </c>
      <c r="B153" s="13" t="s">
        <v>768</v>
      </c>
      <c r="C153" s="12">
        <v>2</v>
      </c>
      <c r="D153" s="14" t="e">
        <f t="shared" si="0"/>
        <v>#VALUE!</v>
      </c>
      <c r="E153" s="14" t="s">
        <v>774</v>
      </c>
      <c r="F153" s="15">
        <v>283</v>
      </c>
      <c r="G153" s="14" t="s">
        <v>21</v>
      </c>
      <c r="H153" s="11" t="s">
        <v>775</v>
      </c>
      <c r="I153" s="8" t="s">
        <v>776</v>
      </c>
      <c r="J153" s="8" t="s">
        <v>776</v>
      </c>
      <c r="K153" s="8" t="s">
        <v>777</v>
      </c>
      <c r="L153" s="8" t="s">
        <v>776</v>
      </c>
      <c r="M153" s="8" t="s">
        <v>778</v>
      </c>
      <c r="N153" s="8" t="s">
        <v>779</v>
      </c>
      <c r="O153" s="6">
        <f t="shared" si="3"/>
        <v>2670.2127659574467</v>
      </c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2.75" x14ac:dyDescent="0.2">
      <c r="A154" s="12" t="s">
        <v>14</v>
      </c>
      <c r="B154" s="13" t="s">
        <v>768</v>
      </c>
      <c r="C154" s="12">
        <v>3</v>
      </c>
      <c r="D154" s="14" t="e">
        <f t="shared" si="0"/>
        <v>#VALUE!</v>
      </c>
      <c r="E154" s="14" t="s">
        <v>780</v>
      </c>
      <c r="F154" s="15">
        <v>286</v>
      </c>
      <c r="G154" s="14" t="s">
        <v>28</v>
      </c>
      <c r="H154" s="8" t="s">
        <v>781</v>
      </c>
      <c r="I154" s="11" t="s">
        <v>782</v>
      </c>
      <c r="J154" s="8" t="s">
        <v>781</v>
      </c>
      <c r="K154" s="8" t="s">
        <v>783</v>
      </c>
      <c r="L154" s="8" t="s">
        <v>781</v>
      </c>
      <c r="M154" s="8" t="s">
        <v>784</v>
      </c>
      <c r="N154" s="8" t="s">
        <v>785</v>
      </c>
      <c r="O154" s="6">
        <f t="shared" si="3"/>
        <v>2680.4123711340208</v>
      </c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2.75" x14ac:dyDescent="0.2">
      <c r="A155" s="12" t="s">
        <v>14</v>
      </c>
      <c r="B155" s="13" t="s">
        <v>768</v>
      </c>
      <c r="C155" s="12">
        <v>4</v>
      </c>
      <c r="D155" s="14" t="e">
        <f t="shared" si="0"/>
        <v>#VALUE!</v>
      </c>
      <c r="E155" s="14" t="s">
        <v>786</v>
      </c>
      <c r="F155" s="15">
        <v>289</v>
      </c>
      <c r="G155" s="14" t="s">
        <v>21</v>
      </c>
      <c r="H155" s="11" t="s">
        <v>787</v>
      </c>
      <c r="I155" s="8" t="s">
        <v>788</v>
      </c>
      <c r="J155" s="8" t="s">
        <v>788</v>
      </c>
      <c r="K155" s="8" t="s">
        <v>789</v>
      </c>
      <c r="L155" s="8" t="s">
        <v>788</v>
      </c>
      <c r="M155" s="8" t="s">
        <v>790</v>
      </c>
      <c r="N155" s="8" t="s">
        <v>791</v>
      </c>
      <c r="O155" s="6">
        <f t="shared" si="3"/>
        <v>2690</v>
      </c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2.75" x14ac:dyDescent="0.2">
      <c r="A156" s="12" t="s">
        <v>14</v>
      </c>
      <c r="B156" s="13" t="s">
        <v>768</v>
      </c>
      <c r="C156" s="12">
        <v>5</v>
      </c>
      <c r="D156" s="14" t="e">
        <f t="shared" si="0"/>
        <v>#VALUE!</v>
      </c>
      <c r="E156" s="14" t="s">
        <v>792</v>
      </c>
      <c r="F156" s="15">
        <v>292</v>
      </c>
      <c r="G156" s="14" t="s">
        <v>28</v>
      </c>
      <c r="H156" s="8" t="s">
        <v>793</v>
      </c>
      <c r="I156" s="11" t="s">
        <v>794</v>
      </c>
      <c r="J156" s="8" t="s">
        <v>793</v>
      </c>
      <c r="K156" s="8" t="s">
        <v>795</v>
      </c>
      <c r="L156" s="8" t="s">
        <v>793</v>
      </c>
      <c r="M156" s="8" t="s">
        <v>796</v>
      </c>
      <c r="N156" s="8" t="s">
        <v>797</v>
      </c>
      <c r="O156" s="6">
        <f t="shared" si="3"/>
        <v>2699.029126213592</v>
      </c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2.75" x14ac:dyDescent="0.2">
      <c r="A157" s="12" t="s">
        <v>14</v>
      </c>
      <c r="B157" s="13" t="s">
        <v>768</v>
      </c>
      <c r="C157" s="12">
        <v>6</v>
      </c>
      <c r="D157" s="14" t="e">
        <f t="shared" si="0"/>
        <v>#VALUE!</v>
      </c>
      <c r="E157" s="14" t="s">
        <v>798</v>
      </c>
      <c r="F157" s="15">
        <v>295</v>
      </c>
      <c r="G157" s="14" t="s">
        <v>21</v>
      </c>
      <c r="H157" s="11" t="s">
        <v>799</v>
      </c>
      <c r="I157" s="8" t="s">
        <v>800</v>
      </c>
      <c r="J157" s="8" t="s">
        <v>800</v>
      </c>
      <c r="K157" s="8" t="s">
        <v>801</v>
      </c>
      <c r="L157" s="8" t="s">
        <v>800</v>
      </c>
      <c r="M157" s="8" t="s">
        <v>802</v>
      </c>
      <c r="N157" s="8" t="s">
        <v>505</v>
      </c>
      <c r="O157" s="6">
        <f t="shared" si="3"/>
        <v>2707.5471698113206</v>
      </c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2.75" x14ac:dyDescent="0.2">
      <c r="A158" s="12" t="s">
        <v>14</v>
      </c>
      <c r="B158" s="13" t="s">
        <v>768</v>
      </c>
      <c r="C158" s="12">
        <v>7</v>
      </c>
      <c r="D158" s="14" t="e">
        <f t="shared" si="0"/>
        <v>#VALUE!</v>
      </c>
      <c r="E158" s="14" t="s">
        <v>803</v>
      </c>
      <c r="F158" s="15">
        <v>298</v>
      </c>
      <c r="G158" s="14" t="s">
        <v>28</v>
      </c>
      <c r="H158" s="8" t="s">
        <v>804</v>
      </c>
      <c r="I158" s="11" t="s">
        <v>805</v>
      </c>
      <c r="J158" s="8" t="s">
        <v>804</v>
      </c>
      <c r="K158" s="8" t="s">
        <v>806</v>
      </c>
      <c r="L158" s="8" t="s">
        <v>804</v>
      </c>
      <c r="M158" s="8" t="s">
        <v>807</v>
      </c>
      <c r="N158" s="8" t="s">
        <v>808</v>
      </c>
      <c r="O158" s="6">
        <f t="shared" si="3"/>
        <v>2715.5963302752293</v>
      </c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2.75" x14ac:dyDescent="0.2">
      <c r="A159" s="12" t="s">
        <v>14</v>
      </c>
      <c r="B159" s="13" t="s">
        <v>768</v>
      </c>
      <c r="C159" s="12">
        <v>8</v>
      </c>
      <c r="D159" s="14" t="e">
        <f t="shared" si="0"/>
        <v>#VALUE!</v>
      </c>
      <c r="E159" s="14" t="s">
        <v>809</v>
      </c>
      <c r="F159" s="15">
        <v>301</v>
      </c>
      <c r="G159" s="14" t="s">
        <v>17</v>
      </c>
      <c r="H159" s="8" t="s">
        <v>810</v>
      </c>
      <c r="I159" s="8" t="s">
        <v>810</v>
      </c>
      <c r="J159" s="11" t="s">
        <v>811</v>
      </c>
      <c r="K159" s="8" t="s">
        <v>812</v>
      </c>
      <c r="L159" s="8" t="s">
        <v>810</v>
      </c>
      <c r="M159" s="8" t="s">
        <v>813</v>
      </c>
      <c r="N159" s="8" t="s">
        <v>814</v>
      </c>
      <c r="O159" s="6">
        <f t="shared" si="3"/>
        <v>2723.2142857142858</v>
      </c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2.75" x14ac:dyDescent="0.2">
      <c r="A160" s="12" t="s">
        <v>14</v>
      </c>
      <c r="B160" s="13" t="s">
        <v>768</v>
      </c>
      <c r="C160" s="12">
        <v>9</v>
      </c>
      <c r="D160" s="14" t="e">
        <f t="shared" si="0"/>
        <v>#VALUE!</v>
      </c>
      <c r="E160" s="14" t="s">
        <v>815</v>
      </c>
      <c r="F160" s="15">
        <v>304</v>
      </c>
      <c r="G160" s="14" t="s">
        <v>17</v>
      </c>
      <c r="H160" s="8" t="s">
        <v>816</v>
      </c>
      <c r="I160" s="8" t="s">
        <v>816</v>
      </c>
      <c r="J160" s="11" t="s">
        <v>817</v>
      </c>
      <c r="K160" s="8" t="s">
        <v>818</v>
      </c>
      <c r="L160" s="8" t="s">
        <v>816</v>
      </c>
      <c r="M160" s="8" t="s">
        <v>819</v>
      </c>
      <c r="N160" s="8" t="s">
        <v>820</v>
      </c>
      <c r="O160" s="6">
        <f t="shared" si="3"/>
        <v>2730.4347826086955</v>
      </c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2.75" x14ac:dyDescent="0.2">
      <c r="A161" s="12" t="s">
        <v>14</v>
      </c>
      <c r="B161" s="13" t="s">
        <v>768</v>
      </c>
      <c r="C161" s="12">
        <v>10</v>
      </c>
      <c r="D161" s="14" t="e">
        <f t="shared" si="0"/>
        <v>#VALUE!</v>
      </c>
      <c r="E161" s="14" t="s">
        <v>821</v>
      </c>
      <c r="F161" s="15">
        <v>310</v>
      </c>
      <c r="G161" s="14" t="s">
        <v>28</v>
      </c>
      <c r="H161" s="8" t="s">
        <v>822</v>
      </c>
      <c r="I161" s="11" t="s">
        <v>823</v>
      </c>
      <c r="J161" s="8" t="s">
        <v>822</v>
      </c>
      <c r="K161" s="8" t="s">
        <v>824</v>
      </c>
      <c r="L161" s="8" t="s">
        <v>822</v>
      </c>
      <c r="M161" s="8" t="s">
        <v>825</v>
      </c>
      <c r="N161" s="8" t="s">
        <v>528</v>
      </c>
      <c r="O161" s="6">
        <f t="shared" si="3"/>
        <v>2743.8016528925618</v>
      </c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2.75" x14ac:dyDescent="0.2">
      <c r="A162" s="12" t="s">
        <v>14</v>
      </c>
      <c r="B162" s="13" t="s">
        <v>826</v>
      </c>
      <c r="C162" s="12">
        <v>1</v>
      </c>
      <c r="D162" s="14" t="e">
        <f t="shared" si="0"/>
        <v>#VALUE!</v>
      </c>
      <c r="E162" s="14" t="s">
        <v>827</v>
      </c>
      <c r="F162" s="15">
        <v>250</v>
      </c>
      <c r="G162" s="14" t="s">
        <v>28</v>
      </c>
      <c r="H162" s="8" t="s">
        <v>162</v>
      </c>
      <c r="I162" s="11" t="s">
        <v>828</v>
      </c>
      <c r="J162" s="8" t="s">
        <v>162</v>
      </c>
      <c r="K162" s="8" t="s">
        <v>829</v>
      </c>
      <c r="L162" s="8" t="s">
        <v>830</v>
      </c>
      <c r="M162" s="8" t="s">
        <v>831</v>
      </c>
      <c r="N162" s="8" t="s">
        <v>438</v>
      </c>
      <c r="O162" s="6">
        <f t="shared" si="3"/>
        <v>1785.7142857142858</v>
      </c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2.75" x14ac:dyDescent="0.2">
      <c r="A163" s="4" t="s">
        <v>14</v>
      </c>
      <c r="B163" s="5" t="s">
        <v>826</v>
      </c>
      <c r="C163" s="4">
        <v>2</v>
      </c>
      <c r="D163" s="6" t="e">
        <f t="shared" si="0"/>
        <v>#VALUE!</v>
      </c>
      <c r="E163" s="6" t="s">
        <v>832</v>
      </c>
      <c r="F163" s="7">
        <v>257</v>
      </c>
      <c r="G163" s="6" t="s">
        <v>21</v>
      </c>
      <c r="H163" s="11" t="s">
        <v>833</v>
      </c>
      <c r="I163" s="9" t="s">
        <v>834</v>
      </c>
      <c r="J163" s="9" t="s">
        <v>835</v>
      </c>
      <c r="K163" s="9" t="s">
        <v>836</v>
      </c>
      <c r="L163" s="9" t="s">
        <v>837</v>
      </c>
      <c r="M163" s="9" t="s">
        <v>838</v>
      </c>
      <c r="N163" s="9" t="s">
        <v>839</v>
      </c>
      <c r="O163" s="6">
        <f t="shared" si="3"/>
        <v>1822.1250400182942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.75" x14ac:dyDescent="0.2">
      <c r="A164" s="4" t="s">
        <v>14</v>
      </c>
      <c r="B164" s="5" t="s">
        <v>826</v>
      </c>
      <c r="C164" s="4">
        <v>3</v>
      </c>
      <c r="D164" s="6" t="e">
        <f t="shared" si="0"/>
        <v>#VALUE!</v>
      </c>
      <c r="E164" s="6" t="s">
        <v>840</v>
      </c>
      <c r="F164" s="7">
        <v>265</v>
      </c>
      <c r="G164" s="6" t="s">
        <v>28</v>
      </c>
      <c r="H164" s="8" t="s">
        <v>577</v>
      </c>
      <c r="I164" s="10" t="s">
        <v>841</v>
      </c>
      <c r="J164" s="9" t="s">
        <v>111</v>
      </c>
      <c r="K164" s="9" t="s">
        <v>842</v>
      </c>
      <c r="L164" s="9" t="s">
        <v>843</v>
      </c>
      <c r="M164" s="9" t="s">
        <v>844</v>
      </c>
      <c r="N164" s="9" t="s">
        <v>462</v>
      </c>
      <c r="O164" s="6">
        <f t="shared" si="3"/>
        <v>1555.1136363636363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.75" x14ac:dyDescent="0.2">
      <c r="A165" s="4" t="s">
        <v>14</v>
      </c>
      <c r="B165" s="5" t="s">
        <v>826</v>
      </c>
      <c r="C165" s="4">
        <v>4</v>
      </c>
      <c r="D165" s="6" t="e">
        <f t="shared" si="0"/>
        <v>#VALUE!</v>
      </c>
      <c r="E165" s="6" t="s">
        <v>845</v>
      </c>
      <c r="F165" s="7">
        <v>272</v>
      </c>
      <c r="G165" s="6" t="s">
        <v>28</v>
      </c>
      <c r="H165" s="8" t="s">
        <v>846</v>
      </c>
      <c r="I165" s="10" t="s">
        <v>675</v>
      </c>
      <c r="J165" s="9" t="s">
        <v>847</v>
      </c>
      <c r="K165" s="9" t="s">
        <v>848</v>
      </c>
      <c r="L165" s="9" t="s">
        <v>849</v>
      </c>
      <c r="M165" s="9" t="s">
        <v>850</v>
      </c>
      <c r="N165" s="9" t="s">
        <v>851</v>
      </c>
      <c r="O165" s="6">
        <f t="shared" si="3"/>
        <v>1608.0434782608695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.75" x14ac:dyDescent="0.2">
      <c r="A166" s="4" t="s">
        <v>14</v>
      </c>
      <c r="B166" s="5" t="s">
        <v>826</v>
      </c>
      <c r="C166" s="4">
        <v>5</v>
      </c>
      <c r="D166" s="6" t="e">
        <f t="shared" si="0"/>
        <v>#VALUE!</v>
      </c>
      <c r="E166" s="6" t="s">
        <v>852</v>
      </c>
      <c r="F166" s="7">
        <v>280</v>
      </c>
      <c r="G166" s="6" t="s">
        <v>17</v>
      </c>
      <c r="H166" s="8" t="s">
        <v>853</v>
      </c>
      <c r="I166" s="9" t="s">
        <v>854</v>
      </c>
      <c r="J166" s="10" t="s">
        <v>855</v>
      </c>
      <c r="K166" s="9" t="s">
        <v>856</v>
      </c>
      <c r="L166" s="9" t="s">
        <v>857</v>
      </c>
      <c r="M166" s="9" t="s">
        <v>858</v>
      </c>
      <c r="N166" s="9" t="s">
        <v>484</v>
      </c>
      <c r="O166" s="6">
        <f t="shared" si="3"/>
        <v>811.99991878997059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.75" x14ac:dyDescent="0.2">
      <c r="A167" s="4" t="s">
        <v>14</v>
      </c>
      <c r="B167" s="5" t="s">
        <v>826</v>
      </c>
      <c r="C167" s="4">
        <v>6</v>
      </c>
      <c r="D167" s="6" t="e">
        <f t="shared" si="0"/>
        <v>#VALUE!</v>
      </c>
      <c r="E167" s="6" t="s">
        <v>859</v>
      </c>
      <c r="F167" s="7">
        <v>287</v>
      </c>
      <c r="G167" s="6" t="s">
        <v>28</v>
      </c>
      <c r="H167" s="8" t="s">
        <v>860</v>
      </c>
      <c r="I167" s="10" t="s">
        <v>861</v>
      </c>
      <c r="J167" s="9" t="s">
        <v>862</v>
      </c>
      <c r="K167" s="9" t="s">
        <v>863</v>
      </c>
      <c r="L167" s="9" t="s">
        <v>864</v>
      </c>
      <c r="M167" s="9" t="s">
        <v>865</v>
      </c>
      <c r="N167" s="9" t="s">
        <v>866</v>
      </c>
      <c r="O167" s="6">
        <f t="shared" si="3"/>
        <v>1741.5896487985212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.75" x14ac:dyDescent="0.2">
      <c r="A168" s="4" t="s">
        <v>14</v>
      </c>
      <c r="B168" s="5" t="s">
        <v>826</v>
      </c>
      <c r="C168" s="4">
        <v>7</v>
      </c>
      <c r="D168" s="6" t="e">
        <f t="shared" si="0"/>
        <v>#VALUE!</v>
      </c>
      <c r="E168" s="6" t="s">
        <v>867</v>
      </c>
      <c r="F168" s="7">
        <v>295</v>
      </c>
      <c r="G168" s="6" t="s">
        <v>28</v>
      </c>
      <c r="H168" s="8" t="s">
        <v>868</v>
      </c>
      <c r="I168" s="10" t="s">
        <v>869</v>
      </c>
      <c r="J168" s="9" t="s">
        <v>870</v>
      </c>
      <c r="K168" s="9" t="s">
        <v>806</v>
      </c>
      <c r="L168" s="9" t="s">
        <v>871</v>
      </c>
      <c r="M168" s="9" t="s">
        <v>872</v>
      </c>
      <c r="N168" s="9" t="s">
        <v>505</v>
      </c>
      <c r="O168" s="6">
        <f t="shared" si="3"/>
        <v>1767.4311926605506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.75" x14ac:dyDescent="0.2">
      <c r="A169" s="4" t="s">
        <v>14</v>
      </c>
      <c r="B169" s="5" t="s">
        <v>826</v>
      </c>
      <c r="C169" s="4">
        <v>8</v>
      </c>
      <c r="D169" s="6" t="e">
        <f t="shared" si="0"/>
        <v>#VALUE!</v>
      </c>
      <c r="E169" s="6" t="s">
        <v>873</v>
      </c>
      <c r="F169" s="7">
        <v>302</v>
      </c>
      <c r="G169" s="6" t="s">
        <v>21</v>
      </c>
      <c r="H169" s="11" t="s">
        <v>874</v>
      </c>
      <c r="I169" s="9" t="s">
        <v>875</v>
      </c>
      <c r="J169" s="9" t="s">
        <v>876</v>
      </c>
      <c r="K169" s="9" t="s">
        <v>877</v>
      </c>
      <c r="L169" s="9" t="s">
        <v>878</v>
      </c>
      <c r="M169" s="9" t="s">
        <v>879</v>
      </c>
      <c r="N169" s="9" t="s">
        <v>880</v>
      </c>
      <c r="O169" s="6">
        <f t="shared" si="3"/>
        <v>2378.2499356720132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.75" x14ac:dyDescent="0.2">
      <c r="A170" s="4" t="s">
        <v>14</v>
      </c>
      <c r="B170" s="5" t="s">
        <v>826</v>
      </c>
      <c r="C170" s="4">
        <v>9</v>
      </c>
      <c r="D170" s="6" t="e">
        <f t="shared" si="0"/>
        <v>#VALUE!</v>
      </c>
      <c r="E170" s="6" t="s">
        <v>881</v>
      </c>
      <c r="F170" s="7">
        <v>310</v>
      </c>
      <c r="G170" s="6" t="s">
        <v>21</v>
      </c>
      <c r="H170" s="11" t="s">
        <v>882</v>
      </c>
      <c r="I170" s="9" t="s">
        <v>486</v>
      </c>
      <c r="J170" s="9" t="s">
        <v>883</v>
      </c>
      <c r="K170" s="9" t="s">
        <v>884</v>
      </c>
      <c r="L170" s="9" t="s">
        <v>885</v>
      </c>
      <c r="M170" s="9" t="s">
        <v>886</v>
      </c>
      <c r="N170" s="9" t="s">
        <v>528</v>
      </c>
      <c r="O170" s="6">
        <f t="shared" si="3"/>
        <v>2488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.75" x14ac:dyDescent="0.2">
      <c r="A171" s="4" t="s">
        <v>14</v>
      </c>
      <c r="B171" s="5" t="s">
        <v>826</v>
      </c>
      <c r="C171" s="4">
        <v>10</v>
      </c>
      <c r="D171" s="6" t="e">
        <f t="shared" si="0"/>
        <v>#VALUE!</v>
      </c>
      <c r="E171" s="6" t="s">
        <v>887</v>
      </c>
      <c r="F171" s="7">
        <v>317</v>
      </c>
      <c r="G171" s="6" t="s">
        <v>17</v>
      </c>
      <c r="H171" s="8" t="s">
        <v>888</v>
      </c>
      <c r="I171" s="9" t="s">
        <v>889</v>
      </c>
      <c r="J171" s="10" t="s">
        <v>890</v>
      </c>
      <c r="K171" s="9" t="s">
        <v>884</v>
      </c>
      <c r="L171" s="9" t="s">
        <v>891</v>
      </c>
      <c r="M171" s="9" t="s">
        <v>892</v>
      </c>
      <c r="N171" s="9" t="s">
        <v>893</v>
      </c>
      <c r="O171" s="6">
        <f t="shared" si="3"/>
        <v>1017.5998857958601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.75" x14ac:dyDescent="0.2">
      <c r="A172" s="4" t="s">
        <v>14</v>
      </c>
      <c r="B172" s="5" t="s">
        <v>894</v>
      </c>
      <c r="C172" s="4">
        <v>1</v>
      </c>
      <c r="D172" s="6" t="e">
        <f t="shared" si="0"/>
        <v>#VALUE!</v>
      </c>
      <c r="E172" s="6" t="s">
        <v>895</v>
      </c>
      <c r="F172" s="7">
        <v>200</v>
      </c>
      <c r="G172" s="6" t="s">
        <v>21</v>
      </c>
      <c r="H172" s="11" t="s">
        <v>896</v>
      </c>
      <c r="I172" s="9" t="s">
        <v>102</v>
      </c>
      <c r="J172" s="9" t="s">
        <v>102</v>
      </c>
      <c r="K172" s="9" t="s">
        <v>897</v>
      </c>
      <c r="L172" s="9" t="s">
        <v>898</v>
      </c>
      <c r="M172" s="9" t="s">
        <v>899</v>
      </c>
      <c r="N172" s="9" t="s">
        <v>328</v>
      </c>
      <c r="O172" s="6">
        <f t="shared" si="3"/>
        <v>1005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.75" x14ac:dyDescent="0.2">
      <c r="A173" s="4" t="s">
        <v>14</v>
      </c>
      <c r="B173" s="5" t="s">
        <v>894</v>
      </c>
      <c r="C173" s="4">
        <v>2</v>
      </c>
      <c r="D173" s="6" t="e">
        <f t="shared" si="0"/>
        <v>#VALUE!</v>
      </c>
      <c r="E173" s="6" t="s">
        <v>900</v>
      </c>
      <c r="F173" s="7">
        <v>213</v>
      </c>
      <c r="G173" s="6" t="s">
        <v>21</v>
      </c>
      <c r="H173" s="11" t="s">
        <v>901</v>
      </c>
      <c r="I173" s="9" t="s">
        <v>902</v>
      </c>
      <c r="J173" s="9" t="s">
        <v>903</v>
      </c>
      <c r="K173" s="9" t="s">
        <v>904</v>
      </c>
      <c r="L173" s="9" t="s">
        <v>905</v>
      </c>
      <c r="M173" s="9" t="s">
        <v>906</v>
      </c>
      <c r="N173" s="9" t="s">
        <v>595</v>
      </c>
      <c r="O173" s="6">
        <f t="shared" si="3"/>
        <v>1070</v>
      </c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.75" x14ac:dyDescent="0.2">
      <c r="A174" s="4" t="s">
        <v>14</v>
      </c>
      <c r="B174" s="5" t="s">
        <v>894</v>
      </c>
      <c r="C174" s="4">
        <v>3</v>
      </c>
      <c r="D174" s="6" t="e">
        <f t="shared" si="0"/>
        <v>#VALUE!</v>
      </c>
      <c r="E174" s="6" t="s">
        <v>907</v>
      </c>
      <c r="F174" s="7">
        <v>228</v>
      </c>
      <c r="G174" s="6" t="s">
        <v>17</v>
      </c>
      <c r="H174" s="8" t="s">
        <v>908</v>
      </c>
      <c r="I174" s="9" t="s">
        <v>908</v>
      </c>
      <c r="J174" s="10" t="s">
        <v>909</v>
      </c>
      <c r="K174" s="9" t="s">
        <v>910</v>
      </c>
      <c r="L174" s="9" t="s">
        <v>911</v>
      </c>
      <c r="M174" s="9" t="s">
        <v>912</v>
      </c>
      <c r="N174" s="9" t="s">
        <v>623</v>
      </c>
      <c r="O174" s="6">
        <f t="shared" si="3"/>
        <v>458</v>
      </c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.75" x14ac:dyDescent="0.2">
      <c r="A175" s="4" t="s">
        <v>14</v>
      </c>
      <c r="B175" s="5" t="s">
        <v>894</v>
      </c>
      <c r="C175" s="4">
        <v>4</v>
      </c>
      <c r="D175" s="6" t="e">
        <f t="shared" si="0"/>
        <v>#VALUE!</v>
      </c>
      <c r="E175" s="6" t="s">
        <v>913</v>
      </c>
      <c r="F175" s="7">
        <v>242</v>
      </c>
      <c r="G175" s="6" t="s">
        <v>28</v>
      </c>
      <c r="H175" s="8" t="s">
        <v>914</v>
      </c>
      <c r="I175" s="10" t="s">
        <v>915</v>
      </c>
      <c r="J175" s="9" t="s">
        <v>916</v>
      </c>
      <c r="K175" s="9" t="s">
        <v>917</v>
      </c>
      <c r="L175" s="9" t="s">
        <v>918</v>
      </c>
      <c r="M175" s="9" t="s">
        <v>919</v>
      </c>
      <c r="N175" s="9" t="s">
        <v>920</v>
      </c>
      <c r="O175" s="6">
        <f t="shared" si="3"/>
        <v>972</v>
      </c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.75" x14ac:dyDescent="0.2">
      <c r="A176" s="4" t="s">
        <v>14</v>
      </c>
      <c r="B176" s="5" t="s">
        <v>894</v>
      </c>
      <c r="C176" s="4">
        <v>5</v>
      </c>
      <c r="D176" s="6" t="e">
        <f t="shared" si="0"/>
        <v>#VALUE!</v>
      </c>
      <c r="E176" s="6" t="s">
        <v>921</v>
      </c>
      <c r="F176" s="7">
        <v>258</v>
      </c>
      <c r="G176" s="6" t="s">
        <v>28</v>
      </c>
      <c r="H176" s="8" t="s">
        <v>922</v>
      </c>
      <c r="I176" s="10" t="s">
        <v>923</v>
      </c>
      <c r="J176" s="9" t="s">
        <v>922</v>
      </c>
      <c r="K176" s="9" t="s">
        <v>924</v>
      </c>
      <c r="L176" s="9" t="s">
        <v>925</v>
      </c>
      <c r="M176" s="9" t="s">
        <v>926</v>
      </c>
      <c r="N176" s="9" t="s">
        <v>673</v>
      </c>
      <c r="O176" s="6">
        <f t="shared" si="3"/>
        <v>1036</v>
      </c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.75" x14ac:dyDescent="0.2">
      <c r="A177" s="4" t="s">
        <v>14</v>
      </c>
      <c r="B177" s="5" t="s">
        <v>894</v>
      </c>
      <c r="C177" s="4">
        <v>6</v>
      </c>
      <c r="D177" s="6" t="e">
        <f t="shared" si="0"/>
        <v>#VALUE!</v>
      </c>
      <c r="E177" s="6" t="s">
        <v>927</v>
      </c>
      <c r="F177" s="7">
        <v>273</v>
      </c>
      <c r="G177" s="6" t="s">
        <v>21</v>
      </c>
      <c r="H177" s="11" t="s">
        <v>928</v>
      </c>
      <c r="I177" s="9" t="s">
        <v>929</v>
      </c>
      <c r="J177" s="9" t="s">
        <v>929</v>
      </c>
      <c r="K177" s="9" t="s">
        <v>930</v>
      </c>
      <c r="L177" s="9" t="s">
        <v>931</v>
      </c>
      <c r="M177" s="9" t="s">
        <v>932</v>
      </c>
      <c r="N177" s="9" t="s">
        <v>933</v>
      </c>
      <c r="O177" s="6">
        <f t="shared" si="3"/>
        <v>1370.0000389142913</v>
      </c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.75" x14ac:dyDescent="0.2">
      <c r="A178" s="4" t="s">
        <v>14</v>
      </c>
      <c r="B178" s="5" t="s">
        <v>894</v>
      </c>
      <c r="C178" s="4">
        <v>7</v>
      </c>
      <c r="D178" s="6" t="e">
        <f t="shared" si="0"/>
        <v>#VALUE!</v>
      </c>
      <c r="E178" s="6" t="s">
        <v>934</v>
      </c>
      <c r="F178" s="7">
        <v>289</v>
      </c>
      <c r="G178" s="6" t="s">
        <v>28</v>
      </c>
      <c r="H178" s="8" t="s">
        <v>935</v>
      </c>
      <c r="I178" s="10" t="s">
        <v>936</v>
      </c>
      <c r="J178" s="9" t="s">
        <v>937</v>
      </c>
      <c r="K178" s="9" t="s">
        <v>938</v>
      </c>
      <c r="L178" s="9" t="s">
        <v>939</v>
      </c>
      <c r="M178" s="9" t="s">
        <v>940</v>
      </c>
      <c r="N178" s="9" t="s">
        <v>791</v>
      </c>
      <c r="O178" s="6">
        <f t="shared" si="3"/>
        <v>1160</v>
      </c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.75" x14ac:dyDescent="0.2">
      <c r="A179" s="4" t="s">
        <v>14</v>
      </c>
      <c r="B179" s="5" t="s">
        <v>894</v>
      </c>
      <c r="C179" s="4">
        <v>8</v>
      </c>
      <c r="D179" s="6" t="e">
        <f t="shared" si="0"/>
        <v>#VALUE!</v>
      </c>
      <c r="E179" s="6" t="s">
        <v>941</v>
      </c>
      <c r="F179" s="7">
        <v>305</v>
      </c>
      <c r="G179" s="6" t="s">
        <v>17</v>
      </c>
      <c r="H179" s="8" t="s">
        <v>942</v>
      </c>
      <c r="I179" s="9" t="s">
        <v>942</v>
      </c>
      <c r="J179" s="10" t="s">
        <v>943</v>
      </c>
      <c r="K179" s="9" t="s">
        <v>944</v>
      </c>
      <c r="L179" s="9" t="s">
        <v>945</v>
      </c>
      <c r="M179" s="9" t="s">
        <v>946</v>
      </c>
      <c r="N179" s="9" t="s">
        <v>521</v>
      </c>
      <c r="O179" s="6">
        <f t="shared" si="3"/>
        <v>612</v>
      </c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.75" x14ac:dyDescent="0.2">
      <c r="A180" s="4" t="s">
        <v>14</v>
      </c>
      <c r="B180" s="5" t="s">
        <v>894</v>
      </c>
      <c r="C180" s="4">
        <v>9</v>
      </c>
      <c r="D180" s="6" t="e">
        <f t="shared" si="0"/>
        <v>#VALUE!</v>
      </c>
      <c r="E180" s="6" t="s">
        <v>947</v>
      </c>
      <c r="F180" s="7">
        <v>319</v>
      </c>
      <c r="G180" s="6" t="s">
        <v>948</v>
      </c>
      <c r="H180" s="11" t="s">
        <v>949</v>
      </c>
      <c r="I180" s="9" t="s">
        <v>950</v>
      </c>
      <c r="J180" s="9" t="s">
        <v>951</v>
      </c>
      <c r="K180" s="9" t="s">
        <v>952</v>
      </c>
      <c r="L180" s="9" t="s">
        <v>953</v>
      </c>
      <c r="M180" s="9" t="s">
        <v>954</v>
      </c>
      <c r="N180" s="9" t="s">
        <v>955</v>
      </c>
      <c r="O180" s="6">
        <f t="shared" si="3"/>
        <v>1600</v>
      </c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.75" x14ac:dyDescent="0.2">
      <c r="A181" s="4" t="s">
        <v>14</v>
      </c>
      <c r="B181" s="5" t="s">
        <v>894</v>
      </c>
      <c r="C181" s="4">
        <v>10</v>
      </c>
      <c r="D181" s="6" t="e">
        <f t="shared" si="0"/>
        <v>#VALUE!</v>
      </c>
      <c r="E181" s="6" t="s">
        <v>956</v>
      </c>
      <c r="F181" s="7">
        <v>333</v>
      </c>
      <c r="G181" s="6" t="s">
        <v>28</v>
      </c>
      <c r="H181" s="8" t="s">
        <v>957</v>
      </c>
      <c r="I181" s="10" t="s">
        <v>958</v>
      </c>
      <c r="J181" s="9" t="s">
        <v>957</v>
      </c>
      <c r="K181" s="9" t="s">
        <v>959</v>
      </c>
      <c r="L181" s="9" t="s">
        <v>960</v>
      </c>
      <c r="M181" s="9" t="s">
        <v>961</v>
      </c>
      <c r="N181" s="9" t="s">
        <v>962</v>
      </c>
      <c r="O181" s="6">
        <f t="shared" si="3"/>
        <v>1336</v>
      </c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.75" x14ac:dyDescent="0.2">
      <c r="A182" s="4" t="s">
        <v>14</v>
      </c>
      <c r="B182" s="5" t="s">
        <v>963</v>
      </c>
      <c r="C182" s="4">
        <v>1</v>
      </c>
      <c r="D182" s="6" t="e">
        <f t="shared" si="0"/>
        <v>#VALUE!</v>
      </c>
      <c r="E182" s="6" t="s">
        <v>964</v>
      </c>
      <c r="F182" s="7">
        <v>310</v>
      </c>
      <c r="G182" s="6" t="s">
        <v>21</v>
      </c>
      <c r="H182" s="11" t="s">
        <v>965</v>
      </c>
      <c r="I182" s="9" t="s">
        <v>222</v>
      </c>
      <c r="J182" s="9" t="s">
        <v>966</v>
      </c>
      <c r="K182" s="9" t="s">
        <v>967</v>
      </c>
      <c r="L182" s="9" t="s">
        <v>326</v>
      </c>
      <c r="M182" s="9" t="s">
        <v>968</v>
      </c>
      <c r="N182" s="9" t="s">
        <v>528</v>
      </c>
      <c r="O182" s="6">
        <f t="shared" si="3"/>
        <v>1555</v>
      </c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.75" x14ac:dyDescent="0.2">
      <c r="A183" s="4" t="s">
        <v>14</v>
      </c>
      <c r="B183" s="5" t="s">
        <v>963</v>
      </c>
      <c r="C183" s="4">
        <v>2</v>
      </c>
      <c r="D183" s="6" t="e">
        <f t="shared" si="0"/>
        <v>#VALUE!</v>
      </c>
      <c r="E183" s="6" t="s">
        <v>969</v>
      </c>
      <c r="F183" s="7">
        <v>320</v>
      </c>
      <c r="G183" s="6" t="s">
        <v>21</v>
      </c>
      <c r="H183" s="11" t="s">
        <v>539</v>
      </c>
      <c r="I183" s="9" t="s">
        <v>970</v>
      </c>
      <c r="J183" s="9" t="s">
        <v>971</v>
      </c>
      <c r="K183" s="9" t="s">
        <v>540</v>
      </c>
      <c r="L183" s="9" t="s">
        <v>373</v>
      </c>
      <c r="M183" s="9" t="s">
        <v>972</v>
      </c>
      <c r="N183" s="9" t="s">
        <v>542</v>
      </c>
      <c r="O183" s="6">
        <f t="shared" si="3"/>
        <v>1605</v>
      </c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.75" x14ac:dyDescent="0.2">
      <c r="A184" s="4" t="s">
        <v>14</v>
      </c>
      <c r="B184" s="5" t="s">
        <v>963</v>
      </c>
      <c r="C184" s="4">
        <v>3</v>
      </c>
      <c r="D184" s="6" t="e">
        <f t="shared" si="0"/>
        <v>#VALUE!</v>
      </c>
      <c r="E184" s="6" t="s">
        <v>973</v>
      </c>
      <c r="F184" s="7">
        <v>330</v>
      </c>
      <c r="G184" s="6" t="s">
        <v>17</v>
      </c>
      <c r="H184" s="8" t="s">
        <v>974</v>
      </c>
      <c r="I184" s="9" t="s">
        <v>275</v>
      </c>
      <c r="J184" s="10" t="s">
        <v>975</v>
      </c>
      <c r="K184" s="9" t="s">
        <v>976</v>
      </c>
      <c r="L184" s="9" t="s">
        <v>419</v>
      </c>
      <c r="M184" s="9" t="s">
        <v>977</v>
      </c>
      <c r="N184" s="9" t="s">
        <v>557</v>
      </c>
      <c r="O184" s="6">
        <f t="shared" si="3"/>
        <v>662</v>
      </c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.75" x14ac:dyDescent="0.2">
      <c r="A185" s="4" t="s">
        <v>14</v>
      </c>
      <c r="B185" s="5" t="s">
        <v>963</v>
      </c>
      <c r="C185" s="4">
        <v>4</v>
      </c>
      <c r="D185" s="6" t="e">
        <f t="shared" si="0"/>
        <v>#VALUE!</v>
      </c>
      <c r="E185" s="6" t="s">
        <v>978</v>
      </c>
      <c r="F185" s="7">
        <v>340</v>
      </c>
      <c r="G185" s="6" t="s">
        <v>21</v>
      </c>
      <c r="H185" s="11" t="s">
        <v>979</v>
      </c>
      <c r="I185" s="9" t="s">
        <v>444</v>
      </c>
      <c r="J185" s="9" t="s">
        <v>980</v>
      </c>
      <c r="K185" s="9" t="s">
        <v>936</v>
      </c>
      <c r="L185" s="9" t="s">
        <v>981</v>
      </c>
      <c r="M185" s="9" t="s">
        <v>982</v>
      </c>
      <c r="N185" s="9" t="s">
        <v>571</v>
      </c>
      <c r="O185" s="6">
        <f t="shared" si="3"/>
        <v>1705</v>
      </c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.75" x14ac:dyDescent="0.2">
      <c r="A186" s="4" t="s">
        <v>14</v>
      </c>
      <c r="B186" s="5" t="s">
        <v>963</v>
      </c>
      <c r="C186" s="4">
        <v>5</v>
      </c>
      <c r="D186" s="6" t="e">
        <f t="shared" si="0"/>
        <v>#VALUE!</v>
      </c>
      <c r="E186" s="6" t="s">
        <v>983</v>
      </c>
      <c r="F186" s="7">
        <v>350</v>
      </c>
      <c r="G186" s="6" t="s">
        <v>21</v>
      </c>
      <c r="H186" s="11" t="s">
        <v>984</v>
      </c>
      <c r="I186" s="9" t="s">
        <v>843</v>
      </c>
      <c r="J186" s="9" t="s">
        <v>985</v>
      </c>
      <c r="K186" s="9" t="s">
        <v>986</v>
      </c>
      <c r="L186" s="9" t="s">
        <v>987</v>
      </c>
      <c r="M186" s="9" t="s">
        <v>988</v>
      </c>
      <c r="N186" s="9" t="s">
        <v>585</v>
      </c>
      <c r="O186" s="6">
        <f t="shared" si="3"/>
        <v>1755</v>
      </c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.75" x14ac:dyDescent="0.2">
      <c r="A187" s="4" t="s">
        <v>14</v>
      </c>
      <c r="B187" s="5" t="s">
        <v>963</v>
      </c>
      <c r="C187" s="4">
        <v>6</v>
      </c>
      <c r="D187" s="6" t="e">
        <f t="shared" si="0"/>
        <v>#VALUE!</v>
      </c>
      <c r="E187" s="6" t="s">
        <v>989</v>
      </c>
      <c r="F187" s="7">
        <v>360</v>
      </c>
      <c r="G187" s="6" t="s">
        <v>17</v>
      </c>
      <c r="H187" s="8" t="s">
        <v>990</v>
      </c>
      <c r="I187" s="9" t="s">
        <v>991</v>
      </c>
      <c r="J187" s="10" t="s">
        <v>992</v>
      </c>
      <c r="K187" s="9" t="s">
        <v>993</v>
      </c>
      <c r="L187" s="9" t="s">
        <v>994</v>
      </c>
      <c r="M187" s="9" t="s">
        <v>995</v>
      </c>
      <c r="N187" s="9" t="s">
        <v>706</v>
      </c>
      <c r="O187" s="6">
        <f t="shared" si="3"/>
        <v>722</v>
      </c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.75" x14ac:dyDescent="0.2">
      <c r="A188" s="4" t="s">
        <v>14</v>
      </c>
      <c r="B188" s="5" t="s">
        <v>963</v>
      </c>
      <c r="C188" s="4">
        <v>7</v>
      </c>
      <c r="D188" s="6" t="e">
        <f t="shared" si="0"/>
        <v>#VALUE!</v>
      </c>
      <c r="E188" s="6" t="s">
        <v>996</v>
      </c>
      <c r="F188" s="7">
        <v>370</v>
      </c>
      <c r="G188" s="6" t="s">
        <v>28</v>
      </c>
      <c r="H188" s="8" t="s">
        <v>559</v>
      </c>
      <c r="I188" s="10" t="s">
        <v>997</v>
      </c>
      <c r="J188" s="9" t="s">
        <v>998</v>
      </c>
      <c r="K188" s="9" t="s">
        <v>999</v>
      </c>
      <c r="L188" s="9" t="s">
        <v>1000</v>
      </c>
      <c r="M188" s="9" t="s">
        <v>1001</v>
      </c>
      <c r="N188" s="9" t="s">
        <v>720</v>
      </c>
      <c r="O188" s="6">
        <f t="shared" si="3"/>
        <v>1484</v>
      </c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.75" x14ac:dyDescent="0.2">
      <c r="A189" s="4" t="s">
        <v>14</v>
      </c>
      <c r="B189" s="5" t="s">
        <v>963</v>
      </c>
      <c r="C189" s="4">
        <v>8</v>
      </c>
      <c r="D189" s="6" t="e">
        <f t="shared" si="0"/>
        <v>#VALUE!</v>
      </c>
      <c r="E189" s="6" t="s">
        <v>1002</v>
      </c>
      <c r="F189" s="7">
        <v>380</v>
      </c>
      <c r="G189" s="6" t="s">
        <v>21</v>
      </c>
      <c r="H189" s="11" t="s">
        <v>1003</v>
      </c>
      <c r="I189" s="9" t="s">
        <v>1004</v>
      </c>
      <c r="J189" s="9" t="s">
        <v>1005</v>
      </c>
      <c r="K189" s="9" t="s">
        <v>1006</v>
      </c>
      <c r="L189" s="9" t="s">
        <v>1007</v>
      </c>
      <c r="M189" s="9" t="s">
        <v>1008</v>
      </c>
      <c r="N189" s="9" t="s">
        <v>736</v>
      </c>
      <c r="O189" s="6">
        <f t="shared" si="3"/>
        <v>1905.0000640409862</v>
      </c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.75" x14ac:dyDescent="0.2">
      <c r="A190" s="4" t="s">
        <v>14</v>
      </c>
      <c r="B190" s="5" t="s">
        <v>963</v>
      </c>
      <c r="C190" s="4">
        <v>9</v>
      </c>
      <c r="D190" s="6" t="e">
        <f t="shared" si="0"/>
        <v>#VALUE!</v>
      </c>
      <c r="E190" s="6" t="s">
        <v>1009</v>
      </c>
      <c r="F190" s="7">
        <v>390</v>
      </c>
      <c r="G190" s="6" t="s">
        <v>21</v>
      </c>
      <c r="H190" s="11" t="s">
        <v>829</v>
      </c>
      <c r="I190" s="9" t="s">
        <v>1010</v>
      </c>
      <c r="J190" s="9" t="s">
        <v>593</v>
      </c>
      <c r="K190" s="9" t="s">
        <v>1011</v>
      </c>
      <c r="L190" s="9" t="s">
        <v>702</v>
      </c>
      <c r="M190" s="9" t="s">
        <v>1012</v>
      </c>
      <c r="N190" s="9" t="s">
        <v>751</v>
      </c>
      <c r="O190" s="6">
        <f t="shared" si="3"/>
        <v>2394.4355644355646</v>
      </c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.75" x14ac:dyDescent="0.2">
      <c r="A191" s="4" t="s">
        <v>14</v>
      </c>
      <c r="B191" s="5" t="s">
        <v>963</v>
      </c>
      <c r="C191" s="4">
        <v>10</v>
      </c>
      <c r="D191" s="6" t="e">
        <f t="shared" si="0"/>
        <v>#VALUE!</v>
      </c>
      <c r="E191" s="6" t="s">
        <v>1013</v>
      </c>
      <c r="F191" s="7">
        <v>400</v>
      </c>
      <c r="G191" s="6" t="s">
        <v>17</v>
      </c>
      <c r="H191" s="8" t="s">
        <v>1014</v>
      </c>
      <c r="I191" s="9" t="s">
        <v>1014</v>
      </c>
      <c r="J191" s="10" t="s">
        <v>1015</v>
      </c>
      <c r="K191" s="9" t="s">
        <v>655</v>
      </c>
      <c r="L191" s="9" t="s">
        <v>593</v>
      </c>
      <c r="M191" s="9" t="s">
        <v>1016</v>
      </c>
      <c r="N191" s="9" t="s">
        <v>1017</v>
      </c>
      <c r="O191" s="6">
        <f t="shared" si="3"/>
        <v>1762.2613333333334</v>
      </c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.75" x14ac:dyDescent="0.2">
      <c r="A192" s="12" t="s">
        <v>14</v>
      </c>
      <c r="B192" s="13" t="s">
        <v>1018</v>
      </c>
      <c r="C192" s="12">
        <v>1</v>
      </c>
      <c r="D192" s="14" t="e">
        <f t="shared" si="0"/>
        <v>#VALUE!</v>
      </c>
      <c r="E192" s="14" t="s">
        <v>1019</v>
      </c>
      <c r="F192" s="15">
        <v>313</v>
      </c>
      <c r="G192" s="14" t="s">
        <v>21</v>
      </c>
      <c r="H192" s="11" t="s">
        <v>1020</v>
      </c>
      <c r="I192" s="8" t="s">
        <v>1021</v>
      </c>
      <c r="J192" s="8" t="s">
        <v>1021</v>
      </c>
      <c r="K192" s="8" t="s">
        <v>1022</v>
      </c>
      <c r="L192" s="8" t="s">
        <v>1021</v>
      </c>
      <c r="M192" s="9" t="s">
        <v>1023</v>
      </c>
      <c r="N192" s="8" t="s">
        <v>1024</v>
      </c>
      <c r="O192" s="6">
        <f t="shared" si="3"/>
        <v>2750</v>
      </c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2.75" x14ac:dyDescent="0.2">
      <c r="A193" s="12" t="s">
        <v>14</v>
      </c>
      <c r="B193" s="13" t="s">
        <v>1018</v>
      </c>
      <c r="C193" s="12">
        <v>2</v>
      </c>
      <c r="D193" s="14" t="e">
        <f t="shared" si="0"/>
        <v>#VALUE!</v>
      </c>
      <c r="E193" s="14" t="s">
        <v>1025</v>
      </c>
      <c r="F193" s="15">
        <v>316</v>
      </c>
      <c r="G193" s="14" t="s">
        <v>21</v>
      </c>
      <c r="H193" s="11" t="s">
        <v>1026</v>
      </c>
      <c r="I193" s="8" t="s">
        <v>1027</v>
      </c>
      <c r="J193" s="8" t="s">
        <v>1027</v>
      </c>
      <c r="K193" s="8" t="s">
        <v>1028</v>
      </c>
      <c r="L193" s="8" t="s">
        <v>1027</v>
      </c>
      <c r="M193" s="9" t="s">
        <v>1029</v>
      </c>
      <c r="N193" s="8" t="s">
        <v>1030</v>
      </c>
      <c r="O193" s="6">
        <f t="shared" si="3"/>
        <v>2755.9055118110236</v>
      </c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2.75" x14ac:dyDescent="0.2">
      <c r="A194" s="12" t="s">
        <v>14</v>
      </c>
      <c r="B194" s="13" t="s">
        <v>1018</v>
      </c>
      <c r="C194" s="12">
        <v>3</v>
      </c>
      <c r="D194" s="14" t="e">
        <f t="shared" si="0"/>
        <v>#VALUE!</v>
      </c>
      <c r="E194" s="14" t="s">
        <v>1031</v>
      </c>
      <c r="F194" s="15">
        <v>319</v>
      </c>
      <c r="G194" s="14" t="s">
        <v>17</v>
      </c>
      <c r="H194" s="8" t="s">
        <v>1032</v>
      </c>
      <c r="I194" s="8" t="s">
        <v>1032</v>
      </c>
      <c r="J194" s="11" t="s">
        <v>1033</v>
      </c>
      <c r="K194" s="8" t="s">
        <v>1034</v>
      </c>
      <c r="L194" s="8" t="s">
        <v>1032</v>
      </c>
      <c r="M194" s="9" t="s">
        <v>1035</v>
      </c>
      <c r="N194" s="8" t="s">
        <v>955</v>
      </c>
      <c r="O194" s="6">
        <f t="shared" si="3"/>
        <v>2761.5384615384614</v>
      </c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2.75" x14ac:dyDescent="0.2">
      <c r="A195" s="12" t="s">
        <v>14</v>
      </c>
      <c r="B195" s="13" t="s">
        <v>1018</v>
      </c>
      <c r="C195" s="12">
        <v>4</v>
      </c>
      <c r="D195" s="14" t="e">
        <f t="shared" si="0"/>
        <v>#VALUE!</v>
      </c>
      <c r="E195" s="14" t="s">
        <v>1036</v>
      </c>
      <c r="F195" s="15">
        <v>322</v>
      </c>
      <c r="G195" s="14" t="s">
        <v>21</v>
      </c>
      <c r="H195" s="11" t="s">
        <v>1037</v>
      </c>
      <c r="I195" s="8" t="s">
        <v>1038</v>
      </c>
      <c r="J195" s="8" t="s">
        <v>1038</v>
      </c>
      <c r="K195" s="8" t="s">
        <v>1039</v>
      </c>
      <c r="L195" s="8" t="s">
        <v>1038</v>
      </c>
      <c r="M195" s="9" t="s">
        <v>1040</v>
      </c>
      <c r="N195" s="8" t="s">
        <v>1041</v>
      </c>
      <c r="O195" s="6">
        <f t="shared" ref="O195:O258" si="4">M195/K195</f>
        <v>2766.9172932330825</v>
      </c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2.75" x14ac:dyDescent="0.2">
      <c r="A196" s="12" t="s">
        <v>14</v>
      </c>
      <c r="B196" s="13" t="s">
        <v>1018</v>
      </c>
      <c r="C196" s="12">
        <v>5</v>
      </c>
      <c r="D196" s="14" t="e">
        <f t="shared" si="0"/>
        <v>#VALUE!</v>
      </c>
      <c r="E196" s="14" t="s">
        <v>1042</v>
      </c>
      <c r="F196" s="15">
        <v>325</v>
      </c>
      <c r="G196" s="14" t="s">
        <v>17</v>
      </c>
      <c r="H196" s="8" t="s">
        <v>1043</v>
      </c>
      <c r="I196" s="8" t="s">
        <v>1043</v>
      </c>
      <c r="J196" s="11" t="s">
        <v>1044</v>
      </c>
      <c r="K196" s="8" t="s">
        <v>1045</v>
      </c>
      <c r="L196" s="8" t="s">
        <v>1043</v>
      </c>
      <c r="M196" s="9" t="s">
        <v>1046</v>
      </c>
      <c r="N196" s="8" t="s">
        <v>550</v>
      </c>
      <c r="O196" s="6">
        <f t="shared" si="4"/>
        <v>2772.0588235294117</v>
      </c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2.75" x14ac:dyDescent="0.2">
      <c r="A197" s="12" t="s">
        <v>14</v>
      </c>
      <c r="B197" s="13" t="s">
        <v>1018</v>
      </c>
      <c r="C197" s="12">
        <v>6</v>
      </c>
      <c r="D197" s="14" t="e">
        <f t="shared" si="0"/>
        <v>#VALUE!</v>
      </c>
      <c r="E197" s="14" t="s">
        <v>1047</v>
      </c>
      <c r="F197" s="15">
        <v>328</v>
      </c>
      <c r="G197" s="14" t="s">
        <v>28</v>
      </c>
      <c r="H197" s="8" t="s">
        <v>1048</v>
      </c>
      <c r="I197" s="11" t="s">
        <v>1049</v>
      </c>
      <c r="J197" s="8" t="s">
        <v>1048</v>
      </c>
      <c r="K197" s="8" t="s">
        <v>1050</v>
      </c>
      <c r="L197" s="8" t="s">
        <v>1048</v>
      </c>
      <c r="M197" s="9" t="s">
        <v>1051</v>
      </c>
      <c r="N197" s="8" t="s">
        <v>1052</v>
      </c>
      <c r="O197" s="6">
        <f t="shared" si="4"/>
        <v>2776.9784172661871</v>
      </c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2.75" x14ac:dyDescent="0.2">
      <c r="A198" s="12" t="s">
        <v>14</v>
      </c>
      <c r="B198" s="13" t="s">
        <v>1018</v>
      </c>
      <c r="C198" s="12">
        <v>7</v>
      </c>
      <c r="D198" s="14" t="e">
        <f t="shared" si="0"/>
        <v>#VALUE!</v>
      </c>
      <c r="E198" s="14" t="s">
        <v>1053</v>
      </c>
      <c r="F198" s="15">
        <v>331</v>
      </c>
      <c r="G198" s="14" t="s">
        <v>17</v>
      </c>
      <c r="H198" s="8" t="s">
        <v>1054</v>
      </c>
      <c r="I198" s="8" t="s">
        <v>1054</v>
      </c>
      <c r="J198" s="11" t="s">
        <v>1055</v>
      </c>
      <c r="K198" s="8" t="s">
        <v>1056</v>
      </c>
      <c r="L198" s="8" t="s">
        <v>1054</v>
      </c>
      <c r="M198" s="9" t="s">
        <v>1057</v>
      </c>
      <c r="N198" s="8" t="s">
        <v>1058</v>
      </c>
      <c r="O198" s="6">
        <f t="shared" si="4"/>
        <v>2781.6901408450703</v>
      </c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2.75" x14ac:dyDescent="0.2">
      <c r="A199" s="12" t="s">
        <v>14</v>
      </c>
      <c r="B199" s="13" t="s">
        <v>1018</v>
      </c>
      <c r="C199" s="12">
        <v>8</v>
      </c>
      <c r="D199" s="14" t="e">
        <f t="shared" si="0"/>
        <v>#VALUE!</v>
      </c>
      <c r="E199" s="14" t="s">
        <v>1059</v>
      </c>
      <c r="F199" s="15">
        <v>334</v>
      </c>
      <c r="G199" s="14" t="s">
        <v>17</v>
      </c>
      <c r="H199" s="8" t="s">
        <v>1060</v>
      </c>
      <c r="I199" s="8" t="s">
        <v>1060</v>
      </c>
      <c r="J199" s="11" t="s">
        <v>1061</v>
      </c>
      <c r="K199" s="8" t="s">
        <v>1062</v>
      </c>
      <c r="L199" s="8" t="s">
        <v>1060</v>
      </c>
      <c r="M199" s="9" t="s">
        <v>1063</v>
      </c>
      <c r="N199" s="8" t="s">
        <v>1064</v>
      </c>
      <c r="O199" s="6">
        <f t="shared" si="4"/>
        <v>2786.2068965517242</v>
      </c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2.75" x14ac:dyDescent="0.2">
      <c r="A200" s="12" t="s">
        <v>14</v>
      </c>
      <c r="B200" s="13" t="s">
        <v>1018</v>
      </c>
      <c r="C200" s="12">
        <v>9</v>
      </c>
      <c r="D200" s="14" t="e">
        <f t="shared" si="0"/>
        <v>#VALUE!</v>
      </c>
      <c r="E200" s="14" t="s">
        <v>1065</v>
      </c>
      <c r="F200" s="15">
        <v>337</v>
      </c>
      <c r="G200" s="14" t="s">
        <v>21</v>
      </c>
      <c r="H200" s="11" t="s">
        <v>1066</v>
      </c>
      <c r="I200" s="8" t="s">
        <v>1067</v>
      </c>
      <c r="J200" s="8" t="s">
        <v>1067</v>
      </c>
      <c r="K200" s="8" t="s">
        <v>1068</v>
      </c>
      <c r="L200" s="8" t="s">
        <v>1067</v>
      </c>
      <c r="M200" s="9" t="s">
        <v>1069</v>
      </c>
      <c r="N200" s="8" t="s">
        <v>1070</v>
      </c>
      <c r="O200" s="6">
        <f t="shared" si="4"/>
        <v>2790.5405405405404</v>
      </c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2.75" x14ac:dyDescent="0.2">
      <c r="A201" s="12" t="s">
        <v>14</v>
      </c>
      <c r="B201" s="13" t="s">
        <v>1018</v>
      </c>
      <c r="C201" s="12">
        <v>10</v>
      </c>
      <c r="D201" s="14" t="e">
        <f t="shared" si="0"/>
        <v>#VALUE!</v>
      </c>
      <c r="E201" s="14" t="s">
        <v>1071</v>
      </c>
      <c r="F201" s="15">
        <v>340</v>
      </c>
      <c r="G201" s="14" t="s">
        <v>17</v>
      </c>
      <c r="H201" s="8" t="s">
        <v>1072</v>
      </c>
      <c r="I201" s="8" t="s">
        <v>1072</v>
      </c>
      <c r="J201" s="11" t="s">
        <v>1073</v>
      </c>
      <c r="K201" s="8" t="s">
        <v>1074</v>
      </c>
      <c r="L201" s="8" t="s">
        <v>1072</v>
      </c>
      <c r="M201" s="9" t="s">
        <v>1075</v>
      </c>
      <c r="N201" s="8" t="s">
        <v>571</v>
      </c>
      <c r="O201" s="6">
        <f t="shared" si="4"/>
        <v>2794.701986754967</v>
      </c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2.75" x14ac:dyDescent="0.2">
      <c r="A202" s="4" t="s">
        <v>14</v>
      </c>
      <c r="B202" s="5" t="s">
        <v>1076</v>
      </c>
      <c r="C202" s="4">
        <v>1</v>
      </c>
      <c r="D202" s="6" t="e">
        <f t="shared" si="0"/>
        <v>#VALUE!</v>
      </c>
      <c r="E202" s="6" t="s">
        <v>1077</v>
      </c>
      <c r="F202" s="7">
        <v>410</v>
      </c>
      <c r="G202" s="6" t="s">
        <v>17</v>
      </c>
      <c r="H202" s="8" t="s">
        <v>1078</v>
      </c>
      <c r="I202" s="9" t="s">
        <v>1078</v>
      </c>
      <c r="J202" s="10" t="s">
        <v>1044</v>
      </c>
      <c r="K202" s="9" t="s">
        <v>616</v>
      </c>
      <c r="L202" s="9" t="s">
        <v>615</v>
      </c>
      <c r="M202" s="9" t="s">
        <v>1079</v>
      </c>
      <c r="N202" s="9" t="s">
        <v>1017</v>
      </c>
      <c r="O202" s="6">
        <f t="shared" si="4"/>
        <v>555.55555555555554</v>
      </c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.75" x14ac:dyDescent="0.2">
      <c r="A203" s="4" t="s">
        <v>14</v>
      </c>
      <c r="B203" s="5" t="s">
        <v>1076</v>
      </c>
      <c r="C203" s="4">
        <v>2</v>
      </c>
      <c r="D203" s="6" t="e">
        <f t="shared" si="0"/>
        <v>#VALUE!</v>
      </c>
      <c r="E203" s="6" t="s">
        <v>1080</v>
      </c>
      <c r="F203" s="7">
        <v>420</v>
      </c>
      <c r="G203" s="6" t="s">
        <v>21</v>
      </c>
      <c r="H203" s="11" t="s">
        <v>992</v>
      </c>
      <c r="I203" s="9" t="s">
        <v>1014</v>
      </c>
      <c r="J203" s="9" t="s">
        <v>1014</v>
      </c>
      <c r="K203" s="9" t="s">
        <v>1044</v>
      </c>
      <c r="L203" s="9" t="s">
        <v>1081</v>
      </c>
      <c r="M203" s="9" t="s">
        <v>1082</v>
      </c>
      <c r="N203" s="9" t="s">
        <v>1017</v>
      </c>
      <c r="O203" s="6">
        <f t="shared" si="4"/>
        <v>1500</v>
      </c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.75" x14ac:dyDescent="0.2">
      <c r="A204" s="4" t="s">
        <v>14</v>
      </c>
      <c r="B204" s="5" t="s">
        <v>1076</v>
      </c>
      <c r="C204" s="4">
        <v>3</v>
      </c>
      <c r="D204" s="6" t="e">
        <f t="shared" si="0"/>
        <v>#VALUE!</v>
      </c>
      <c r="E204" s="6" t="s">
        <v>1083</v>
      </c>
      <c r="F204" s="7">
        <v>430</v>
      </c>
      <c r="G204" s="6" t="s">
        <v>1084</v>
      </c>
      <c r="H204" s="11" t="s">
        <v>1085</v>
      </c>
      <c r="I204" s="9" t="s">
        <v>1043</v>
      </c>
      <c r="J204" s="9" t="s">
        <v>1043</v>
      </c>
      <c r="K204" s="9" t="s">
        <v>1086</v>
      </c>
      <c r="L204" s="9" t="s">
        <v>1087</v>
      </c>
      <c r="M204" s="9" t="s">
        <v>600</v>
      </c>
      <c r="N204" s="9" t="s">
        <v>1017</v>
      </c>
      <c r="O204" s="6">
        <f t="shared" si="4"/>
        <v>1136.3636363636363</v>
      </c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.75" x14ac:dyDescent="0.2">
      <c r="A205" s="4" t="s">
        <v>14</v>
      </c>
      <c r="B205" s="5" t="s">
        <v>1076</v>
      </c>
      <c r="C205" s="4">
        <v>4</v>
      </c>
      <c r="D205" s="6" t="e">
        <f t="shared" si="0"/>
        <v>#VALUE!</v>
      </c>
      <c r="E205" s="6" t="s">
        <v>1088</v>
      </c>
      <c r="F205" s="7">
        <v>440</v>
      </c>
      <c r="G205" s="6" t="s">
        <v>28</v>
      </c>
      <c r="H205" s="8" t="s">
        <v>593</v>
      </c>
      <c r="I205" s="10" t="s">
        <v>829</v>
      </c>
      <c r="J205" s="9" t="s">
        <v>593</v>
      </c>
      <c r="K205" s="9" t="s">
        <v>992</v>
      </c>
      <c r="L205" s="9" t="s">
        <v>1089</v>
      </c>
      <c r="M205" s="9" t="s">
        <v>1090</v>
      </c>
      <c r="N205" s="9" t="s">
        <v>1017</v>
      </c>
      <c r="O205" s="6">
        <f t="shared" si="4"/>
        <v>1458.3333333333333</v>
      </c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2.75" x14ac:dyDescent="0.2">
      <c r="A206" s="4" t="s">
        <v>14</v>
      </c>
      <c r="B206" s="5" t="s">
        <v>1076</v>
      </c>
      <c r="C206" s="4">
        <v>5</v>
      </c>
      <c r="D206" s="6" t="e">
        <f t="shared" si="0"/>
        <v>#VALUE!</v>
      </c>
      <c r="E206" s="6" t="s">
        <v>1091</v>
      </c>
      <c r="F206" s="7">
        <v>450</v>
      </c>
      <c r="G206" s="6" t="s">
        <v>1084</v>
      </c>
      <c r="H206" s="11" t="s">
        <v>1092</v>
      </c>
      <c r="I206" s="9" t="s">
        <v>605</v>
      </c>
      <c r="J206" s="9" t="s">
        <v>605</v>
      </c>
      <c r="K206" s="9" t="s">
        <v>1093</v>
      </c>
      <c r="L206" s="9" t="s">
        <v>1094</v>
      </c>
      <c r="M206" s="9" t="s">
        <v>1079</v>
      </c>
      <c r="N206" s="9" t="s">
        <v>1017</v>
      </c>
      <c r="O206" s="6">
        <f t="shared" si="4"/>
        <v>384.61538461538464</v>
      </c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2.75" x14ac:dyDescent="0.2">
      <c r="A207" s="4" t="s">
        <v>14</v>
      </c>
      <c r="B207" s="5" t="s">
        <v>1076</v>
      </c>
      <c r="C207" s="4">
        <v>6</v>
      </c>
      <c r="D207" s="6" t="e">
        <f t="shared" si="0"/>
        <v>#VALUE!</v>
      </c>
      <c r="E207" s="6" t="s">
        <v>1095</v>
      </c>
      <c r="F207" s="7">
        <v>460</v>
      </c>
      <c r="G207" s="6" t="s">
        <v>17</v>
      </c>
      <c r="H207" s="8" t="s">
        <v>616</v>
      </c>
      <c r="I207" s="9" t="s">
        <v>616</v>
      </c>
      <c r="J207" s="10" t="s">
        <v>789</v>
      </c>
      <c r="K207" s="9" t="s">
        <v>1085</v>
      </c>
      <c r="L207" s="9" t="s">
        <v>828</v>
      </c>
      <c r="M207" s="9" t="s">
        <v>600</v>
      </c>
      <c r="N207" s="9" t="s">
        <v>1017</v>
      </c>
      <c r="O207" s="6">
        <f t="shared" si="4"/>
        <v>862.06896551724139</v>
      </c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2.75" x14ac:dyDescent="0.2">
      <c r="A208" s="4" t="s">
        <v>14</v>
      </c>
      <c r="B208" s="5" t="s">
        <v>1076</v>
      </c>
      <c r="C208" s="4">
        <v>7</v>
      </c>
      <c r="D208" s="6" t="e">
        <f t="shared" si="0"/>
        <v>#VALUE!</v>
      </c>
      <c r="E208" s="6" t="s">
        <v>1096</v>
      </c>
      <c r="F208" s="7">
        <v>470</v>
      </c>
      <c r="G208" s="6" t="s">
        <v>28</v>
      </c>
      <c r="H208" s="8" t="s">
        <v>626</v>
      </c>
      <c r="I208" s="10" t="s">
        <v>1097</v>
      </c>
      <c r="J208" s="9" t="s">
        <v>626</v>
      </c>
      <c r="K208" s="9" t="s">
        <v>1015</v>
      </c>
      <c r="L208" s="9" t="s">
        <v>1098</v>
      </c>
      <c r="M208" s="9" t="s">
        <v>1090</v>
      </c>
      <c r="N208" s="9" t="s">
        <v>1017</v>
      </c>
      <c r="O208" s="6">
        <f t="shared" si="4"/>
        <v>1093.75</v>
      </c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2.75" x14ac:dyDescent="0.2">
      <c r="A209" s="4" t="s">
        <v>14</v>
      </c>
      <c r="B209" s="5" t="s">
        <v>1076</v>
      </c>
      <c r="C209" s="4">
        <v>8</v>
      </c>
      <c r="D209" s="6" t="e">
        <f t="shared" si="0"/>
        <v>#VALUE!</v>
      </c>
      <c r="E209" s="6" t="s">
        <v>1099</v>
      </c>
      <c r="F209" s="7">
        <v>480</v>
      </c>
      <c r="G209" s="6" t="s">
        <v>17</v>
      </c>
      <c r="H209" s="8" t="s">
        <v>1100</v>
      </c>
      <c r="I209" s="9" t="s">
        <v>1100</v>
      </c>
      <c r="J209" s="10" t="s">
        <v>1101</v>
      </c>
      <c r="K209" s="9" t="s">
        <v>829</v>
      </c>
      <c r="L209" s="9" t="s">
        <v>605</v>
      </c>
      <c r="M209" s="9" t="s">
        <v>1102</v>
      </c>
      <c r="N209" s="9" t="s">
        <v>1017</v>
      </c>
      <c r="O209" s="6">
        <f t="shared" si="4"/>
        <v>1428.5714285714287</v>
      </c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2.75" x14ac:dyDescent="0.2">
      <c r="A210" s="4" t="s">
        <v>14</v>
      </c>
      <c r="B210" s="5" t="s">
        <v>1076</v>
      </c>
      <c r="C210" s="4">
        <v>9</v>
      </c>
      <c r="D210" s="6" t="e">
        <f t="shared" si="0"/>
        <v>#VALUE!</v>
      </c>
      <c r="E210" s="6" t="s">
        <v>1103</v>
      </c>
      <c r="F210" s="7">
        <v>490</v>
      </c>
      <c r="G210" s="6" t="s">
        <v>21</v>
      </c>
      <c r="H210" s="11" t="s">
        <v>1104</v>
      </c>
      <c r="I210" s="9" t="s">
        <v>655</v>
      </c>
      <c r="J210" s="9" t="s">
        <v>655</v>
      </c>
      <c r="K210" s="9" t="s">
        <v>1105</v>
      </c>
      <c r="L210" s="9" t="s">
        <v>1106</v>
      </c>
      <c r="M210" s="9" t="s">
        <v>1082</v>
      </c>
      <c r="N210" s="9" t="s">
        <v>1017</v>
      </c>
      <c r="O210" s="6">
        <f t="shared" si="4"/>
        <v>769.23076923076928</v>
      </c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2.75" x14ac:dyDescent="0.2">
      <c r="A211" s="4" t="s">
        <v>14</v>
      </c>
      <c r="B211" s="5" t="s">
        <v>1076</v>
      </c>
      <c r="C211" s="4">
        <v>10</v>
      </c>
      <c r="D211" s="6" t="e">
        <f t="shared" si="0"/>
        <v>#VALUE!</v>
      </c>
      <c r="E211" s="6" t="s">
        <v>1107</v>
      </c>
      <c r="F211" s="7">
        <v>500</v>
      </c>
      <c r="G211" s="6" t="s">
        <v>17</v>
      </c>
      <c r="H211" s="8" t="s">
        <v>829</v>
      </c>
      <c r="I211" s="9" t="s">
        <v>829</v>
      </c>
      <c r="J211" s="10" t="s">
        <v>1108</v>
      </c>
      <c r="K211" s="9" t="s">
        <v>1109</v>
      </c>
      <c r="L211" s="9" t="s">
        <v>626</v>
      </c>
      <c r="M211" s="9" t="s">
        <v>1102</v>
      </c>
      <c r="N211" s="9" t="s">
        <v>1017</v>
      </c>
      <c r="O211" s="6">
        <f t="shared" si="4"/>
        <v>1162.7906976744187</v>
      </c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2.75" x14ac:dyDescent="0.2">
      <c r="A212" s="4" t="s">
        <v>14</v>
      </c>
      <c r="B212" s="5" t="s">
        <v>1110</v>
      </c>
      <c r="C212" s="4">
        <v>1</v>
      </c>
      <c r="D212" s="6" t="e">
        <f t="shared" si="0"/>
        <v>#VALUE!</v>
      </c>
      <c r="E212" s="6" t="s">
        <v>1111</v>
      </c>
      <c r="F212" s="7">
        <v>410</v>
      </c>
      <c r="G212" s="6" t="s">
        <v>28</v>
      </c>
      <c r="H212" s="8" t="s">
        <v>625</v>
      </c>
      <c r="I212" s="10" t="s">
        <v>1112</v>
      </c>
      <c r="J212" s="9" t="s">
        <v>1113</v>
      </c>
      <c r="K212" s="9" t="s">
        <v>1114</v>
      </c>
      <c r="L212" s="9" t="s">
        <v>1115</v>
      </c>
      <c r="M212" s="9" t="s">
        <v>1116</v>
      </c>
      <c r="N212" s="9" t="s">
        <v>1017</v>
      </c>
      <c r="O212" s="6">
        <f t="shared" si="4"/>
        <v>1644</v>
      </c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2.75" x14ac:dyDescent="0.2">
      <c r="A213" s="4" t="s">
        <v>14</v>
      </c>
      <c r="B213" s="5" t="s">
        <v>1110</v>
      </c>
      <c r="C213" s="4">
        <v>2</v>
      </c>
      <c r="D213" s="6" t="e">
        <f t="shared" si="0"/>
        <v>#VALUE!</v>
      </c>
      <c r="E213" s="6" t="s">
        <v>1117</v>
      </c>
      <c r="F213" s="7">
        <v>420</v>
      </c>
      <c r="G213" s="6" t="s">
        <v>17</v>
      </c>
      <c r="H213" s="8" t="s">
        <v>1118</v>
      </c>
      <c r="I213" s="9" t="s">
        <v>1119</v>
      </c>
      <c r="J213" s="10" t="s">
        <v>1120</v>
      </c>
      <c r="K213" s="9" t="s">
        <v>1121</v>
      </c>
      <c r="L213" s="9" t="s">
        <v>1122</v>
      </c>
      <c r="M213" s="9" t="s">
        <v>1123</v>
      </c>
      <c r="N213" s="9" t="s">
        <v>1017</v>
      </c>
      <c r="O213" s="6">
        <f t="shared" si="4"/>
        <v>842</v>
      </c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2.75" x14ac:dyDescent="0.2">
      <c r="A214" s="4" t="s">
        <v>14</v>
      </c>
      <c r="B214" s="5" t="s">
        <v>1110</v>
      </c>
      <c r="C214" s="4">
        <v>3</v>
      </c>
      <c r="D214" s="6" t="e">
        <f t="shared" si="0"/>
        <v>#VALUE!</v>
      </c>
      <c r="E214" s="6" t="s">
        <v>1124</v>
      </c>
      <c r="F214" s="7">
        <v>430</v>
      </c>
      <c r="G214" s="6" t="s">
        <v>21</v>
      </c>
      <c r="H214" s="11" t="s">
        <v>1125</v>
      </c>
      <c r="I214" s="9" t="s">
        <v>1126</v>
      </c>
      <c r="J214" s="9" t="s">
        <v>1127</v>
      </c>
      <c r="K214" s="9" t="s">
        <v>1128</v>
      </c>
      <c r="L214" s="9" t="s">
        <v>1129</v>
      </c>
      <c r="M214" s="9" t="s">
        <v>1130</v>
      </c>
      <c r="N214" s="9" t="s">
        <v>1017</v>
      </c>
      <c r="O214" s="6">
        <f t="shared" si="4"/>
        <v>2155</v>
      </c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2.75" x14ac:dyDescent="0.2">
      <c r="A215" s="4" t="s">
        <v>14</v>
      </c>
      <c r="B215" s="5" t="s">
        <v>1110</v>
      </c>
      <c r="C215" s="4">
        <v>4</v>
      </c>
      <c r="D215" s="6" t="e">
        <f t="shared" si="0"/>
        <v>#VALUE!</v>
      </c>
      <c r="E215" s="6" t="s">
        <v>1131</v>
      </c>
      <c r="F215" s="7">
        <v>440</v>
      </c>
      <c r="G215" s="6" t="s">
        <v>28</v>
      </c>
      <c r="H215" s="8" t="s">
        <v>1010</v>
      </c>
      <c r="I215" s="10" t="s">
        <v>777</v>
      </c>
      <c r="J215" s="9" t="s">
        <v>1132</v>
      </c>
      <c r="K215" s="9" t="s">
        <v>1133</v>
      </c>
      <c r="L215" s="9" t="s">
        <v>1134</v>
      </c>
      <c r="M215" s="9" t="s">
        <v>1135</v>
      </c>
      <c r="N215" s="9" t="s">
        <v>1017</v>
      </c>
      <c r="O215" s="6">
        <f t="shared" si="4"/>
        <v>1764</v>
      </c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2.75" x14ac:dyDescent="0.2">
      <c r="A216" s="4" t="s">
        <v>14</v>
      </c>
      <c r="B216" s="5" t="s">
        <v>1110</v>
      </c>
      <c r="C216" s="4">
        <v>5</v>
      </c>
      <c r="D216" s="6" t="e">
        <f t="shared" si="0"/>
        <v>#VALUE!</v>
      </c>
      <c r="E216" s="6" t="s">
        <v>1136</v>
      </c>
      <c r="F216" s="7">
        <v>450</v>
      </c>
      <c r="G216" s="6" t="s">
        <v>21</v>
      </c>
      <c r="H216" s="11" t="s">
        <v>1137</v>
      </c>
      <c r="I216" s="9" t="s">
        <v>1138</v>
      </c>
      <c r="J216" s="9" t="s">
        <v>1139</v>
      </c>
      <c r="K216" s="9" t="s">
        <v>1140</v>
      </c>
      <c r="L216" s="9" t="s">
        <v>1141</v>
      </c>
      <c r="M216" s="9" t="s">
        <v>1142</v>
      </c>
      <c r="N216" s="9" t="s">
        <v>1017</v>
      </c>
      <c r="O216" s="6">
        <f t="shared" si="4"/>
        <v>2255</v>
      </c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2.75" x14ac:dyDescent="0.2">
      <c r="A217" s="4" t="s">
        <v>14</v>
      </c>
      <c r="B217" s="5" t="s">
        <v>1110</v>
      </c>
      <c r="C217" s="4">
        <v>6</v>
      </c>
      <c r="D217" s="6" t="e">
        <f t="shared" si="0"/>
        <v>#VALUE!</v>
      </c>
      <c r="E217" s="6" t="s">
        <v>1143</v>
      </c>
      <c r="F217" s="7">
        <v>460</v>
      </c>
      <c r="G217" s="6" t="s">
        <v>21</v>
      </c>
      <c r="H217" s="11" t="s">
        <v>1144</v>
      </c>
      <c r="I217" s="9" t="s">
        <v>1145</v>
      </c>
      <c r="J217" s="9" t="s">
        <v>1146</v>
      </c>
      <c r="K217" s="9" t="s">
        <v>1147</v>
      </c>
      <c r="L217" s="9" t="s">
        <v>1148</v>
      </c>
      <c r="M217" s="9" t="s">
        <v>1149</v>
      </c>
      <c r="N217" s="9" t="s">
        <v>1017</v>
      </c>
      <c r="O217" s="6">
        <f t="shared" si="4"/>
        <v>2305</v>
      </c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2.75" x14ac:dyDescent="0.2">
      <c r="A218" s="4" t="s">
        <v>14</v>
      </c>
      <c r="B218" s="5" t="s">
        <v>1110</v>
      </c>
      <c r="C218" s="4">
        <v>7</v>
      </c>
      <c r="D218" s="6" t="e">
        <f t="shared" si="0"/>
        <v>#VALUE!</v>
      </c>
      <c r="E218" s="6" t="s">
        <v>1150</v>
      </c>
      <c r="F218" s="7">
        <v>470</v>
      </c>
      <c r="G218" s="6" t="s">
        <v>17</v>
      </c>
      <c r="H218" s="8" t="s">
        <v>1151</v>
      </c>
      <c r="I218" s="9" t="s">
        <v>1152</v>
      </c>
      <c r="J218" s="10" t="s">
        <v>1153</v>
      </c>
      <c r="K218" s="9" t="s">
        <v>1154</v>
      </c>
      <c r="L218" s="9" t="s">
        <v>1155</v>
      </c>
      <c r="M218" s="9" t="s">
        <v>1156</v>
      </c>
      <c r="N218" s="9" t="s">
        <v>1017</v>
      </c>
      <c r="O218" s="6">
        <f t="shared" si="4"/>
        <v>942</v>
      </c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2.75" x14ac:dyDescent="0.2">
      <c r="A219" s="4" t="s">
        <v>14</v>
      </c>
      <c r="B219" s="5" t="s">
        <v>1110</v>
      </c>
      <c r="C219" s="4">
        <v>8</v>
      </c>
      <c r="D219" s="6" t="e">
        <f t="shared" si="0"/>
        <v>#VALUE!</v>
      </c>
      <c r="E219" s="6" t="s">
        <v>1157</v>
      </c>
      <c r="F219" s="7">
        <v>480</v>
      </c>
      <c r="G219" s="6" t="s">
        <v>17</v>
      </c>
      <c r="H219" s="8" t="s">
        <v>1158</v>
      </c>
      <c r="I219" s="9" t="s">
        <v>823</v>
      </c>
      <c r="J219" s="10" t="s">
        <v>1159</v>
      </c>
      <c r="K219" s="9" t="s">
        <v>1160</v>
      </c>
      <c r="L219" s="9" t="s">
        <v>1161</v>
      </c>
      <c r="M219" s="9" t="s">
        <v>1162</v>
      </c>
      <c r="N219" s="9" t="s">
        <v>1017</v>
      </c>
      <c r="O219" s="6">
        <f t="shared" si="4"/>
        <v>962</v>
      </c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2.75" x14ac:dyDescent="0.2">
      <c r="A220" s="4" t="s">
        <v>14</v>
      </c>
      <c r="B220" s="5" t="s">
        <v>1110</v>
      </c>
      <c r="C220" s="4">
        <v>9</v>
      </c>
      <c r="D220" s="6" t="e">
        <f t="shared" si="0"/>
        <v>#VALUE!</v>
      </c>
      <c r="E220" s="6" t="s">
        <v>1163</v>
      </c>
      <c r="F220" s="7">
        <v>490</v>
      </c>
      <c r="G220" s="6" t="s">
        <v>21</v>
      </c>
      <c r="H220" s="11" t="s">
        <v>1164</v>
      </c>
      <c r="I220" s="9" t="s">
        <v>1165</v>
      </c>
      <c r="J220" s="9" t="s">
        <v>1166</v>
      </c>
      <c r="K220" s="9" t="s">
        <v>1167</v>
      </c>
      <c r="L220" s="9" t="s">
        <v>1168</v>
      </c>
      <c r="M220" s="9" t="s">
        <v>1169</v>
      </c>
      <c r="N220" s="9" t="s">
        <v>1017</v>
      </c>
      <c r="O220" s="6">
        <f t="shared" si="4"/>
        <v>2455</v>
      </c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2.75" x14ac:dyDescent="0.2">
      <c r="A221" s="4" t="s">
        <v>14</v>
      </c>
      <c r="B221" s="5" t="s">
        <v>1110</v>
      </c>
      <c r="C221" s="4">
        <v>10</v>
      </c>
      <c r="D221" s="6" t="e">
        <f t="shared" si="0"/>
        <v>#VALUE!</v>
      </c>
      <c r="E221" s="6" t="s">
        <v>1170</v>
      </c>
      <c r="F221" s="7">
        <v>500</v>
      </c>
      <c r="G221" s="6" t="s">
        <v>28</v>
      </c>
      <c r="H221" s="8" t="s">
        <v>1171</v>
      </c>
      <c r="I221" s="10" t="s">
        <v>1172</v>
      </c>
      <c r="J221" s="9" t="s">
        <v>1173</v>
      </c>
      <c r="K221" s="9" t="s">
        <v>1174</v>
      </c>
      <c r="L221" s="9" t="s">
        <v>1175</v>
      </c>
      <c r="M221" s="9" t="s">
        <v>1176</v>
      </c>
      <c r="N221" s="9" t="s">
        <v>1017</v>
      </c>
      <c r="O221" s="6">
        <f t="shared" si="4"/>
        <v>2004</v>
      </c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2.75" x14ac:dyDescent="0.2">
      <c r="A222" s="4" t="s">
        <v>14</v>
      </c>
      <c r="B222" s="5" t="s">
        <v>1177</v>
      </c>
      <c r="C222" s="4">
        <v>1</v>
      </c>
      <c r="D222" s="6" t="e">
        <f t="shared" si="0"/>
        <v>#VALUE!</v>
      </c>
      <c r="E222" s="6" t="s">
        <v>1178</v>
      </c>
      <c r="F222" s="7">
        <v>325</v>
      </c>
      <c r="G222" s="6" t="s">
        <v>17</v>
      </c>
      <c r="H222" s="8" t="s">
        <v>1179</v>
      </c>
      <c r="I222" s="9" t="s">
        <v>1179</v>
      </c>
      <c r="J222" s="10" t="s">
        <v>1180</v>
      </c>
      <c r="K222" s="9" t="s">
        <v>1181</v>
      </c>
      <c r="L222" s="9" t="s">
        <v>1182</v>
      </c>
      <c r="M222" s="9" t="s">
        <v>1183</v>
      </c>
      <c r="N222" s="9" t="s">
        <v>550</v>
      </c>
      <c r="O222" s="6">
        <f t="shared" si="4"/>
        <v>1043.199935264606</v>
      </c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2.75" x14ac:dyDescent="0.2">
      <c r="A223" s="4" t="s">
        <v>14</v>
      </c>
      <c r="B223" s="5" t="s">
        <v>1177</v>
      </c>
      <c r="C223" s="4">
        <v>2</v>
      </c>
      <c r="D223" s="6" t="e">
        <f t="shared" si="0"/>
        <v>#VALUE!</v>
      </c>
      <c r="E223" s="6" t="s">
        <v>1184</v>
      </c>
      <c r="F223" s="7">
        <v>332</v>
      </c>
      <c r="G223" s="6" t="s">
        <v>17</v>
      </c>
      <c r="H223" s="8" t="s">
        <v>1185</v>
      </c>
      <c r="I223" s="9" t="s">
        <v>1186</v>
      </c>
      <c r="J223" s="10" t="s">
        <v>1187</v>
      </c>
      <c r="K223" s="9" t="s">
        <v>1188</v>
      </c>
      <c r="L223" s="9" t="s">
        <v>1189</v>
      </c>
      <c r="M223" s="9" t="s">
        <v>1190</v>
      </c>
      <c r="N223" s="9" t="s">
        <v>1191</v>
      </c>
      <c r="O223" s="6">
        <f t="shared" si="4"/>
        <v>1082.2499511050264</v>
      </c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2.75" x14ac:dyDescent="0.2">
      <c r="A224" s="4" t="s">
        <v>14</v>
      </c>
      <c r="B224" s="5" t="s">
        <v>1177</v>
      </c>
      <c r="C224" s="4">
        <v>3</v>
      </c>
      <c r="D224" s="6" t="e">
        <f t="shared" si="0"/>
        <v>#VALUE!</v>
      </c>
      <c r="E224" s="6" t="s">
        <v>1192</v>
      </c>
      <c r="F224" s="7">
        <v>340</v>
      </c>
      <c r="G224" s="6" t="s">
        <v>17</v>
      </c>
      <c r="H224" s="8" t="s">
        <v>1193</v>
      </c>
      <c r="I224" s="9" t="s">
        <v>1194</v>
      </c>
      <c r="J224" s="10" t="s">
        <v>1195</v>
      </c>
      <c r="K224" s="9" t="s">
        <v>1196</v>
      </c>
      <c r="L224" s="9" t="s">
        <v>1197</v>
      </c>
      <c r="M224" s="9" t="s">
        <v>1198</v>
      </c>
      <c r="N224" s="9" t="s">
        <v>571</v>
      </c>
      <c r="O224" s="6">
        <f t="shared" si="4"/>
        <v>1128.5998998497746</v>
      </c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2.75" x14ac:dyDescent="0.2">
      <c r="A225" s="4" t="s">
        <v>14</v>
      </c>
      <c r="B225" s="5" t="s">
        <v>1177</v>
      </c>
      <c r="C225" s="4">
        <v>4</v>
      </c>
      <c r="D225" s="6" t="e">
        <f t="shared" si="0"/>
        <v>#VALUE!</v>
      </c>
      <c r="E225" s="6" t="s">
        <v>1199</v>
      </c>
      <c r="F225" s="7">
        <v>347</v>
      </c>
      <c r="G225" s="6" t="s">
        <v>28</v>
      </c>
      <c r="H225" s="8" t="s">
        <v>763</v>
      </c>
      <c r="I225" s="10" t="s">
        <v>1200</v>
      </c>
      <c r="J225" s="9" t="s">
        <v>1201</v>
      </c>
      <c r="K225" s="9" t="s">
        <v>1202</v>
      </c>
      <c r="L225" s="9" t="s">
        <v>1203</v>
      </c>
      <c r="M225" s="9" t="s">
        <v>1204</v>
      </c>
      <c r="N225" s="9" t="s">
        <v>1205</v>
      </c>
      <c r="O225" s="6">
        <f t="shared" si="4"/>
        <v>2332.503457814661</v>
      </c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2.75" x14ac:dyDescent="0.2">
      <c r="A226" s="4" t="s">
        <v>14</v>
      </c>
      <c r="B226" s="5" t="s">
        <v>1177</v>
      </c>
      <c r="C226" s="4">
        <v>5</v>
      </c>
      <c r="D226" s="6" t="e">
        <f t="shared" si="0"/>
        <v>#VALUE!</v>
      </c>
      <c r="E226" s="6" t="s">
        <v>1206</v>
      </c>
      <c r="F226" s="7">
        <v>355</v>
      </c>
      <c r="G226" s="6" t="s">
        <v>17</v>
      </c>
      <c r="H226" s="8" t="s">
        <v>1207</v>
      </c>
      <c r="I226" s="9" t="s">
        <v>1208</v>
      </c>
      <c r="J226" s="10" t="s">
        <v>1209</v>
      </c>
      <c r="K226" s="9" t="s">
        <v>1210</v>
      </c>
      <c r="L226" s="9" t="s">
        <v>1211</v>
      </c>
      <c r="M226" s="9" t="s">
        <v>1212</v>
      </c>
      <c r="N226" s="9" t="s">
        <v>698</v>
      </c>
      <c r="O226" s="6">
        <f t="shared" si="4"/>
        <v>1210.4000000000001</v>
      </c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2.75" x14ac:dyDescent="0.2">
      <c r="A227" s="4" t="s">
        <v>14</v>
      </c>
      <c r="B227" s="5" t="s">
        <v>1177</v>
      </c>
      <c r="C227" s="4">
        <v>9</v>
      </c>
      <c r="D227" s="6" t="e">
        <f t="shared" si="0"/>
        <v>#VALUE!</v>
      </c>
      <c r="E227" s="6" t="s">
        <v>1213</v>
      </c>
      <c r="F227" s="7">
        <v>362</v>
      </c>
      <c r="G227" s="6" t="s">
        <v>21</v>
      </c>
      <c r="H227" s="11" t="s">
        <v>1214</v>
      </c>
      <c r="I227" s="9" t="s">
        <v>1215</v>
      </c>
      <c r="J227" s="9" t="s">
        <v>1216</v>
      </c>
      <c r="K227" s="9" t="s">
        <v>1217</v>
      </c>
      <c r="L227" s="9" t="s">
        <v>1218</v>
      </c>
      <c r="M227" s="9" t="s">
        <v>1219</v>
      </c>
      <c r="N227" s="9" t="s">
        <v>1220</v>
      </c>
      <c r="O227" s="6">
        <f t="shared" si="4"/>
        <v>3176.2500985374959</v>
      </c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2.75" x14ac:dyDescent="0.2">
      <c r="A228" s="4" t="s">
        <v>14</v>
      </c>
      <c r="B228" s="5" t="s">
        <v>1177</v>
      </c>
      <c r="C228" s="4">
        <v>7</v>
      </c>
      <c r="D228" s="6" t="e">
        <f t="shared" si="0"/>
        <v>#VALUE!</v>
      </c>
      <c r="E228" s="6" t="s">
        <v>1221</v>
      </c>
      <c r="F228" s="7">
        <v>370</v>
      </c>
      <c r="G228" s="6" t="s">
        <v>17</v>
      </c>
      <c r="H228" s="8" t="s">
        <v>1222</v>
      </c>
      <c r="I228" s="9" t="s">
        <v>1223</v>
      </c>
      <c r="J228" s="10" t="s">
        <v>1224</v>
      </c>
      <c r="K228" s="9" t="s">
        <v>1225</v>
      </c>
      <c r="L228" s="9" t="s">
        <v>1226</v>
      </c>
      <c r="M228" s="9" t="s">
        <v>1227</v>
      </c>
      <c r="N228" s="9" t="s">
        <v>720</v>
      </c>
      <c r="O228" s="6">
        <f t="shared" si="4"/>
        <v>1279.9499753600176</v>
      </c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2.75" x14ac:dyDescent="0.2">
      <c r="A229" s="4" t="s">
        <v>14</v>
      </c>
      <c r="B229" s="5" t="s">
        <v>1177</v>
      </c>
      <c r="C229" s="4">
        <v>8</v>
      </c>
      <c r="D229" s="6" t="e">
        <f t="shared" si="0"/>
        <v>#VALUE!</v>
      </c>
      <c r="E229" s="6" t="s">
        <v>1228</v>
      </c>
      <c r="F229" s="7">
        <v>377</v>
      </c>
      <c r="G229" s="6" t="s">
        <v>17</v>
      </c>
      <c r="H229" s="8" t="s">
        <v>1229</v>
      </c>
      <c r="I229" s="9" t="s">
        <v>1230</v>
      </c>
      <c r="J229" s="10" t="s">
        <v>1231</v>
      </c>
      <c r="K229" s="9" t="s">
        <v>1232</v>
      </c>
      <c r="L229" s="9" t="s">
        <v>1233</v>
      </c>
      <c r="M229" s="9" t="s">
        <v>1234</v>
      </c>
      <c r="N229" s="9" t="s">
        <v>1235</v>
      </c>
      <c r="O229" s="6">
        <f t="shared" si="4"/>
        <v>1304.0999688893498</v>
      </c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2.75" x14ac:dyDescent="0.2">
      <c r="A230" s="4" t="s">
        <v>14</v>
      </c>
      <c r="B230" s="5" t="s">
        <v>1177</v>
      </c>
      <c r="C230" s="4">
        <v>9</v>
      </c>
      <c r="D230" s="6" t="e">
        <f t="shared" si="0"/>
        <v>#VALUE!</v>
      </c>
      <c r="E230" s="6" t="s">
        <v>1236</v>
      </c>
      <c r="F230" s="7">
        <v>385</v>
      </c>
      <c r="G230" s="6" t="s">
        <v>28</v>
      </c>
      <c r="H230" s="8" t="s">
        <v>1237</v>
      </c>
      <c r="I230" s="10" t="s">
        <v>1238</v>
      </c>
      <c r="J230" s="9" t="s">
        <v>1239</v>
      </c>
      <c r="K230" s="9" t="s">
        <v>1240</v>
      </c>
      <c r="L230" s="9" t="s">
        <v>1241</v>
      </c>
      <c r="M230" s="9" t="s">
        <v>1242</v>
      </c>
      <c r="N230" s="9" t="s">
        <v>743</v>
      </c>
      <c r="O230" s="6">
        <f t="shared" si="4"/>
        <v>2910.8555120828537</v>
      </c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2.75" x14ac:dyDescent="0.2">
      <c r="A231" s="4" t="s">
        <v>14</v>
      </c>
      <c r="B231" s="5" t="s">
        <v>1177</v>
      </c>
      <c r="C231" s="4">
        <v>10</v>
      </c>
      <c r="D231" s="6" t="e">
        <f t="shared" si="0"/>
        <v>#VALUE!</v>
      </c>
      <c r="E231" s="6" t="s">
        <v>1243</v>
      </c>
      <c r="F231" s="7">
        <v>400</v>
      </c>
      <c r="G231" s="6" t="s">
        <v>17</v>
      </c>
      <c r="H231" s="8" t="s">
        <v>1244</v>
      </c>
      <c r="I231" s="9" t="s">
        <v>1245</v>
      </c>
      <c r="J231" s="10" t="s">
        <v>1246</v>
      </c>
      <c r="K231" s="9" t="s">
        <v>1247</v>
      </c>
      <c r="L231" s="9" t="s">
        <v>1248</v>
      </c>
      <c r="M231" s="9" t="s">
        <v>1249</v>
      </c>
      <c r="N231" s="9" t="s">
        <v>1017</v>
      </c>
      <c r="O231" s="6">
        <f t="shared" si="4"/>
        <v>1504.9000079070136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2.75" x14ac:dyDescent="0.2">
      <c r="A232" s="4" t="s">
        <v>14</v>
      </c>
      <c r="B232" s="5" t="s">
        <v>1250</v>
      </c>
      <c r="C232" s="4">
        <v>1</v>
      </c>
      <c r="D232" s="6" t="e">
        <f t="shared" si="0"/>
        <v>#VALUE!</v>
      </c>
      <c r="E232" s="6" t="s">
        <v>1251</v>
      </c>
      <c r="F232" s="7">
        <v>210</v>
      </c>
      <c r="G232" s="6" t="s">
        <v>21</v>
      </c>
      <c r="H232" s="11" t="s">
        <v>702</v>
      </c>
      <c r="I232" s="9" t="s">
        <v>181</v>
      </c>
      <c r="J232" s="9" t="s">
        <v>181</v>
      </c>
      <c r="K232" s="9" t="s">
        <v>676</v>
      </c>
      <c r="L232" s="9" t="s">
        <v>615</v>
      </c>
      <c r="M232" s="9" t="s">
        <v>1252</v>
      </c>
      <c r="N232" s="9" t="s">
        <v>383</v>
      </c>
      <c r="O232" s="6">
        <f t="shared" si="4"/>
        <v>1210</v>
      </c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2.75" x14ac:dyDescent="0.2">
      <c r="A233" s="4" t="s">
        <v>14</v>
      </c>
      <c r="B233" s="5" t="s">
        <v>1250</v>
      </c>
      <c r="C233" s="4">
        <v>2</v>
      </c>
      <c r="D233" s="6" t="e">
        <f t="shared" si="0"/>
        <v>#VALUE!</v>
      </c>
      <c r="E233" s="6" t="s">
        <v>1253</v>
      </c>
      <c r="F233" s="7">
        <v>240</v>
      </c>
      <c r="G233" s="6" t="s">
        <v>17</v>
      </c>
      <c r="H233" s="8" t="s">
        <v>915</v>
      </c>
      <c r="I233" s="9" t="s">
        <v>916</v>
      </c>
      <c r="J233" s="10" t="s">
        <v>593</v>
      </c>
      <c r="K233" s="9" t="s">
        <v>688</v>
      </c>
      <c r="L233" s="9" t="s">
        <v>1081</v>
      </c>
      <c r="M233" s="9" t="s">
        <v>1254</v>
      </c>
      <c r="N233" s="9" t="s">
        <v>425</v>
      </c>
      <c r="O233" s="6">
        <f t="shared" si="4"/>
        <v>1375</v>
      </c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2.75" x14ac:dyDescent="0.2">
      <c r="A234" s="4" t="s">
        <v>14</v>
      </c>
      <c r="B234" s="5" t="s">
        <v>1250</v>
      </c>
      <c r="C234" s="4">
        <v>3</v>
      </c>
      <c r="D234" s="6" t="e">
        <f t="shared" si="0"/>
        <v>#VALUE!</v>
      </c>
      <c r="E234" s="6" t="s">
        <v>1255</v>
      </c>
      <c r="F234" s="7">
        <v>270</v>
      </c>
      <c r="G234" s="6" t="s">
        <v>17</v>
      </c>
      <c r="H234" s="8" t="s">
        <v>615</v>
      </c>
      <c r="I234" s="9" t="s">
        <v>615</v>
      </c>
      <c r="J234" s="10" t="s">
        <v>1256</v>
      </c>
      <c r="K234" s="9" t="s">
        <v>1257</v>
      </c>
      <c r="L234" s="9" t="s">
        <v>1089</v>
      </c>
      <c r="M234" s="9" t="s">
        <v>1258</v>
      </c>
      <c r="N234" s="9" t="s">
        <v>469</v>
      </c>
      <c r="O234" s="6">
        <f t="shared" si="4"/>
        <v>616</v>
      </c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2.75" x14ac:dyDescent="0.2">
      <c r="A235" s="4" t="s">
        <v>14</v>
      </c>
      <c r="B235" s="5" t="s">
        <v>1250</v>
      </c>
      <c r="C235" s="4">
        <v>4</v>
      </c>
      <c r="D235" s="6" t="e">
        <f t="shared" si="0"/>
        <v>#VALUE!</v>
      </c>
      <c r="E235" s="6" t="s">
        <v>1259</v>
      </c>
      <c r="F235" s="7">
        <v>305</v>
      </c>
      <c r="G235" s="6" t="s">
        <v>21</v>
      </c>
      <c r="H235" s="11" t="s">
        <v>605</v>
      </c>
      <c r="I235" s="9" t="s">
        <v>1260</v>
      </c>
      <c r="J235" s="9" t="s">
        <v>1260</v>
      </c>
      <c r="K235" s="9" t="s">
        <v>1261</v>
      </c>
      <c r="L235" s="9" t="s">
        <v>702</v>
      </c>
      <c r="M235" s="9" t="s">
        <v>1262</v>
      </c>
      <c r="N235" s="9" t="s">
        <v>521</v>
      </c>
      <c r="O235" s="6">
        <f t="shared" si="4"/>
        <v>1732.5001025641025</v>
      </c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2.75" x14ac:dyDescent="0.2">
      <c r="A236" s="4" t="s">
        <v>14</v>
      </c>
      <c r="B236" s="5" t="s">
        <v>1250</v>
      </c>
      <c r="C236" s="4">
        <v>5</v>
      </c>
      <c r="D236" s="6" t="e">
        <f t="shared" si="0"/>
        <v>#VALUE!</v>
      </c>
      <c r="E236" s="6" t="s">
        <v>1263</v>
      </c>
      <c r="F236" s="7">
        <v>330</v>
      </c>
      <c r="G236" s="6" t="s">
        <v>21</v>
      </c>
      <c r="H236" s="11" t="s">
        <v>1264</v>
      </c>
      <c r="I236" s="9" t="s">
        <v>1087</v>
      </c>
      <c r="J236" s="9" t="s">
        <v>1087</v>
      </c>
      <c r="K236" s="9" t="s">
        <v>1265</v>
      </c>
      <c r="L236" s="9" t="s">
        <v>1094</v>
      </c>
      <c r="M236" s="9" t="s">
        <v>1266</v>
      </c>
      <c r="N236" s="9" t="s">
        <v>557</v>
      </c>
      <c r="O236" s="6">
        <f t="shared" si="4"/>
        <v>1870.0001088435374</v>
      </c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2.75" x14ac:dyDescent="0.2">
      <c r="A237" s="4" t="s">
        <v>14</v>
      </c>
      <c r="B237" s="5" t="s">
        <v>1250</v>
      </c>
      <c r="C237" s="4">
        <v>6</v>
      </c>
      <c r="D237" s="6" t="e">
        <f t="shared" si="0"/>
        <v>#VALUE!</v>
      </c>
      <c r="E237" s="6" t="s">
        <v>1267</v>
      </c>
      <c r="F237" s="7">
        <v>360</v>
      </c>
      <c r="G237" s="6" t="s">
        <v>1268</v>
      </c>
      <c r="H237" s="8" t="s">
        <v>1269</v>
      </c>
      <c r="I237" s="10" t="s">
        <v>1270</v>
      </c>
      <c r="J237" s="9" t="s">
        <v>1269</v>
      </c>
      <c r="K237" s="9" t="s">
        <v>1271</v>
      </c>
      <c r="L237" s="9" t="s">
        <v>1256</v>
      </c>
      <c r="M237" s="9" t="s">
        <v>1272</v>
      </c>
      <c r="N237" s="9" t="s">
        <v>706</v>
      </c>
      <c r="O237" s="6">
        <f t="shared" si="4"/>
        <v>1628</v>
      </c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2.75" x14ac:dyDescent="0.2">
      <c r="A238" s="4" t="s">
        <v>14</v>
      </c>
      <c r="B238" s="5" t="s">
        <v>1250</v>
      </c>
      <c r="C238" s="4">
        <v>7</v>
      </c>
      <c r="D238" s="6" t="e">
        <f t="shared" si="0"/>
        <v>#VALUE!</v>
      </c>
      <c r="E238" s="6" t="s">
        <v>1273</v>
      </c>
      <c r="F238" s="7">
        <v>390</v>
      </c>
      <c r="G238" s="6" t="s">
        <v>1084</v>
      </c>
      <c r="H238" s="11" t="s">
        <v>632</v>
      </c>
      <c r="I238" s="9" t="s">
        <v>1269</v>
      </c>
      <c r="J238" s="9" t="s">
        <v>1269</v>
      </c>
      <c r="K238" s="9" t="s">
        <v>1274</v>
      </c>
      <c r="L238" s="9" t="s">
        <v>590</v>
      </c>
      <c r="M238" s="9" t="s">
        <v>1275</v>
      </c>
      <c r="N238" s="9" t="s">
        <v>751</v>
      </c>
      <c r="O238" s="6">
        <f t="shared" si="4"/>
        <v>1760</v>
      </c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2.75" x14ac:dyDescent="0.2">
      <c r="A239" s="4" t="s">
        <v>14</v>
      </c>
      <c r="B239" s="5" t="s">
        <v>1250</v>
      </c>
      <c r="C239" s="4">
        <v>8</v>
      </c>
      <c r="D239" s="6" t="e">
        <f t="shared" si="0"/>
        <v>#VALUE!</v>
      </c>
      <c r="E239" s="6" t="s">
        <v>1276</v>
      </c>
      <c r="F239" s="7">
        <v>420</v>
      </c>
      <c r="G239" s="6" t="s">
        <v>28</v>
      </c>
      <c r="H239" s="8" t="s">
        <v>590</v>
      </c>
      <c r="I239" s="10" t="s">
        <v>632</v>
      </c>
      <c r="J239" s="9" t="s">
        <v>590</v>
      </c>
      <c r="K239" s="9" t="s">
        <v>1277</v>
      </c>
      <c r="L239" s="9" t="s">
        <v>1278</v>
      </c>
      <c r="M239" s="9" t="s">
        <v>1279</v>
      </c>
      <c r="N239" s="9" t="s">
        <v>1017</v>
      </c>
      <c r="O239" s="6">
        <f t="shared" si="4"/>
        <v>1892</v>
      </c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2.75" x14ac:dyDescent="0.2">
      <c r="A240" s="4" t="s">
        <v>14</v>
      </c>
      <c r="B240" s="5" t="s">
        <v>1250</v>
      </c>
      <c r="C240" s="4">
        <v>9</v>
      </c>
      <c r="D240" s="6" t="e">
        <f t="shared" si="0"/>
        <v>#VALUE!</v>
      </c>
      <c r="E240" s="6" t="s">
        <v>1280</v>
      </c>
      <c r="F240" s="7">
        <v>455</v>
      </c>
      <c r="G240" s="6" t="s">
        <v>1084</v>
      </c>
      <c r="H240" s="11" t="s">
        <v>1281</v>
      </c>
      <c r="I240" s="9" t="s">
        <v>1078</v>
      </c>
      <c r="J240" s="9" t="s">
        <v>1078</v>
      </c>
      <c r="K240" s="9" t="s">
        <v>1282</v>
      </c>
      <c r="L240" s="9" t="s">
        <v>1283</v>
      </c>
      <c r="M240" s="9" t="s">
        <v>1284</v>
      </c>
      <c r="N240" s="9" t="s">
        <v>1017</v>
      </c>
      <c r="O240" s="6">
        <f t="shared" si="4"/>
        <v>2046</v>
      </c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2.75" x14ac:dyDescent="0.2">
      <c r="A241" s="4" t="s">
        <v>14</v>
      </c>
      <c r="B241" s="5" t="s">
        <v>1250</v>
      </c>
      <c r="C241" s="4">
        <v>10</v>
      </c>
      <c r="D241" s="6" t="e">
        <f t="shared" si="0"/>
        <v>#VALUE!</v>
      </c>
      <c r="E241" s="6" t="s">
        <v>1285</v>
      </c>
      <c r="F241" s="7">
        <v>500</v>
      </c>
      <c r="G241" s="6" t="s">
        <v>1084</v>
      </c>
      <c r="H241" s="11" t="s">
        <v>1286</v>
      </c>
      <c r="I241" s="9" t="s">
        <v>590</v>
      </c>
      <c r="J241" s="9" t="s">
        <v>590</v>
      </c>
      <c r="K241" s="9" t="s">
        <v>1287</v>
      </c>
      <c r="L241" s="9" t="s">
        <v>1288</v>
      </c>
      <c r="M241" s="9" t="s">
        <v>1289</v>
      </c>
      <c r="N241" s="9" t="s">
        <v>1017</v>
      </c>
      <c r="O241" s="6">
        <f t="shared" si="4"/>
        <v>2244</v>
      </c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2.75" x14ac:dyDescent="0.2">
      <c r="A242" s="4" t="s">
        <v>14</v>
      </c>
      <c r="B242" s="5" t="s">
        <v>1290</v>
      </c>
      <c r="C242" s="4">
        <v>1</v>
      </c>
      <c r="D242" s="6" t="e">
        <f t="shared" si="0"/>
        <v>#VALUE!</v>
      </c>
      <c r="E242" s="6" t="s">
        <v>1291</v>
      </c>
      <c r="F242" s="7">
        <v>348</v>
      </c>
      <c r="G242" s="6" t="s">
        <v>948</v>
      </c>
      <c r="H242" s="11" t="s">
        <v>1292</v>
      </c>
      <c r="I242" s="9" t="s">
        <v>1293</v>
      </c>
      <c r="J242" s="9" t="s">
        <v>1293</v>
      </c>
      <c r="K242" s="9" t="s">
        <v>1294</v>
      </c>
      <c r="L242" s="9" t="s">
        <v>1295</v>
      </c>
      <c r="M242" s="9" t="s">
        <v>1296</v>
      </c>
      <c r="N242" s="9" t="s">
        <v>1297</v>
      </c>
      <c r="O242" s="6">
        <f t="shared" si="4"/>
        <v>1744.9999546245178</v>
      </c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2.75" x14ac:dyDescent="0.2">
      <c r="A243" s="4" t="s">
        <v>14</v>
      </c>
      <c r="B243" s="5" t="s">
        <v>1290</v>
      </c>
      <c r="C243" s="4">
        <v>2</v>
      </c>
      <c r="D243" s="6" t="e">
        <f t="shared" si="0"/>
        <v>#VALUE!</v>
      </c>
      <c r="E243" s="6" t="s">
        <v>1298</v>
      </c>
      <c r="F243" s="7">
        <v>362</v>
      </c>
      <c r="G243" s="6" t="s">
        <v>21</v>
      </c>
      <c r="H243" s="11" t="s">
        <v>1299</v>
      </c>
      <c r="I243" s="9" t="s">
        <v>1300</v>
      </c>
      <c r="J243" s="9" t="s">
        <v>1300</v>
      </c>
      <c r="K243" s="9" t="s">
        <v>1301</v>
      </c>
      <c r="L243" s="9" t="s">
        <v>1302</v>
      </c>
      <c r="M243" s="9" t="s">
        <v>1303</v>
      </c>
      <c r="N243" s="9" t="s">
        <v>1220</v>
      </c>
      <c r="O243" s="6">
        <f t="shared" si="4"/>
        <v>1814.9999760759827</v>
      </c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2.75" x14ac:dyDescent="0.2">
      <c r="A244" s="4" t="s">
        <v>14</v>
      </c>
      <c r="B244" s="5" t="s">
        <v>1290</v>
      </c>
      <c r="C244" s="4">
        <v>3</v>
      </c>
      <c r="D244" s="6" t="e">
        <f t="shared" si="0"/>
        <v>#VALUE!</v>
      </c>
      <c r="E244" s="6" t="s">
        <v>1304</v>
      </c>
      <c r="F244" s="7">
        <v>377</v>
      </c>
      <c r="G244" s="6" t="s">
        <v>17</v>
      </c>
      <c r="H244" s="8" t="s">
        <v>1305</v>
      </c>
      <c r="I244" s="9" t="s">
        <v>1306</v>
      </c>
      <c r="J244" s="10" t="s">
        <v>1307</v>
      </c>
      <c r="K244" s="9" t="s">
        <v>1308</v>
      </c>
      <c r="L244" s="9" t="s">
        <v>1309</v>
      </c>
      <c r="M244" s="9" t="s">
        <v>1310</v>
      </c>
      <c r="N244" s="9" t="s">
        <v>1235</v>
      </c>
      <c r="O244" s="6">
        <f t="shared" si="4"/>
        <v>756</v>
      </c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2.75" x14ac:dyDescent="0.2">
      <c r="A245" s="4" t="s">
        <v>14</v>
      </c>
      <c r="B245" s="5" t="s">
        <v>1290</v>
      </c>
      <c r="C245" s="4">
        <v>4</v>
      </c>
      <c r="D245" s="6" t="e">
        <f t="shared" si="0"/>
        <v>#VALUE!</v>
      </c>
      <c r="E245" s="6" t="s">
        <v>1311</v>
      </c>
      <c r="F245" s="7">
        <v>392</v>
      </c>
      <c r="G245" s="6" t="s">
        <v>1268</v>
      </c>
      <c r="H245" s="8" t="s">
        <v>1312</v>
      </c>
      <c r="I245" s="10" t="s">
        <v>1313</v>
      </c>
      <c r="J245" s="9" t="s">
        <v>1312</v>
      </c>
      <c r="K245" s="9" t="s">
        <v>1314</v>
      </c>
      <c r="L245" s="9" t="s">
        <v>1315</v>
      </c>
      <c r="M245" s="9" t="s">
        <v>1316</v>
      </c>
      <c r="N245" s="9" t="s">
        <v>1317</v>
      </c>
      <c r="O245" s="6">
        <f t="shared" si="4"/>
        <v>1572.0000489602076</v>
      </c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2.75" x14ac:dyDescent="0.2">
      <c r="A246" s="4" t="s">
        <v>14</v>
      </c>
      <c r="B246" s="5" t="s">
        <v>1290</v>
      </c>
      <c r="C246" s="4">
        <v>5</v>
      </c>
      <c r="D246" s="6" t="e">
        <f t="shared" si="0"/>
        <v>#VALUE!</v>
      </c>
      <c r="E246" s="6" t="s">
        <v>1318</v>
      </c>
      <c r="F246" s="7">
        <v>408</v>
      </c>
      <c r="G246" s="6" t="s">
        <v>17</v>
      </c>
      <c r="H246" s="8" t="s">
        <v>1319</v>
      </c>
      <c r="I246" s="9" t="s">
        <v>1320</v>
      </c>
      <c r="J246" s="10" t="s">
        <v>1321</v>
      </c>
      <c r="K246" s="9" t="s">
        <v>1322</v>
      </c>
      <c r="L246" s="9" t="s">
        <v>1323</v>
      </c>
      <c r="M246" s="9" t="s">
        <v>1324</v>
      </c>
      <c r="N246" s="9" t="s">
        <v>1017</v>
      </c>
      <c r="O246" s="6">
        <f t="shared" si="4"/>
        <v>817.99995979818686</v>
      </c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2.75" x14ac:dyDescent="0.2">
      <c r="A247" s="4" t="s">
        <v>14</v>
      </c>
      <c r="B247" s="5" t="s">
        <v>1290</v>
      </c>
      <c r="C247" s="4">
        <v>6</v>
      </c>
      <c r="D247" s="6" t="e">
        <f t="shared" si="0"/>
        <v>#VALUE!</v>
      </c>
      <c r="E247" s="6" t="s">
        <v>1325</v>
      </c>
      <c r="F247" s="7">
        <v>424</v>
      </c>
      <c r="G247" s="6" t="s">
        <v>21</v>
      </c>
      <c r="H247" s="11" t="s">
        <v>1326</v>
      </c>
      <c r="I247" s="9" t="s">
        <v>1327</v>
      </c>
      <c r="J247" s="9" t="s">
        <v>1328</v>
      </c>
      <c r="K247" s="9" t="s">
        <v>1329</v>
      </c>
      <c r="L247" s="9" t="s">
        <v>1330</v>
      </c>
      <c r="M247" s="9" t="s">
        <v>1331</v>
      </c>
      <c r="N247" s="9" t="s">
        <v>1017</v>
      </c>
      <c r="O247" s="6">
        <f t="shared" si="4"/>
        <v>2125</v>
      </c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2.75" x14ac:dyDescent="0.2">
      <c r="A248" s="4" t="s">
        <v>14</v>
      </c>
      <c r="B248" s="5" t="s">
        <v>1290</v>
      </c>
      <c r="C248" s="4">
        <v>7</v>
      </c>
      <c r="D248" s="6" t="e">
        <f t="shared" si="0"/>
        <v>#VALUE!</v>
      </c>
      <c r="E248" s="6" t="s">
        <v>1332</v>
      </c>
      <c r="F248" s="7">
        <v>440</v>
      </c>
      <c r="G248" s="6" t="s">
        <v>28</v>
      </c>
      <c r="H248" s="8" t="s">
        <v>1333</v>
      </c>
      <c r="I248" s="10" t="s">
        <v>1334</v>
      </c>
      <c r="J248" s="9" t="s">
        <v>1333</v>
      </c>
      <c r="K248" s="9" t="s">
        <v>1335</v>
      </c>
      <c r="L248" s="9" t="s">
        <v>1336</v>
      </c>
      <c r="M248" s="9" t="s">
        <v>1337</v>
      </c>
      <c r="N248" s="9" t="s">
        <v>1017</v>
      </c>
      <c r="O248" s="6">
        <f t="shared" si="4"/>
        <v>1763.9999631896194</v>
      </c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2.75" x14ac:dyDescent="0.2">
      <c r="A249" s="4" t="s">
        <v>14</v>
      </c>
      <c r="B249" s="5" t="s">
        <v>1290</v>
      </c>
      <c r="C249" s="4">
        <v>8</v>
      </c>
      <c r="D249" s="6" t="e">
        <f t="shared" si="0"/>
        <v>#VALUE!</v>
      </c>
      <c r="E249" s="6" t="s">
        <v>1338</v>
      </c>
      <c r="F249" s="7">
        <v>456</v>
      </c>
      <c r="G249" s="6" t="s">
        <v>948</v>
      </c>
      <c r="H249" s="11" t="s">
        <v>1339</v>
      </c>
      <c r="I249" s="9" t="s">
        <v>1340</v>
      </c>
      <c r="J249" s="9" t="s">
        <v>1340</v>
      </c>
      <c r="K249" s="9" t="s">
        <v>1341</v>
      </c>
      <c r="L249" s="9" t="s">
        <v>1342</v>
      </c>
      <c r="M249" s="9" t="s">
        <v>1343</v>
      </c>
      <c r="N249" s="9" t="s">
        <v>1017</v>
      </c>
      <c r="O249" s="6">
        <f t="shared" si="4"/>
        <v>2284.9999314364072</v>
      </c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2.75" x14ac:dyDescent="0.2">
      <c r="A250" s="4" t="s">
        <v>14</v>
      </c>
      <c r="B250" s="5" t="s">
        <v>1290</v>
      </c>
      <c r="C250" s="4">
        <v>9</v>
      </c>
      <c r="D250" s="6" t="e">
        <f t="shared" si="0"/>
        <v>#VALUE!</v>
      </c>
      <c r="E250" s="6" t="s">
        <v>1344</v>
      </c>
      <c r="F250" s="7">
        <v>474</v>
      </c>
      <c r="G250" s="6" t="s">
        <v>21</v>
      </c>
      <c r="H250" s="11" t="s">
        <v>1345</v>
      </c>
      <c r="I250" s="9" t="s">
        <v>1346</v>
      </c>
      <c r="J250" s="9" t="s">
        <v>1346</v>
      </c>
      <c r="K250" s="9" t="s">
        <v>1347</v>
      </c>
      <c r="L250" s="9" t="s">
        <v>1348</v>
      </c>
      <c r="M250" s="9" t="s">
        <v>1349</v>
      </c>
      <c r="N250" s="9" t="s">
        <v>1017</v>
      </c>
      <c r="O250" s="6">
        <f t="shared" si="4"/>
        <v>2374.9999189177388</v>
      </c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2.75" x14ac:dyDescent="0.2">
      <c r="A251" s="4" t="s">
        <v>14</v>
      </c>
      <c r="B251" s="5" t="s">
        <v>1290</v>
      </c>
      <c r="C251" s="4">
        <v>10</v>
      </c>
      <c r="D251" s="6" t="e">
        <f t="shared" si="0"/>
        <v>#VALUE!</v>
      </c>
      <c r="E251" s="6" t="s">
        <v>1350</v>
      </c>
      <c r="F251" s="7">
        <v>500</v>
      </c>
      <c r="G251" s="6" t="s">
        <v>21</v>
      </c>
      <c r="H251" s="11" t="s">
        <v>1351</v>
      </c>
      <c r="I251" s="9" t="s">
        <v>1352</v>
      </c>
      <c r="J251" s="9" t="s">
        <v>1353</v>
      </c>
      <c r="K251" s="9" t="s">
        <v>1354</v>
      </c>
      <c r="L251" s="9" t="s">
        <v>1355</v>
      </c>
      <c r="M251" s="9" t="s">
        <v>1356</v>
      </c>
      <c r="N251" s="9" t="s">
        <v>1017</v>
      </c>
      <c r="O251" s="6">
        <f t="shared" si="4"/>
        <v>2504.9999493952737</v>
      </c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5" x14ac:dyDescent="0.25">
      <c r="A252" s="4" t="s">
        <v>14</v>
      </c>
      <c r="B252" s="5" t="s">
        <v>1357</v>
      </c>
      <c r="C252" s="4">
        <v>1</v>
      </c>
      <c r="D252" s="6" t="e">
        <f t="shared" si="0"/>
        <v>#VALUE!</v>
      </c>
      <c r="E252" s="17" t="s">
        <v>1358</v>
      </c>
      <c r="F252" s="7">
        <v>410</v>
      </c>
      <c r="G252" s="6" t="s">
        <v>28</v>
      </c>
      <c r="H252" s="8" t="s">
        <v>1359</v>
      </c>
      <c r="I252" s="10" t="s">
        <v>1360</v>
      </c>
      <c r="J252" s="9" t="s">
        <v>1361</v>
      </c>
      <c r="K252" s="9" t="s">
        <v>1362</v>
      </c>
      <c r="L252" s="9" t="s">
        <v>1363</v>
      </c>
      <c r="M252" s="9" t="s">
        <v>1364</v>
      </c>
      <c r="N252" s="9" t="s">
        <v>1017</v>
      </c>
      <c r="O252" s="6">
        <f t="shared" si="4"/>
        <v>1644</v>
      </c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2.75" x14ac:dyDescent="0.2">
      <c r="A253" s="4" t="s">
        <v>14</v>
      </c>
      <c r="B253" s="5" t="s">
        <v>1357</v>
      </c>
      <c r="C253" s="4">
        <v>2</v>
      </c>
      <c r="D253" s="6" t="e">
        <f t="shared" si="0"/>
        <v>#VALUE!</v>
      </c>
      <c r="E253" s="6" t="s">
        <v>1365</v>
      </c>
      <c r="F253" s="7">
        <v>420</v>
      </c>
      <c r="G253" s="6" t="s">
        <v>21</v>
      </c>
      <c r="H253" s="11" t="s">
        <v>1366</v>
      </c>
      <c r="I253" s="9" t="s">
        <v>1367</v>
      </c>
      <c r="J253" s="9" t="s">
        <v>1368</v>
      </c>
      <c r="K253" s="9" t="s">
        <v>1369</v>
      </c>
      <c r="L253" s="9" t="s">
        <v>1370</v>
      </c>
      <c r="M253" s="9" t="s">
        <v>1371</v>
      </c>
      <c r="N253" s="9" t="s">
        <v>1017</v>
      </c>
      <c r="O253" s="6">
        <f t="shared" si="4"/>
        <v>2105.0000998502246</v>
      </c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5" x14ac:dyDescent="0.25">
      <c r="A254" s="4" t="s">
        <v>14</v>
      </c>
      <c r="B254" s="5" t="s">
        <v>1357</v>
      </c>
      <c r="C254" s="4">
        <v>3</v>
      </c>
      <c r="D254" s="6" t="e">
        <f t="shared" si="0"/>
        <v>#VALUE!</v>
      </c>
      <c r="E254" s="17" t="s">
        <v>1372</v>
      </c>
      <c r="F254" s="7">
        <v>430</v>
      </c>
      <c r="G254" s="6" t="s">
        <v>17</v>
      </c>
      <c r="H254" s="8" t="s">
        <v>1373</v>
      </c>
      <c r="I254" s="9" t="s">
        <v>1048</v>
      </c>
      <c r="J254" s="10" t="s">
        <v>1374</v>
      </c>
      <c r="K254" s="9" t="s">
        <v>1375</v>
      </c>
      <c r="L254" s="9" t="s">
        <v>1376</v>
      </c>
      <c r="M254" s="9" t="s">
        <v>1377</v>
      </c>
      <c r="N254" s="9" t="s">
        <v>1017</v>
      </c>
      <c r="O254" s="6">
        <f t="shared" si="4"/>
        <v>862</v>
      </c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2.75" x14ac:dyDescent="0.2">
      <c r="A255" s="4" t="s">
        <v>14</v>
      </c>
      <c r="B255" s="5" t="s">
        <v>1357</v>
      </c>
      <c r="C255" s="4">
        <v>4</v>
      </c>
      <c r="D255" s="6" t="e">
        <f t="shared" si="0"/>
        <v>#VALUE!</v>
      </c>
      <c r="E255" s="6" t="s">
        <v>1378</v>
      </c>
      <c r="F255" s="7">
        <v>440</v>
      </c>
      <c r="G255" s="6" t="s">
        <v>21</v>
      </c>
      <c r="H255" s="11" t="s">
        <v>1379</v>
      </c>
      <c r="I255" s="9" t="s">
        <v>1380</v>
      </c>
      <c r="J255" s="9" t="s">
        <v>1381</v>
      </c>
      <c r="K255" s="9" t="s">
        <v>1382</v>
      </c>
      <c r="L255" s="9" t="s">
        <v>1383</v>
      </c>
      <c r="M255" s="9" t="s">
        <v>1384</v>
      </c>
      <c r="N255" s="9" t="s">
        <v>1017</v>
      </c>
      <c r="O255" s="6">
        <f t="shared" si="4"/>
        <v>2205.0000825423031</v>
      </c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2.75" x14ac:dyDescent="0.2">
      <c r="A256" s="4" t="s">
        <v>14</v>
      </c>
      <c r="B256" s="5" t="s">
        <v>1357</v>
      </c>
      <c r="C256" s="4">
        <v>5</v>
      </c>
      <c r="D256" s="6" t="e">
        <f t="shared" si="0"/>
        <v>#VALUE!</v>
      </c>
      <c r="E256" s="6" t="s">
        <v>1385</v>
      </c>
      <c r="F256" s="7">
        <v>450</v>
      </c>
      <c r="G256" s="6" t="s">
        <v>17</v>
      </c>
      <c r="H256" s="8" t="s">
        <v>1386</v>
      </c>
      <c r="I256" s="9" t="s">
        <v>1387</v>
      </c>
      <c r="J256" s="10" t="s">
        <v>1388</v>
      </c>
      <c r="K256" s="9" t="s">
        <v>1389</v>
      </c>
      <c r="L256" s="9" t="s">
        <v>1390</v>
      </c>
      <c r="M256" s="9" t="s">
        <v>1391</v>
      </c>
      <c r="N256" s="9" t="s">
        <v>1017</v>
      </c>
      <c r="O256" s="6">
        <f t="shared" si="4"/>
        <v>902</v>
      </c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2.75" x14ac:dyDescent="0.2">
      <c r="A257" s="4" t="s">
        <v>14</v>
      </c>
      <c r="B257" s="5" t="s">
        <v>1357</v>
      </c>
      <c r="C257" s="4">
        <v>6</v>
      </c>
      <c r="D257" s="6" t="e">
        <f t="shared" ref="D257:D511" si="5">CONCATENATE(A257:C257)</f>
        <v>#VALUE!</v>
      </c>
      <c r="E257" s="6" t="s">
        <v>1392</v>
      </c>
      <c r="F257" s="7">
        <v>460</v>
      </c>
      <c r="G257" s="6" t="s">
        <v>21</v>
      </c>
      <c r="H257" s="11" t="s">
        <v>1393</v>
      </c>
      <c r="I257" s="9" t="s">
        <v>1394</v>
      </c>
      <c r="J257" s="9" t="s">
        <v>1395</v>
      </c>
      <c r="K257" s="9" t="s">
        <v>1396</v>
      </c>
      <c r="L257" s="9" t="s">
        <v>1328</v>
      </c>
      <c r="M257" s="9" t="s">
        <v>1397</v>
      </c>
      <c r="N257" s="9" t="s">
        <v>1017</v>
      </c>
      <c r="O257" s="6">
        <f t="shared" si="4"/>
        <v>2305.0000682360969</v>
      </c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2.75" x14ac:dyDescent="0.2">
      <c r="A258" s="4" t="s">
        <v>14</v>
      </c>
      <c r="B258" s="5" t="s">
        <v>1357</v>
      </c>
      <c r="C258" s="4">
        <v>7</v>
      </c>
      <c r="D258" s="6" t="e">
        <f t="shared" si="5"/>
        <v>#VALUE!</v>
      </c>
      <c r="E258" s="6" t="s">
        <v>1398</v>
      </c>
      <c r="F258" s="7">
        <v>470</v>
      </c>
      <c r="G258" s="6" t="s">
        <v>21</v>
      </c>
      <c r="H258" s="11" t="s">
        <v>1399</v>
      </c>
      <c r="I258" s="9" t="s">
        <v>1400</v>
      </c>
      <c r="J258" s="9" t="s">
        <v>1401</v>
      </c>
      <c r="K258" s="9" t="s">
        <v>1402</v>
      </c>
      <c r="L258" s="9" t="s">
        <v>1403</v>
      </c>
      <c r="M258" s="9" t="s">
        <v>1404</v>
      </c>
      <c r="N258" s="9" t="s">
        <v>1017</v>
      </c>
      <c r="O258" s="6">
        <f t="shared" si="4"/>
        <v>2355</v>
      </c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2.75" x14ac:dyDescent="0.2">
      <c r="A259" s="4" t="s">
        <v>14</v>
      </c>
      <c r="B259" s="5" t="s">
        <v>1357</v>
      </c>
      <c r="C259" s="4">
        <v>8</v>
      </c>
      <c r="D259" s="6" t="e">
        <f t="shared" si="5"/>
        <v>#VALUE!</v>
      </c>
      <c r="E259" s="6" t="s">
        <v>1405</v>
      </c>
      <c r="F259" s="7">
        <v>480</v>
      </c>
      <c r="G259" s="6" t="s">
        <v>21</v>
      </c>
      <c r="H259" s="11" t="s">
        <v>1406</v>
      </c>
      <c r="I259" s="9" t="s">
        <v>1407</v>
      </c>
      <c r="J259" s="9" t="s">
        <v>1408</v>
      </c>
      <c r="K259" s="9" t="s">
        <v>1409</v>
      </c>
      <c r="L259" s="9" t="s">
        <v>1410</v>
      </c>
      <c r="M259" s="9" t="s">
        <v>1411</v>
      </c>
      <c r="N259" s="9" t="s">
        <v>1017</v>
      </c>
      <c r="O259" s="6">
        <f t="shared" ref="O259:O322" si="6">M259/K259</f>
        <v>2404.9998871968414</v>
      </c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5" x14ac:dyDescent="0.25">
      <c r="A260" s="4" t="s">
        <v>14</v>
      </c>
      <c r="B260" s="5" t="s">
        <v>1357</v>
      </c>
      <c r="C260" s="4">
        <v>9</v>
      </c>
      <c r="D260" s="6" t="e">
        <f t="shared" si="5"/>
        <v>#VALUE!</v>
      </c>
      <c r="E260" s="17" t="s">
        <v>1412</v>
      </c>
      <c r="F260" s="7">
        <v>490</v>
      </c>
      <c r="G260" s="6" t="s">
        <v>28</v>
      </c>
      <c r="H260" s="8" t="s">
        <v>1413</v>
      </c>
      <c r="I260" s="10" t="s">
        <v>1414</v>
      </c>
      <c r="J260" s="9" t="s">
        <v>1415</v>
      </c>
      <c r="K260" s="9" t="s">
        <v>1105</v>
      </c>
      <c r="L260" s="9" t="s">
        <v>1416</v>
      </c>
      <c r="M260" s="9" t="s">
        <v>1417</v>
      </c>
      <c r="N260" s="9" t="s">
        <v>1017</v>
      </c>
      <c r="O260" s="6">
        <f t="shared" si="6"/>
        <v>1964</v>
      </c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2.75" x14ac:dyDescent="0.2">
      <c r="A261" s="4" t="s">
        <v>14</v>
      </c>
      <c r="B261" s="5" t="s">
        <v>1357</v>
      </c>
      <c r="C261" s="4">
        <v>10</v>
      </c>
      <c r="D261" s="6" t="e">
        <f t="shared" si="5"/>
        <v>#VALUE!</v>
      </c>
      <c r="E261" s="6" t="s">
        <v>1418</v>
      </c>
      <c r="F261" s="7">
        <v>500</v>
      </c>
      <c r="G261" s="6" t="s">
        <v>17</v>
      </c>
      <c r="H261" s="8" t="s">
        <v>1419</v>
      </c>
      <c r="I261" s="9" t="s">
        <v>1420</v>
      </c>
      <c r="J261" s="10" t="s">
        <v>1421</v>
      </c>
      <c r="K261" s="9" t="s">
        <v>1422</v>
      </c>
      <c r="L261" s="9" t="s">
        <v>1423</v>
      </c>
      <c r="M261" s="9" t="s">
        <v>1424</v>
      </c>
      <c r="N261" s="9" t="s">
        <v>1017</v>
      </c>
      <c r="O261" s="6">
        <f t="shared" si="6"/>
        <v>1002</v>
      </c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2.75" x14ac:dyDescent="0.2">
      <c r="A262" s="4" t="s">
        <v>14</v>
      </c>
      <c r="B262" s="5" t="s">
        <v>1425</v>
      </c>
      <c r="C262" s="4">
        <v>1</v>
      </c>
      <c r="D262" s="6" t="e">
        <f t="shared" si="5"/>
        <v>#VALUE!</v>
      </c>
      <c r="E262" s="6" t="s">
        <v>1426</v>
      </c>
      <c r="F262" s="7">
        <v>210</v>
      </c>
      <c r="G262" s="6" t="s">
        <v>17</v>
      </c>
      <c r="H262" s="8" t="s">
        <v>181</v>
      </c>
      <c r="I262" s="9" t="s">
        <v>181</v>
      </c>
      <c r="J262" s="10" t="s">
        <v>702</v>
      </c>
      <c r="K262" s="9" t="s">
        <v>1427</v>
      </c>
      <c r="L262" s="9" t="s">
        <v>615</v>
      </c>
      <c r="M262" s="9" t="s">
        <v>1428</v>
      </c>
      <c r="N262" s="9" t="s">
        <v>383</v>
      </c>
      <c r="O262" s="6">
        <f t="shared" si="6"/>
        <v>660</v>
      </c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2.75" x14ac:dyDescent="0.2">
      <c r="A263" s="4" t="s">
        <v>14</v>
      </c>
      <c r="B263" s="5" t="s">
        <v>1425</v>
      </c>
      <c r="C263" s="4">
        <v>2</v>
      </c>
      <c r="D263" s="6" t="e">
        <f t="shared" si="5"/>
        <v>#VALUE!</v>
      </c>
      <c r="E263" s="6" t="s">
        <v>1429</v>
      </c>
      <c r="F263" s="7">
        <v>240</v>
      </c>
      <c r="G263" s="6" t="s">
        <v>21</v>
      </c>
      <c r="H263" s="11" t="s">
        <v>593</v>
      </c>
      <c r="I263" s="9" t="s">
        <v>615</v>
      </c>
      <c r="J263" s="9" t="s">
        <v>615</v>
      </c>
      <c r="K263" s="9" t="s">
        <v>1430</v>
      </c>
      <c r="L263" s="9" t="s">
        <v>1081</v>
      </c>
      <c r="M263" s="9" t="s">
        <v>1431</v>
      </c>
      <c r="N263" s="9" t="s">
        <v>425</v>
      </c>
      <c r="O263" s="6">
        <f t="shared" si="6"/>
        <v>1875</v>
      </c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2.75" x14ac:dyDescent="0.2">
      <c r="A264" s="4" t="s">
        <v>14</v>
      </c>
      <c r="B264" s="5" t="s">
        <v>1425</v>
      </c>
      <c r="C264" s="4">
        <v>3</v>
      </c>
      <c r="D264" s="6" t="e">
        <f t="shared" si="5"/>
        <v>#VALUE!</v>
      </c>
      <c r="E264" s="6" t="s">
        <v>1432</v>
      </c>
      <c r="F264" s="7">
        <v>270</v>
      </c>
      <c r="G264" s="6" t="s">
        <v>28</v>
      </c>
      <c r="H264" s="8" t="s">
        <v>1087</v>
      </c>
      <c r="I264" s="10" t="s">
        <v>1283</v>
      </c>
      <c r="J264" s="9" t="s">
        <v>1087</v>
      </c>
      <c r="K264" s="9" t="s">
        <v>1433</v>
      </c>
      <c r="L264" s="9" t="s">
        <v>1087</v>
      </c>
      <c r="M264" s="9" t="s">
        <v>1434</v>
      </c>
      <c r="N264" s="9" t="s">
        <v>469</v>
      </c>
      <c r="O264" s="6">
        <f t="shared" si="6"/>
        <v>1680</v>
      </c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2.75" x14ac:dyDescent="0.2">
      <c r="A265" s="4" t="s">
        <v>14</v>
      </c>
      <c r="B265" s="5" t="s">
        <v>1425</v>
      </c>
      <c r="C265" s="4">
        <v>4</v>
      </c>
      <c r="D265" s="6" t="e">
        <f t="shared" si="5"/>
        <v>#VALUE!</v>
      </c>
      <c r="E265" s="6" t="s">
        <v>1435</v>
      </c>
      <c r="F265" s="7">
        <v>305</v>
      </c>
      <c r="G265" s="6" t="s">
        <v>17</v>
      </c>
      <c r="H265" s="8" t="s">
        <v>702</v>
      </c>
      <c r="I265" s="9" t="s">
        <v>702</v>
      </c>
      <c r="J265" s="10" t="s">
        <v>1044</v>
      </c>
      <c r="K265" s="9" t="s">
        <v>1436</v>
      </c>
      <c r="L265" s="9" t="s">
        <v>1078</v>
      </c>
      <c r="M265" s="9" t="s">
        <v>1437</v>
      </c>
      <c r="N265" s="9" t="s">
        <v>521</v>
      </c>
      <c r="O265" s="6">
        <f t="shared" si="6"/>
        <v>945</v>
      </c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2.75" x14ac:dyDescent="0.2">
      <c r="A266" s="4" t="s">
        <v>14</v>
      </c>
      <c r="B266" s="5" t="s">
        <v>1425</v>
      </c>
      <c r="C266" s="4">
        <v>5</v>
      </c>
      <c r="D266" s="6" t="e">
        <f t="shared" si="5"/>
        <v>#VALUE!</v>
      </c>
      <c r="E266" s="6" t="s">
        <v>1438</v>
      </c>
      <c r="F266" s="7">
        <v>330</v>
      </c>
      <c r="G266" s="6" t="s">
        <v>17</v>
      </c>
      <c r="H266" s="8" t="s">
        <v>1043</v>
      </c>
      <c r="I266" s="9" t="s">
        <v>1043</v>
      </c>
      <c r="J266" s="10" t="s">
        <v>992</v>
      </c>
      <c r="K266" s="9" t="s">
        <v>1439</v>
      </c>
      <c r="L266" s="9" t="s">
        <v>702</v>
      </c>
      <c r="M266" s="9" t="s">
        <v>1440</v>
      </c>
      <c r="N266" s="9" t="s">
        <v>557</v>
      </c>
      <c r="O266" s="6">
        <f t="shared" si="6"/>
        <v>1020</v>
      </c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2.75" x14ac:dyDescent="0.2">
      <c r="A267" s="4" t="s">
        <v>14</v>
      </c>
      <c r="B267" s="5" t="s">
        <v>1425</v>
      </c>
      <c r="C267" s="4">
        <v>6</v>
      </c>
      <c r="D267" s="6" t="e">
        <f t="shared" si="5"/>
        <v>#VALUE!</v>
      </c>
      <c r="E267" s="6" t="s">
        <v>1441</v>
      </c>
      <c r="F267" s="7">
        <v>360</v>
      </c>
      <c r="G267" s="6" t="s">
        <v>21</v>
      </c>
      <c r="H267" s="11" t="s">
        <v>897</v>
      </c>
      <c r="I267" s="9" t="s">
        <v>593</v>
      </c>
      <c r="J267" s="9" t="s">
        <v>593</v>
      </c>
      <c r="K267" s="9" t="s">
        <v>1442</v>
      </c>
      <c r="L267" s="9" t="s">
        <v>1043</v>
      </c>
      <c r="M267" s="9" t="s">
        <v>1443</v>
      </c>
      <c r="N267" s="9" t="s">
        <v>706</v>
      </c>
      <c r="O267" s="6">
        <f t="shared" si="6"/>
        <v>2775</v>
      </c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2.75" x14ac:dyDescent="0.2">
      <c r="A268" s="4" t="s">
        <v>14</v>
      </c>
      <c r="B268" s="5" t="s">
        <v>1425</v>
      </c>
      <c r="C268" s="4">
        <v>7</v>
      </c>
      <c r="D268" s="6" t="e">
        <f t="shared" si="5"/>
        <v>#VALUE!</v>
      </c>
      <c r="E268" s="6" t="s">
        <v>1444</v>
      </c>
      <c r="F268" s="7">
        <v>390</v>
      </c>
      <c r="G268" s="6" t="s">
        <v>21</v>
      </c>
      <c r="H268" s="11" t="s">
        <v>1015</v>
      </c>
      <c r="I268" s="9" t="s">
        <v>1445</v>
      </c>
      <c r="J268" s="9" t="s">
        <v>1445</v>
      </c>
      <c r="K268" s="9" t="s">
        <v>1446</v>
      </c>
      <c r="L268" s="9" t="s">
        <v>828</v>
      </c>
      <c r="M268" s="9" t="s">
        <v>1447</v>
      </c>
      <c r="N268" s="9" t="s">
        <v>751</v>
      </c>
      <c r="O268" s="6">
        <f t="shared" si="6"/>
        <v>3000</v>
      </c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2.75" x14ac:dyDescent="0.2">
      <c r="A269" s="4" t="s">
        <v>14</v>
      </c>
      <c r="B269" s="5" t="s">
        <v>1425</v>
      </c>
      <c r="C269" s="4">
        <v>8</v>
      </c>
      <c r="D269" s="6" t="e">
        <f t="shared" si="5"/>
        <v>#VALUE!</v>
      </c>
      <c r="E269" s="6" t="s">
        <v>1448</v>
      </c>
      <c r="F269" s="7">
        <v>420</v>
      </c>
      <c r="G269" s="6" t="s">
        <v>28</v>
      </c>
      <c r="H269" s="8" t="s">
        <v>1283</v>
      </c>
      <c r="I269" s="10" t="s">
        <v>676</v>
      </c>
      <c r="J269" s="9" t="s">
        <v>1283</v>
      </c>
      <c r="K269" s="9" t="s">
        <v>1449</v>
      </c>
      <c r="L269" s="9" t="s">
        <v>593</v>
      </c>
      <c r="M269" s="9" t="s">
        <v>1450</v>
      </c>
      <c r="N269" s="9" t="s">
        <v>1017</v>
      </c>
      <c r="O269" s="6">
        <f t="shared" si="6"/>
        <v>2580</v>
      </c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2.75" x14ac:dyDescent="0.2">
      <c r="A270" s="4" t="s">
        <v>14</v>
      </c>
      <c r="B270" s="5" t="s">
        <v>1425</v>
      </c>
      <c r="C270" s="4">
        <v>9</v>
      </c>
      <c r="D270" s="6" t="e">
        <f t="shared" si="5"/>
        <v>#VALUE!</v>
      </c>
      <c r="E270" s="6" t="s">
        <v>1451</v>
      </c>
      <c r="F270" s="7">
        <v>455</v>
      </c>
      <c r="G270" s="6" t="s">
        <v>28</v>
      </c>
      <c r="H270" s="8" t="s">
        <v>897</v>
      </c>
      <c r="I270" s="10" t="s">
        <v>1452</v>
      </c>
      <c r="J270" s="9" t="s">
        <v>897</v>
      </c>
      <c r="K270" s="9" t="s">
        <v>1453</v>
      </c>
      <c r="L270" s="9" t="s">
        <v>1098</v>
      </c>
      <c r="M270" s="9" t="s">
        <v>1454</v>
      </c>
      <c r="N270" s="9" t="s">
        <v>1017</v>
      </c>
      <c r="O270" s="6">
        <f t="shared" si="6"/>
        <v>2790.0001280000001</v>
      </c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2.75" x14ac:dyDescent="0.2">
      <c r="A271" s="4" t="s">
        <v>14</v>
      </c>
      <c r="B271" s="5" t="s">
        <v>1425</v>
      </c>
      <c r="C271" s="4">
        <v>10</v>
      </c>
      <c r="D271" s="6" t="e">
        <f t="shared" si="5"/>
        <v>#VALUE!</v>
      </c>
      <c r="E271" s="6" t="s">
        <v>1455</v>
      </c>
      <c r="F271" s="7">
        <v>500</v>
      </c>
      <c r="G271" s="6" t="s">
        <v>17</v>
      </c>
      <c r="H271" s="8" t="s">
        <v>1456</v>
      </c>
      <c r="I271" s="9" t="s">
        <v>1456</v>
      </c>
      <c r="J271" s="10" t="s">
        <v>1457</v>
      </c>
      <c r="K271" s="9" t="s">
        <v>1458</v>
      </c>
      <c r="L271" s="9" t="s">
        <v>605</v>
      </c>
      <c r="M271" s="9" t="s">
        <v>1459</v>
      </c>
      <c r="N271" s="9" t="s">
        <v>1017</v>
      </c>
      <c r="O271" s="6">
        <f t="shared" si="6"/>
        <v>1530</v>
      </c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2.75" x14ac:dyDescent="0.2">
      <c r="A272" s="12" t="s">
        <v>14</v>
      </c>
      <c r="B272" s="13" t="s">
        <v>1460</v>
      </c>
      <c r="C272" s="12">
        <v>1</v>
      </c>
      <c r="D272" s="14" t="e">
        <f t="shared" si="5"/>
        <v>#VALUE!</v>
      </c>
      <c r="E272" s="14" t="s">
        <v>1461</v>
      </c>
      <c r="F272" s="15">
        <v>480</v>
      </c>
      <c r="G272" s="14" t="s">
        <v>21</v>
      </c>
      <c r="H272" s="11" t="s">
        <v>1462</v>
      </c>
      <c r="I272" s="8" t="s">
        <v>829</v>
      </c>
      <c r="J272" s="8" t="s">
        <v>829</v>
      </c>
      <c r="K272" s="8" t="s">
        <v>1463</v>
      </c>
      <c r="L272" s="8" t="s">
        <v>829</v>
      </c>
      <c r="M272" s="8" t="s">
        <v>1464</v>
      </c>
      <c r="N272" s="8" t="s">
        <v>1017</v>
      </c>
      <c r="O272" s="6">
        <f t="shared" si="6"/>
        <v>3103.4482758620688</v>
      </c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ht="12.75" x14ac:dyDescent="0.2">
      <c r="A273" s="12" t="s">
        <v>14</v>
      </c>
      <c r="B273" s="13" t="s">
        <v>1460</v>
      </c>
      <c r="C273" s="12">
        <v>2</v>
      </c>
      <c r="D273" s="14" t="e">
        <f t="shared" si="5"/>
        <v>#VALUE!</v>
      </c>
      <c r="E273" s="14" t="s">
        <v>1465</v>
      </c>
      <c r="F273" s="15">
        <v>483</v>
      </c>
      <c r="G273" s="14" t="s">
        <v>17</v>
      </c>
      <c r="H273" s="8" t="s">
        <v>1466</v>
      </c>
      <c r="I273" s="8" t="s">
        <v>1466</v>
      </c>
      <c r="J273" s="11" t="s">
        <v>1467</v>
      </c>
      <c r="K273" s="8" t="s">
        <v>1468</v>
      </c>
      <c r="L273" s="8" t="s">
        <v>1466</v>
      </c>
      <c r="M273" s="8" t="s">
        <v>1469</v>
      </c>
      <c r="N273" s="8" t="s">
        <v>1017</v>
      </c>
      <c r="O273" s="6">
        <f t="shared" si="6"/>
        <v>3112.2448979591836</v>
      </c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ht="12.75" x14ac:dyDescent="0.2">
      <c r="A274" s="12" t="s">
        <v>14</v>
      </c>
      <c r="B274" s="13" t="s">
        <v>1460</v>
      </c>
      <c r="C274" s="12">
        <v>3</v>
      </c>
      <c r="D274" s="14" t="e">
        <f t="shared" si="5"/>
        <v>#VALUE!</v>
      </c>
      <c r="E274" s="14" t="s">
        <v>1470</v>
      </c>
      <c r="F274" s="15">
        <v>486</v>
      </c>
      <c r="G274" s="14" t="s">
        <v>28</v>
      </c>
      <c r="H274" s="8" t="s">
        <v>1471</v>
      </c>
      <c r="I274" s="11" t="s">
        <v>1472</v>
      </c>
      <c r="J274" s="8" t="s">
        <v>1471</v>
      </c>
      <c r="K274" s="8" t="s">
        <v>1473</v>
      </c>
      <c r="L274" s="8" t="s">
        <v>1471</v>
      </c>
      <c r="M274" s="8" t="s">
        <v>1474</v>
      </c>
      <c r="N274" s="8" t="s">
        <v>1017</v>
      </c>
      <c r="O274" s="6">
        <f t="shared" si="6"/>
        <v>3120.8053691275168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ht="12.75" x14ac:dyDescent="0.2">
      <c r="A275" s="12" t="s">
        <v>14</v>
      </c>
      <c r="B275" s="13" t="s">
        <v>1460</v>
      </c>
      <c r="C275" s="12">
        <v>4</v>
      </c>
      <c r="D275" s="14" t="e">
        <f t="shared" si="5"/>
        <v>#VALUE!</v>
      </c>
      <c r="E275" s="14" t="s">
        <v>1475</v>
      </c>
      <c r="F275" s="15">
        <v>489</v>
      </c>
      <c r="G275" s="14" t="s">
        <v>21</v>
      </c>
      <c r="H275" s="11" t="s">
        <v>884</v>
      </c>
      <c r="I275" s="8" t="s">
        <v>1476</v>
      </c>
      <c r="J275" s="8" t="s">
        <v>1476</v>
      </c>
      <c r="K275" s="8" t="s">
        <v>1477</v>
      </c>
      <c r="L275" s="8" t="s">
        <v>1476</v>
      </c>
      <c r="M275" s="8" t="s">
        <v>1478</v>
      </c>
      <c r="N275" s="8" t="s">
        <v>1017</v>
      </c>
      <c r="O275" s="6">
        <f t="shared" si="6"/>
        <v>3129.1390728476822</v>
      </c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ht="12.75" x14ac:dyDescent="0.2">
      <c r="A276" s="12" t="s">
        <v>14</v>
      </c>
      <c r="B276" s="13" t="s">
        <v>1460</v>
      </c>
      <c r="C276" s="12">
        <v>5</v>
      </c>
      <c r="D276" s="14" t="e">
        <f t="shared" si="5"/>
        <v>#VALUE!</v>
      </c>
      <c r="E276" s="14" t="s">
        <v>1479</v>
      </c>
      <c r="F276" s="15">
        <v>492</v>
      </c>
      <c r="G276" s="14" t="s">
        <v>17</v>
      </c>
      <c r="H276" s="8" t="s">
        <v>1480</v>
      </c>
      <c r="I276" s="8" t="s">
        <v>1480</v>
      </c>
      <c r="J276" s="11" t="s">
        <v>1481</v>
      </c>
      <c r="K276" s="8" t="s">
        <v>1482</v>
      </c>
      <c r="L276" s="8" t="s">
        <v>1480</v>
      </c>
      <c r="M276" s="8" t="s">
        <v>1483</v>
      </c>
      <c r="N276" s="8" t="s">
        <v>1017</v>
      </c>
      <c r="O276" s="6">
        <f t="shared" si="6"/>
        <v>3137.2549019607845</v>
      </c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ht="12.75" x14ac:dyDescent="0.2">
      <c r="A277" s="12" t="s">
        <v>14</v>
      </c>
      <c r="B277" s="13" t="s">
        <v>1460</v>
      </c>
      <c r="C277" s="12">
        <v>6</v>
      </c>
      <c r="D277" s="14" t="e">
        <f t="shared" si="5"/>
        <v>#VALUE!</v>
      </c>
      <c r="E277" s="14" t="s">
        <v>1484</v>
      </c>
      <c r="F277" s="15">
        <v>495</v>
      </c>
      <c r="G277" s="14" t="s">
        <v>21</v>
      </c>
      <c r="H277" s="11" t="s">
        <v>1485</v>
      </c>
      <c r="I277" s="8" t="s">
        <v>1486</v>
      </c>
      <c r="J277" s="8" t="s">
        <v>1486</v>
      </c>
      <c r="K277" s="8" t="s">
        <v>1487</v>
      </c>
      <c r="L277" s="8" t="s">
        <v>1486</v>
      </c>
      <c r="M277" s="8" t="s">
        <v>1488</v>
      </c>
      <c r="N277" s="8" t="s">
        <v>1017</v>
      </c>
      <c r="O277" s="6">
        <f t="shared" si="6"/>
        <v>3145.1612903225805</v>
      </c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ht="12.75" x14ac:dyDescent="0.2">
      <c r="A278" s="12" t="s">
        <v>14</v>
      </c>
      <c r="B278" s="13" t="s">
        <v>1460</v>
      </c>
      <c r="C278" s="12">
        <v>7</v>
      </c>
      <c r="D278" s="14" t="e">
        <f t="shared" si="5"/>
        <v>#VALUE!</v>
      </c>
      <c r="E278" s="14" t="s">
        <v>1489</v>
      </c>
      <c r="F278" s="15">
        <v>498</v>
      </c>
      <c r="G278" s="14" t="s">
        <v>28</v>
      </c>
      <c r="H278" s="8" t="s">
        <v>1490</v>
      </c>
      <c r="I278" s="11" t="s">
        <v>1491</v>
      </c>
      <c r="J278" s="8" t="s">
        <v>1490</v>
      </c>
      <c r="K278" s="8" t="s">
        <v>1492</v>
      </c>
      <c r="L278" s="8" t="s">
        <v>1490</v>
      </c>
      <c r="M278" s="8" t="s">
        <v>1493</v>
      </c>
      <c r="N278" s="8" t="s">
        <v>1017</v>
      </c>
      <c r="O278" s="6">
        <f t="shared" si="6"/>
        <v>3152.8662420382166</v>
      </c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ht="12.75" x14ac:dyDescent="0.2">
      <c r="A279" s="12" t="s">
        <v>14</v>
      </c>
      <c r="B279" s="13" t="s">
        <v>1460</v>
      </c>
      <c r="C279" s="12">
        <v>8</v>
      </c>
      <c r="D279" s="14" t="e">
        <f t="shared" si="5"/>
        <v>#VALUE!</v>
      </c>
      <c r="E279" s="14" t="s">
        <v>1494</v>
      </c>
      <c r="F279" s="15">
        <v>501</v>
      </c>
      <c r="G279" s="14" t="s">
        <v>28</v>
      </c>
      <c r="H279" s="8" t="s">
        <v>1495</v>
      </c>
      <c r="I279" s="11" t="s">
        <v>1496</v>
      </c>
      <c r="J279" s="8" t="s">
        <v>1495</v>
      </c>
      <c r="K279" s="8" t="s">
        <v>1497</v>
      </c>
      <c r="L279" s="8" t="s">
        <v>1495</v>
      </c>
      <c r="M279" s="8" t="s">
        <v>1498</v>
      </c>
      <c r="N279" s="8" t="s">
        <v>1017</v>
      </c>
      <c r="O279" s="6">
        <f t="shared" si="6"/>
        <v>3160.3773584905662</v>
      </c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ht="12.75" x14ac:dyDescent="0.2">
      <c r="A280" s="12" t="s">
        <v>14</v>
      </c>
      <c r="B280" s="13" t="s">
        <v>1460</v>
      </c>
      <c r="C280" s="12">
        <v>9</v>
      </c>
      <c r="D280" s="14" t="e">
        <f t="shared" si="5"/>
        <v>#VALUE!</v>
      </c>
      <c r="E280" s="14" t="s">
        <v>1499</v>
      </c>
      <c r="F280" s="15">
        <v>504</v>
      </c>
      <c r="G280" s="14" t="s">
        <v>21</v>
      </c>
      <c r="H280" s="11" t="s">
        <v>1500</v>
      </c>
      <c r="I280" s="8" t="s">
        <v>1501</v>
      </c>
      <c r="J280" s="8" t="s">
        <v>1501</v>
      </c>
      <c r="K280" s="8" t="s">
        <v>1502</v>
      </c>
      <c r="L280" s="8" t="s">
        <v>1501</v>
      </c>
      <c r="M280" s="8" t="s">
        <v>1503</v>
      </c>
      <c r="N280" s="8" t="s">
        <v>1017</v>
      </c>
      <c r="O280" s="6">
        <f t="shared" si="6"/>
        <v>3167.7018633540374</v>
      </c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ht="13.5" thickBot="1" x14ac:dyDescent="0.25">
      <c r="A281" s="12" t="s">
        <v>14</v>
      </c>
      <c r="B281" s="13" t="s">
        <v>1460</v>
      </c>
      <c r="C281" s="12">
        <v>10</v>
      </c>
      <c r="D281" s="14" t="e">
        <f t="shared" si="5"/>
        <v>#VALUE!</v>
      </c>
      <c r="E281" s="14" t="s">
        <v>1504</v>
      </c>
      <c r="F281" s="15">
        <v>510</v>
      </c>
      <c r="G281" s="14" t="s">
        <v>21</v>
      </c>
      <c r="H281" s="11" t="s">
        <v>1505</v>
      </c>
      <c r="I281" s="8" t="s">
        <v>1506</v>
      </c>
      <c r="J281" s="8" t="s">
        <v>1506</v>
      </c>
      <c r="K281" s="8" t="s">
        <v>1507</v>
      </c>
      <c r="L281" s="8" t="s">
        <v>1506</v>
      </c>
      <c r="M281" s="8" t="s">
        <v>1508</v>
      </c>
      <c r="N281" s="8" t="s">
        <v>1017</v>
      </c>
      <c r="O281" s="6">
        <f t="shared" si="6"/>
        <v>3181.818181818182</v>
      </c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ht="13.5" thickTop="1" x14ac:dyDescent="0.2">
      <c r="A282" s="18" t="s">
        <v>1509</v>
      </c>
      <c r="B282" s="19" t="s">
        <v>15</v>
      </c>
      <c r="C282" s="18">
        <v>1</v>
      </c>
      <c r="D282" s="20" t="e">
        <f t="shared" si="5"/>
        <v>#VALUE!</v>
      </c>
      <c r="E282" s="20" t="s">
        <v>16</v>
      </c>
      <c r="F282" s="21">
        <v>172</v>
      </c>
      <c r="G282" s="20" t="s">
        <v>17</v>
      </c>
      <c r="H282" s="22">
        <v>825</v>
      </c>
      <c r="I282" s="23">
        <v>894</v>
      </c>
      <c r="J282" s="24" t="s">
        <v>1510</v>
      </c>
      <c r="K282" s="23" t="s">
        <v>1511</v>
      </c>
      <c r="L282" s="23">
        <v>808</v>
      </c>
      <c r="M282" s="23" t="s">
        <v>1512</v>
      </c>
      <c r="N282" s="23" t="s">
        <v>310</v>
      </c>
      <c r="O282" s="6">
        <f t="shared" si="6"/>
        <v>346</v>
      </c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</row>
    <row r="283" spans="1:27" ht="12.75" x14ac:dyDescent="0.2">
      <c r="A283" s="4" t="s">
        <v>1509</v>
      </c>
      <c r="B283" s="5" t="s">
        <v>15</v>
      </c>
      <c r="C283" s="4">
        <v>2</v>
      </c>
      <c r="D283" s="6" t="e">
        <f t="shared" si="5"/>
        <v>#VALUE!</v>
      </c>
      <c r="E283" s="6" t="s">
        <v>20</v>
      </c>
      <c r="F283" s="7">
        <v>174</v>
      </c>
      <c r="G283" s="6" t="s">
        <v>21</v>
      </c>
      <c r="H283" s="11" t="s">
        <v>1513</v>
      </c>
      <c r="I283" s="9">
        <v>986</v>
      </c>
      <c r="J283" s="9">
        <v>855</v>
      </c>
      <c r="K283" s="9" t="s">
        <v>1514</v>
      </c>
      <c r="L283" s="9">
        <v>739</v>
      </c>
      <c r="M283" s="9" t="s">
        <v>1515</v>
      </c>
      <c r="N283" s="9" t="s">
        <v>353</v>
      </c>
      <c r="O283" s="6">
        <f t="shared" si="6"/>
        <v>875</v>
      </c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2.75" x14ac:dyDescent="0.2">
      <c r="A284" s="4" t="s">
        <v>1509</v>
      </c>
      <c r="B284" s="5" t="s">
        <v>15</v>
      </c>
      <c r="C284" s="4">
        <v>3</v>
      </c>
      <c r="D284" s="6" t="e">
        <f t="shared" si="5"/>
        <v>#VALUE!</v>
      </c>
      <c r="E284" s="6" t="s">
        <v>24</v>
      </c>
      <c r="F284" s="7">
        <v>176</v>
      </c>
      <c r="G284" s="6" t="s">
        <v>21</v>
      </c>
      <c r="H284" s="11" t="s">
        <v>1516</v>
      </c>
      <c r="I284" s="9">
        <v>980</v>
      </c>
      <c r="J284" s="9">
        <v>867</v>
      </c>
      <c r="K284" s="9" t="s">
        <v>1517</v>
      </c>
      <c r="L284" s="9">
        <v>817</v>
      </c>
      <c r="M284" s="9" t="s">
        <v>1518</v>
      </c>
      <c r="N284" s="9" t="s">
        <v>358</v>
      </c>
      <c r="O284" s="6">
        <f t="shared" si="6"/>
        <v>885</v>
      </c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2.75" x14ac:dyDescent="0.2">
      <c r="A285" s="4" t="s">
        <v>1509</v>
      </c>
      <c r="B285" s="5" t="s">
        <v>15</v>
      </c>
      <c r="C285" s="4">
        <v>4</v>
      </c>
      <c r="D285" s="6" t="e">
        <f t="shared" si="5"/>
        <v>#VALUE!</v>
      </c>
      <c r="E285" s="6" t="s">
        <v>27</v>
      </c>
      <c r="F285" s="7">
        <v>178</v>
      </c>
      <c r="G285" s="6" t="s">
        <v>28</v>
      </c>
      <c r="H285" s="8">
        <v>934</v>
      </c>
      <c r="I285" s="10" t="s">
        <v>1519</v>
      </c>
      <c r="J285" s="9">
        <v>923</v>
      </c>
      <c r="K285" s="9" t="s">
        <v>1520</v>
      </c>
      <c r="L285" s="9" t="s">
        <v>1521</v>
      </c>
      <c r="M285" s="9" t="s">
        <v>1522</v>
      </c>
      <c r="N285" s="9" t="s">
        <v>363</v>
      </c>
      <c r="O285" s="6">
        <f t="shared" si="6"/>
        <v>716</v>
      </c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2.75" x14ac:dyDescent="0.2">
      <c r="A286" s="4" t="s">
        <v>1509</v>
      </c>
      <c r="B286" s="5" t="s">
        <v>15</v>
      </c>
      <c r="C286" s="4">
        <v>5</v>
      </c>
      <c r="D286" s="6" t="e">
        <f t="shared" si="5"/>
        <v>#VALUE!</v>
      </c>
      <c r="E286" s="6" t="s">
        <v>31</v>
      </c>
      <c r="F286" s="7">
        <v>180</v>
      </c>
      <c r="G286" s="6" t="s">
        <v>21</v>
      </c>
      <c r="H286" s="11" t="s">
        <v>1523</v>
      </c>
      <c r="I286" s="9" t="s">
        <v>381</v>
      </c>
      <c r="J286" s="9">
        <v>890</v>
      </c>
      <c r="K286" s="9" t="s">
        <v>1524</v>
      </c>
      <c r="L286" s="9">
        <v>930</v>
      </c>
      <c r="M286" s="9" t="s">
        <v>1525</v>
      </c>
      <c r="N286" s="9" t="s">
        <v>316</v>
      </c>
      <c r="O286" s="6">
        <f t="shared" si="6"/>
        <v>905</v>
      </c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2.75" x14ac:dyDescent="0.2">
      <c r="A287" s="4" t="s">
        <v>1509</v>
      </c>
      <c r="B287" s="5" t="s">
        <v>15</v>
      </c>
      <c r="C287" s="4">
        <v>6</v>
      </c>
      <c r="D287" s="6" t="e">
        <f t="shared" si="5"/>
        <v>#VALUE!</v>
      </c>
      <c r="E287" s="6" t="s">
        <v>34</v>
      </c>
      <c r="F287" s="7">
        <v>182</v>
      </c>
      <c r="G287" s="6" t="s">
        <v>17</v>
      </c>
      <c r="H287" s="8">
        <v>802</v>
      </c>
      <c r="I287" s="9">
        <v>819</v>
      </c>
      <c r="J287" s="10" t="s">
        <v>1526</v>
      </c>
      <c r="K287" s="9" t="s">
        <v>1527</v>
      </c>
      <c r="L287" s="9" t="s">
        <v>1528</v>
      </c>
      <c r="M287" s="9" t="s">
        <v>1529</v>
      </c>
      <c r="N287" s="9" t="s">
        <v>1530</v>
      </c>
      <c r="O287" s="6">
        <f t="shared" si="6"/>
        <v>366</v>
      </c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2.75" x14ac:dyDescent="0.2">
      <c r="A288" s="4" t="s">
        <v>1509</v>
      </c>
      <c r="B288" s="5" t="s">
        <v>15</v>
      </c>
      <c r="C288" s="4">
        <v>7</v>
      </c>
      <c r="D288" s="6" t="e">
        <f t="shared" si="5"/>
        <v>#VALUE!</v>
      </c>
      <c r="E288" s="6" t="s">
        <v>37</v>
      </c>
      <c r="F288" s="7">
        <v>184</v>
      </c>
      <c r="G288" s="6" t="s">
        <v>21</v>
      </c>
      <c r="H288" s="11" t="s">
        <v>1531</v>
      </c>
      <c r="I288" s="9">
        <v>955</v>
      </c>
      <c r="J288" s="9">
        <v>863</v>
      </c>
      <c r="K288" s="9" t="s">
        <v>1532</v>
      </c>
      <c r="L288" s="9" t="s">
        <v>1533</v>
      </c>
      <c r="M288" s="9" t="s">
        <v>1534</v>
      </c>
      <c r="N288" s="9" t="s">
        <v>1535</v>
      </c>
      <c r="O288" s="6">
        <f t="shared" si="6"/>
        <v>925</v>
      </c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2.75" x14ac:dyDescent="0.2">
      <c r="A289" s="4" t="s">
        <v>1509</v>
      </c>
      <c r="B289" s="5" t="s">
        <v>15</v>
      </c>
      <c r="C289" s="4">
        <v>8</v>
      </c>
      <c r="D289" s="6" t="e">
        <f t="shared" si="5"/>
        <v>#VALUE!</v>
      </c>
      <c r="E289" s="6" t="s">
        <v>40</v>
      </c>
      <c r="F289" s="7">
        <v>186</v>
      </c>
      <c r="G289" s="6" t="s">
        <v>17</v>
      </c>
      <c r="H289" s="8">
        <v>781</v>
      </c>
      <c r="I289" s="9">
        <v>806</v>
      </c>
      <c r="J289" s="10" t="s">
        <v>1536</v>
      </c>
      <c r="K289" s="9" t="s">
        <v>1537</v>
      </c>
      <c r="L289" s="9" t="s">
        <v>1538</v>
      </c>
      <c r="M289" s="9" t="s">
        <v>1539</v>
      </c>
      <c r="N289" s="9" t="s">
        <v>1540</v>
      </c>
      <c r="O289" s="6">
        <f t="shared" si="6"/>
        <v>374</v>
      </c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2.75" x14ac:dyDescent="0.2">
      <c r="A290" s="4" t="s">
        <v>1509</v>
      </c>
      <c r="B290" s="5" t="s">
        <v>15</v>
      </c>
      <c r="C290" s="4">
        <v>9</v>
      </c>
      <c r="D290" s="6" t="e">
        <f t="shared" si="5"/>
        <v>#VALUE!</v>
      </c>
      <c r="E290" s="6" t="s">
        <v>43</v>
      </c>
      <c r="F290" s="7">
        <v>188</v>
      </c>
      <c r="G290" s="6" t="s">
        <v>21</v>
      </c>
      <c r="H290" s="11" t="s">
        <v>1541</v>
      </c>
      <c r="I290" s="9">
        <v>972</v>
      </c>
      <c r="J290" s="9">
        <v>897</v>
      </c>
      <c r="K290" s="9" t="s">
        <v>1256</v>
      </c>
      <c r="L290" s="9" t="s">
        <v>1542</v>
      </c>
      <c r="M290" s="9" t="s">
        <v>1543</v>
      </c>
      <c r="N290" s="9" t="s">
        <v>1544</v>
      </c>
      <c r="O290" s="6">
        <f t="shared" si="6"/>
        <v>945</v>
      </c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2.75" x14ac:dyDescent="0.2">
      <c r="A291" s="4" t="s">
        <v>1509</v>
      </c>
      <c r="B291" s="5" t="s">
        <v>15</v>
      </c>
      <c r="C291" s="4">
        <v>10</v>
      </c>
      <c r="D291" s="6" t="e">
        <f t="shared" si="5"/>
        <v>#VALUE!</v>
      </c>
      <c r="E291" s="6" t="s">
        <v>46</v>
      </c>
      <c r="F291" s="7">
        <v>190</v>
      </c>
      <c r="G291" s="6" t="s">
        <v>28</v>
      </c>
      <c r="H291" s="8">
        <v>839</v>
      </c>
      <c r="I291" s="10" t="s">
        <v>1545</v>
      </c>
      <c r="J291" s="9">
        <v>809</v>
      </c>
      <c r="K291" s="9" t="s">
        <v>1546</v>
      </c>
      <c r="L291" s="9" t="s">
        <v>1547</v>
      </c>
      <c r="M291" s="9" t="s">
        <v>1548</v>
      </c>
      <c r="N291" s="9" t="s">
        <v>367</v>
      </c>
      <c r="O291" s="6">
        <f t="shared" si="6"/>
        <v>764</v>
      </c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2.75" x14ac:dyDescent="0.2">
      <c r="A292" s="4" t="s">
        <v>1509</v>
      </c>
      <c r="B292" s="5" t="s">
        <v>49</v>
      </c>
      <c r="C292" s="4">
        <v>1</v>
      </c>
      <c r="D292" s="6" t="e">
        <f t="shared" si="5"/>
        <v>#VALUE!</v>
      </c>
      <c r="E292" s="6" t="s">
        <v>50</v>
      </c>
      <c r="F292" s="7">
        <v>192</v>
      </c>
      <c r="G292" s="6" t="s">
        <v>28</v>
      </c>
      <c r="H292" s="8">
        <v>969</v>
      </c>
      <c r="I292" s="10" t="s">
        <v>1549</v>
      </c>
      <c r="J292" s="9">
        <v>969</v>
      </c>
      <c r="K292" s="9" t="s">
        <v>1550</v>
      </c>
      <c r="L292" s="9" t="s">
        <v>1551</v>
      </c>
      <c r="M292" s="9" t="s">
        <v>1552</v>
      </c>
      <c r="N292" s="9" t="s">
        <v>1553</v>
      </c>
      <c r="O292" s="6">
        <f t="shared" si="6"/>
        <v>772</v>
      </c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2.75" x14ac:dyDescent="0.2">
      <c r="A293" s="4" t="s">
        <v>1509</v>
      </c>
      <c r="B293" s="5" t="s">
        <v>49</v>
      </c>
      <c r="C293" s="4">
        <v>2</v>
      </c>
      <c r="D293" s="6" t="e">
        <f t="shared" si="5"/>
        <v>#VALUE!</v>
      </c>
      <c r="E293" s="6" t="s">
        <v>53</v>
      </c>
      <c r="F293" s="7">
        <v>194</v>
      </c>
      <c r="G293" s="6" t="s">
        <v>21</v>
      </c>
      <c r="H293" s="11" t="s">
        <v>1554</v>
      </c>
      <c r="I293" s="9" t="s">
        <v>1555</v>
      </c>
      <c r="J293" s="9">
        <v>945</v>
      </c>
      <c r="K293" s="9" t="s">
        <v>1556</v>
      </c>
      <c r="L293" s="9" t="s">
        <v>237</v>
      </c>
      <c r="M293" s="9" t="s">
        <v>1557</v>
      </c>
      <c r="N293" s="9" t="s">
        <v>1558</v>
      </c>
      <c r="O293" s="6">
        <f t="shared" si="6"/>
        <v>975</v>
      </c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2.75" x14ac:dyDescent="0.2">
      <c r="A294" s="4" t="s">
        <v>1509</v>
      </c>
      <c r="B294" s="5" t="s">
        <v>49</v>
      </c>
      <c r="C294" s="4">
        <v>3</v>
      </c>
      <c r="D294" s="6" t="e">
        <f t="shared" si="5"/>
        <v>#VALUE!</v>
      </c>
      <c r="E294" s="6" t="s">
        <v>20</v>
      </c>
      <c r="F294" s="7">
        <v>196</v>
      </c>
      <c r="G294" s="6" t="s">
        <v>21</v>
      </c>
      <c r="H294" s="11" t="s">
        <v>1559</v>
      </c>
      <c r="I294" s="9">
        <v>966</v>
      </c>
      <c r="J294" s="9">
        <v>875</v>
      </c>
      <c r="K294" s="9" t="s">
        <v>1560</v>
      </c>
      <c r="L294" s="9" t="s">
        <v>1561</v>
      </c>
      <c r="M294" s="9" t="s">
        <v>1562</v>
      </c>
      <c r="N294" s="9" t="s">
        <v>1563</v>
      </c>
      <c r="O294" s="6">
        <f t="shared" si="6"/>
        <v>985</v>
      </c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2.75" x14ac:dyDescent="0.2">
      <c r="A295" s="4" t="s">
        <v>1509</v>
      </c>
      <c r="B295" s="5" t="s">
        <v>49</v>
      </c>
      <c r="C295" s="4">
        <v>4</v>
      </c>
      <c r="D295" s="6" t="e">
        <f t="shared" si="5"/>
        <v>#VALUE!</v>
      </c>
      <c r="E295" s="6" t="s">
        <v>58</v>
      </c>
      <c r="F295" s="7">
        <v>198</v>
      </c>
      <c r="G295" s="6" t="s">
        <v>28</v>
      </c>
      <c r="H295" s="8">
        <v>832</v>
      </c>
      <c r="I295" s="10" t="s">
        <v>1564</v>
      </c>
      <c r="J295" s="9">
        <v>838</v>
      </c>
      <c r="K295" s="9" t="s">
        <v>1565</v>
      </c>
      <c r="L295" s="9" t="s">
        <v>1566</v>
      </c>
      <c r="M295" s="9" t="s">
        <v>1567</v>
      </c>
      <c r="N295" s="9" t="s">
        <v>1568</v>
      </c>
      <c r="O295" s="6">
        <f t="shared" si="6"/>
        <v>796</v>
      </c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2.75" x14ac:dyDescent="0.2">
      <c r="A296" s="4" t="s">
        <v>1509</v>
      </c>
      <c r="B296" s="5" t="s">
        <v>49</v>
      </c>
      <c r="C296" s="4">
        <v>5</v>
      </c>
      <c r="D296" s="6" t="e">
        <f t="shared" si="5"/>
        <v>#VALUE!</v>
      </c>
      <c r="E296" s="6" t="s">
        <v>61</v>
      </c>
      <c r="F296" s="7">
        <v>200</v>
      </c>
      <c r="G296" s="6" t="s">
        <v>21</v>
      </c>
      <c r="H296" s="11" t="s">
        <v>1569</v>
      </c>
      <c r="I296" s="9">
        <v>936</v>
      </c>
      <c r="J296" s="9">
        <v>852</v>
      </c>
      <c r="K296" s="9" t="s">
        <v>1570</v>
      </c>
      <c r="L296" s="9" t="s">
        <v>1571</v>
      </c>
      <c r="M296" s="9" t="s">
        <v>1572</v>
      </c>
      <c r="N296" s="9" t="s">
        <v>328</v>
      </c>
      <c r="O296" s="6">
        <f t="shared" si="6"/>
        <v>1005</v>
      </c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2.75" x14ac:dyDescent="0.2">
      <c r="A297" s="4" t="s">
        <v>1509</v>
      </c>
      <c r="B297" s="5" t="s">
        <v>49</v>
      </c>
      <c r="C297" s="4">
        <v>6</v>
      </c>
      <c r="D297" s="6" t="e">
        <f t="shared" si="5"/>
        <v>#VALUE!</v>
      </c>
      <c r="E297" s="6" t="s">
        <v>64</v>
      </c>
      <c r="F297" s="7">
        <v>202</v>
      </c>
      <c r="G297" s="6" t="s">
        <v>17</v>
      </c>
      <c r="H297" s="8">
        <v>876</v>
      </c>
      <c r="I297" s="9">
        <v>872</v>
      </c>
      <c r="J297" s="10" t="s">
        <v>1573</v>
      </c>
      <c r="K297" s="9" t="s">
        <v>1574</v>
      </c>
      <c r="L297" s="9" t="s">
        <v>1575</v>
      </c>
      <c r="M297" s="9" t="s">
        <v>1576</v>
      </c>
      <c r="N297" s="9" t="s">
        <v>1577</v>
      </c>
      <c r="O297" s="6">
        <f t="shared" si="6"/>
        <v>406</v>
      </c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2.75" x14ac:dyDescent="0.2">
      <c r="A298" s="4" t="s">
        <v>1509</v>
      </c>
      <c r="B298" s="5" t="s">
        <v>49</v>
      </c>
      <c r="C298" s="4">
        <v>7</v>
      </c>
      <c r="D298" s="6" t="e">
        <f t="shared" si="5"/>
        <v>#VALUE!</v>
      </c>
      <c r="E298" s="6" t="s">
        <v>67</v>
      </c>
      <c r="F298" s="7">
        <v>204</v>
      </c>
      <c r="G298" s="6" t="s">
        <v>21</v>
      </c>
      <c r="H298" s="11" t="s">
        <v>1578</v>
      </c>
      <c r="I298" s="9" t="s">
        <v>1579</v>
      </c>
      <c r="J298" s="9">
        <v>977</v>
      </c>
      <c r="K298" s="9" t="s">
        <v>1580</v>
      </c>
      <c r="L298" s="9" t="s">
        <v>1521</v>
      </c>
      <c r="M298" s="9" t="s">
        <v>1581</v>
      </c>
      <c r="N298" s="9" t="s">
        <v>1582</v>
      </c>
      <c r="O298" s="6">
        <f t="shared" si="6"/>
        <v>1025</v>
      </c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2.75" x14ac:dyDescent="0.2">
      <c r="A299" s="4" t="s">
        <v>1509</v>
      </c>
      <c r="B299" s="5" t="s">
        <v>49</v>
      </c>
      <c r="C299" s="4">
        <v>8</v>
      </c>
      <c r="D299" s="6" t="e">
        <f t="shared" si="5"/>
        <v>#VALUE!</v>
      </c>
      <c r="E299" s="6" t="s">
        <v>70</v>
      </c>
      <c r="F299" s="7">
        <v>206</v>
      </c>
      <c r="G299" s="6" t="s">
        <v>28</v>
      </c>
      <c r="H299" s="8">
        <v>919</v>
      </c>
      <c r="I299" s="10" t="s">
        <v>1583</v>
      </c>
      <c r="J299" s="9">
        <v>882</v>
      </c>
      <c r="K299" s="9" t="s">
        <v>1584</v>
      </c>
      <c r="L299" s="9" t="s">
        <v>1585</v>
      </c>
      <c r="M299" s="9" t="s">
        <v>1586</v>
      </c>
      <c r="N299" s="9" t="s">
        <v>1587</v>
      </c>
      <c r="O299" s="6">
        <f t="shared" si="6"/>
        <v>828</v>
      </c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2.75" x14ac:dyDescent="0.2">
      <c r="A300" s="4" t="s">
        <v>1509</v>
      </c>
      <c r="B300" s="5" t="s">
        <v>49</v>
      </c>
      <c r="C300" s="4">
        <v>9</v>
      </c>
      <c r="D300" s="6" t="e">
        <f t="shared" si="5"/>
        <v>#VALUE!</v>
      </c>
      <c r="E300" s="6" t="s">
        <v>73</v>
      </c>
      <c r="F300" s="7">
        <v>208</v>
      </c>
      <c r="G300" s="6" t="s">
        <v>28</v>
      </c>
      <c r="H300" s="8">
        <v>945</v>
      </c>
      <c r="I300" s="10" t="s">
        <v>1588</v>
      </c>
      <c r="J300" s="9">
        <v>913</v>
      </c>
      <c r="K300" s="9" t="s">
        <v>1589</v>
      </c>
      <c r="L300" s="9" t="s">
        <v>1590</v>
      </c>
      <c r="M300" s="9" t="s">
        <v>1591</v>
      </c>
      <c r="N300" s="9" t="s">
        <v>1592</v>
      </c>
      <c r="O300" s="6">
        <f t="shared" si="6"/>
        <v>836</v>
      </c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2.75" x14ac:dyDescent="0.2">
      <c r="A301" s="4" t="s">
        <v>1509</v>
      </c>
      <c r="B301" s="5" t="s">
        <v>49</v>
      </c>
      <c r="C301" s="4">
        <v>10</v>
      </c>
      <c r="D301" s="6" t="e">
        <f t="shared" si="5"/>
        <v>#VALUE!</v>
      </c>
      <c r="E301" s="6" t="s">
        <v>77</v>
      </c>
      <c r="F301" s="7">
        <v>210</v>
      </c>
      <c r="G301" s="6" t="s">
        <v>21</v>
      </c>
      <c r="H301" s="11" t="s">
        <v>364</v>
      </c>
      <c r="I301" s="9" t="s">
        <v>298</v>
      </c>
      <c r="J301" s="9" t="s">
        <v>107</v>
      </c>
      <c r="K301" s="9" t="s">
        <v>1593</v>
      </c>
      <c r="L301" s="9" t="s">
        <v>1594</v>
      </c>
      <c r="M301" s="9" t="s">
        <v>1595</v>
      </c>
      <c r="N301" s="9" t="s">
        <v>383</v>
      </c>
      <c r="O301" s="6">
        <f t="shared" si="6"/>
        <v>1055</v>
      </c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2.75" x14ac:dyDescent="0.2">
      <c r="A302" s="4" t="s">
        <v>1509</v>
      </c>
      <c r="B302" s="5" t="s">
        <v>81</v>
      </c>
      <c r="C302" s="4">
        <v>1</v>
      </c>
      <c r="D302" s="6" t="e">
        <f t="shared" si="5"/>
        <v>#VALUE!</v>
      </c>
      <c r="E302" s="6" t="s">
        <v>82</v>
      </c>
      <c r="F302" s="7">
        <v>212</v>
      </c>
      <c r="G302" s="6" t="s">
        <v>28</v>
      </c>
      <c r="H302" s="8" t="s">
        <v>1571</v>
      </c>
      <c r="I302" s="10" t="s">
        <v>1596</v>
      </c>
      <c r="J302" s="9" t="s">
        <v>1597</v>
      </c>
      <c r="K302" s="9" t="s">
        <v>1598</v>
      </c>
      <c r="L302" s="9" t="s">
        <v>1599</v>
      </c>
      <c r="M302" s="9" t="s">
        <v>1600</v>
      </c>
      <c r="N302" s="9" t="s">
        <v>1601</v>
      </c>
      <c r="O302" s="6">
        <f t="shared" si="6"/>
        <v>852</v>
      </c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2.75" x14ac:dyDescent="0.2">
      <c r="A303" s="4" t="s">
        <v>1509</v>
      </c>
      <c r="B303" s="5" t="s">
        <v>81</v>
      </c>
      <c r="C303" s="4">
        <v>2</v>
      </c>
      <c r="D303" s="6" t="e">
        <f t="shared" si="5"/>
        <v>#VALUE!</v>
      </c>
      <c r="E303" s="6" t="s">
        <v>85</v>
      </c>
      <c r="F303" s="7">
        <v>214</v>
      </c>
      <c r="G303" s="6" t="s">
        <v>28</v>
      </c>
      <c r="H303" s="8">
        <v>838</v>
      </c>
      <c r="I303" s="10" t="s">
        <v>1602</v>
      </c>
      <c r="J303" s="9">
        <v>885</v>
      </c>
      <c r="K303" s="9" t="s">
        <v>1603</v>
      </c>
      <c r="L303" s="9" t="s">
        <v>1604</v>
      </c>
      <c r="M303" s="9" t="s">
        <v>1605</v>
      </c>
      <c r="N303" s="9" t="s">
        <v>1606</v>
      </c>
      <c r="O303" s="6">
        <f t="shared" si="6"/>
        <v>860</v>
      </c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2.75" x14ac:dyDescent="0.2">
      <c r="A304" s="4" t="s">
        <v>1509</v>
      </c>
      <c r="B304" s="5" t="s">
        <v>81</v>
      </c>
      <c r="C304" s="4">
        <v>3</v>
      </c>
      <c r="D304" s="6" t="e">
        <f t="shared" si="5"/>
        <v>#VALUE!</v>
      </c>
      <c r="E304" s="6" t="s">
        <v>88</v>
      </c>
      <c r="F304" s="7">
        <v>216</v>
      </c>
      <c r="G304" s="6" t="s">
        <v>28</v>
      </c>
      <c r="H304" s="8" t="s">
        <v>1607</v>
      </c>
      <c r="I304" s="10" t="s">
        <v>1608</v>
      </c>
      <c r="J304" s="9" t="s">
        <v>1609</v>
      </c>
      <c r="K304" s="9" t="s">
        <v>1610</v>
      </c>
      <c r="L304" s="9" t="s">
        <v>449</v>
      </c>
      <c r="M304" s="9" t="s">
        <v>1611</v>
      </c>
      <c r="N304" s="9" t="s">
        <v>601</v>
      </c>
      <c r="O304" s="6">
        <f t="shared" si="6"/>
        <v>868</v>
      </c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2.75" x14ac:dyDescent="0.2">
      <c r="A305" s="4" t="s">
        <v>1509</v>
      </c>
      <c r="B305" s="5" t="s">
        <v>81</v>
      </c>
      <c r="C305" s="4">
        <v>4</v>
      </c>
      <c r="D305" s="6" t="e">
        <f t="shared" si="5"/>
        <v>#VALUE!</v>
      </c>
      <c r="E305" s="6" t="s">
        <v>91</v>
      </c>
      <c r="F305" s="7">
        <v>218</v>
      </c>
      <c r="G305" s="6" t="s">
        <v>21</v>
      </c>
      <c r="H305" s="11" t="s">
        <v>1612</v>
      </c>
      <c r="I305" s="9" t="s">
        <v>1555</v>
      </c>
      <c r="J305" s="9">
        <v>867</v>
      </c>
      <c r="K305" s="9" t="s">
        <v>1613</v>
      </c>
      <c r="L305" s="9" t="s">
        <v>303</v>
      </c>
      <c r="M305" s="9" t="s">
        <v>1614</v>
      </c>
      <c r="N305" s="9" t="s">
        <v>1615</v>
      </c>
      <c r="O305" s="6">
        <f t="shared" si="6"/>
        <v>1095</v>
      </c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2.75" x14ac:dyDescent="0.2">
      <c r="A306" s="4" t="s">
        <v>1509</v>
      </c>
      <c r="B306" s="5" t="s">
        <v>81</v>
      </c>
      <c r="C306" s="4">
        <v>5</v>
      </c>
      <c r="D306" s="6" t="e">
        <f t="shared" si="5"/>
        <v>#VALUE!</v>
      </c>
      <c r="E306" s="6" t="s">
        <v>94</v>
      </c>
      <c r="F306" s="7">
        <v>220</v>
      </c>
      <c r="G306" s="6" t="s">
        <v>21</v>
      </c>
      <c r="H306" s="11" t="s">
        <v>1616</v>
      </c>
      <c r="I306" s="9" t="s">
        <v>1617</v>
      </c>
      <c r="J306" s="9">
        <v>977</v>
      </c>
      <c r="K306" s="9" t="s">
        <v>1618</v>
      </c>
      <c r="L306" s="9" t="s">
        <v>1619</v>
      </c>
      <c r="M306" s="9" t="s">
        <v>1620</v>
      </c>
      <c r="N306" s="9" t="s">
        <v>398</v>
      </c>
      <c r="O306" s="6">
        <f t="shared" si="6"/>
        <v>1105</v>
      </c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2.75" x14ac:dyDescent="0.2">
      <c r="A307" s="4" t="s">
        <v>1509</v>
      </c>
      <c r="B307" s="5" t="s">
        <v>81</v>
      </c>
      <c r="C307" s="4">
        <v>6</v>
      </c>
      <c r="D307" s="6" t="e">
        <f t="shared" si="5"/>
        <v>#VALUE!</v>
      </c>
      <c r="E307" s="6" t="s">
        <v>97</v>
      </c>
      <c r="F307" s="7">
        <v>222</v>
      </c>
      <c r="G307" s="6" t="s">
        <v>28</v>
      </c>
      <c r="H307" s="8">
        <v>999</v>
      </c>
      <c r="I307" s="10" t="s">
        <v>1621</v>
      </c>
      <c r="J307" s="9">
        <v>962</v>
      </c>
      <c r="K307" s="9" t="s">
        <v>1622</v>
      </c>
      <c r="L307" s="9" t="s">
        <v>1623</v>
      </c>
      <c r="M307" s="9" t="s">
        <v>1624</v>
      </c>
      <c r="N307" s="9" t="s">
        <v>613</v>
      </c>
      <c r="O307" s="6">
        <f t="shared" si="6"/>
        <v>892</v>
      </c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2.75" x14ac:dyDescent="0.2">
      <c r="A308" s="4" t="s">
        <v>1509</v>
      </c>
      <c r="B308" s="5" t="s">
        <v>81</v>
      </c>
      <c r="C308" s="4">
        <v>7</v>
      </c>
      <c r="D308" s="6" t="e">
        <f t="shared" si="5"/>
        <v>#VALUE!</v>
      </c>
      <c r="E308" s="6" t="s">
        <v>101</v>
      </c>
      <c r="F308" s="7">
        <v>224</v>
      </c>
      <c r="G308" s="6" t="s">
        <v>21</v>
      </c>
      <c r="H308" s="11" t="s">
        <v>324</v>
      </c>
      <c r="I308" s="9" t="s">
        <v>445</v>
      </c>
      <c r="J308" s="9" t="s">
        <v>1625</v>
      </c>
      <c r="K308" s="9" t="s">
        <v>1626</v>
      </c>
      <c r="L308" s="9" t="s">
        <v>402</v>
      </c>
      <c r="M308" s="9" t="s">
        <v>1627</v>
      </c>
      <c r="N308" s="9" t="s">
        <v>1628</v>
      </c>
      <c r="O308" s="6">
        <f t="shared" si="6"/>
        <v>1125</v>
      </c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2.75" x14ac:dyDescent="0.2">
      <c r="A309" s="4" t="s">
        <v>1509</v>
      </c>
      <c r="B309" s="5" t="s">
        <v>81</v>
      </c>
      <c r="C309" s="4">
        <v>8</v>
      </c>
      <c r="D309" s="6" t="e">
        <f t="shared" si="5"/>
        <v>#VALUE!</v>
      </c>
      <c r="E309" s="6" t="s">
        <v>105</v>
      </c>
      <c r="F309" s="7">
        <v>226</v>
      </c>
      <c r="G309" s="6" t="s">
        <v>28</v>
      </c>
      <c r="H309" s="8" t="s">
        <v>98</v>
      </c>
      <c r="I309" s="10" t="s">
        <v>1629</v>
      </c>
      <c r="J309" s="9" t="s">
        <v>1630</v>
      </c>
      <c r="K309" s="9" t="s">
        <v>1631</v>
      </c>
      <c r="L309" s="9" t="s">
        <v>1632</v>
      </c>
      <c r="M309" s="9" t="s">
        <v>1633</v>
      </c>
      <c r="N309" s="9" t="s">
        <v>1634</v>
      </c>
      <c r="O309" s="6">
        <f t="shared" si="6"/>
        <v>908</v>
      </c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2.75" x14ac:dyDescent="0.2">
      <c r="A310" s="4" t="s">
        <v>1509</v>
      </c>
      <c r="B310" s="5" t="s">
        <v>81</v>
      </c>
      <c r="C310" s="4">
        <v>9</v>
      </c>
      <c r="D310" s="6" t="e">
        <f t="shared" si="5"/>
        <v>#VALUE!</v>
      </c>
      <c r="E310" s="6" t="s">
        <v>110</v>
      </c>
      <c r="F310" s="7">
        <v>228</v>
      </c>
      <c r="G310" s="6" t="s">
        <v>21</v>
      </c>
      <c r="H310" s="11" t="s">
        <v>1635</v>
      </c>
      <c r="I310" s="9" t="s">
        <v>1636</v>
      </c>
      <c r="J310" s="9" t="s">
        <v>1637</v>
      </c>
      <c r="K310" s="9" t="s">
        <v>1638</v>
      </c>
      <c r="L310" s="9" t="s">
        <v>1639</v>
      </c>
      <c r="M310" s="9" t="s">
        <v>1640</v>
      </c>
      <c r="N310" s="9" t="s">
        <v>623</v>
      </c>
      <c r="O310" s="6">
        <f t="shared" si="6"/>
        <v>1145</v>
      </c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2.75" x14ac:dyDescent="0.2">
      <c r="A311" s="4" t="s">
        <v>1509</v>
      </c>
      <c r="B311" s="5" t="s">
        <v>81</v>
      </c>
      <c r="C311" s="4">
        <v>10</v>
      </c>
      <c r="D311" s="6" t="e">
        <f t="shared" si="5"/>
        <v>#VALUE!</v>
      </c>
      <c r="E311" s="6" t="s">
        <v>115</v>
      </c>
      <c r="F311" s="7">
        <v>230</v>
      </c>
      <c r="G311" s="6" t="s">
        <v>21</v>
      </c>
      <c r="H311" s="11" t="s">
        <v>1641</v>
      </c>
      <c r="I311" s="9" t="s">
        <v>1604</v>
      </c>
      <c r="J311" s="9" t="s">
        <v>1642</v>
      </c>
      <c r="K311" s="9" t="s">
        <v>1643</v>
      </c>
      <c r="L311" s="9" t="s">
        <v>1644</v>
      </c>
      <c r="M311" s="9" t="s">
        <v>1645</v>
      </c>
      <c r="N311" s="9" t="s">
        <v>412</v>
      </c>
      <c r="O311" s="6">
        <f t="shared" si="6"/>
        <v>1155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2.75" x14ac:dyDescent="0.2">
      <c r="A312" s="4" t="s">
        <v>1509</v>
      </c>
      <c r="B312" s="5" t="s">
        <v>119</v>
      </c>
      <c r="C312" s="4">
        <v>1</v>
      </c>
      <c r="D312" s="6" t="e">
        <f t="shared" si="5"/>
        <v>#VALUE!</v>
      </c>
      <c r="E312" s="6" t="s">
        <v>120</v>
      </c>
      <c r="F312" s="7">
        <v>232</v>
      </c>
      <c r="G312" s="6" t="s">
        <v>28</v>
      </c>
      <c r="H312" s="8" t="s">
        <v>1571</v>
      </c>
      <c r="I312" s="10" t="s">
        <v>1646</v>
      </c>
      <c r="J312" s="9">
        <v>981</v>
      </c>
      <c r="K312" s="9" t="s">
        <v>1647</v>
      </c>
      <c r="L312" s="9" t="s">
        <v>1648</v>
      </c>
      <c r="M312" s="9" t="s">
        <v>1649</v>
      </c>
      <c r="N312" s="9" t="s">
        <v>1650</v>
      </c>
      <c r="O312" s="6">
        <f t="shared" si="6"/>
        <v>932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2.75" x14ac:dyDescent="0.2">
      <c r="A313" s="4" t="s">
        <v>1509</v>
      </c>
      <c r="B313" s="5" t="s">
        <v>119</v>
      </c>
      <c r="C313" s="4">
        <v>2</v>
      </c>
      <c r="D313" s="6" t="e">
        <f t="shared" si="5"/>
        <v>#VALUE!</v>
      </c>
      <c r="E313" s="6" t="s">
        <v>123</v>
      </c>
      <c r="F313" s="7">
        <v>234</v>
      </c>
      <c r="G313" s="6" t="s">
        <v>28</v>
      </c>
      <c r="H313" s="8" t="s">
        <v>1651</v>
      </c>
      <c r="I313" s="10" t="s">
        <v>1652</v>
      </c>
      <c r="J313" s="9" t="s">
        <v>1653</v>
      </c>
      <c r="K313" s="9" t="s">
        <v>1654</v>
      </c>
      <c r="L313" s="9" t="s">
        <v>1655</v>
      </c>
      <c r="M313" s="9" t="s">
        <v>1656</v>
      </c>
      <c r="N313" s="9" t="s">
        <v>634</v>
      </c>
      <c r="O313" s="6">
        <f t="shared" si="6"/>
        <v>940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2.75" x14ac:dyDescent="0.2">
      <c r="A314" s="4" t="s">
        <v>1509</v>
      </c>
      <c r="B314" s="5" t="s">
        <v>119</v>
      </c>
      <c r="C314" s="4">
        <v>3</v>
      </c>
      <c r="D314" s="6" t="e">
        <f t="shared" si="5"/>
        <v>#VALUE!</v>
      </c>
      <c r="E314" s="6" t="s">
        <v>91</v>
      </c>
      <c r="F314" s="7">
        <v>236</v>
      </c>
      <c r="G314" s="6" t="s">
        <v>21</v>
      </c>
      <c r="H314" s="11" t="s">
        <v>1657</v>
      </c>
      <c r="I314" s="9" t="s">
        <v>1658</v>
      </c>
      <c r="J314" s="9" t="s">
        <v>1659</v>
      </c>
      <c r="K314" s="9" t="s">
        <v>1660</v>
      </c>
      <c r="L314" s="9" t="s">
        <v>1659</v>
      </c>
      <c r="M314" s="9" t="s">
        <v>1661</v>
      </c>
      <c r="N314" s="9" t="s">
        <v>1662</v>
      </c>
      <c r="O314" s="6">
        <f t="shared" si="6"/>
        <v>1185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2.75" x14ac:dyDescent="0.2">
      <c r="A315" s="4" t="s">
        <v>1509</v>
      </c>
      <c r="B315" s="5" t="s">
        <v>119</v>
      </c>
      <c r="C315" s="4">
        <v>4</v>
      </c>
      <c r="D315" s="6" t="e">
        <f t="shared" si="5"/>
        <v>#VALUE!</v>
      </c>
      <c r="E315" s="6" t="s">
        <v>129</v>
      </c>
      <c r="F315" s="7">
        <v>238</v>
      </c>
      <c r="G315" s="6" t="s">
        <v>21</v>
      </c>
      <c r="H315" s="11" t="s">
        <v>1663</v>
      </c>
      <c r="I315" s="9" t="s">
        <v>1664</v>
      </c>
      <c r="J315" s="9" t="s">
        <v>1665</v>
      </c>
      <c r="K315" s="9" t="s">
        <v>1666</v>
      </c>
      <c r="L315" s="9" t="s">
        <v>298</v>
      </c>
      <c r="M315" s="9" t="s">
        <v>1667</v>
      </c>
      <c r="N315" s="9" t="s">
        <v>1668</v>
      </c>
      <c r="O315" s="6">
        <f t="shared" si="6"/>
        <v>1195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2.75" x14ac:dyDescent="0.2">
      <c r="A316" s="4" t="s">
        <v>1509</v>
      </c>
      <c r="B316" s="5" t="s">
        <v>119</v>
      </c>
      <c r="C316" s="4">
        <v>5</v>
      </c>
      <c r="D316" s="6" t="e">
        <f t="shared" si="5"/>
        <v>#VALUE!</v>
      </c>
      <c r="E316" s="6" t="s">
        <v>133</v>
      </c>
      <c r="F316" s="7">
        <v>240</v>
      </c>
      <c r="G316" s="6" t="s">
        <v>21</v>
      </c>
      <c r="H316" s="11" t="s">
        <v>1669</v>
      </c>
      <c r="I316" s="9" t="s">
        <v>472</v>
      </c>
      <c r="J316" s="9" t="s">
        <v>1670</v>
      </c>
      <c r="K316" s="9" t="s">
        <v>1671</v>
      </c>
      <c r="L316" s="9" t="s">
        <v>1672</v>
      </c>
      <c r="M316" s="9" t="s">
        <v>1673</v>
      </c>
      <c r="N316" s="9" t="s">
        <v>425</v>
      </c>
      <c r="O316" s="6">
        <f t="shared" si="6"/>
        <v>1205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2.75" x14ac:dyDescent="0.2">
      <c r="A317" s="4" t="s">
        <v>1509</v>
      </c>
      <c r="B317" s="5" t="s">
        <v>119</v>
      </c>
      <c r="C317" s="4">
        <v>6</v>
      </c>
      <c r="D317" s="6" t="e">
        <f t="shared" si="5"/>
        <v>#VALUE!</v>
      </c>
      <c r="E317" s="6" t="s">
        <v>136</v>
      </c>
      <c r="F317" s="7">
        <v>242</v>
      </c>
      <c r="G317" s="6" t="s">
        <v>28</v>
      </c>
      <c r="H317" s="8" t="s">
        <v>1674</v>
      </c>
      <c r="I317" s="10" t="s">
        <v>1675</v>
      </c>
      <c r="J317" s="9" t="s">
        <v>1676</v>
      </c>
      <c r="K317" s="9" t="s">
        <v>1677</v>
      </c>
      <c r="L317" s="9" t="s">
        <v>1678</v>
      </c>
      <c r="M317" s="9" t="s">
        <v>1679</v>
      </c>
      <c r="N317" s="9" t="s">
        <v>920</v>
      </c>
      <c r="O317" s="6">
        <f t="shared" si="6"/>
        <v>972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2.75" x14ac:dyDescent="0.2">
      <c r="A318" s="4" t="s">
        <v>1509</v>
      </c>
      <c r="B318" s="5" t="s">
        <v>119</v>
      </c>
      <c r="C318" s="4">
        <v>7</v>
      </c>
      <c r="D318" s="6" t="e">
        <f t="shared" si="5"/>
        <v>#VALUE!</v>
      </c>
      <c r="E318" s="6" t="s">
        <v>140</v>
      </c>
      <c r="F318" s="7">
        <v>244</v>
      </c>
      <c r="G318" s="6" t="s">
        <v>21</v>
      </c>
      <c r="H318" s="11" t="s">
        <v>1680</v>
      </c>
      <c r="I318" s="9" t="s">
        <v>1681</v>
      </c>
      <c r="J318" s="9" t="s">
        <v>1682</v>
      </c>
      <c r="K318" s="9" t="s">
        <v>1683</v>
      </c>
      <c r="L318" s="9" t="s">
        <v>445</v>
      </c>
      <c r="M318" s="9" t="s">
        <v>1684</v>
      </c>
      <c r="N318" s="9" t="s">
        <v>1685</v>
      </c>
      <c r="O318" s="6">
        <f t="shared" si="6"/>
        <v>1225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2.75" x14ac:dyDescent="0.2">
      <c r="A319" s="4" t="s">
        <v>1509</v>
      </c>
      <c r="B319" s="5" t="s">
        <v>119</v>
      </c>
      <c r="C319" s="4">
        <v>8</v>
      </c>
      <c r="D319" s="6" t="e">
        <f t="shared" si="5"/>
        <v>#VALUE!</v>
      </c>
      <c r="E319" s="6" t="s">
        <v>144</v>
      </c>
      <c r="F319" s="7">
        <v>246</v>
      </c>
      <c r="G319" s="6" t="s">
        <v>21</v>
      </c>
      <c r="H319" s="11" t="s">
        <v>1686</v>
      </c>
      <c r="I319" s="9" t="s">
        <v>1687</v>
      </c>
      <c r="J319" s="9" t="s">
        <v>1688</v>
      </c>
      <c r="K319" s="9" t="s">
        <v>1689</v>
      </c>
      <c r="L319" s="9" t="s">
        <v>1690</v>
      </c>
      <c r="M319" s="9" t="s">
        <v>1691</v>
      </c>
      <c r="N319" s="9" t="s">
        <v>652</v>
      </c>
      <c r="O319" s="6">
        <f t="shared" si="6"/>
        <v>1235</v>
      </c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2.75" x14ac:dyDescent="0.2">
      <c r="A320" s="4" t="s">
        <v>1509</v>
      </c>
      <c r="B320" s="5" t="s">
        <v>119</v>
      </c>
      <c r="C320" s="4">
        <v>9</v>
      </c>
      <c r="D320" s="6" t="e">
        <f t="shared" si="5"/>
        <v>#VALUE!</v>
      </c>
      <c r="E320" s="6" t="s">
        <v>148</v>
      </c>
      <c r="F320" s="7">
        <v>248</v>
      </c>
      <c r="G320" s="6" t="s">
        <v>28</v>
      </c>
      <c r="H320" s="8" t="s">
        <v>1672</v>
      </c>
      <c r="I320" s="10" t="s">
        <v>1692</v>
      </c>
      <c r="J320" s="9" t="s">
        <v>1551</v>
      </c>
      <c r="K320" s="9" t="s">
        <v>1693</v>
      </c>
      <c r="L320" s="9" t="s">
        <v>1694</v>
      </c>
      <c r="M320" s="9" t="s">
        <v>1695</v>
      </c>
      <c r="N320" s="9" t="s">
        <v>1696</v>
      </c>
      <c r="O320" s="6">
        <f t="shared" si="6"/>
        <v>996</v>
      </c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2.75" x14ac:dyDescent="0.2">
      <c r="A321" s="4" t="s">
        <v>1509</v>
      </c>
      <c r="B321" s="5" t="s">
        <v>119</v>
      </c>
      <c r="C321" s="4">
        <v>10</v>
      </c>
      <c r="D321" s="6" t="e">
        <f t="shared" si="5"/>
        <v>#VALUE!</v>
      </c>
      <c r="E321" s="6" t="s">
        <v>153</v>
      </c>
      <c r="F321" s="7">
        <v>250</v>
      </c>
      <c r="G321" s="6" t="s">
        <v>28</v>
      </c>
      <c r="H321" s="8" t="s">
        <v>1697</v>
      </c>
      <c r="I321" s="10" t="s">
        <v>1698</v>
      </c>
      <c r="J321" s="9" t="s">
        <v>1699</v>
      </c>
      <c r="K321" s="9" t="s">
        <v>1086</v>
      </c>
      <c r="L321" s="9" t="s">
        <v>1700</v>
      </c>
      <c r="M321" s="9" t="s">
        <v>1701</v>
      </c>
      <c r="N321" s="9" t="s">
        <v>438</v>
      </c>
      <c r="O321" s="6">
        <f t="shared" si="6"/>
        <v>1004</v>
      </c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2.75" x14ac:dyDescent="0.2">
      <c r="A322" s="4" t="s">
        <v>1509</v>
      </c>
      <c r="B322" s="5" t="s">
        <v>157</v>
      </c>
      <c r="C322" s="4">
        <v>1</v>
      </c>
      <c r="D322" s="6" t="e">
        <f t="shared" si="5"/>
        <v>#VALUE!</v>
      </c>
      <c r="E322" s="6" t="s">
        <v>158</v>
      </c>
      <c r="F322" s="7">
        <v>252</v>
      </c>
      <c r="G322" s="6" t="s">
        <v>28</v>
      </c>
      <c r="H322" s="8" t="s">
        <v>298</v>
      </c>
      <c r="I322" s="10" t="s">
        <v>1702</v>
      </c>
      <c r="J322" s="9" t="s">
        <v>102</v>
      </c>
      <c r="K322" s="9" t="s">
        <v>1703</v>
      </c>
      <c r="L322" s="9" t="s">
        <v>1704</v>
      </c>
      <c r="M322" s="9" t="s">
        <v>1705</v>
      </c>
      <c r="N322" s="9" t="s">
        <v>663</v>
      </c>
      <c r="O322" s="6">
        <f t="shared" si="6"/>
        <v>1012</v>
      </c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2.75" x14ac:dyDescent="0.2">
      <c r="A323" s="4" t="s">
        <v>1509</v>
      </c>
      <c r="B323" s="5" t="s">
        <v>157</v>
      </c>
      <c r="C323" s="4">
        <v>2</v>
      </c>
      <c r="D323" s="6" t="e">
        <f t="shared" si="5"/>
        <v>#VALUE!</v>
      </c>
      <c r="E323" s="6" t="s">
        <v>161</v>
      </c>
      <c r="F323" s="7">
        <v>254</v>
      </c>
      <c r="G323" s="6" t="s">
        <v>28</v>
      </c>
      <c r="H323" s="8" t="s">
        <v>1706</v>
      </c>
      <c r="I323" s="10" t="s">
        <v>1707</v>
      </c>
      <c r="J323" s="9" t="s">
        <v>1708</v>
      </c>
      <c r="K323" s="9" t="s">
        <v>1709</v>
      </c>
      <c r="L323" s="9" t="s">
        <v>1710</v>
      </c>
      <c r="M323" s="9" t="s">
        <v>1711</v>
      </c>
      <c r="N323" s="9" t="s">
        <v>1712</v>
      </c>
      <c r="O323" s="6">
        <f t="shared" ref="O323:O386" si="7">M323/K323</f>
        <v>1020</v>
      </c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2.75" x14ac:dyDescent="0.2">
      <c r="A324" s="4" t="s">
        <v>1509</v>
      </c>
      <c r="B324" s="5" t="s">
        <v>157</v>
      </c>
      <c r="C324" s="4">
        <v>3</v>
      </c>
      <c r="D324" s="6" t="e">
        <f t="shared" si="5"/>
        <v>#VALUE!</v>
      </c>
      <c r="E324" s="6" t="s">
        <v>165</v>
      </c>
      <c r="F324" s="7">
        <v>256</v>
      </c>
      <c r="G324" s="6" t="s">
        <v>28</v>
      </c>
      <c r="H324" s="8" t="s">
        <v>1713</v>
      </c>
      <c r="I324" s="10" t="s">
        <v>1714</v>
      </c>
      <c r="J324" s="9" t="s">
        <v>1609</v>
      </c>
      <c r="K324" s="9" t="s">
        <v>1715</v>
      </c>
      <c r="L324" s="9" t="s">
        <v>199</v>
      </c>
      <c r="M324" s="9" t="s">
        <v>1716</v>
      </c>
      <c r="N324" s="9" t="s">
        <v>1717</v>
      </c>
      <c r="O324" s="6">
        <f t="shared" si="7"/>
        <v>1028</v>
      </c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2.75" x14ac:dyDescent="0.2">
      <c r="A325" s="4" t="s">
        <v>1509</v>
      </c>
      <c r="B325" s="5" t="s">
        <v>157</v>
      </c>
      <c r="C325" s="4">
        <v>4</v>
      </c>
      <c r="D325" s="6" t="e">
        <f t="shared" si="5"/>
        <v>#VALUE!</v>
      </c>
      <c r="E325" s="6" t="s">
        <v>169</v>
      </c>
      <c r="F325" s="7">
        <v>258</v>
      </c>
      <c r="G325" s="6" t="s">
        <v>28</v>
      </c>
      <c r="H325" s="8" t="s">
        <v>1718</v>
      </c>
      <c r="I325" s="10" t="s">
        <v>1719</v>
      </c>
      <c r="J325" s="9" t="s">
        <v>1706</v>
      </c>
      <c r="K325" s="9" t="s">
        <v>1720</v>
      </c>
      <c r="L325" s="9" t="s">
        <v>1721</v>
      </c>
      <c r="M325" s="9" t="s">
        <v>1722</v>
      </c>
      <c r="N325" s="9" t="s">
        <v>673</v>
      </c>
      <c r="O325" s="6">
        <f t="shared" si="7"/>
        <v>1036</v>
      </c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2.75" x14ac:dyDescent="0.2">
      <c r="A326" s="4" t="s">
        <v>1509</v>
      </c>
      <c r="B326" s="5" t="s">
        <v>157</v>
      </c>
      <c r="C326" s="4">
        <v>5</v>
      </c>
      <c r="D326" s="6" t="e">
        <f t="shared" si="5"/>
        <v>#VALUE!</v>
      </c>
      <c r="E326" s="6" t="s">
        <v>172</v>
      </c>
      <c r="F326" s="7">
        <v>260</v>
      </c>
      <c r="G326" s="6" t="s">
        <v>21</v>
      </c>
      <c r="H326" s="11" t="s">
        <v>1723</v>
      </c>
      <c r="I326" s="9" t="s">
        <v>1724</v>
      </c>
      <c r="J326" s="9" t="s">
        <v>1725</v>
      </c>
      <c r="K326" s="9" t="s">
        <v>1726</v>
      </c>
      <c r="L326" s="9" t="s">
        <v>1637</v>
      </c>
      <c r="M326" s="9" t="s">
        <v>1727</v>
      </c>
      <c r="N326" s="9" t="s">
        <v>454</v>
      </c>
      <c r="O326" s="6">
        <f t="shared" si="7"/>
        <v>1304.9999543399845</v>
      </c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2.75" x14ac:dyDescent="0.2">
      <c r="A327" s="4" t="s">
        <v>1509</v>
      </c>
      <c r="B327" s="5" t="s">
        <v>157</v>
      </c>
      <c r="C327" s="4">
        <v>6</v>
      </c>
      <c r="D327" s="6" t="e">
        <f t="shared" si="5"/>
        <v>#VALUE!</v>
      </c>
      <c r="E327" s="6" t="s">
        <v>176</v>
      </c>
      <c r="F327" s="7">
        <v>262</v>
      </c>
      <c r="G327" s="6" t="s">
        <v>28</v>
      </c>
      <c r="H327" s="8" t="s">
        <v>1728</v>
      </c>
      <c r="I327" s="10" t="s">
        <v>1729</v>
      </c>
      <c r="J327" s="9" t="s">
        <v>1730</v>
      </c>
      <c r="K327" s="9" t="s">
        <v>1731</v>
      </c>
      <c r="L327" s="9" t="s">
        <v>1732</v>
      </c>
      <c r="M327" s="9" t="s">
        <v>1733</v>
      </c>
      <c r="N327" s="9" t="s">
        <v>1734</v>
      </c>
      <c r="O327" s="6">
        <f t="shared" si="7"/>
        <v>1052</v>
      </c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2.75" x14ac:dyDescent="0.2">
      <c r="A328" s="4" t="s">
        <v>1509</v>
      </c>
      <c r="B328" s="5" t="s">
        <v>157</v>
      </c>
      <c r="C328" s="4">
        <v>7</v>
      </c>
      <c r="D328" s="6" t="e">
        <f t="shared" si="5"/>
        <v>#VALUE!</v>
      </c>
      <c r="E328" s="6" t="s">
        <v>180</v>
      </c>
      <c r="F328" s="7">
        <v>264</v>
      </c>
      <c r="G328" s="6" t="s">
        <v>21</v>
      </c>
      <c r="H328" s="11" t="s">
        <v>1735</v>
      </c>
      <c r="I328" s="9" t="s">
        <v>1736</v>
      </c>
      <c r="J328" s="9" t="s">
        <v>1737</v>
      </c>
      <c r="K328" s="9" t="s">
        <v>1738</v>
      </c>
      <c r="L328" s="9" t="s">
        <v>1664</v>
      </c>
      <c r="M328" s="9" t="s">
        <v>1739</v>
      </c>
      <c r="N328" s="9" t="s">
        <v>684</v>
      </c>
      <c r="O328" s="6">
        <f t="shared" si="7"/>
        <v>1325</v>
      </c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2.75" x14ac:dyDescent="0.2">
      <c r="A329" s="4" t="s">
        <v>1509</v>
      </c>
      <c r="B329" s="5" t="s">
        <v>157</v>
      </c>
      <c r="C329" s="4">
        <v>8</v>
      </c>
      <c r="D329" s="6" t="e">
        <f t="shared" si="5"/>
        <v>#VALUE!</v>
      </c>
      <c r="E329" s="6" t="s">
        <v>184</v>
      </c>
      <c r="F329" s="7">
        <v>266</v>
      </c>
      <c r="G329" s="6" t="s">
        <v>17</v>
      </c>
      <c r="H329" s="8" t="s">
        <v>1740</v>
      </c>
      <c r="I329" s="9" t="s">
        <v>361</v>
      </c>
      <c r="J329" s="10" t="s">
        <v>1741</v>
      </c>
      <c r="K329" s="9" t="s">
        <v>1742</v>
      </c>
      <c r="L329" s="9" t="s">
        <v>1743</v>
      </c>
      <c r="M329" s="9" t="s">
        <v>1744</v>
      </c>
      <c r="N329" s="9" t="s">
        <v>1745</v>
      </c>
      <c r="O329" s="6">
        <f t="shared" si="7"/>
        <v>534</v>
      </c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2.75" x14ac:dyDescent="0.2">
      <c r="A330" s="4" t="s">
        <v>1509</v>
      </c>
      <c r="B330" s="5" t="s">
        <v>157</v>
      </c>
      <c r="C330" s="4">
        <v>9</v>
      </c>
      <c r="D330" s="6" t="e">
        <f t="shared" si="5"/>
        <v>#VALUE!</v>
      </c>
      <c r="E330" s="6" t="s">
        <v>188</v>
      </c>
      <c r="F330" s="7">
        <v>268</v>
      </c>
      <c r="G330" s="6" t="s">
        <v>21</v>
      </c>
      <c r="H330" s="11" t="s">
        <v>1746</v>
      </c>
      <c r="I330" s="9" t="s">
        <v>1747</v>
      </c>
      <c r="J330" s="9" t="s">
        <v>1748</v>
      </c>
      <c r="K330" s="9" t="s">
        <v>1749</v>
      </c>
      <c r="L330" s="9" t="s">
        <v>1750</v>
      </c>
      <c r="M330" s="9" t="s">
        <v>1751</v>
      </c>
      <c r="N330" s="9" t="s">
        <v>1752</v>
      </c>
      <c r="O330" s="6">
        <f t="shared" si="7"/>
        <v>1345</v>
      </c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2.75" x14ac:dyDescent="0.2">
      <c r="A331" s="4" t="s">
        <v>1509</v>
      </c>
      <c r="B331" s="5" t="s">
        <v>157</v>
      </c>
      <c r="C331" s="4">
        <v>10</v>
      </c>
      <c r="D331" s="6" t="e">
        <f t="shared" si="5"/>
        <v>#VALUE!</v>
      </c>
      <c r="E331" s="6" t="s">
        <v>192</v>
      </c>
      <c r="F331" s="7">
        <v>270</v>
      </c>
      <c r="G331" s="6" t="s">
        <v>28</v>
      </c>
      <c r="H331" s="8" t="s">
        <v>19</v>
      </c>
      <c r="I331" s="10" t="s">
        <v>1753</v>
      </c>
      <c r="J331" s="9" t="s">
        <v>1754</v>
      </c>
      <c r="K331" s="9" t="s">
        <v>1755</v>
      </c>
      <c r="L331" s="9" t="s">
        <v>1756</v>
      </c>
      <c r="M331" s="9" t="s">
        <v>1757</v>
      </c>
      <c r="N331" s="9" t="s">
        <v>469</v>
      </c>
      <c r="O331" s="6">
        <f t="shared" si="7"/>
        <v>1084</v>
      </c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2.75" x14ac:dyDescent="0.2">
      <c r="A332" s="4" t="s">
        <v>1509</v>
      </c>
      <c r="B332" s="5" t="s">
        <v>197</v>
      </c>
      <c r="C332" s="4">
        <v>1</v>
      </c>
      <c r="D332" s="6" t="e">
        <f t="shared" si="5"/>
        <v>#VALUE!</v>
      </c>
      <c r="E332" s="6" t="s">
        <v>198</v>
      </c>
      <c r="F332" s="7">
        <v>272</v>
      </c>
      <c r="G332" s="6" t="s">
        <v>21</v>
      </c>
      <c r="H332" s="11" t="s">
        <v>1758</v>
      </c>
      <c r="I332" s="9" t="s">
        <v>1759</v>
      </c>
      <c r="J332" s="9" t="s">
        <v>1760</v>
      </c>
      <c r="K332" s="9" t="s">
        <v>1761</v>
      </c>
      <c r="L332" s="9" t="s">
        <v>1762</v>
      </c>
      <c r="M332" s="9" t="s">
        <v>1763</v>
      </c>
      <c r="N332" s="9" t="s">
        <v>851</v>
      </c>
      <c r="O332" s="6">
        <f t="shared" si="7"/>
        <v>1365</v>
      </c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2.75" x14ac:dyDescent="0.2">
      <c r="A333" s="4" t="s">
        <v>1509</v>
      </c>
      <c r="B333" s="5" t="s">
        <v>197</v>
      </c>
      <c r="C333" s="4">
        <v>2</v>
      </c>
      <c r="D333" s="6" t="e">
        <f t="shared" si="5"/>
        <v>#VALUE!</v>
      </c>
      <c r="E333" s="6" t="s">
        <v>58</v>
      </c>
      <c r="F333" s="7">
        <v>274</v>
      </c>
      <c r="G333" s="6" t="s">
        <v>28</v>
      </c>
      <c r="H333" s="8" t="s">
        <v>1764</v>
      </c>
      <c r="I333" s="10" t="s">
        <v>1765</v>
      </c>
      <c r="J333" s="9" t="s">
        <v>1766</v>
      </c>
      <c r="K333" s="9" t="s">
        <v>1767</v>
      </c>
      <c r="L333" s="9" t="s">
        <v>1768</v>
      </c>
      <c r="M333" s="9" t="s">
        <v>1769</v>
      </c>
      <c r="N333" s="9" t="s">
        <v>1770</v>
      </c>
      <c r="O333" s="6">
        <f t="shared" si="7"/>
        <v>1100</v>
      </c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2.75" x14ac:dyDescent="0.2">
      <c r="A334" s="4" t="s">
        <v>1509</v>
      </c>
      <c r="B334" s="5" t="s">
        <v>197</v>
      </c>
      <c r="C334" s="4">
        <v>3</v>
      </c>
      <c r="D334" s="6" t="e">
        <f t="shared" si="5"/>
        <v>#VALUE!</v>
      </c>
      <c r="E334" s="6" t="s">
        <v>205</v>
      </c>
      <c r="F334" s="7">
        <v>276</v>
      </c>
      <c r="G334" s="6" t="s">
        <v>17</v>
      </c>
      <c r="H334" s="8" t="s">
        <v>1771</v>
      </c>
      <c r="I334" s="9" t="s">
        <v>1772</v>
      </c>
      <c r="J334" s="10" t="s">
        <v>1773</v>
      </c>
      <c r="K334" s="9" t="s">
        <v>1774</v>
      </c>
      <c r="L334" s="9" t="s">
        <v>1775</v>
      </c>
      <c r="M334" s="9" t="s">
        <v>1776</v>
      </c>
      <c r="N334" s="9" t="s">
        <v>1777</v>
      </c>
      <c r="O334" s="6">
        <f t="shared" si="7"/>
        <v>554</v>
      </c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2.75" x14ac:dyDescent="0.2">
      <c r="A335" s="4" t="s">
        <v>1509</v>
      </c>
      <c r="B335" s="5" t="s">
        <v>197</v>
      </c>
      <c r="C335" s="4">
        <v>4</v>
      </c>
      <c r="D335" s="6" t="e">
        <f t="shared" si="5"/>
        <v>#VALUE!</v>
      </c>
      <c r="E335" s="6" t="s">
        <v>208</v>
      </c>
      <c r="F335" s="7">
        <v>278</v>
      </c>
      <c r="G335" s="6" t="s">
        <v>28</v>
      </c>
      <c r="H335" s="8" t="s">
        <v>1778</v>
      </c>
      <c r="I335" s="10" t="s">
        <v>456</v>
      </c>
      <c r="J335" s="9" t="s">
        <v>1779</v>
      </c>
      <c r="K335" s="9" t="s">
        <v>1780</v>
      </c>
      <c r="L335" s="9" t="s">
        <v>1781</v>
      </c>
      <c r="M335" s="9" t="s">
        <v>1782</v>
      </c>
      <c r="N335" s="9" t="s">
        <v>1783</v>
      </c>
      <c r="O335" s="6">
        <f t="shared" si="7"/>
        <v>1116</v>
      </c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2.75" x14ac:dyDescent="0.2">
      <c r="A336" s="4" t="s">
        <v>1509</v>
      </c>
      <c r="B336" s="5" t="s">
        <v>197</v>
      </c>
      <c r="C336" s="4">
        <v>5</v>
      </c>
      <c r="D336" s="6" t="e">
        <f t="shared" si="5"/>
        <v>#VALUE!</v>
      </c>
      <c r="E336" s="6" t="s">
        <v>212</v>
      </c>
      <c r="F336" s="7">
        <v>280</v>
      </c>
      <c r="G336" s="6" t="s">
        <v>28</v>
      </c>
      <c r="H336" s="8" t="s">
        <v>1784</v>
      </c>
      <c r="I336" s="10" t="s">
        <v>1785</v>
      </c>
      <c r="J336" s="9" t="s">
        <v>320</v>
      </c>
      <c r="K336" s="9" t="s">
        <v>1786</v>
      </c>
      <c r="L336" s="9" t="s">
        <v>1787</v>
      </c>
      <c r="M336" s="9" t="s">
        <v>1788</v>
      </c>
      <c r="N336" s="9" t="s">
        <v>484</v>
      </c>
      <c r="O336" s="6">
        <f t="shared" si="7"/>
        <v>1124</v>
      </c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2.75" x14ac:dyDescent="0.2">
      <c r="A337" s="4" t="s">
        <v>1509</v>
      </c>
      <c r="B337" s="5" t="s">
        <v>197</v>
      </c>
      <c r="C337" s="4">
        <v>6</v>
      </c>
      <c r="D337" s="6" t="e">
        <f t="shared" si="5"/>
        <v>#VALUE!</v>
      </c>
      <c r="E337" s="6" t="s">
        <v>216</v>
      </c>
      <c r="F337" s="7">
        <v>282</v>
      </c>
      <c r="G337" s="6" t="s">
        <v>21</v>
      </c>
      <c r="H337" s="11" t="s">
        <v>1789</v>
      </c>
      <c r="I337" s="9" t="s">
        <v>1790</v>
      </c>
      <c r="J337" s="9" t="s">
        <v>1791</v>
      </c>
      <c r="K337" s="9" t="s">
        <v>1792</v>
      </c>
      <c r="L337" s="9" t="s">
        <v>1623</v>
      </c>
      <c r="M337" s="9" t="s">
        <v>1793</v>
      </c>
      <c r="N337" s="9" t="s">
        <v>1794</v>
      </c>
      <c r="O337" s="6">
        <f t="shared" si="7"/>
        <v>1415.0000783883359</v>
      </c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2.75" x14ac:dyDescent="0.2">
      <c r="A338" s="4" t="s">
        <v>1509</v>
      </c>
      <c r="B338" s="5" t="s">
        <v>197</v>
      </c>
      <c r="C338" s="4">
        <v>7</v>
      </c>
      <c r="D338" s="6" t="e">
        <f t="shared" si="5"/>
        <v>#VALUE!</v>
      </c>
      <c r="E338" s="6" t="s">
        <v>220</v>
      </c>
      <c r="F338" s="7">
        <v>284</v>
      </c>
      <c r="G338" s="6" t="s">
        <v>28</v>
      </c>
      <c r="H338" s="8" t="s">
        <v>1795</v>
      </c>
      <c r="I338" s="10" t="s">
        <v>1796</v>
      </c>
      <c r="J338" s="9" t="s">
        <v>1797</v>
      </c>
      <c r="K338" s="9" t="s">
        <v>1798</v>
      </c>
      <c r="L338" s="9" t="s">
        <v>1799</v>
      </c>
      <c r="M338" s="9" t="s">
        <v>1800</v>
      </c>
      <c r="N338" s="9" t="s">
        <v>1801</v>
      </c>
      <c r="O338" s="6">
        <f t="shared" si="7"/>
        <v>1140</v>
      </c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2.75" x14ac:dyDescent="0.2">
      <c r="A339" s="4" t="s">
        <v>1509</v>
      </c>
      <c r="B339" s="5" t="s">
        <v>197</v>
      </c>
      <c r="C339" s="4">
        <v>8</v>
      </c>
      <c r="D339" s="6" t="e">
        <f t="shared" si="5"/>
        <v>#VALUE!</v>
      </c>
      <c r="E339" s="6" t="s">
        <v>225</v>
      </c>
      <c r="F339" s="7">
        <v>286</v>
      </c>
      <c r="G339" s="6" t="s">
        <v>17</v>
      </c>
      <c r="H339" s="8" t="s">
        <v>1802</v>
      </c>
      <c r="I339" s="9" t="s">
        <v>1803</v>
      </c>
      <c r="J339" s="10" t="s">
        <v>1804</v>
      </c>
      <c r="K339" s="9" t="s">
        <v>1805</v>
      </c>
      <c r="L339" s="9" t="s">
        <v>1806</v>
      </c>
      <c r="M339" s="9" t="s">
        <v>1807</v>
      </c>
      <c r="N339" s="9" t="s">
        <v>785</v>
      </c>
      <c r="O339" s="6">
        <f t="shared" si="7"/>
        <v>652.60708249813308</v>
      </c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2.75" x14ac:dyDescent="0.2">
      <c r="A340" s="4" t="s">
        <v>1509</v>
      </c>
      <c r="B340" s="5" t="s">
        <v>197</v>
      </c>
      <c r="C340" s="4">
        <v>9</v>
      </c>
      <c r="D340" s="6" t="e">
        <f t="shared" si="5"/>
        <v>#VALUE!</v>
      </c>
      <c r="E340" s="6" t="s">
        <v>229</v>
      </c>
      <c r="F340" s="7">
        <v>288</v>
      </c>
      <c r="G340" s="6" t="s">
        <v>28</v>
      </c>
      <c r="H340" s="8" t="s">
        <v>1808</v>
      </c>
      <c r="I340" s="10" t="s">
        <v>480</v>
      </c>
      <c r="J340" s="9" t="s">
        <v>106</v>
      </c>
      <c r="K340" s="9" t="s">
        <v>1809</v>
      </c>
      <c r="L340" s="9" t="s">
        <v>1810</v>
      </c>
      <c r="M340" s="9" t="s">
        <v>1811</v>
      </c>
      <c r="N340" s="9" t="s">
        <v>1812</v>
      </c>
      <c r="O340" s="6">
        <f t="shared" si="7"/>
        <v>1156</v>
      </c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2.75" x14ac:dyDescent="0.2">
      <c r="A341" s="4" t="s">
        <v>1509</v>
      </c>
      <c r="B341" s="5" t="s">
        <v>197</v>
      </c>
      <c r="C341" s="4">
        <v>10</v>
      </c>
      <c r="D341" s="6" t="e">
        <f t="shared" si="5"/>
        <v>#VALUE!</v>
      </c>
      <c r="E341" s="6" t="s">
        <v>234</v>
      </c>
      <c r="F341" s="7">
        <v>290</v>
      </c>
      <c r="G341" s="6" t="s">
        <v>28</v>
      </c>
      <c r="H341" s="8" t="s">
        <v>1813</v>
      </c>
      <c r="I341" s="10" t="s">
        <v>1814</v>
      </c>
      <c r="J341" s="9" t="s">
        <v>1815</v>
      </c>
      <c r="K341" s="9" t="s">
        <v>1816</v>
      </c>
      <c r="L341" s="9" t="s">
        <v>1817</v>
      </c>
      <c r="M341" s="9" t="s">
        <v>1818</v>
      </c>
      <c r="N341" s="9" t="s">
        <v>497</v>
      </c>
      <c r="O341" s="6">
        <f t="shared" si="7"/>
        <v>1164</v>
      </c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2.75" x14ac:dyDescent="0.2">
      <c r="A342" s="4" t="s">
        <v>1509</v>
      </c>
      <c r="B342" s="5" t="s">
        <v>240</v>
      </c>
      <c r="C342" s="4">
        <v>1</v>
      </c>
      <c r="D342" s="6" t="e">
        <f t="shared" si="5"/>
        <v>#VALUE!</v>
      </c>
      <c r="E342" s="6" t="s">
        <v>241</v>
      </c>
      <c r="F342" s="7">
        <v>292</v>
      </c>
      <c r="G342" s="6" t="s">
        <v>28</v>
      </c>
      <c r="H342" s="8" t="s">
        <v>1819</v>
      </c>
      <c r="I342" s="10" t="s">
        <v>1820</v>
      </c>
      <c r="J342" s="9" t="s">
        <v>1821</v>
      </c>
      <c r="K342" s="9" t="s">
        <v>1822</v>
      </c>
      <c r="L342" s="9" t="s">
        <v>1823</v>
      </c>
      <c r="M342" s="9" t="s">
        <v>1824</v>
      </c>
      <c r="N342" s="9" t="s">
        <v>797</v>
      </c>
      <c r="O342" s="6">
        <f t="shared" si="7"/>
        <v>1172</v>
      </c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2.75" x14ac:dyDescent="0.2">
      <c r="A343" s="4" t="s">
        <v>1509</v>
      </c>
      <c r="B343" s="5" t="s">
        <v>240</v>
      </c>
      <c r="C343" s="4">
        <v>2</v>
      </c>
      <c r="D343" s="6" t="e">
        <f t="shared" si="5"/>
        <v>#VALUE!</v>
      </c>
      <c r="E343" s="6" t="s">
        <v>245</v>
      </c>
      <c r="F343" s="7">
        <v>294</v>
      </c>
      <c r="G343" s="6" t="s">
        <v>28</v>
      </c>
      <c r="H343" s="8" t="s">
        <v>1825</v>
      </c>
      <c r="I343" s="10" t="s">
        <v>1826</v>
      </c>
      <c r="J343" s="9" t="s">
        <v>1827</v>
      </c>
      <c r="K343" s="9" t="s">
        <v>1828</v>
      </c>
      <c r="L343" s="9" t="s">
        <v>903</v>
      </c>
      <c r="M343" s="9" t="s">
        <v>1829</v>
      </c>
      <c r="N343" s="9" t="s">
        <v>1830</v>
      </c>
      <c r="O343" s="6">
        <f t="shared" si="7"/>
        <v>1180</v>
      </c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2.75" x14ac:dyDescent="0.2">
      <c r="A344" s="4" t="s">
        <v>1509</v>
      </c>
      <c r="B344" s="5" t="s">
        <v>240</v>
      </c>
      <c r="C344" s="4">
        <v>3</v>
      </c>
      <c r="D344" s="6" t="e">
        <f t="shared" si="5"/>
        <v>#VALUE!</v>
      </c>
      <c r="E344" s="6" t="s">
        <v>248</v>
      </c>
      <c r="F344" s="7">
        <v>296</v>
      </c>
      <c r="G344" s="6" t="s">
        <v>17</v>
      </c>
      <c r="H344" s="8" t="s">
        <v>1831</v>
      </c>
      <c r="I344" s="9" t="s">
        <v>1832</v>
      </c>
      <c r="J344" s="10" t="s">
        <v>1833</v>
      </c>
      <c r="K344" s="9" t="s">
        <v>1834</v>
      </c>
      <c r="L344" s="9" t="s">
        <v>1835</v>
      </c>
      <c r="M344" s="9" t="s">
        <v>1836</v>
      </c>
      <c r="N344" s="9" t="s">
        <v>1837</v>
      </c>
      <c r="O344" s="6">
        <f t="shared" si="7"/>
        <v>594</v>
      </c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2.75" x14ac:dyDescent="0.2">
      <c r="A345" s="4" t="s">
        <v>1509</v>
      </c>
      <c r="B345" s="5" t="s">
        <v>240</v>
      </c>
      <c r="C345" s="4">
        <v>4</v>
      </c>
      <c r="D345" s="6" t="e">
        <f t="shared" si="5"/>
        <v>#VALUE!</v>
      </c>
      <c r="E345" s="6" t="s">
        <v>251</v>
      </c>
      <c r="F345" s="7">
        <v>298</v>
      </c>
      <c r="G345" s="6" t="s">
        <v>21</v>
      </c>
      <c r="H345" s="11" t="s">
        <v>1838</v>
      </c>
      <c r="I345" s="9" t="s">
        <v>1839</v>
      </c>
      <c r="J345" s="9" t="s">
        <v>1840</v>
      </c>
      <c r="K345" s="9" t="s">
        <v>1841</v>
      </c>
      <c r="L345" s="9" t="s">
        <v>1842</v>
      </c>
      <c r="M345" s="9" t="s">
        <v>1843</v>
      </c>
      <c r="N345" s="9" t="s">
        <v>808</v>
      </c>
      <c r="O345" s="6">
        <f t="shared" si="7"/>
        <v>1494.9999260737784</v>
      </c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2.75" x14ac:dyDescent="0.2">
      <c r="A346" s="4" t="s">
        <v>1509</v>
      </c>
      <c r="B346" s="5" t="s">
        <v>240</v>
      </c>
      <c r="C346" s="4">
        <v>5</v>
      </c>
      <c r="D346" s="6" t="e">
        <f t="shared" si="5"/>
        <v>#VALUE!</v>
      </c>
      <c r="E346" s="6" t="s">
        <v>255</v>
      </c>
      <c r="F346" s="7">
        <v>300</v>
      </c>
      <c r="G346" s="6" t="s">
        <v>21</v>
      </c>
      <c r="H346" s="11" t="s">
        <v>1844</v>
      </c>
      <c r="I346" s="9" t="s">
        <v>1845</v>
      </c>
      <c r="J346" s="9" t="s">
        <v>149</v>
      </c>
      <c r="K346" s="9" t="s">
        <v>1846</v>
      </c>
      <c r="L346" s="9" t="s">
        <v>1847</v>
      </c>
      <c r="M346" s="9" t="s">
        <v>1848</v>
      </c>
      <c r="N346" s="9" t="s">
        <v>512</v>
      </c>
      <c r="O346" s="6">
        <f t="shared" si="7"/>
        <v>1504.9999637378976</v>
      </c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2.75" x14ac:dyDescent="0.2">
      <c r="A347" s="4" t="s">
        <v>1509</v>
      </c>
      <c r="B347" s="5" t="s">
        <v>240</v>
      </c>
      <c r="C347" s="4">
        <v>6</v>
      </c>
      <c r="D347" s="6" t="e">
        <f t="shared" si="5"/>
        <v>#VALUE!</v>
      </c>
      <c r="E347" s="6" t="s">
        <v>260</v>
      </c>
      <c r="F347" s="7">
        <v>302</v>
      </c>
      <c r="G347" s="6" t="s">
        <v>21</v>
      </c>
      <c r="H347" s="11" t="s">
        <v>1849</v>
      </c>
      <c r="I347" s="9" t="s">
        <v>1850</v>
      </c>
      <c r="J347" s="9" t="s">
        <v>1839</v>
      </c>
      <c r="K347" s="9" t="s">
        <v>1851</v>
      </c>
      <c r="L347" s="9" t="s">
        <v>1852</v>
      </c>
      <c r="M347" s="9" t="s">
        <v>1853</v>
      </c>
      <c r="N347" s="9" t="s">
        <v>880</v>
      </c>
      <c r="O347" s="6">
        <f t="shared" si="7"/>
        <v>1515</v>
      </c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2.75" x14ac:dyDescent="0.2">
      <c r="A348" s="4" t="s">
        <v>1509</v>
      </c>
      <c r="B348" s="5" t="s">
        <v>240</v>
      </c>
      <c r="C348" s="4">
        <v>7</v>
      </c>
      <c r="D348" s="6" t="e">
        <f t="shared" si="5"/>
        <v>#VALUE!</v>
      </c>
      <c r="E348" s="6" t="s">
        <v>64</v>
      </c>
      <c r="F348" s="7">
        <v>304</v>
      </c>
      <c r="G348" s="6" t="s">
        <v>17</v>
      </c>
      <c r="H348" s="8" t="s">
        <v>1854</v>
      </c>
      <c r="I348" s="9" t="s">
        <v>386</v>
      </c>
      <c r="J348" s="10" t="s">
        <v>1855</v>
      </c>
      <c r="K348" s="9" t="s">
        <v>1856</v>
      </c>
      <c r="L348" s="9" t="s">
        <v>1857</v>
      </c>
      <c r="M348" s="9" t="s">
        <v>1858</v>
      </c>
      <c r="N348" s="9" t="s">
        <v>820</v>
      </c>
      <c r="O348" s="6">
        <f t="shared" si="7"/>
        <v>610</v>
      </c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2.75" x14ac:dyDescent="0.2">
      <c r="A349" s="4" t="s">
        <v>1509</v>
      </c>
      <c r="B349" s="5" t="s">
        <v>240</v>
      </c>
      <c r="C349" s="4">
        <v>8</v>
      </c>
      <c r="D349" s="6" t="e">
        <f t="shared" si="5"/>
        <v>#VALUE!</v>
      </c>
      <c r="E349" s="6" t="s">
        <v>251</v>
      </c>
      <c r="F349" s="7">
        <v>306</v>
      </c>
      <c r="G349" s="6" t="s">
        <v>21</v>
      </c>
      <c r="H349" s="11" t="s">
        <v>1859</v>
      </c>
      <c r="I349" s="9" t="s">
        <v>1860</v>
      </c>
      <c r="J349" s="9" t="s">
        <v>1861</v>
      </c>
      <c r="K349" s="9" t="s">
        <v>1862</v>
      </c>
      <c r="L349" s="9" t="s">
        <v>1863</v>
      </c>
      <c r="M349" s="9" t="s">
        <v>1864</v>
      </c>
      <c r="N349" s="9" t="s">
        <v>1865</v>
      </c>
      <c r="O349" s="6">
        <f t="shared" si="7"/>
        <v>1535</v>
      </c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2.75" x14ac:dyDescent="0.2">
      <c r="A350" s="4" t="s">
        <v>1509</v>
      </c>
      <c r="B350" s="5" t="s">
        <v>240</v>
      </c>
      <c r="C350" s="4">
        <v>9</v>
      </c>
      <c r="D350" s="6" t="e">
        <f t="shared" si="5"/>
        <v>#VALUE!</v>
      </c>
      <c r="E350" s="6" t="s">
        <v>270</v>
      </c>
      <c r="F350" s="7">
        <v>308</v>
      </c>
      <c r="G350" s="6" t="s">
        <v>21</v>
      </c>
      <c r="H350" s="11" t="s">
        <v>1866</v>
      </c>
      <c r="I350" s="9" t="s">
        <v>1867</v>
      </c>
      <c r="J350" s="9" t="s">
        <v>1868</v>
      </c>
      <c r="K350" s="9" t="s">
        <v>1869</v>
      </c>
      <c r="L350" s="9" t="s">
        <v>1870</v>
      </c>
      <c r="M350" s="9" t="s">
        <v>1871</v>
      </c>
      <c r="N350" s="9" t="s">
        <v>1872</v>
      </c>
      <c r="O350" s="6">
        <f t="shared" si="7"/>
        <v>1544.9999306566813</v>
      </c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2.75" x14ac:dyDescent="0.2">
      <c r="A351" s="4" t="s">
        <v>1509</v>
      </c>
      <c r="B351" s="5" t="s">
        <v>240</v>
      </c>
      <c r="C351" s="4">
        <v>10</v>
      </c>
      <c r="D351" s="6" t="e">
        <f t="shared" si="5"/>
        <v>#VALUE!</v>
      </c>
      <c r="E351" s="6" t="s">
        <v>274</v>
      </c>
      <c r="F351" s="7">
        <v>310</v>
      </c>
      <c r="G351" s="6" t="s">
        <v>21</v>
      </c>
      <c r="H351" s="11" t="s">
        <v>1855</v>
      </c>
      <c r="I351" s="9" t="s">
        <v>1873</v>
      </c>
      <c r="J351" s="9" t="s">
        <v>1874</v>
      </c>
      <c r="K351" s="9" t="s">
        <v>1875</v>
      </c>
      <c r="L351" s="9" t="s">
        <v>1876</v>
      </c>
      <c r="M351" s="9" t="s">
        <v>1877</v>
      </c>
      <c r="N351" s="9" t="s">
        <v>528</v>
      </c>
      <c r="O351" s="6">
        <f t="shared" si="7"/>
        <v>1555</v>
      </c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2.75" x14ac:dyDescent="0.2">
      <c r="A352" s="4" t="s">
        <v>1509</v>
      </c>
      <c r="B352" s="5" t="s">
        <v>281</v>
      </c>
      <c r="C352" s="4">
        <v>1</v>
      </c>
      <c r="D352" s="6" t="e">
        <f t="shared" si="5"/>
        <v>#VALUE!</v>
      </c>
      <c r="E352" s="6" t="s">
        <v>53</v>
      </c>
      <c r="F352" s="7">
        <v>312</v>
      </c>
      <c r="G352" s="6" t="s">
        <v>21</v>
      </c>
      <c r="H352" s="11" t="s">
        <v>1878</v>
      </c>
      <c r="I352" s="9" t="s">
        <v>1879</v>
      </c>
      <c r="J352" s="9" t="s">
        <v>1880</v>
      </c>
      <c r="K352" s="9" t="s">
        <v>1881</v>
      </c>
      <c r="L352" s="9" t="s">
        <v>1882</v>
      </c>
      <c r="M352" s="9" t="s">
        <v>1883</v>
      </c>
      <c r="N352" s="9" t="s">
        <v>1884</v>
      </c>
      <c r="O352" s="6">
        <f t="shared" si="7"/>
        <v>1565</v>
      </c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2.75" x14ac:dyDescent="0.2">
      <c r="A353" s="4" t="s">
        <v>1509</v>
      </c>
      <c r="B353" s="5" t="s">
        <v>281</v>
      </c>
      <c r="C353" s="4">
        <v>2</v>
      </c>
      <c r="D353" s="6" t="e">
        <f t="shared" si="5"/>
        <v>#VALUE!</v>
      </c>
      <c r="E353" s="6" t="s">
        <v>284</v>
      </c>
      <c r="F353" s="7">
        <v>314</v>
      </c>
      <c r="G353" s="6" t="s">
        <v>28</v>
      </c>
      <c r="H353" s="8" t="s">
        <v>1885</v>
      </c>
      <c r="I353" s="10" t="s">
        <v>1886</v>
      </c>
      <c r="J353" s="9" t="s">
        <v>137</v>
      </c>
      <c r="K353" s="9" t="s">
        <v>1887</v>
      </c>
      <c r="L353" s="9" t="s">
        <v>1888</v>
      </c>
      <c r="M353" s="9" t="s">
        <v>1889</v>
      </c>
      <c r="N353" s="9" t="s">
        <v>1890</v>
      </c>
      <c r="O353" s="6">
        <f t="shared" si="7"/>
        <v>1260</v>
      </c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2.75" x14ac:dyDescent="0.2">
      <c r="A354" s="4" t="s">
        <v>1509</v>
      </c>
      <c r="B354" s="5" t="s">
        <v>281</v>
      </c>
      <c r="C354" s="4">
        <v>3</v>
      </c>
      <c r="D354" s="6" t="e">
        <f t="shared" si="5"/>
        <v>#VALUE!</v>
      </c>
      <c r="E354" s="6" t="s">
        <v>287</v>
      </c>
      <c r="F354" s="7">
        <v>316</v>
      </c>
      <c r="G354" s="6" t="s">
        <v>21</v>
      </c>
      <c r="H354" s="11" t="s">
        <v>1891</v>
      </c>
      <c r="I354" s="9" t="s">
        <v>1892</v>
      </c>
      <c r="J354" s="9" t="s">
        <v>1893</v>
      </c>
      <c r="K354" s="9" t="s">
        <v>1894</v>
      </c>
      <c r="L354" s="9" t="s">
        <v>1895</v>
      </c>
      <c r="M354" s="9" t="s">
        <v>1896</v>
      </c>
      <c r="N354" s="9" t="s">
        <v>1030</v>
      </c>
      <c r="O354" s="6">
        <f t="shared" si="7"/>
        <v>1584.9999328723904</v>
      </c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2.75" x14ac:dyDescent="0.2">
      <c r="A355" s="4" t="s">
        <v>1509</v>
      </c>
      <c r="B355" s="5" t="s">
        <v>281</v>
      </c>
      <c r="C355" s="4">
        <v>4</v>
      </c>
      <c r="D355" s="6" t="e">
        <f t="shared" si="5"/>
        <v>#VALUE!</v>
      </c>
      <c r="E355" s="6" t="s">
        <v>292</v>
      </c>
      <c r="F355" s="7">
        <v>318</v>
      </c>
      <c r="G355" s="6" t="s">
        <v>28</v>
      </c>
      <c r="H355" s="8" t="s">
        <v>1897</v>
      </c>
      <c r="I355" s="10" t="s">
        <v>1898</v>
      </c>
      <c r="J355" s="9" t="s">
        <v>1863</v>
      </c>
      <c r="K355" s="9" t="s">
        <v>1899</v>
      </c>
      <c r="L355" s="9" t="s">
        <v>1900</v>
      </c>
      <c r="M355" s="9" t="s">
        <v>1901</v>
      </c>
      <c r="N355" s="9" t="s">
        <v>1902</v>
      </c>
      <c r="O355" s="6">
        <f t="shared" si="7"/>
        <v>1276</v>
      </c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2.75" x14ac:dyDescent="0.2">
      <c r="A356" s="4" t="s">
        <v>1509</v>
      </c>
      <c r="B356" s="5" t="s">
        <v>281</v>
      </c>
      <c r="C356" s="4">
        <v>5</v>
      </c>
      <c r="D356" s="6" t="e">
        <f t="shared" si="5"/>
        <v>#VALUE!</v>
      </c>
      <c r="E356" s="6" t="s">
        <v>296</v>
      </c>
      <c r="F356" s="7">
        <v>320</v>
      </c>
      <c r="G356" s="6" t="s">
        <v>28</v>
      </c>
      <c r="H356" s="8" t="s">
        <v>1903</v>
      </c>
      <c r="I356" s="10" t="s">
        <v>1904</v>
      </c>
      <c r="J356" s="9" t="s">
        <v>1905</v>
      </c>
      <c r="K356" s="9" t="s">
        <v>1906</v>
      </c>
      <c r="L356" s="9" t="s">
        <v>1907</v>
      </c>
      <c r="M356" s="9" t="s">
        <v>1908</v>
      </c>
      <c r="N356" s="9" t="s">
        <v>542</v>
      </c>
      <c r="O356" s="6">
        <f t="shared" si="7"/>
        <v>1284</v>
      </c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2.75" x14ac:dyDescent="0.2">
      <c r="A357" s="4" t="s">
        <v>1509</v>
      </c>
      <c r="B357" s="5" t="s">
        <v>281</v>
      </c>
      <c r="C357" s="4">
        <v>6</v>
      </c>
      <c r="D357" s="6" t="e">
        <f t="shared" si="5"/>
        <v>#VALUE!</v>
      </c>
      <c r="E357" s="6" t="s">
        <v>301</v>
      </c>
      <c r="F357" s="7">
        <v>322</v>
      </c>
      <c r="G357" s="6" t="s">
        <v>17</v>
      </c>
      <c r="H357" s="8" t="s">
        <v>1909</v>
      </c>
      <c r="I357" s="9" t="s">
        <v>1760</v>
      </c>
      <c r="J357" s="10" t="s">
        <v>1910</v>
      </c>
      <c r="K357" s="9" t="s">
        <v>1911</v>
      </c>
      <c r="L357" s="9" t="s">
        <v>1912</v>
      </c>
      <c r="M357" s="9" t="s">
        <v>1913</v>
      </c>
      <c r="N357" s="9" t="s">
        <v>1041</v>
      </c>
      <c r="O357" s="6">
        <f t="shared" si="7"/>
        <v>646</v>
      </c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2.75" x14ac:dyDescent="0.2">
      <c r="A358" s="4" t="s">
        <v>1509</v>
      </c>
      <c r="B358" s="5" t="s">
        <v>281</v>
      </c>
      <c r="C358" s="4">
        <v>7</v>
      </c>
      <c r="D358" s="6" t="e">
        <f t="shared" si="5"/>
        <v>#VALUE!</v>
      </c>
      <c r="E358" s="6" t="s">
        <v>306</v>
      </c>
      <c r="F358" s="7">
        <v>324</v>
      </c>
      <c r="G358" s="6" t="s">
        <v>21</v>
      </c>
      <c r="H358" s="11" t="s">
        <v>1914</v>
      </c>
      <c r="I358" s="9" t="s">
        <v>1915</v>
      </c>
      <c r="J358" s="9" t="s">
        <v>1916</v>
      </c>
      <c r="K358" s="9" t="s">
        <v>1917</v>
      </c>
      <c r="L358" s="9" t="s">
        <v>1918</v>
      </c>
      <c r="M358" s="9" t="s">
        <v>1919</v>
      </c>
      <c r="N358" s="9" t="s">
        <v>1920</v>
      </c>
      <c r="O358" s="6">
        <f t="shared" si="7"/>
        <v>1625</v>
      </c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2.75" x14ac:dyDescent="0.2">
      <c r="A359" s="4" t="s">
        <v>1509</v>
      </c>
      <c r="B359" s="5" t="s">
        <v>281</v>
      </c>
      <c r="C359" s="4">
        <v>8</v>
      </c>
      <c r="D359" s="6" t="e">
        <f t="shared" si="5"/>
        <v>#VALUE!</v>
      </c>
      <c r="E359" s="6" t="s">
        <v>311</v>
      </c>
      <c r="F359" s="7">
        <v>326</v>
      </c>
      <c r="G359" s="6" t="s">
        <v>28</v>
      </c>
      <c r="H359" s="8" t="s">
        <v>544</v>
      </c>
      <c r="I359" s="10" t="s">
        <v>1921</v>
      </c>
      <c r="J359" s="9" t="s">
        <v>1922</v>
      </c>
      <c r="K359" s="9" t="s">
        <v>1923</v>
      </c>
      <c r="L359" s="9" t="s">
        <v>1924</v>
      </c>
      <c r="M359" s="9" t="s">
        <v>1925</v>
      </c>
      <c r="N359" s="9" t="s">
        <v>1926</v>
      </c>
      <c r="O359" s="6">
        <f t="shared" si="7"/>
        <v>1308</v>
      </c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2.75" x14ac:dyDescent="0.2">
      <c r="A360" s="4" t="s">
        <v>1509</v>
      </c>
      <c r="B360" s="5" t="s">
        <v>281</v>
      </c>
      <c r="C360" s="4">
        <v>9</v>
      </c>
      <c r="D360" s="6" t="e">
        <f t="shared" si="5"/>
        <v>#VALUE!</v>
      </c>
      <c r="E360" s="6" t="s">
        <v>317</v>
      </c>
      <c r="F360" s="7">
        <v>328</v>
      </c>
      <c r="G360" s="6" t="s">
        <v>17</v>
      </c>
      <c r="H360" s="8" t="s">
        <v>1927</v>
      </c>
      <c r="I360" s="9" t="s">
        <v>1928</v>
      </c>
      <c r="J360" s="10" t="s">
        <v>1929</v>
      </c>
      <c r="K360" s="9" t="s">
        <v>1930</v>
      </c>
      <c r="L360" s="9" t="s">
        <v>1931</v>
      </c>
      <c r="M360" s="9" t="s">
        <v>1932</v>
      </c>
      <c r="N360" s="9" t="s">
        <v>1052</v>
      </c>
      <c r="O360" s="6">
        <f t="shared" si="7"/>
        <v>658</v>
      </c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2.75" x14ac:dyDescent="0.2">
      <c r="A361" s="4" t="s">
        <v>1509</v>
      </c>
      <c r="B361" s="5" t="s">
        <v>281</v>
      </c>
      <c r="C361" s="4">
        <v>10</v>
      </c>
      <c r="D361" s="6" t="e">
        <f t="shared" si="5"/>
        <v>#VALUE!</v>
      </c>
      <c r="E361" s="6" t="s">
        <v>323</v>
      </c>
      <c r="F361" s="7">
        <v>330</v>
      </c>
      <c r="G361" s="6" t="s">
        <v>17</v>
      </c>
      <c r="H361" s="8" t="s">
        <v>1933</v>
      </c>
      <c r="I361" s="9" t="s">
        <v>150</v>
      </c>
      <c r="J361" s="10" t="s">
        <v>1934</v>
      </c>
      <c r="K361" s="9" t="s">
        <v>1935</v>
      </c>
      <c r="L361" s="9" t="s">
        <v>1936</v>
      </c>
      <c r="M361" s="9" t="s">
        <v>1937</v>
      </c>
      <c r="N361" s="9" t="s">
        <v>557</v>
      </c>
      <c r="O361" s="6">
        <f t="shared" si="7"/>
        <v>662</v>
      </c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2.75" x14ac:dyDescent="0.2">
      <c r="A362" s="4" t="s">
        <v>1509</v>
      </c>
      <c r="B362" s="5" t="s">
        <v>329</v>
      </c>
      <c r="C362" s="4">
        <v>1</v>
      </c>
      <c r="D362" s="6" t="e">
        <f t="shared" si="5"/>
        <v>#VALUE!</v>
      </c>
      <c r="E362" s="6" t="s">
        <v>330</v>
      </c>
      <c r="F362" s="7">
        <v>332</v>
      </c>
      <c r="G362" s="6" t="s">
        <v>21</v>
      </c>
      <c r="H362" s="11" t="s">
        <v>1938</v>
      </c>
      <c r="I362" s="9" t="s">
        <v>1939</v>
      </c>
      <c r="J362" s="9" t="s">
        <v>1940</v>
      </c>
      <c r="K362" s="9" t="s">
        <v>1941</v>
      </c>
      <c r="L362" s="9" t="s">
        <v>1942</v>
      </c>
      <c r="M362" s="9" t="s">
        <v>1943</v>
      </c>
      <c r="N362" s="9" t="s">
        <v>1191</v>
      </c>
      <c r="O362" s="6">
        <f t="shared" si="7"/>
        <v>1664.9999679784814</v>
      </c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2.75" x14ac:dyDescent="0.2">
      <c r="A363" s="4" t="s">
        <v>1509</v>
      </c>
      <c r="B363" s="5" t="s">
        <v>329</v>
      </c>
      <c r="C363" s="4">
        <v>2</v>
      </c>
      <c r="D363" s="6" t="e">
        <f t="shared" si="5"/>
        <v>#VALUE!</v>
      </c>
      <c r="E363" s="6" t="s">
        <v>334</v>
      </c>
      <c r="F363" s="7">
        <v>334</v>
      </c>
      <c r="G363" s="6" t="s">
        <v>17</v>
      </c>
      <c r="H363" s="8" t="s">
        <v>1724</v>
      </c>
      <c r="I363" s="9" t="s">
        <v>421</v>
      </c>
      <c r="J363" s="10" t="s">
        <v>1944</v>
      </c>
      <c r="K363" s="9" t="s">
        <v>1945</v>
      </c>
      <c r="L363" s="9" t="s">
        <v>1946</v>
      </c>
      <c r="M363" s="9" t="s">
        <v>1947</v>
      </c>
      <c r="N363" s="9" t="s">
        <v>1064</v>
      </c>
      <c r="O363" s="6">
        <f t="shared" si="7"/>
        <v>670</v>
      </c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2.75" x14ac:dyDescent="0.2">
      <c r="A364" s="4" t="s">
        <v>1509</v>
      </c>
      <c r="B364" s="5" t="s">
        <v>329</v>
      </c>
      <c r="C364" s="4">
        <v>3</v>
      </c>
      <c r="D364" s="6" t="e">
        <f t="shared" si="5"/>
        <v>#VALUE!</v>
      </c>
      <c r="E364" s="6" t="s">
        <v>296</v>
      </c>
      <c r="F364" s="7">
        <v>336</v>
      </c>
      <c r="G364" s="6" t="s">
        <v>28</v>
      </c>
      <c r="H364" s="8" t="s">
        <v>1948</v>
      </c>
      <c r="I364" s="10" t="s">
        <v>1949</v>
      </c>
      <c r="J364" s="9" t="s">
        <v>1950</v>
      </c>
      <c r="K364" s="9" t="s">
        <v>1951</v>
      </c>
      <c r="L364" s="9" t="s">
        <v>1952</v>
      </c>
      <c r="M364" s="9" t="s">
        <v>1953</v>
      </c>
      <c r="N364" s="9" t="s">
        <v>1954</v>
      </c>
      <c r="O364" s="6">
        <f t="shared" si="7"/>
        <v>1348</v>
      </c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2.75" x14ac:dyDescent="0.2">
      <c r="A365" s="4" t="s">
        <v>1509</v>
      </c>
      <c r="B365" s="5" t="s">
        <v>329</v>
      </c>
      <c r="C365" s="4">
        <v>4</v>
      </c>
      <c r="D365" s="6" t="e">
        <f t="shared" si="5"/>
        <v>#VALUE!</v>
      </c>
      <c r="E365" s="6" t="s">
        <v>341</v>
      </c>
      <c r="F365" s="7">
        <v>338</v>
      </c>
      <c r="G365" s="6" t="s">
        <v>21</v>
      </c>
      <c r="H365" s="11" t="s">
        <v>1955</v>
      </c>
      <c r="I365" s="9" t="s">
        <v>1956</v>
      </c>
      <c r="J365" s="9" t="s">
        <v>970</v>
      </c>
      <c r="K365" s="9" t="s">
        <v>1957</v>
      </c>
      <c r="L365" s="9" t="s">
        <v>1958</v>
      </c>
      <c r="M365" s="9" t="s">
        <v>1959</v>
      </c>
      <c r="N365" s="9" t="s">
        <v>1960</v>
      </c>
      <c r="O365" s="6">
        <f t="shared" si="7"/>
        <v>1694.9999377451286</v>
      </c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2.75" x14ac:dyDescent="0.2">
      <c r="A366" s="4" t="s">
        <v>1509</v>
      </c>
      <c r="B366" s="5" t="s">
        <v>329</v>
      </c>
      <c r="C366" s="4">
        <v>5</v>
      </c>
      <c r="D366" s="6" t="e">
        <f t="shared" si="5"/>
        <v>#VALUE!</v>
      </c>
      <c r="E366" s="6" t="s">
        <v>16</v>
      </c>
      <c r="F366" s="7">
        <v>340</v>
      </c>
      <c r="G366" s="6" t="s">
        <v>17</v>
      </c>
      <c r="H366" s="8" t="s">
        <v>1961</v>
      </c>
      <c r="I366" s="9" t="s">
        <v>1942</v>
      </c>
      <c r="J366" s="10" t="s">
        <v>1962</v>
      </c>
      <c r="K366" s="9" t="s">
        <v>1963</v>
      </c>
      <c r="L366" s="9" t="s">
        <v>1964</v>
      </c>
      <c r="M366" s="9" t="s">
        <v>1965</v>
      </c>
      <c r="N366" s="9" t="s">
        <v>571</v>
      </c>
      <c r="O366" s="6">
        <f t="shared" si="7"/>
        <v>682</v>
      </c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2.75" x14ac:dyDescent="0.2">
      <c r="A367" s="4" t="s">
        <v>1509</v>
      </c>
      <c r="B367" s="5" t="s">
        <v>329</v>
      </c>
      <c r="C367" s="4">
        <v>6</v>
      </c>
      <c r="D367" s="6" t="e">
        <f t="shared" si="5"/>
        <v>#VALUE!</v>
      </c>
      <c r="E367" s="6" t="s">
        <v>349</v>
      </c>
      <c r="F367" s="7">
        <v>342</v>
      </c>
      <c r="G367" s="6" t="s">
        <v>21</v>
      </c>
      <c r="H367" s="11" t="s">
        <v>1966</v>
      </c>
      <c r="I367" s="9" t="s">
        <v>1967</v>
      </c>
      <c r="J367" s="9" t="s">
        <v>257</v>
      </c>
      <c r="K367" s="9" t="s">
        <v>1968</v>
      </c>
      <c r="L367" s="9" t="s">
        <v>1969</v>
      </c>
      <c r="M367" s="9" t="s">
        <v>1970</v>
      </c>
      <c r="N367" s="9" t="s">
        <v>1971</v>
      </c>
      <c r="O367" s="6">
        <f t="shared" si="7"/>
        <v>1714.9999391394315</v>
      </c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2.75" x14ac:dyDescent="0.2">
      <c r="A368" s="4" t="s">
        <v>1509</v>
      </c>
      <c r="B368" s="5" t="s">
        <v>329</v>
      </c>
      <c r="C368" s="4">
        <v>7</v>
      </c>
      <c r="D368" s="6" t="e">
        <f t="shared" si="5"/>
        <v>#VALUE!</v>
      </c>
      <c r="E368" s="6" t="s">
        <v>354</v>
      </c>
      <c r="F368" s="7">
        <v>344</v>
      </c>
      <c r="G368" s="6" t="s">
        <v>28</v>
      </c>
      <c r="H368" s="8" t="s">
        <v>1972</v>
      </c>
      <c r="I368" s="10" t="s">
        <v>1973</v>
      </c>
      <c r="J368" s="9" t="s">
        <v>1974</v>
      </c>
      <c r="K368" s="9" t="s">
        <v>1975</v>
      </c>
      <c r="L368" s="9" t="s">
        <v>1976</v>
      </c>
      <c r="M368" s="9" t="s">
        <v>1977</v>
      </c>
      <c r="N368" s="9" t="s">
        <v>1978</v>
      </c>
      <c r="O368" s="6">
        <f t="shared" si="7"/>
        <v>1380</v>
      </c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2.75" x14ac:dyDescent="0.2">
      <c r="A369" s="4" t="s">
        <v>1509</v>
      </c>
      <c r="B369" s="5" t="s">
        <v>329</v>
      </c>
      <c r="C369" s="4">
        <v>8</v>
      </c>
      <c r="D369" s="6" t="e">
        <f t="shared" si="5"/>
        <v>#VALUE!</v>
      </c>
      <c r="E369" s="6" t="s">
        <v>359</v>
      </c>
      <c r="F369" s="7">
        <v>346</v>
      </c>
      <c r="G369" s="6" t="s">
        <v>28</v>
      </c>
      <c r="H369" s="8" t="s">
        <v>1979</v>
      </c>
      <c r="I369" s="10" t="s">
        <v>1980</v>
      </c>
      <c r="J369" s="9" t="s">
        <v>1981</v>
      </c>
      <c r="K369" s="9" t="s">
        <v>1982</v>
      </c>
      <c r="L369" s="9" t="s">
        <v>1983</v>
      </c>
      <c r="M369" s="9" t="s">
        <v>1984</v>
      </c>
      <c r="N369" s="9" t="s">
        <v>1985</v>
      </c>
      <c r="O369" s="6">
        <f t="shared" si="7"/>
        <v>1388</v>
      </c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2.75" x14ac:dyDescent="0.2">
      <c r="A370" s="4" t="s">
        <v>1509</v>
      </c>
      <c r="B370" s="5" t="s">
        <v>329</v>
      </c>
      <c r="C370" s="4">
        <v>9</v>
      </c>
      <c r="D370" s="6" t="e">
        <f t="shared" si="5"/>
        <v>#VALUE!</v>
      </c>
      <c r="E370" s="6" t="s">
        <v>34</v>
      </c>
      <c r="F370" s="7">
        <v>348</v>
      </c>
      <c r="G370" s="6" t="s">
        <v>17</v>
      </c>
      <c r="H370" s="8" t="s">
        <v>1986</v>
      </c>
      <c r="I370" s="9" t="s">
        <v>1987</v>
      </c>
      <c r="J370" s="10" t="s">
        <v>1988</v>
      </c>
      <c r="K370" s="9" t="s">
        <v>1989</v>
      </c>
      <c r="L370" s="9" t="s">
        <v>1990</v>
      </c>
      <c r="M370" s="9" t="s">
        <v>1991</v>
      </c>
      <c r="N370" s="9" t="s">
        <v>1297</v>
      </c>
      <c r="O370" s="6">
        <f t="shared" si="7"/>
        <v>698</v>
      </c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2.75" x14ac:dyDescent="0.2">
      <c r="A371" s="4" t="s">
        <v>1509</v>
      </c>
      <c r="B371" s="5" t="s">
        <v>329</v>
      </c>
      <c r="C371" s="4">
        <v>10</v>
      </c>
      <c r="D371" s="6" t="e">
        <f t="shared" si="5"/>
        <v>#VALUE!</v>
      </c>
      <c r="E371" s="6" t="s">
        <v>368</v>
      </c>
      <c r="F371" s="7">
        <v>350</v>
      </c>
      <c r="G371" s="6" t="s">
        <v>368</v>
      </c>
      <c r="H371" s="8">
        <v>1</v>
      </c>
      <c r="I371" s="9">
        <v>1</v>
      </c>
      <c r="J371" s="9">
        <v>1</v>
      </c>
      <c r="K371" s="9">
        <v>4</v>
      </c>
      <c r="L371" s="9">
        <v>1</v>
      </c>
      <c r="M371" s="9">
        <v>1</v>
      </c>
      <c r="N371" s="9" t="s">
        <v>585</v>
      </c>
      <c r="O371" s="6">
        <f t="shared" si="7"/>
        <v>0.25</v>
      </c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2.75" x14ac:dyDescent="0.2">
      <c r="A372" s="4" t="s">
        <v>1509</v>
      </c>
      <c r="B372" s="5" t="s">
        <v>369</v>
      </c>
      <c r="C372" s="4">
        <v>1</v>
      </c>
      <c r="D372" s="6" t="e">
        <f t="shared" si="5"/>
        <v>#VALUE!</v>
      </c>
      <c r="E372" s="6" t="s">
        <v>370</v>
      </c>
      <c r="F372" s="7">
        <v>352</v>
      </c>
      <c r="G372" s="6" t="s">
        <v>28</v>
      </c>
      <c r="H372" s="8" t="s">
        <v>1992</v>
      </c>
      <c r="I372" s="10" t="s">
        <v>1993</v>
      </c>
      <c r="J372" s="9" t="s">
        <v>1994</v>
      </c>
      <c r="K372" s="9" t="s">
        <v>1995</v>
      </c>
      <c r="L372" s="9" t="s">
        <v>1996</v>
      </c>
      <c r="M372" s="9" t="s">
        <v>1997</v>
      </c>
      <c r="N372" s="9" t="s">
        <v>1998</v>
      </c>
      <c r="O372" s="6">
        <f t="shared" si="7"/>
        <v>1412</v>
      </c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2.75" x14ac:dyDescent="0.2">
      <c r="A373" s="4" t="s">
        <v>1509</v>
      </c>
      <c r="B373" s="5" t="s">
        <v>369</v>
      </c>
      <c r="C373" s="4">
        <v>2</v>
      </c>
      <c r="D373" s="6" t="e">
        <f t="shared" si="5"/>
        <v>#VALUE!</v>
      </c>
      <c r="E373" s="6" t="s">
        <v>376</v>
      </c>
      <c r="F373" s="7">
        <v>354</v>
      </c>
      <c r="G373" s="6" t="s">
        <v>21</v>
      </c>
      <c r="H373" s="11" t="s">
        <v>1999</v>
      </c>
      <c r="I373" s="9" t="s">
        <v>2000</v>
      </c>
      <c r="J373" s="9" t="s">
        <v>2001</v>
      </c>
      <c r="K373" s="9" t="s">
        <v>2002</v>
      </c>
      <c r="L373" s="9" t="s">
        <v>1747</v>
      </c>
      <c r="M373" s="9" t="s">
        <v>2003</v>
      </c>
      <c r="N373" s="9" t="s">
        <v>2004</v>
      </c>
      <c r="O373" s="6">
        <f t="shared" si="7"/>
        <v>1774.9999713130039</v>
      </c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2.75" x14ac:dyDescent="0.2">
      <c r="A374" s="4" t="s">
        <v>1509</v>
      </c>
      <c r="B374" s="5" t="s">
        <v>369</v>
      </c>
      <c r="C374" s="4">
        <v>3</v>
      </c>
      <c r="D374" s="6" t="e">
        <f t="shared" si="5"/>
        <v>#VALUE!</v>
      </c>
      <c r="E374" s="6" t="s">
        <v>384</v>
      </c>
      <c r="F374" s="7">
        <v>356</v>
      </c>
      <c r="G374" s="6" t="s">
        <v>21</v>
      </c>
      <c r="H374" s="11" t="s">
        <v>2005</v>
      </c>
      <c r="I374" s="9" t="s">
        <v>2006</v>
      </c>
      <c r="J374" s="9" t="s">
        <v>2007</v>
      </c>
      <c r="K374" s="9" t="s">
        <v>2008</v>
      </c>
      <c r="L374" s="9" t="s">
        <v>2009</v>
      </c>
      <c r="M374" s="9" t="s">
        <v>2010</v>
      </c>
      <c r="N374" s="9" t="s">
        <v>2011</v>
      </c>
      <c r="O374" s="6">
        <f t="shared" si="7"/>
        <v>1785.0000568990042</v>
      </c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2.75" x14ac:dyDescent="0.2">
      <c r="A375" s="4" t="s">
        <v>1509</v>
      </c>
      <c r="B375" s="5" t="s">
        <v>369</v>
      </c>
      <c r="C375" s="4">
        <v>4</v>
      </c>
      <c r="D375" s="6" t="e">
        <f t="shared" si="5"/>
        <v>#VALUE!</v>
      </c>
      <c r="E375" s="6" t="s">
        <v>392</v>
      </c>
      <c r="F375" s="7">
        <v>358</v>
      </c>
      <c r="G375" s="6" t="s">
        <v>21</v>
      </c>
      <c r="H375" s="11" t="s">
        <v>2012</v>
      </c>
      <c r="I375" s="9" t="s">
        <v>2013</v>
      </c>
      <c r="J375" s="9" t="s">
        <v>2014</v>
      </c>
      <c r="K375" s="9" t="s">
        <v>2015</v>
      </c>
      <c r="L375" s="9" t="s">
        <v>1992</v>
      </c>
      <c r="M375" s="9" t="s">
        <v>2016</v>
      </c>
      <c r="N375" s="9" t="s">
        <v>2017</v>
      </c>
      <c r="O375" s="6">
        <f t="shared" si="7"/>
        <v>1795.000056430224</v>
      </c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2.75" x14ac:dyDescent="0.2">
      <c r="A376" s="4" t="s">
        <v>1509</v>
      </c>
      <c r="B376" s="5" t="s">
        <v>369</v>
      </c>
      <c r="C376" s="4">
        <v>5</v>
      </c>
      <c r="D376" s="6" t="e">
        <f t="shared" si="5"/>
        <v>#VALUE!</v>
      </c>
      <c r="E376" s="6" t="s">
        <v>399</v>
      </c>
      <c r="F376" s="7">
        <v>360</v>
      </c>
      <c r="G376" s="6" t="s">
        <v>28</v>
      </c>
      <c r="H376" s="8" t="s">
        <v>2018</v>
      </c>
      <c r="I376" s="10" t="s">
        <v>2019</v>
      </c>
      <c r="J376" s="9" t="s">
        <v>2020</v>
      </c>
      <c r="K376" s="9" t="s">
        <v>2021</v>
      </c>
      <c r="L376" s="9" t="s">
        <v>2022</v>
      </c>
      <c r="M376" s="9" t="s">
        <v>2023</v>
      </c>
      <c r="N376" s="9" t="s">
        <v>706</v>
      </c>
      <c r="O376" s="6">
        <f t="shared" si="7"/>
        <v>1444</v>
      </c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2.75" x14ac:dyDescent="0.2">
      <c r="A377" s="4" t="s">
        <v>1509</v>
      </c>
      <c r="B377" s="5" t="s">
        <v>369</v>
      </c>
      <c r="C377" s="4">
        <v>6</v>
      </c>
      <c r="D377" s="6" t="e">
        <f t="shared" si="5"/>
        <v>#VALUE!</v>
      </c>
      <c r="E377" s="6" t="s">
        <v>407</v>
      </c>
      <c r="F377" s="7">
        <v>362</v>
      </c>
      <c r="G377" s="6" t="s">
        <v>28</v>
      </c>
      <c r="H377" s="8" t="s">
        <v>916</v>
      </c>
      <c r="I377" s="10" t="s">
        <v>2024</v>
      </c>
      <c r="J377" s="9" t="s">
        <v>2025</v>
      </c>
      <c r="K377" s="9" t="s">
        <v>2026</v>
      </c>
      <c r="L377" s="9" t="s">
        <v>2027</v>
      </c>
      <c r="M377" s="9" t="s">
        <v>2028</v>
      </c>
      <c r="N377" s="9" t="s">
        <v>1220</v>
      </c>
      <c r="O377" s="6">
        <f t="shared" si="7"/>
        <v>1452</v>
      </c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2.75" x14ac:dyDescent="0.2">
      <c r="A378" s="4" t="s">
        <v>1509</v>
      </c>
      <c r="B378" s="5" t="s">
        <v>369</v>
      </c>
      <c r="C378" s="4">
        <v>7</v>
      </c>
      <c r="D378" s="6" t="e">
        <f t="shared" si="5"/>
        <v>#VALUE!</v>
      </c>
      <c r="E378" s="6" t="s">
        <v>180</v>
      </c>
      <c r="F378" s="7">
        <v>364</v>
      </c>
      <c r="G378" s="6" t="s">
        <v>17</v>
      </c>
      <c r="H378" s="8" t="s">
        <v>2029</v>
      </c>
      <c r="I378" s="9" t="s">
        <v>2030</v>
      </c>
      <c r="J378" s="10" t="s">
        <v>2031</v>
      </c>
      <c r="K378" s="9" t="s">
        <v>2032</v>
      </c>
      <c r="L378" s="9" t="s">
        <v>2033</v>
      </c>
      <c r="M378" s="9" t="s">
        <v>2034</v>
      </c>
      <c r="N378" s="9" t="s">
        <v>2035</v>
      </c>
      <c r="O378" s="6">
        <f t="shared" si="7"/>
        <v>730</v>
      </c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2.75" x14ac:dyDescent="0.2">
      <c r="A379" s="4" t="s">
        <v>1509</v>
      </c>
      <c r="B379" s="5" t="s">
        <v>369</v>
      </c>
      <c r="C379" s="4">
        <v>8</v>
      </c>
      <c r="D379" s="6" t="e">
        <f t="shared" si="5"/>
        <v>#VALUE!</v>
      </c>
      <c r="E379" s="6" t="s">
        <v>384</v>
      </c>
      <c r="F379" s="7">
        <v>366</v>
      </c>
      <c r="G379" s="6" t="s">
        <v>21</v>
      </c>
      <c r="H379" s="11" t="s">
        <v>2036</v>
      </c>
      <c r="I379" s="9" t="s">
        <v>2037</v>
      </c>
      <c r="J379" s="9" t="s">
        <v>2038</v>
      </c>
      <c r="K379" s="9" t="s">
        <v>2039</v>
      </c>
      <c r="L379" s="9" t="s">
        <v>2040</v>
      </c>
      <c r="M379" s="9" t="s">
        <v>2041</v>
      </c>
      <c r="N379" s="9" t="s">
        <v>2042</v>
      </c>
      <c r="O379" s="6">
        <f t="shared" si="7"/>
        <v>1835.0000546896363</v>
      </c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2.75" x14ac:dyDescent="0.2">
      <c r="A380" s="4" t="s">
        <v>1509</v>
      </c>
      <c r="B380" s="5" t="s">
        <v>369</v>
      </c>
      <c r="C380" s="4">
        <v>9</v>
      </c>
      <c r="D380" s="6" t="e">
        <f t="shared" si="5"/>
        <v>#VALUE!</v>
      </c>
      <c r="E380" s="6" t="s">
        <v>255</v>
      </c>
      <c r="F380" s="7">
        <v>368</v>
      </c>
      <c r="G380" s="6" t="s">
        <v>21</v>
      </c>
      <c r="H380" s="11" t="s">
        <v>2043</v>
      </c>
      <c r="I380" s="9" t="s">
        <v>2044</v>
      </c>
      <c r="J380" s="9" t="s">
        <v>2045</v>
      </c>
      <c r="K380" s="9" t="s">
        <v>2046</v>
      </c>
      <c r="L380" s="9" t="s">
        <v>2047</v>
      </c>
      <c r="M380" s="9" t="s">
        <v>2048</v>
      </c>
      <c r="N380" s="9" t="s">
        <v>2049</v>
      </c>
      <c r="O380" s="6">
        <f t="shared" si="7"/>
        <v>1845.0001085658453</v>
      </c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2.75" x14ac:dyDescent="0.2">
      <c r="A381" s="4" t="s">
        <v>1509</v>
      </c>
      <c r="B381" s="5" t="s">
        <v>369</v>
      </c>
      <c r="C381" s="4">
        <v>10</v>
      </c>
      <c r="D381" s="6" t="e">
        <f t="shared" si="5"/>
        <v>#VALUE!</v>
      </c>
      <c r="E381" s="6" t="s">
        <v>431</v>
      </c>
      <c r="F381" s="7">
        <v>370</v>
      </c>
      <c r="G381" s="6" t="s">
        <v>21</v>
      </c>
      <c r="H381" s="11" t="s">
        <v>2050</v>
      </c>
      <c r="I381" s="9" t="s">
        <v>2051</v>
      </c>
      <c r="J381" s="9" t="s">
        <v>2052</v>
      </c>
      <c r="K381" s="9" t="s">
        <v>2053</v>
      </c>
      <c r="L381" s="9" t="s">
        <v>2054</v>
      </c>
      <c r="M381" s="9" t="s">
        <v>2055</v>
      </c>
      <c r="N381" s="9" t="s">
        <v>720</v>
      </c>
      <c r="O381" s="6">
        <f t="shared" si="7"/>
        <v>1855.0000538880206</v>
      </c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2.75" x14ac:dyDescent="0.2">
      <c r="A382" s="4" t="s">
        <v>1509</v>
      </c>
      <c r="B382" s="5" t="s">
        <v>439</v>
      </c>
      <c r="C382" s="4">
        <v>1</v>
      </c>
      <c r="D382" s="6" t="e">
        <f t="shared" si="5"/>
        <v>#VALUE!</v>
      </c>
      <c r="E382" s="6" t="s">
        <v>440</v>
      </c>
      <c r="F382" s="7">
        <v>372</v>
      </c>
      <c r="G382" s="6" t="s">
        <v>21</v>
      </c>
      <c r="H382" s="11" t="s">
        <v>2056</v>
      </c>
      <c r="I382" s="9" t="s">
        <v>2057</v>
      </c>
      <c r="J382" s="9" t="s">
        <v>2058</v>
      </c>
      <c r="K382" s="9" t="s">
        <v>2059</v>
      </c>
      <c r="L382" s="9" t="s">
        <v>2020</v>
      </c>
      <c r="M382" s="9" t="s">
        <v>2060</v>
      </c>
      <c r="N382" s="9" t="s">
        <v>2061</v>
      </c>
      <c r="O382" s="6">
        <f t="shared" si="7"/>
        <v>1865.000080237503</v>
      </c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2.75" x14ac:dyDescent="0.2">
      <c r="A383" s="4" t="s">
        <v>1509</v>
      </c>
      <c r="B383" s="5" t="s">
        <v>439</v>
      </c>
      <c r="C383" s="4">
        <v>2</v>
      </c>
      <c r="D383" s="6" t="e">
        <f t="shared" si="5"/>
        <v>#VALUE!</v>
      </c>
      <c r="E383" s="6" t="s">
        <v>448</v>
      </c>
      <c r="F383" s="7">
        <v>374</v>
      </c>
      <c r="G383" s="6" t="s">
        <v>28</v>
      </c>
      <c r="H383" s="8" t="s">
        <v>2062</v>
      </c>
      <c r="I383" s="10" t="s">
        <v>2063</v>
      </c>
      <c r="J383" s="9" t="s">
        <v>2064</v>
      </c>
      <c r="K383" s="9" t="s">
        <v>2065</v>
      </c>
      <c r="L383" s="9" t="s">
        <v>2066</v>
      </c>
      <c r="M383" s="9" t="s">
        <v>2067</v>
      </c>
      <c r="N383" s="9" t="s">
        <v>2068</v>
      </c>
      <c r="O383" s="6">
        <f t="shared" si="7"/>
        <v>1500</v>
      </c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2.75" x14ac:dyDescent="0.2">
      <c r="A384" s="4" t="s">
        <v>1509</v>
      </c>
      <c r="B384" s="5" t="s">
        <v>439</v>
      </c>
      <c r="C384" s="4">
        <v>3</v>
      </c>
      <c r="D384" s="6" t="e">
        <f t="shared" si="5"/>
        <v>#VALUE!</v>
      </c>
      <c r="E384" s="6" t="s">
        <v>455</v>
      </c>
      <c r="F384" s="7">
        <v>376</v>
      </c>
      <c r="G384" s="6" t="s">
        <v>21</v>
      </c>
      <c r="H384" s="11" t="s">
        <v>2069</v>
      </c>
      <c r="I384" s="9" t="s">
        <v>2070</v>
      </c>
      <c r="J384" s="9" t="s">
        <v>2071</v>
      </c>
      <c r="K384" s="9" t="s">
        <v>2072</v>
      </c>
      <c r="L384" s="9" t="s">
        <v>2073</v>
      </c>
      <c r="M384" s="9" t="s">
        <v>2074</v>
      </c>
      <c r="N384" s="9" t="s">
        <v>2075</v>
      </c>
      <c r="O384" s="6">
        <f t="shared" si="7"/>
        <v>1884.9999472601655</v>
      </c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2.75" x14ac:dyDescent="0.2">
      <c r="A385" s="4" t="s">
        <v>1509</v>
      </c>
      <c r="B385" s="5" t="s">
        <v>439</v>
      </c>
      <c r="C385" s="4">
        <v>4</v>
      </c>
      <c r="D385" s="6" t="e">
        <f t="shared" si="5"/>
        <v>#VALUE!</v>
      </c>
      <c r="E385" s="6" t="s">
        <v>463</v>
      </c>
      <c r="F385" s="7">
        <v>378</v>
      </c>
      <c r="G385" s="6" t="s">
        <v>21</v>
      </c>
      <c r="H385" s="11" t="s">
        <v>2076</v>
      </c>
      <c r="I385" s="9" t="s">
        <v>2077</v>
      </c>
      <c r="J385" s="9" t="s">
        <v>2078</v>
      </c>
      <c r="K385" s="9" t="s">
        <v>2079</v>
      </c>
      <c r="L385" s="9" t="s">
        <v>2080</v>
      </c>
      <c r="M385" s="9" t="s">
        <v>2081</v>
      </c>
      <c r="N385" s="9" t="s">
        <v>2082</v>
      </c>
      <c r="O385" s="6">
        <f t="shared" si="7"/>
        <v>1895</v>
      </c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2.75" x14ac:dyDescent="0.2">
      <c r="A386" s="4" t="s">
        <v>1509</v>
      </c>
      <c r="B386" s="5" t="s">
        <v>439</v>
      </c>
      <c r="C386" s="4">
        <v>5</v>
      </c>
      <c r="D386" s="6" t="e">
        <f t="shared" si="5"/>
        <v>#VALUE!</v>
      </c>
      <c r="E386" s="6" t="s">
        <v>470</v>
      </c>
      <c r="F386" s="7">
        <v>380</v>
      </c>
      <c r="G386" s="6" t="s">
        <v>17</v>
      </c>
      <c r="H386" s="8" t="s">
        <v>2083</v>
      </c>
      <c r="I386" s="9" t="s">
        <v>2084</v>
      </c>
      <c r="J386" s="10" t="s">
        <v>2085</v>
      </c>
      <c r="K386" s="9" t="s">
        <v>2086</v>
      </c>
      <c r="L386" s="9" t="s">
        <v>2087</v>
      </c>
      <c r="M386" s="9" t="s">
        <v>2088</v>
      </c>
      <c r="N386" s="9" t="s">
        <v>736</v>
      </c>
      <c r="O386" s="6">
        <f t="shared" si="7"/>
        <v>762</v>
      </c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2.75" x14ac:dyDescent="0.2">
      <c r="A387" s="4" t="s">
        <v>1509</v>
      </c>
      <c r="B387" s="5" t="s">
        <v>439</v>
      </c>
      <c r="C387" s="4">
        <v>6</v>
      </c>
      <c r="D387" s="6" t="e">
        <f t="shared" si="5"/>
        <v>#VALUE!</v>
      </c>
      <c r="E387" s="6" t="s">
        <v>478</v>
      </c>
      <c r="F387" s="7">
        <v>382</v>
      </c>
      <c r="G387" s="6" t="s">
        <v>28</v>
      </c>
      <c r="H387" s="8" t="s">
        <v>1756</v>
      </c>
      <c r="I387" s="10" t="s">
        <v>2089</v>
      </c>
      <c r="J387" s="9" t="s">
        <v>2090</v>
      </c>
      <c r="K387" s="9" t="s">
        <v>2091</v>
      </c>
      <c r="L387" s="9" t="s">
        <v>2092</v>
      </c>
      <c r="M387" s="9" t="s">
        <v>2093</v>
      </c>
      <c r="N387" s="9" t="s">
        <v>2094</v>
      </c>
      <c r="O387" s="6">
        <f t="shared" ref="O387:O450" si="8">M387/K387</f>
        <v>1532</v>
      </c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2.75" x14ac:dyDescent="0.2">
      <c r="A388" s="4" t="s">
        <v>1509</v>
      </c>
      <c r="B388" s="5" t="s">
        <v>439</v>
      </c>
      <c r="C388" s="4">
        <v>7</v>
      </c>
      <c r="D388" s="6" t="e">
        <f t="shared" si="5"/>
        <v>#VALUE!</v>
      </c>
      <c r="E388" s="6" t="s">
        <v>485</v>
      </c>
      <c r="F388" s="7">
        <v>384</v>
      </c>
      <c r="G388" s="6" t="s">
        <v>21</v>
      </c>
      <c r="H388" s="11" t="s">
        <v>2095</v>
      </c>
      <c r="I388" s="9" t="s">
        <v>2096</v>
      </c>
      <c r="J388" s="9" t="s">
        <v>2097</v>
      </c>
      <c r="K388" s="9" t="s">
        <v>2098</v>
      </c>
      <c r="L388" s="9" t="s">
        <v>2099</v>
      </c>
      <c r="M388" s="9" t="s">
        <v>2100</v>
      </c>
      <c r="N388" s="9" t="s">
        <v>2101</v>
      </c>
      <c r="O388" s="6">
        <f t="shared" si="8"/>
        <v>1924.999948689004</v>
      </c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2.75" x14ac:dyDescent="0.2">
      <c r="A389" s="4" t="s">
        <v>1509</v>
      </c>
      <c r="B389" s="5" t="s">
        <v>439</v>
      </c>
      <c r="C389" s="4">
        <v>8</v>
      </c>
      <c r="D389" s="6" t="e">
        <f t="shared" si="5"/>
        <v>#VALUE!</v>
      </c>
      <c r="E389" s="6" t="s">
        <v>492</v>
      </c>
      <c r="F389" s="7">
        <v>386</v>
      </c>
      <c r="G389" s="6" t="s">
        <v>28</v>
      </c>
      <c r="H389" s="8" t="s">
        <v>2102</v>
      </c>
      <c r="I389" s="10" t="s">
        <v>2103</v>
      </c>
      <c r="J389" s="9" t="s">
        <v>2104</v>
      </c>
      <c r="K389" s="9" t="s">
        <v>2105</v>
      </c>
      <c r="L389" s="9" t="s">
        <v>2106</v>
      </c>
      <c r="M389" s="9" t="s">
        <v>2107</v>
      </c>
      <c r="N389" s="9" t="s">
        <v>2108</v>
      </c>
      <c r="O389" s="6">
        <f t="shared" si="8"/>
        <v>1548</v>
      </c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2.75" x14ac:dyDescent="0.2">
      <c r="A390" s="4" t="s">
        <v>1509</v>
      </c>
      <c r="B390" s="5" t="s">
        <v>439</v>
      </c>
      <c r="C390" s="4">
        <v>9</v>
      </c>
      <c r="D390" s="6" t="e">
        <f t="shared" si="5"/>
        <v>#VALUE!</v>
      </c>
      <c r="E390" s="6" t="s">
        <v>498</v>
      </c>
      <c r="F390" s="7">
        <v>388</v>
      </c>
      <c r="G390" s="6" t="s">
        <v>17</v>
      </c>
      <c r="H390" s="8" t="s">
        <v>2109</v>
      </c>
      <c r="I390" s="9" t="s">
        <v>2110</v>
      </c>
      <c r="J390" s="10" t="s">
        <v>2111</v>
      </c>
      <c r="K390" s="9" t="s">
        <v>2112</v>
      </c>
      <c r="L390" s="9" t="s">
        <v>2113</v>
      </c>
      <c r="M390" s="9" t="s">
        <v>2114</v>
      </c>
      <c r="N390" s="9" t="s">
        <v>2115</v>
      </c>
      <c r="O390" s="6">
        <f t="shared" si="8"/>
        <v>778</v>
      </c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2.75" x14ac:dyDescent="0.2">
      <c r="A391" s="4" t="s">
        <v>1509</v>
      </c>
      <c r="B391" s="5" t="s">
        <v>439</v>
      </c>
      <c r="C391" s="4">
        <v>10</v>
      </c>
      <c r="D391" s="6" t="e">
        <f t="shared" si="5"/>
        <v>#VALUE!</v>
      </c>
      <c r="E391" s="6" t="s">
        <v>506</v>
      </c>
      <c r="F391" s="7">
        <v>390</v>
      </c>
      <c r="G391" s="6" t="s">
        <v>21</v>
      </c>
      <c r="H391" s="11" t="s">
        <v>2116</v>
      </c>
      <c r="I391" s="9" t="s">
        <v>2117</v>
      </c>
      <c r="J391" s="9" t="s">
        <v>2118</v>
      </c>
      <c r="K391" s="9" t="s">
        <v>2119</v>
      </c>
      <c r="L391" s="9" t="s">
        <v>2120</v>
      </c>
      <c r="M391" s="9" t="s">
        <v>2121</v>
      </c>
      <c r="N391" s="9" t="s">
        <v>751</v>
      </c>
      <c r="O391" s="6">
        <f t="shared" si="8"/>
        <v>1955.0000503094029</v>
      </c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2.75" x14ac:dyDescent="0.2">
      <c r="A392" s="4" t="s">
        <v>1509</v>
      </c>
      <c r="B392" s="5" t="s">
        <v>513</v>
      </c>
      <c r="C392" s="4">
        <v>1</v>
      </c>
      <c r="D392" s="6" t="e">
        <f t="shared" si="5"/>
        <v>#VALUE!</v>
      </c>
      <c r="E392" s="6" t="s">
        <v>514</v>
      </c>
      <c r="F392" s="7">
        <v>392</v>
      </c>
      <c r="G392" s="6" t="s">
        <v>17</v>
      </c>
      <c r="H392" s="8" t="s">
        <v>2122</v>
      </c>
      <c r="I392" s="9" t="s">
        <v>2123</v>
      </c>
      <c r="J392" s="10" t="s">
        <v>2124</v>
      </c>
      <c r="K392" s="9" t="s">
        <v>2125</v>
      </c>
      <c r="L392" s="9" t="s">
        <v>2126</v>
      </c>
      <c r="M392" s="9" t="s">
        <v>2127</v>
      </c>
      <c r="N392" s="9" t="s">
        <v>1317</v>
      </c>
      <c r="O392" s="6">
        <f t="shared" si="8"/>
        <v>786</v>
      </c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2.75" x14ac:dyDescent="0.2">
      <c r="A393" s="4" t="s">
        <v>1509</v>
      </c>
      <c r="B393" s="5" t="s">
        <v>513</v>
      </c>
      <c r="C393" s="4">
        <v>2</v>
      </c>
      <c r="D393" s="6" t="e">
        <f t="shared" si="5"/>
        <v>#VALUE!</v>
      </c>
      <c r="E393" s="6" t="s">
        <v>522</v>
      </c>
      <c r="F393" s="7">
        <v>394</v>
      </c>
      <c r="G393" s="6" t="s">
        <v>17</v>
      </c>
      <c r="H393" s="8" t="s">
        <v>2128</v>
      </c>
      <c r="I393" s="9" t="s">
        <v>2129</v>
      </c>
      <c r="J393" s="10" t="s">
        <v>2130</v>
      </c>
      <c r="K393" s="9" t="s">
        <v>2131</v>
      </c>
      <c r="L393" s="9" t="s">
        <v>2132</v>
      </c>
      <c r="M393" s="9" t="s">
        <v>2133</v>
      </c>
      <c r="N393" s="9" t="s">
        <v>1017</v>
      </c>
      <c r="O393" s="6">
        <f t="shared" si="8"/>
        <v>790</v>
      </c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2.75" x14ac:dyDescent="0.2">
      <c r="A394" s="4" t="s">
        <v>1509</v>
      </c>
      <c r="B394" s="5" t="s">
        <v>513</v>
      </c>
      <c r="C394" s="4">
        <v>3</v>
      </c>
      <c r="D394" s="6" t="e">
        <f t="shared" si="5"/>
        <v>#VALUE!</v>
      </c>
      <c r="E394" s="6" t="s">
        <v>529</v>
      </c>
      <c r="F394" s="7">
        <v>396</v>
      </c>
      <c r="G394" s="6" t="s">
        <v>21</v>
      </c>
      <c r="H394" s="11" t="s">
        <v>2134</v>
      </c>
      <c r="I394" s="9" t="s">
        <v>2135</v>
      </c>
      <c r="J394" s="9" t="s">
        <v>2136</v>
      </c>
      <c r="K394" s="9" t="s">
        <v>2137</v>
      </c>
      <c r="L394" s="9" t="s">
        <v>2138</v>
      </c>
      <c r="M394" s="9" t="s">
        <v>2139</v>
      </c>
      <c r="N394" s="9" t="s">
        <v>1017</v>
      </c>
      <c r="O394" s="6">
        <f t="shared" si="8"/>
        <v>1984.999975316565</v>
      </c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2.75" x14ac:dyDescent="0.2">
      <c r="A395" s="4" t="s">
        <v>1509</v>
      </c>
      <c r="B395" s="5" t="s">
        <v>513</v>
      </c>
      <c r="C395" s="4">
        <v>4</v>
      </c>
      <c r="D395" s="6" t="e">
        <f t="shared" si="5"/>
        <v>#VALUE!</v>
      </c>
      <c r="E395" s="6" t="s">
        <v>537</v>
      </c>
      <c r="F395" s="7">
        <v>398</v>
      </c>
      <c r="G395" s="6" t="s">
        <v>28</v>
      </c>
      <c r="H395" s="8" t="s">
        <v>2140</v>
      </c>
      <c r="I395" s="10" t="s">
        <v>2141</v>
      </c>
      <c r="J395" s="9" t="s">
        <v>2142</v>
      </c>
      <c r="K395" s="9" t="s">
        <v>2143</v>
      </c>
      <c r="L395" s="9" t="s">
        <v>2144</v>
      </c>
      <c r="M395" s="9" t="s">
        <v>2145</v>
      </c>
      <c r="N395" s="9" t="s">
        <v>1017</v>
      </c>
      <c r="O395" s="6">
        <f t="shared" si="8"/>
        <v>1596</v>
      </c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2.75" x14ac:dyDescent="0.2">
      <c r="A396" s="4" t="s">
        <v>1509</v>
      </c>
      <c r="B396" s="5" t="s">
        <v>513</v>
      </c>
      <c r="C396" s="4">
        <v>5</v>
      </c>
      <c r="D396" s="6" t="e">
        <f t="shared" si="5"/>
        <v>#VALUE!</v>
      </c>
      <c r="E396" s="6" t="s">
        <v>543</v>
      </c>
      <c r="F396" s="7">
        <v>400</v>
      </c>
      <c r="G396" s="6" t="s">
        <v>17</v>
      </c>
      <c r="H396" s="8" t="s">
        <v>2146</v>
      </c>
      <c r="I396" s="9" t="s">
        <v>1799</v>
      </c>
      <c r="J396" s="10" t="s">
        <v>2147</v>
      </c>
      <c r="K396" s="9" t="s">
        <v>2148</v>
      </c>
      <c r="L396" s="9" t="s">
        <v>2149</v>
      </c>
      <c r="M396" s="9" t="s">
        <v>2150</v>
      </c>
      <c r="N396" s="9" t="s">
        <v>1017</v>
      </c>
      <c r="O396" s="6">
        <f t="shared" si="8"/>
        <v>802</v>
      </c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2.75" x14ac:dyDescent="0.2">
      <c r="A397" s="4" t="s">
        <v>1509</v>
      </c>
      <c r="B397" s="5" t="s">
        <v>513</v>
      </c>
      <c r="C397" s="4">
        <v>6</v>
      </c>
      <c r="D397" s="6" t="e">
        <f t="shared" si="5"/>
        <v>#VALUE!</v>
      </c>
      <c r="E397" s="6" t="s">
        <v>551</v>
      </c>
      <c r="F397" s="7">
        <v>404</v>
      </c>
      <c r="G397" s="6" t="s">
        <v>21</v>
      </c>
      <c r="H397" s="11" t="s">
        <v>2151</v>
      </c>
      <c r="I397" s="9" t="s">
        <v>2152</v>
      </c>
      <c r="J397" s="9" t="s">
        <v>2153</v>
      </c>
      <c r="K397" s="9" t="s">
        <v>2154</v>
      </c>
      <c r="L397" s="9" t="s">
        <v>2155</v>
      </c>
      <c r="M397" s="9" t="s">
        <v>2156</v>
      </c>
      <c r="N397" s="9" t="s">
        <v>1017</v>
      </c>
      <c r="O397" s="6">
        <f t="shared" si="8"/>
        <v>2024.9999035586845</v>
      </c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2.75" x14ac:dyDescent="0.2">
      <c r="A398" s="4" t="s">
        <v>1509</v>
      </c>
      <c r="B398" s="5" t="s">
        <v>513</v>
      </c>
      <c r="C398" s="4">
        <v>7</v>
      </c>
      <c r="D398" s="6" t="e">
        <f t="shared" si="5"/>
        <v>#VALUE!</v>
      </c>
      <c r="E398" s="6" t="s">
        <v>558</v>
      </c>
      <c r="F398" s="7">
        <v>408</v>
      </c>
      <c r="G398" s="6" t="s">
        <v>28</v>
      </c>
      <c r="H398" s="8" t="s">
        <v>2157</v>
      </c>
      <c r="I398" s="10" t="s">
        <v>2158</v>
      </c>
      <c r="J398" s="9" t="s">
        <v>2159</v>
      </c>
      <c r="K398" s="9" t="s">
        <v>2160</v>
      </c>
      <c r="L398" s="9" t="s">
        <v>2161</v>
      </c>
      <c r="M398" s="9" t="s">
        <v>2162</v>
      </c>
      <c r="N398" s="9" t="s">
        <v>1017</v>
      </c>
      <c r="O398" s="6">
        <f t="shared" si="8"/>
        <v>1636</v>
      </c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2.75" x14ac:dyDescent="0.2">
      <c r="A399" s="4" t="s">
        <v>1509</v>
      </c>
      <c r="B399" s="5" t="s">
        <v>513</v>
      </c>
      <c r="C399" s="4">
        <v>8</v>
      </c>
      <c r="D399" s="6" t="e">
        <f t="shared" si="5"/>
        <v>#VALUE!</v>
      </c>
      <c r="E399" s="6" t="s">
        <v>564</v>
      </c>
      <c r="F399" s="7">
        <v>412</v>
      </c>
      <c r="G399" s="6" t="s">
        <v>21</v>
      </c>
      <c r="H399" s="11" t="s">
        <v>2163</v>
      </c>
      <c r="I399" s="9" t="s">
        <v>2164</v>
      </c>
      <c r="J399" s="9" t="s">
        <v>2165</v>
      </c>
      <c r="K399" s="9" t="s">
        <v>2166</v>
      </c>
      <c r="L399" s="9" t="s">
        <v>2167</v>
      </c>
      <c r="M399" s="9" t="s">
        <v>2168</v>
      </c>
      <c r="N399" s="9" t="s">
        <v>1017</v>
      </c>
      <c r="O399" s="6">
        <f t="shared" si="8"/>
        <v>2065.0000235943658</v>
      </c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2.75" x14ac:dyDescent="0.2">
      <c r="A400" s="4" t="s">
        <v>1509</v>
      </c>
      <c r="B400" s="5" t="s">
        <v>513</v>
      </c>
      <c r="C400" s="4">
        <v>9</v>
      </c>
      <c r="D400" s="6" t="e">
        <f t="shared" si="5"/>
        <v>#VALUE!</v>
      </c>
      <c r="E400" s="6" t="s">
        <v>572</v>
      </c>
      <c r="F400" s="7">
        <v>416</v>
      </c>
      <c r="G400" s="6" t="s">
        <v>21</v>
      </c>
      <c r="H400" s="11" t="s">
        <v>2169</v>
      </c>
      <c r="I400" s="9" t="s">
        <v>2170</v>
      </c>
      <c r="J400" s="9" t="s">
        <v>2171</v>
      </c>
      <c r="K400" s="9" t="s">
        <v>2172</v>
      </c>
      <c r="L400" s="9" t="s">
        <v>2173</v>
      </c>
      <c r="M400" s="9" t="s">
        <v>2174</v>
      </c>
      <c r="N400" s="9" t="s">
        <v>1017</v>
      </c>
      <c r="O400" s="6">
        <f t="shared" si="8"/>
        <v>2085</v>
      </c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2.75" x14ac:dyDescent="0.2">
      <c r="A401" s="4" t="s">
        <v>1509</v>
      </c>
      <c r="B401" s="5" t="s">
        <v>513</v>
      </c>
      <c r="C401" s="4">
        <v>10</v>
      </c>
      <c r="D401" s="6" t="e">
        <f t="shared" si="5"/>
        <v>#VALUE!</v>
      </c>
      <c r="E401" s="6" t="s">
        <v>580</v>
      </c>
      <c r="F401" s="7">
        <v>420</v>
      </c>
      <c r="G401" s="6" t="s">
        <v>21</v>
      </c>
      <c r="H401" s="11" t="s">
        <v>2175</v>
      </c>
      <c r="I401" s="9" t="s">
        <v>331</v>
      </c>
      <c r="J401" s="9" t="s">
        <v>2176</v>
      </c>
      <c r="K401" s="9" t="s">
        <v>2177</v>
      </c>
      <c r="L401" s="9" t="s">
        <v>2178</v>
      </c>
      <c r="M401" s="9" t="s">
        <v>2179</v>
      </c>
      <c r="N401" s="9" t="s">
        <v>1017</v>
      </c>
      <c r="O401" s="6">
        <f t="shared" si="8"/>
        <v>2105</v>
      </c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2.75" x14ac:dyDescent="0.2">
      <c r="A402" s="12" t="s">
        <v>1509</v>
      </c>
      <c r="B402" s="13" t="s">
        <v>586</v>
      </c>
      <c r="C402" s="12">
        <v>1</v>
      </c>
      <c r="D402" s="14" t="e">
        <f t="shared" si="5"/>
        <v>#VALUE!</v>
      </c>
      <c r="E402" s="14" t="s">
        <v>587</v>
      </c>
      <c r="F402" s="15">
        <v>320</v>
      </c>
      <c r="G402" s="14" t="s">
        <v>28</v>
      </c>
      <c r="H402" s="8" t="s">
        <v>2180</v>
      </c>
      <c r="I402" s="11" t="s">
        <v>2181</v>
      </c>
      <c r="J402" s="8" t="s">
        <v>2180</v>
      </c>
      <c r="K402" s="8" t="s">
        <v>2182</v>
      </c>
      <c r="L402" s="8" t="s">
        <v>2180</v>
      </c>
      <c r="M402" s="8" t="s">
        <v>2183</v>
      </c>
      <c r="N402" s="8" t="s">
        <v>542</v>
      </c>
      <c r="O402" s="6">
        <f t="shared" si="8"/>
        <v>2763.3587786259541</v>
      </c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ht="12.75" x14ac:dyDescent="0.2">
      <c r="A403" s="12" t="s">
        <v>1509</v>
      </c>
      <c r="B403" s="13" t="s">
        <v>586</v>
      </c>
      <c r="C403" s="12">
        <v>2</v>
      </c>
      <c r="D403" s="14" t="e">
        <f t="shared" si="5"/>
        <v>#VALUE!</v>
      </c>
      <c r="E403" s="14" t="s">
        <v>592</v>
      </c>
      <c r="F403" s="15">
        <v>323</v>
      </c>
      <c r="G403" s="14" t="s">
        <v>21</v>
      </c>
      <c r="H403" s="11" t="s">
        <v>2184</v>
      </c>
      <c r="I403" s="8" t="s">
        <v>2185</v>
      </c>
      <c r="J403" s="8" t="s">
        <v>2185</v>
      </c>
      <c r="K403" s="8" t="s">
        <v>2186</v>
      </c>
      <c r="L403" s="8" t="s">
        <v>2185</v>
      </c>
      <c r="M403" s="8" t="s">
        <v>2187</v>
      </c>
      <c r="N403" s="8" t="s">
        <v>2188</v>
      </c>
      <c r="O403" s="6">
        <f t="shared" si="8"/>
        <v>2768.6567164179105</v>
      </c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ht="12.75" x14ac:dyDescent="0.2">
      <c r="A404" s="12" t="s">
        <v>1509</v>
      </c>
      <c r="B404" s="13" t="s">
        <v>586</v>
      </c>
      <c r="C404" s="12">
        <v>3</v>
      </c>
      <c r="D404" s="14" t="e">
        <f t="shared" si="5"/>
        <v>#VALUE!</v>
      </c>
      <c r="E404" s="14" t="s">
        <v>596</v>
      </c>
      <c r="F404" s="15">
        <v>326</v>
      </c>
      <c r="G404" s="14" t="s">
        <v>17</v>
      </c>
      <c r="H404" s="8" t="s">
        <v>2189</v>
      </c>
      <c r="I404" s="8" t="s">
        <v>2189</v>
      </c>
      <c r="J404" s="11" t="s">
        <v>2190</v>
      </c>
      <c r="K404" s="8" t="s">
        <v>2191</v>
      </c>
      <c r="L404" s="8" t="s">
        <v>2189</v>
      </c>
      <c r="M404" s="8" t="s">
        <v>2192</v>
      </c>
      <c r="N404" s="8" t="s">
        <v>1926</v>
      </c>
      <c r="O404" s="6">
        <f t="shared" si="8"/>
        <v>2773.7226277372265</v>
      </c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ht="12.75" x14ac:dyDescent="0.2">
      <c r="A405" s="12" t="s">
        <v>1509</v>
      </c>
      <c r="B405" s="13" t="s">
        <v>586</v>
      </c>
      <c r="C405" s="12">
        <v>4</v>
      </c>
      <c r="D405" s="14" t="e">
        <f t="shared" si="5"/>
        <v>#VALUE!</v>
      </c>
      <c r="E405" s="14" t="s">
        <v>602</v>
      </c>
      <c r="F405" s="15">
        <v>329</v>
      </c>
      <c r="G405" s="14" t="s">
        <v>28</v>
      </c>
      <c r="H405" s="8" t="s">
        <v>2193</v>
      </c>
      <c r="I405" s="11" t="s">
        <v>2194</v>
      </c>
      <c r="J405" s="8" t="s">
        <v>2193</v>
      </c>
      <c r="K405" s="8" t="s">
        <v>1160</v>
      </c>
      <c r="L405" s="8" t="s">
        <v>2193</v>
      </c>
      <c r="M405" s="8" t="s">
        <v>2195</v>
      </c>
      <c r="N405" s="8" t="s">
        <v>2196</v>
      </c>
      <c r="O405" s="6">
        <f t="shared" si="8"/>
        <v>2778.5714285714284</v>
      </c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ht="12.75" x14ac:dyDescent="0.2">
      <c r="A406" s="12" t="s">
        <v>1509</v>
      </c>
      <c r="B406" s="13" t="s">
        <v>586</v>
      </c>
      <c r="C406" s="12">
        <v>5</v>
      </c>
      <c r="D406" s="14" t="e">
        <f t="shared" si="5"/>
        <v>#VALUE!</v>
      </c>
      <c r="E406" s="14" t="s">
        <v>608</v>
      </c>
      <c r="F406" s="15">
        <v>332</v>
      </c>
      <c r="G406" s="14" t="s">
        <v>28</v>
      </c>
      <c r="H406" s="8" t="s">
        <v>2197</v>
      </c>
      <c r="I406" s="11" t="s">
        <v>2198</v>
      </c>
      <c r="J406" s="8" t="s">
        <v>2197</v>
      </c>
      <c r="K406" s="8" t="s">
        <v>2199</v>
      </c>
      <c r="L406" s="8" t="s">
        <v>2197</v>
      </c>
      <c r="M406" s="8" t="s">
        <v>2200</v>
      </c>
      <c r="N406" s="8" t="s">
        <v>1191</v>
      </c>
      <c r="O406" s="6">
        <f t="shared" si="8"/>
        <v>2783.2167832167834</v>
      </c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ht="12.75" x14ac:dyDescent="0.2">
      <c r="A407" s="12" t="s">
        <v>1509</v>
      </c>
      <c r="B407" s="13" t="s">
        <v>586</v>
      </c>
      <c r="C407" s="12">
        <v>6</v>
      </c>
      <c r="D407" s="14" t="e">
        <f t="shared" si="5"/>
        <v>#VALUE!</v>
      </c>
      <c r="E407" s="14" t="s">
        <v>614</v>
      </c>
      <c r="F407" s="15">
        <v>335</v>
      </c>
      <c r="G407" s="14" t="s">
        <v>28</v>
      </c>
      <c r="H407" s="8" t="s">
        <v>2201</v>
      </c>
      <c r="I407" s="11" t="s">
        <v>2202</v>
      </c>
      <c r="J407" s="8" t="s">
        <v>2201</v>
      </c>
      <c r="K407" s="8" t="s">
        <v>2203</v>
      </c>
      <c r="L407" s="8" t="s">
        <v>2201</v>
      </c>
      <c r="M407" s="8" t="s">
        <v>2204</v>
      </c>
      <c r="N407" s="8" t="s">
        <v>563</v>
      </c>
      <c r="O407" s="6">
        <f t="shared" si="8"/>
        <v>2787.6712328767121</v>
      </c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ht="12.75" x14ac:dyDescent="0.2">
      <c r="A408" s="12" t="s">
        <v>1509</v>
      </c>
      <c r="B408" s="13" t="s">
        <v>586</v>
      </c>
      <c r="C408" s="12">
        <v>7</v>
      </c>
      <c r="D408" s="14" t="e">
        <f t="shared" si="5"/>
        <v>#VALUE!</v>
      </c>
      <c r="E408" s="14" t="s">
        <v>619</v>
      </c>
      <c r="F408" s="15">
        <v>338</v>
      </c>
      <c r="G408" s="14" t="s">
        <v>21</v>
      </c>
      <c r="H408" s="11" t="s">
        <v>2205</v>
      </c>
      <c r="I408" s="8" t="s">
        <v>2206</v>
      </c>
      <c r="J408" s="8" t="s">
        <v>2206</v>
      </c>
      <c r="K408" s="8" t="s">
        <v>2207</v>
      </c>
      <c r="L408" s="8" t="s">
        <v>2206</v>
      </c>
      <c r="M408" s="8" t="s">
        <v>2208</v>
      </c>
      <c r="N408" s="8" t="s">
        <v>1960</v>
      </c>
      <c r="O408" s="6">
        <f t="shared" si="8"/>
        <v>2791.9463087248323</v>
      </c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ht="12.75" x14ac:dyDescent="0.2">
      <c r="A409" s="12" t="s">
        <v>1509</v>
      </c>
      <c r="B409" s="13" t="s">
        <v>586</v>
      </c>
      <c r="C409" s="12">
        <v>8</v>
      </c>
      <c r="D409" s="14" t="e">
        <f t="shared" si="5"/>
        <v>#VALUE!</v>
      </c>
      <c r="E409" s="14" t="s">
        <v>624</v>
      </c>
      <c r="F409" s="15">
        <v>341</v>
      </c>
      <c r="G409" s="14" t="s">
        <v>21</v>
      </c>
      <c r="H409" s="11" t="s">
        <v>2209</v>
      </c>
      <c r="I409" s="8" t="s">
        <v>2210</v>
      </c>
      <c r="J409" s="8" t="s">
        <v>2210</v>
      </c>
      <c r="K409" s="8" t="s">
        <v>2211</v>
      </c>
      <c r="L409" s="8" t="s">
        <v>2210</v>
      </c>
      <c r="M409" s="8" t="s">
        <v>2212</v>
      </c>
      <c r="N409" s="8" t="s">
        <v>2213</v>
      </c>
      <c r="O409" s="6">
        <f t="shared" si="8"/>
        <v>2796.0526315789475</v>
      </c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ht="12.75" x14ac:dyDescent="0.2">
      <c r="A410" s="12" t="s">
        <v>1509</v>
      </c>
      <c r="B410" s="13" t="s">
        <v>586</v>
      </c>
      <c r="C410" s="12">
        <v>9</v>
      </c>
      <c r="D410" s="14" t="e">
        <f t="shared" si="5"/>
        <v>#VALUE!</v>
      </c>
      <c r="E410" s="14" t="s">
        <v>629</v>
      </c>
      <c r="F410" s="15">
        <v>344</v>
      </c>
      <c r="G410" s="14" t="s">
        <v>28</v>
      </c>
      <c r="H410" s="8" t="s">
        <v>2214</v>
      </c>
      <c r="I410" s="11" t="s">
        <v>2215</v>
      </c>
      <c r="J410" s="8" t="s">
        <v>2214</v>
      </c>
      <c r="K410" s="8" t="s">
        <v>2216</v>
      </c>
      <c r="L410" s="8" t="s">
        <v>2214</v>
      </c>
      <c r="M410" s="8" t="s">
        <v>2217</v>
      </c>
      <c r="N410" s="8" t="s">
        <v>1978</v>
      </c>
      <c r="O410" s="6">
        <f t="shared" si="8"/>
        <v>2800</v>
      </c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ht="12.75" x14ac:dyDescent="0.2">
      <c r="A411" s="12" t="s">
        <v>1509</v>
      </c>
      <c r="B411" s="13" t="s">
        <v>586</v>
      </c>
      <c r="C411" s="12">
        <v>10</v>
      </c>
      <c r="D411" s="14" t="e">
        <f t="shared" si="5"/>
        <v>#VALUE!</v>
      </c>
      <c r="E411" s="14" t="s">
        <v>635</v>
      </c>
      <c r="F411" s="15">
        <v>350</v>
      </c>
      <c r="G411" s="14" t="s">
        <v>17</v>
      </c>
      <c r="H411" s="8" t="s">
        <v>1256</v>
      </c>
      <c r="I411" s="8" t="s">
        <v>1256</v>
      </c>
      <c r="J411" s="11" t="s">
        <v>1288</v>
      </c>
      <c r="K411" s="8" t="s">
        <v>1496</v>
      </c>
      <c r="L411" s="8" t="s">
        <v>1256</v>
      </c>
      <c r="M411" s="8" t="s">
        <v>2218</v>
      </c>
      <c r="N411" s="8" t="s">
        <v>585</v>
      </c>
      <c r="O411" s="6">
        <f t="shared" si="8"/>
        <v>2807.4534161490683</v>
      </c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ht="12.75" x14ac:dyDescent="0.2">
      <c r="A412" s="12" t="s">
        <v>1509</v>
      </c>
      <c r="B412" s="13" t="s">
        <v>640</v>
      </c>
      <c r="C412" s="12">
        <v>1</v>
      </c>
      <c r="D412" s="14" t="e">
        <f t="shared" si="5"/>
        <v>#VALUE!</v>
      </c>
      <c r="E412" s="14" t="s">
        <v>641</v>
      </c>
      <c r="F412" s="15">
        <v>350</v>
      </c>
      <c r="G412" s="14" t="s">
        <v>17</v>
      </c>
      <c r="H412" s="8" t="s">
        <v>1256</v>
      </c>
      <c r="I412" s="8" t="s">
        <v>1256</v>
      </c>
      <c r="J412" s="11" t="s">
        <v>1288</v>
      </c>
      <c r="K412" s="8" t="s">
        <v>1496</v>
      </c>
      <c r="L412" s="8" t="s">
        <v>1256</v>
      </c>
      <c r="M412" s="8" t="s">
        <v>2218</v>
      </c>
      <c r="N412" s="8" t="s">
        <v>585</v>
      </c>
      <c r="O412" s="6">
        <f t="shared" si="8"/>
        <v>2807.4534161490683</v>
      </c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</row>
    <row r="413" spans="1:27" ht="12.75" x14ac:dyDescent="0.2">
      <c r="A413" s="12" t="s">
        <v>1509</v>
      </c>
      <c r="B413" s="13" t="s">
        <v>640</v>
      </c>
      <c r="C413" s="12">
        <v>2</v>
      </c>
      <c r="D413" s="14" t="e">
        <f t="shared" si="5"/>
        <v>#VALUE!</v>
      </c>
      <c r="E413" s="14" t="s">
        <v>642</v>
      </c>
      <c r="F413" s="15">
        <v>354</v>
      </c>
      <c r="G413" s="14" t="s">
        <v>21</v>
      </c>
      <c r="H413" s="11" t="s">
        <v>2219</v>
      </c>
      <c r="I413" s="8" t="s">
        <v>2220</v>
      </c>
      <c r="J413" s="8" t="s">
        <v>2220</v>
      </c>
      <c r="K413" s="8" t="s">
        <v>2221</v>
      </c>
      <c r="L413" s="8" t="s">
        <v>2220</v>
      </c>
      <c r="M413" s="8" t="s">
        <v>2222</v>
      </c>
      <c r="N413" s="8" t="s">
        <v>2004</v>
      </c>
      <c r="O413" s="6">
        <f t="shared" si="8"/>
        <v>2812.121212121212</v>
      </c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</row>
    <row r="414" spans="1:27" ht="12.75" x14ac:dyDescent="0.2">
      <c r="A414" s="12" t="s">
        <v>1509</v>
      </c>
      <c r="B414" s="13" t="s">
        <v>640</v>
      </c>
      <c r="C414" s="12">
        <v>3</v>
      </c>
      <c r="D414" s="14" t="e">
        <f t="shared" si="5"/>
        <v>#VALUE!</v>
      </c>
      <c r="E414" s="14" t="s">
        <v>648</v>
      </c>
      <c r="F414" s="15">
        <v>358</v>
      </c>
      <c r="G414" s="14" t="s">
        <v>21</v>
      </c>
      <c r="H414" s="11" t="s">
        <v>2223</v>
      </c>
      <c r="I414" s="8" t="s">
        <v>2224</v>
      </c>
      <c r="J414" s="8" t="s">
        <v>2224</v>
      </c>
      <c r="K414" s="8" t="s">
        <v>2225</v>
      </c>
      <c r="L414" s="8" t="s">
        <v>2224</v>
      </c>
      <c r="M414" s="8" t="s">
        <v>2226</v>
      </c>
      <c r="N414" s="8" t="s">
        <v>2017</v>
      </c>
      <c r="O414" s="6">
        <f t="shared" si="8"/>
        <v>2816.5680473372781</v>
      </c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</row>
    <row r="415" spans="1:27" ht="12.75" x14ac:dyDescent="0.2">
      <c r="A415" s="12" t="s">
        <v>1509</v>
      </c>
      <c r="B415" s="13" t="s">
        <v>640</v>
      </c>
      <c r="C415" s="12">
        <v>4</v>
      </c>
      <c r="D415" s="14" t="e">
        <f t="shared" si="5"/>
        <v>#VALUE!</v>
      </c>
      <c r="E415" s="14" t="s">
        <v>653</v>
      </c>
      <c r="F415" s="15">
        <v>362</v>
      </c>
      <c r="G415" s="14" t="s">
        <v>21</v>
      </c>
      <c r="H415" s="11" t="s">
        <v>2227</v>
      </c>
      <c r="I415" s="8" t="s">
        <v>2228</v>
      </c>
      <c r="J415" s="8" t="s">
        <v>2228</v>
      </c>
      <c r="K415" s="8" t="s">
        <v>2229</v>
      </c>
      <c r="L415" s="8" t="s">
        <v>2228</v>
      </c>
      <c r="M415" s="8" t="s">
        <v>2230</v>
      </c>
      <c r="N415" s="8" t="s">
        <v>1220</v>
      </c>
      <c r="O415" s="6">
        <f t="shared" si="8"/>
        <v>2820.8092485549132</v>
      </c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</row>
    <row r="416" spans="1:27" ht="12.75" x14ac:dyDescent="0.2">
      <c r="A416" s="12" t="s">
        <v>1509</v>
      </c>
      <c r="B416" s="13" t="s">
        <v>640</v>
      </c>
      <c r="C416" s="12">
        <v>5</v>
      </c>
      <c r="D416" s="14" t="e">
        <f t="shared" si="5"/>
        <v>#VALUE!</v>
      </c>
      <c r="E416" s="14" t="s">
        <v>658</v>
      </c>
      <c r="F416" s="15">
        <v>366</v>
      </c>
      <c r="G416" s="14" t="s">
        <v>28</v>
      </c>
      <c r="H416" s="8" t="s">
        <v>2231</v>
      </c>
      <c r="I416" s="11" t="s">
        <v>2232</v>
      </c>
      <c r="J416" s="8" t="s">
        <v>2231</v>
      </c>
      <c r="K416" s="8" t="s">
        <v>2233</v>
      </c>
      <c r="L416" s="8" t="s">
        <v>2231</v>
      </c>
      <c r="M416" s="8" t="s">
        <v>2234</v>
      </c>
      <c r="N416" s="8" t="s">
        <v>2235</v>
      </c>
      <c r="O416" s="6">
        <f t="shared" si="8"/>
        <v>2824.8587570621471</v>
      </c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</row>
    <row r="417" spans="1:27" ht="12.75" x14ac:dyDescent="0.2">
      <c r="A417" s="12" t="s">
        <v>1509</v>
      </c>
      <c r="B417" s="13" t="s">
        <v>640</v>
      </c>
      <c r="C417" s="12">
        <v>6</v>
      </c>
      <c r="D417" s="14" t="e">
        <f t="shared" si="5"/>
        <v>#VALUE!</v>
      </c>
      <c r="E417" s="14" t="s">
        <v>664</v>
      </c>
      <c r="F417" s="15">
        <v>370</v>
      </c>
      <c r="G417" s="14" t="s">
        <v>17</v>
      </c>
      <c r="H417" s="8" t="s">
        <v>2236</v>
      </c>
      <c r="I417" s="8" t="s">
        <v>2236</v>
      </c>
      <c r="J417" s="11" t="s">
        <v>2237</v>
      </c>
      <c r="K417" s="8" t="s">
        <v>2238</v>
      </c>
      <c r="L417" s="8" t="s">
        <v>2236</v>
      </c>
      <c r="M417" s="8" t="s">
        <v>2239</v>
      </c>
      <c r="N417" s="8" t="s">
        <v>720</v>
      </c>
      <c r="O417" s="6">
        <f t="shared" si="8"/>
        <v>2828.7292817679559</v>
      </c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</row>
    <row r="418" spans="1:27" ht="12.75" x14ac:dyDescent="0.2">
      <c r="A418" s="12" t="s">
        <v>1509</v>
      </c>
      <c r="B418" s="13" t="s">
        <v>640</v>
      </c>
      <c r="C418" s="12">
        <v>7</v>
      </c>
      <c r="D418" s="14" t="e">
        <f t="shared" si="5"/>
        <v>#VALUE!</v>
      </c>
      <c r="E418" s="14" t="s">
        <v>669</v>
      </c>
      <c r="F418" s="15">
        <v>374</v>
      </c>
      <c r="G418" s="14" t="s">
        <v>28</v>
      </c>
      <c r="H418" s="8" t="s">
        <v>2240</v>
      </c>
      <c r="I418" s="11" t="s">
        <v>2241</v>
      </c>
      <c r="J418" s="8" t="s">
        <v>2240</v>
      </c>
      <c r="K418" s="8" t="s">
        <v>2242</v>
      </c>
      <c r="L418" s="8" t="s">
        <v>2240</v>
      </c>
      <c r="M418" s="8" t="s">
        <v>2243</v>
      </c>
      <c r="N418" s="8" t="s">
        <v>2068</v>
      </c>
      <c r="O418" s="6">
        <f t="shared" si="8"/>
        <v>2832.4324324324325</v>
      </c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</row>
    <row r="419" spans="1:27" ht="12.75" x14ac:dyDescent="0.2">
      <c r="A419" s="12" t="s">
        <v>1509</v>
      </c>
      <c r="B419" s="13" t="s">
        <v>640</v>
      </c>
      <c r="C419" s="12">
        <v>8</v>
      </c>
      <c r="D419" s="14" t="e">
        <f t="shared" si="5"/>
        <v>#VALUE!</v>
      </c>
      <c r="E419" s="14" t="s">
        <v>674</v>
      </c>
      <c r="F419" s="15">
        <v>378</v>
      </c>
      <c r="G419" s="14" t="s">
        <v>17</v>
      </c>
      <c r="H419" s="8" t="s">
        <v>2244</v>
      </c>
      <c r="I419" s="8" t="s">
        <v>2244</v>
      </c>
      <c r="J419" s="11" t="s">
        <v>2245</v>
      </c>
      <c r="K419" s="8" t="s">
        <v>2246</v>
      </c>
      <c r="L419" s="8" t="s">
        <v>2244</v>
      </c>
      <c r="M419" s="8" t="s">
        <v>2247</v>
      </c>
      <c r="N419" s="8" t="s">
        <v>2082</v>
      </c>
      <c r="O419" s="6">
        <f t="shared" si="8"/>
        <v>2835.9788359788358</v>
      </c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</row>
    <row r="420" spans="1:27" ht="12.75" x14ac:dyDescent="0.2">
      <c r="A420" s="12" t="s">
        <v>1509</v>
      </c>
      <c r="B420" s="13" t="s">
        <v>640</v>
      </c>
      <c r="C420" s="12">
        <v>9</v>
      </c>
      <c r="D420" s="14" t="e">
        <f t="shared" si="5"/>
        <v>#VALUE!</v>
      </c>
      <c r="E420" s="14" t="s">
        <v>679</v>
      </c>
      <c r="F420" s="15">
        <v>382</v>
      </c>
      <c r="G420" s="14" t="s">
        <v>17</v>
      </c>
      <c r="H420" s="8" t="s">
        <v>2248</v>
      </c>
      <c r="I420" s="8" t="s">
        <v>2248</v>
      </c>
      <c r="J420" s="11" t="s">
        <v>1809</v>
      </c>
      <c r="K420" s="8" t="s">
        <v>2249</v>
      </c>
      <c r="L420" s="8" t="s">
        <v>2248</v>
      </c>
      <c r="M420" s="8" t="s">
        <v>2250</v>
      </c>
      <c r="N420" s="8" t="s">
        <v>2251</v>
      </c>
      <c r="O420" s="6">
        <f t="shared" si="8"/>
        <v>2839.3782383419689</v>
      </c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</row>
    <row r="421" spans="1:27" ht="12.75" x14ac:dyDescent="0.2">
      <c r="A421" s="12" t="s">
        <v>1509</v>
      </c>
      <c r="B421" s="13" t="s">
        <v>640</v>
      </c>
      <c r="C421" s="12">
        <v>10</v>
      </c>
      <c r="D421" s="14" t="e">
        <f t="shared" si="5"/>
        <v>#VALUE!</v>
      </c>
      <c r="E421" s="14" t="s">
        <v>685</v>
      </c>
      <c r="F421" s="15">
        <v>390</v>
      </c>
      <c r="G421" s="14" t="s">
        <v>28</v>
      </c>
      <c r="H421" s="8" t="s">
        <v>2252</v>
      </c>
      <c r="I421" s="11" t="s">
        <v>2253</v>
      </c>
      <c r="J421" s="8" t="s">
        <v>2252</v>
      </c>
      <c r="K421" s="8" t="s">
        <v>2254</v>
      </c>
      <c r="L421" s="8" t="s">
        <v>2252</v>
      </c>
      <c r="M421" s="8" t="s">
        <v>2255</v>
      </c>
      <c r="N421" s="8" t="s">
        <v>2256</v>
      </c>
      <c r="O421" s="6">
        <f t="shared" si="8"/>
        <v>2845.7711442786072</v>
      </c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</row>
    <row r="422" spans="1:27" ht="12.75" x14ac:dyDescent="0.2">
      <c r="A422" s="4" t="s">
        <v>1509</v>
      </c>
      <c r="B422" s="5" t="s">
        <v>690</v>
      </c>
      <c r="C422" s="4">
        <v>1</v>
      </c>
      <c r="D422" s="6" t="e">
        <f t="shared" si="5"/>
        <v>#VALUE!</v>
      </c>
      <c r="E422" s="6" t="s">
        <v>691</v>
      </c>
      <c r="F422" s="7">
        <v>424</v>
      </c>
      <c r="G422" s="6" t="s">
        <v>21</v>
      </c>
      <c r="H422" s="11" t="s">
        <v>2257</v>
      </c>
      <c r="I422" s="9" t="s">
        <v>2258</v>
      </c>
      <c r="J422" s="9" t="s">
        <v>2259</v>
      </c>
      <c r="K422" s="9" t="s">
        <v>2260</v>
      </c>
      <c r="L422" s="9" t="s">
        <v>2261</v>
      </c>
      <c r="M422" s="9" t="s">
        <v>2262</v>
      </c>
      <c r="N422" s="9" t="s">
        <v>1017</v>
      </c>
      <c r="O422" s="6">
        <f t="shared" si="8"/>
        <v>2125.0000208842384</v>
      </c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2.75" x14ac:dyDescent="0.2">
      <c r="A423" s="4" t="s">
        <v>1509</v>
      </c>
      <c r="B423" s="5" t="s">
        <v>690</v>
      </c>
      <c r="C423" s="4">
        <v>2</v>
      </c>
      <c r="D423" s="6" t="e">
        <f t="shared" si="5"/>
        <v>#VALUE!</v>
      </c>
      <c r="E423" s="6" t="s">
        <v>699</v>
      </c>
      <c r="F423" s="7">
        <v>428</v>
      </c>
      <c r="G423" s="6" t="s">
        <v>17</v>
      </c>
      <c r="H423" s="8" t="s">
        <v>2263</v>
      </c>
      <c r="I423" s="9" t="s">
        <v>574</v>
      </c>
      <c r="J423" s="10" t="s">
        <v>2264</v>
      </c>
      <c r="K423" s="9" t="s">
        <v>2265</v>
      </c>
      <c r="L423" s="9" t="s">
        <v>2266</v>
      </c>
      <c r="M423" s="9" t="s">
        <v>2267</v>
      </c>
      <c r="N423" s="9" t="s">
        <v>1017</v>
      </c>
      <c r="O423" s="6">
        <f t="shared" si="8"/>
        <v>858.03471435507367</v>
      </c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2.75" x14ac:dyDescent="0.2">
      <c r="A424" s="4" t="s">
        <v>1509</v>
      </c>
      <c r="B424" s="5" t="s">
        <v>690</v>
      </c>
      <c r="C424" s="4">
        <v>3</v>
      </c>
      <c r="D424" s="6" t="e">
        <f t="shared" si="5"/>
        <v>#VALUE!</v>
      </c>
      <c r="E424" s="6" t="s">
        <v>707</v>
      </c>
      <c r="F424" s="7">
        <v>432</v>
      </c>
      <c r="G424" s="6" t="s">
        <v>21</v>
      </c>
      <c r="H424" s="11" t="s">
        <v>2268</v>
      </c>
      <c r="I424" s="9" t="s">
        <v>2269</v>
      </c>
      <c r="J424" s="9" t="s">
        <v>2270</v>
      </c>
      <c r="K424" s="9" t="s">
        <v>2271</v>
      </c>
      <c r="L424" s="9" t="s">
        <v>2272</v>
      </c>
      <c r="M424" s="9" t="s">
        <v>2273</v>
      </c>
      <c r="N424" s="9" t="s">
        <v>1017</v>
      </c>
      <c r="O424" s="6">
        <f t="shared" si="8"/>
        <v>2165.0000767165325</v>
      </c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2.75" x14ac:dyDescent="0.2">
      <c r="A425" s="4" t="s">
        <v>1509</v>
      </c>
      <c r="B425" s="5" t="s">
        <v>690</v>
      </c>
      <c r="C425" s="4">
        <v>4</v>
      </c>
      <c r="D425" s="6" t="e">
        <f t="shared" si="5"/>
        <v>#VALUE!</v>
      </c>
      <c r="E425" s="6" t="s">
        <v>715</v>
      </c>
      <c r="F425" s="7">
        <v>436</v>
      </c>
      <c r="G425" s="6" t="s">
        <v>17</v>
      </c>
      <c r="H425" s="8" t="s">
        <v>2274</v>
      </c>
      <c r="I425" s="9" t="s">
        <v>2275</v>
      </c>
      <c r="J425" s="10" t="s">
        <v>2276</v>
      </c>
      <c r="K425" s="9" t="s">
        <v>2277</v>
      </c>
      <c r="L425" s="9" t="s">
        <v>2278</v>
      </c>
      <c r="M425" s="9" t="s">
        <v>2279</v>
      </c>
      <c r="N425" s="9" t="s">
        <v>1017</v>
      </c>
      <c r="O425" s="6">
        <f t="shared" si="8"/>
        <v>874</v>
      </c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2.75" x14ac:dyDescent="0.2">
      <c r="A426" s="4" t="s">
        <v>1509</v>
      </c>
      <c r="B426" s="5" t="s">
        <v>690</v>
      </c>
      <c r="C426" s="4">
        <v>5</v>
      </c>
      <c r="D426" s="6" t="e">
        <f t="shared" si="5"/>
        <v>#VALUE!</v>
      </c>
      <c r="E426" s="6" t="s">
        <v>721</v>
      </c>
      <c r="F426" s="7">
        <v>440</v>
      </c>
      <c r="G426" s="6" t="s">
        <v>21</v>
      </c>
      <c r="H426" s="11" t="s">
        <v>2280</v>
      </c>
      <c r="I426" s="9" t="s">
        <v>2281</v>
      </c>
      <c r="J426" s="9" t="s">
        <v>2282</v>
      </c>
      <c r="K426" s="9" t="s">
        <v>2283</v>
      </c>
      <c r="L426" s="9" t="s">
        <v>2284</v>
      </c>
      <c r="M426" s="9" t="s">
        <v>2285</v>
      </c>
      <c r="N426" s="9" t="s">
        <v>1017</v>
      </c>
      <c r="O426" s="6">
        <f t="shared" si="8"/>
        <v>2205.0000513127511</v>
      </c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2.75" x14ac:dyDescent="0.2">
      <c r="A427" s="4" t="s">
        <v>1509</v>
      </c>
      <c r="B427" s="5" t="s">
        <v>690</v>
      </c>
      <c r="C427" s="4">
        <v>6</v>
      </c>
      <c r="D427" s="6" t="e">
        <f t="shared" si="5"/>
        <v>#VALUE!</v>
      </c>
      <c r="E427" s="6" t="s">
        <v>729</v>
      </c>
      <c r="F427" s="7">
        <v>444</v>
      </c>
      <c r="G427" s="6" t="s">
        <v>28</v>
      </c>
      <c r="H427" s="8" t="s">
        <v>2286</v>
      </c>
      <c r="I427" s="10" t="s">
        <v>2287</v>
      </c>
      <c r="J427" s="9" t="s">
        <v>2288</v>
      </c>
      <c r="K427" s="9" t="s">
        <v>2289</v>
      </c>
      <c r="L427" s="9" t="s">
        <v>2290</v>
      </c>
      <c r="M427" s="9" t="s">
        <v>2291</v>
      </c>
      <c r="N427" s="9" t="s">
        <v>1017</v>
      </c>
      <c r="O427" s="6">
        <f t="shared" si="8"/>
        <v>1780</v>
      </c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2.75" x14ac:dyDescent="0.2">
      <c r="A428" s="4" t="s">
        <v>1509</v>
      </c>
      <c r="B428" s="5" t="s">
        <v>690</v>
      </c>
      <c r="C428" s="4">
        <v>7</v>
      </c>
      <c r="D428" s="6" t="e">
        <f t="shared" si="5"/>
        <v>#VALUE!</v>
      </c>
      <c r="E428" s="6" t="s">
        <v>737</v>
      </c>
      <c r="F428" s="7">
        <v>448</v>
      </c>
      <c r="G428" s="6" t="s">
        <v>17</v>
      </c>
      <c r="H428" s="8" t="s">
        <v>355</v>
      </c>
      <c r="I428" s="9" t="s">
        <v>2292</v>
      </c>
      <c r="J428" s="10" t="s">
        <v>2293</v>
      </c>
      <c r="K428" s="9" t="s">
        <v>2294</v>
      </c>
      <c r="L428" s="9" t="s">
        <v>2295</v>
      </c>
      <c r="M428" s="9" t="s">
        <v>2296</v>
      </c>
      <c r="N428" s="9" t="s">
        <v>1017</v>
      </c>
      <c r="O428" s="6">
        <f t="shared" si="8"/>
        <v>898</v>
      </c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2.75" x14ac:dyDescent="0.2">
      <c r="A429" s="4" t="s">
        <v>1509</v>
      </c>
      <c r="B429" s="5" t="s">
        <v>690</v>
      </c>
      <c r="C429" s="4">
        <v>8</v>
      </c>
      <c r="D429" s="6" t="e">
        <f t="shared" si="5"/>
        <v>#VALUE!</v>
      </c>
      <c r="E429" s="6" t="s">
        <v>744</v>
      </c>
      <c r="F429" s="7">
        <v>452</v>
      </c>
      <c r="G429" s="6" t="s">
        <v>21</v>
      </c>
      <c r="H429" s="11" t="s">
        <v>2297</v>
      </c>
      <c r="I429" s="9" t="s">
        <v>2298</v>
      </c>
      <c r="J429" s="9" t="s">
        <v>2299</v>
      </c>
      <c r="K429" s="9" t="s">
        <v>2300</v>
      </c>
      <c r="L429" s="9" t="s">
        <v>987</v>
      </c>
      <c r="M429" s="9" t="s">
        <v>2301</v>
      </c>
      <c r="N429" s="9" t="s">
        <v>1017</v>
      </c>
      <c r="O429" s="6">
        <f t="shared" si="8"/>
        <v>2264.9999232245682</v>
      </c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2.75" x14ac:dyDescent="0.2">
      <c r="A430" s="4" t="s">
        <v>1509</v>
      </c>
      <c r="B430" s="5" t="s">
        <v>690</v>
      </c>
      <c r="C430" s="4">
        <v>9</v>
      </c>
      <c r="D430" s="6" t="e">
        <f t="shared" si="5"/>
        <v>#VALUE!</v>
      </c>
      <c r="E430" s="6" t="s">
        <v>752</v>
      </c>
      <c r="F430" s="7">
        <v>456</v>
      </c>
      <c r="G430" s="6" t="s">
        <v>21</v>
      </c>
      <c r="H430" s="11" t="s">
        <v>1330</v>
      </c>
      <c r="I430" s="9" t="s">
        <v>2302</v>
      </c>
      <c r="J430" s="9" t="s">
        <v>2303</v>
      </c>
      <c r="K430" s="9" t="s">
        <v>2304</v>
      </c>
      <c r="L430" s="9" t="s">
        <v>2305</v>
      </c>
      <c r="M430" s="9" t="s">
        <v>2306</v>
      </c>
      <c r="N430" s="9" t="s">
        <v>1017</v>
      </c>
      <c r="O430" s="6">
        <f t="shared" si="8"/>
        <v>2285.0000475127094</v>
      </c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2.75" x14ac:dyDescent="0.2">
      <c r="A431" s="4" t="s">
        <v>1509</v>
      </c>
      <c r="B431" s="5" t="s">
        <v>690</v>
      </c>
      <c r="C431" s="4">
        <v>10</v>
      </c>
      <c r="D431" s="6" t="e">
        <f t="shared" si="5"/>
        <v>#VALUE!</v>
      </c>
      <c r="E431" s="6" t="s">
        <v>760</v>
      </c>
      <c r="F431" s="7">
        <v>460</v>
      </c>
      <c r="G431" s="6" t="s">
        <v>21</v>
      </c>
      <c r="H431" s="11" t="s">
        <v>2307</v>
      </c>
      <c r="I431" s="9" t="s">
        <v>2308</v>
      </c>
      <c r="J431" s="9" t="s">
        <v>2309</v>
      </c>
      <c r="K431" s="9" t="s">
        <v>2310</v>
      </c>
      <c r="L431" s="9" t="s">
        <v>2311</v>
      </c>
      <c r="M431" s="9" t="s">
        <v>2312</v>
      </c>
      <c r="N431" s="9" t="s">
        <v>1017</v>
      </c>
      <c r="O431" s="6">
        <f t="shared" si="8"/>
        <v>2304.9999427163889</v>
      </c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2.75" x14ac:dyDescent="0.2">
      <c r="A432" s="12" t="s">
        <v>1509</v>
      </c>
      <c r="B432" s="13" t="s">
        <v>768</v>
      </c>
      <c r="C432" s="12">
        <v>1</v>
      </c>
      <c r="D432" s="14" t="e">
        <f t="shared" si="5"/>
        <v>#VALUE!</v>
      </c>
      <c r="E432" s="14" t="s">
        <v>769</v>
      </c>
      <c r="F432" s="15">
        <v>370</v>
      </c>
      <c r="G432" s="14" t="s">
        <v>17</v>
      </c>
      <c r="H432" s="8" t="s">
        <v>2236</v>
      </c>
      <c r="I432" s="8" t="s">
        <v>2236</v>
      </c>
      <c r="J432" s="11" t="s">
        <v>2237</v>
      </c>
      <c r="K432" s="8" t="s">
        <v>2238</v>
      </c>
      <c r="L432" s="8" t="s">
        <v>2236</v>
      </c>
      <c r="M432" s="8" t="s">
        <v>2239</v>
      </c>
      <c r="N432" s="8" t="s">
        <v>720</v>
      </c>
      <c r="O432" s="6">
        <f t="shared" si="8"/>
        <v>2828.7292817679559</v>
      </c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</row>
    <row r="433" spans="1:27" ht="12.75" x14ac:dyDescent="0.2">
      <c r="A433" s="12" t="s">
        <v>1509</v>
      </c>
      <c r="B433" s="13" t="s">
        <v>768</v>
      </c>
      <c r="C433" s="12">
        <v>2</v>
      </c>
      <c r="D433" s="14" t="e">
        <f t="shared" si="5"/>
        <v>#VALUE!</v>
      </c>
      <c r="E433" s="14" t="s">
        <v>774</v>
      </c>
      <c r="F433" s="15">
        <v>376</v>
      </c>
      <c r="G433" s="14" t="s">
        <v>21</v>
      </c>
      <c r="H433" s="11" t="s">
        <v>2313</v>
      </c>
      <c r="I433" s="8" t="s">
        <v>2314</v>
      </c>
      <c r="J433" s="8" t="s">
        <v>2314</v>
      </c>
      <c r="K433" s="8" t="s">
        <v>2315</v>
      </c>
      <c r="L433" s="8" t="s">
        <v>2314</v>
      </c>
      <c r="M433" s="8" t="s">
        <v>2316</v>
      </c>
      <c r="N433" s="8" t="s">
        <v>2317</v>
      </c>
      <c r="O433" s="6">
        <f t="shared" si="8"/>
        <v>2834.2245989304811</v>
      </c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</row>
    <row r="434" spans="1:27" ht="12.75" x14ac:dyDescent="0.2">
      <c r="A434" s="12" t="s">
        <v>1509</v>
      </c>
      <c r="B434" s="13" t="s">
        <v>768</v>
      </c>
      <c r="C434" s="12">
        <v>3</v>
      </c>
      <c r="D434" s="14" t="e">
        <f t="shared" si="5"/>
        <v>#VALUE!</v>
      </c>
      <c r="E434" s="14" t="s">
        <v>780</v>
      </c>
      <c r="F434" s="15">
        <v>382</v>
      </c>
      <c r="G434" s="14" t="s">
        <v>28</v>
      </c>
      <c r="H434" s="8" t="s">
        <v>2248</v>
      </c>
      <c r="I434" s="11" t="s">
        <v>1809</v>
      </c>
      <c r="J434" s="8" t="s">
        <v>2248</v>
      </c>
      <c r="K434" s="8" t="s">
        <v>2249</v>
      </c>
      <c r="L434" s="8" t="s">
        <v>2248</v>
      </c>
      <c r="M434" s="8" t="s">
        <v>2250</v>
      </c>
      <c r="N434" s="8" t="s">
        <v>2094</v>
      </c>
      <c r="O434" s="6">
        <f t="shared" si="8"/>
        <v>2839.3782383419689</v>
      </c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</row>
    <row r="435" spans="1:27" ht="12.75" x14ac:dyDescent="0.2">
      <c r="A435" s="12" t="s">
        <v>1509</v>
      </c>
      <c r="B435" s="13" t="s">
        <v>768</v>
      </c>
      <c r="C435" s="12">
        <v>4</v>
      </c>
      <c r="D435" s="14" t="e">
        <f t="shared" si="5"/>
        <v>#VALUE!</v>
      </c>
      <c r="E435" s="14" t="s">
        <v>786</v>
      </c>
      <c r="F435" s="15">
        <v>388</v>
      </c>
      <c r="G435" s="14" t="s">
        <v>21</v>
      </c>
      <c r="H435" s="11" t="s">
        <v>2318</v>
      </c>
      <c r="I435" s="8" t="s">
        <v>2319</v>
      </c>
      <c r="J435" s="8" t="s">
        <v>2319</v>
      </c>
      <c r="K435" s="8" t="s">
        <v>2320</v>
      </c>
      <c r="L435" s="8" t="s">
        <v>2319</v>
      </c>
      <c r="M435" s="8" t="s">
        <v>2321</v>
      </c>
      <c r="N435" s="8" t="s">
        <v>2115</v>
      </c>
      <c r="O435" s="6">
        <f t="shared" si="8"/>
        <v>2844.221105527638</v>
      </c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</row>
    <row r="436" spans="1:27" ht="12.75" x14ac:dyDescent="0.2">
      <c r="A436" s="12" t="s">
        <v>1509</v>
      </c>
      <c r="B436" s="13" t="s">
        <v>768</v>
      </c>
      <c r="C436" s="12">
        <v>5</v>
      </c>
      <c r="D436" s="14" t="e">
        <f t="shared" si="5"/>
        <v>#VALUE!</v>
      </c>
      <c r="E436" s="14" t="s">
        <v>792</v>
      </c>
      <c r="F436" s="15">
        <v>394</v>
      </c>
      <c r="G436" s="14" t="s">
        <v>28</v>
      </c>
      <c r="H436" s="8" t="s">
        <v>2322</v>
      </c>
      <c r="I436" s="11" t="s">
        <v>2323</v>
      </c>
      <c r="J436" s="8" t="s">
        <v>2322</v>
      </c>
      <c r="K436" s="8" t="s">
        <v>2324</v>
      </c>
      <c r="L436" s="8" t="s">
        <v>2322</v>
      </c>
      <c r="M436" s="8" t="s">
        <v>2325</v>
      </c>
      <c r="N436" s="8" t="s">
        <v>1017</v>
      </c>
      <c r="O436" s="6">
        <f t="shared" si="8"/>
        <v>2848.7804878048782</v>
      </c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</row>
    <row r="437" spans="1:27" ht="12.75" x14ac:dyDescent="0.2">
      <c r="A437" s="12" t="s">
        <v>1509</v>
      </c>
      <c r="B437" s="13" t="s">
        <v>768</v>
      </c>
      <c r="C437" s="12">
        <v>6</v>
      </c>
      <c r="D437" s="14" t="e">
        <f t="shared" si="5"/>
        <v>#VALUE!</v>
      </c>
      <c r="E437" s="14" t="s">
        <v>798</v>
      </c>
      <c r="F437" s="15">
        <v>400</v>
      </c>
      <c r="G437" s="14" t="s">
        <v>21</v>
      </c>
      <c r="H437" s="11" t="s">
        <v>655</v>
      </c>
      <c r="I437" s="8" t="s">
        <v>605</v>
      </c>
      <c r="J437" s="8" t="s">
        <v>605</v>
      </c>
      <c r="K437" s="8" t="s">
        <v>2326</v>
      </c>
      <c r="L437" s="8" t="s">
        <v>605</v>
      </c>
      <c r="M437" s="8" t="s">
        <v>1017</v>
      </c>
      <c r="N437" s="8" t="s">
        <v>1017</v>
      </c>
      <c r="O437" s="6">
        <f t="shared" si="8"/>
        <v>2727.2727272727275</v>
      </c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</row>
    <row r="438" spans="1:27" ht="12.75" x14ac:dyDescent="0.2">
      <c r="A438" s="12" t="s">
        <v>1509</v>
      </c>
      <c r="B438" s="13" t="s">
        <v>768</v>
      </c>
      <c r="C438" s="12">
        <v>7</v>
      </c>
      <c r="D438" s="14" t="e">
        <f t="shared" si="5"/>
        <v>#VALUE!</v>
      </c>
      <c r="E438" s="14" t="s">
        <v>803</v>
      </c>
      <c r="F438" s="15">
        <v>406</v>
      </c>
      <c r="G438" s="14" t="s">
        <v>28</v>
      </c>
      <c r="H438" s="8" t="s">
        <v>611</v>
      </c>
      <c r="I438" s="11" t="s">
        <v>2327</v>
      </c>
      <c r="J438" s="8" t="s">
        <v>611</v>
      </c>
      <c r="K438" s="8" t="s">
        <v>2328</v>
      </c>
      <c r="L438" s="8" t="s">
        <v>611</v>
      </c>
      <c r="M438" s="8" t="s">
        <v>2329</v>
      </c>
      <c r="N438" s="8" t="s">
        <v>1017</v>
      </c>
      <c r="O438" s="6">
        <f t="shared" si="8"/>
        <v>2770.0348432055748</v>
      </c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</row>
    <row r="439" spans="1:27" ht="17.25" customHeight="1" x14ac:dyDescent="0.2">
      <c r="A439" s="12" t="s">
        <v>1509</v>
      </c>
      <c r="B439" s="13" t="s">
        <v>768</v>
      </c>
      <c r="C439" s="12">
        <v>8</v>
      </c>
      <c r="D439" s="14" t="e">
        <f t="shared" si="5"/>
        <v>#VALUE!</v>
      </c>
      <c r="E439" s="14" t="s">
        <v>809</v>
      </c>
      <c r="F439" s="15">
        <v>412</v>
      </c>
      <c r="G439" s="14" t="s">
        <v>17</v>
      </c>
      <c r="H439" s="8" t="s">
        <v>616</v>
      </c>
      <c r="I439" s="8" t="s">
        <v>616</v>
      </c>
      <c r="J439" s="11" t="s">
        <v>2330</v>
      </c>
      <c r="K439" s="8" t="s">
        <v>2331</v>
      </c>
      <c r="L439" s="8" t="s">
        <v>616</v>
      </c>
      <c r="M439" s="8" t="s">
        <v>2332</v>
      </c>
      <c r="N439" s="8" t="s">
        <v>1017</v>
      </c>
      <c r="O439" s="6">
        <f t="shared" si="8"/>
        <v>2809.3645484949834</v>
      </c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</row>
    <row r="440" spans="1:27" ht="12.75" x14ac:dyDescent="0.2">
      <c r="A440" s="12" t="s">
        <v>1509</v>
      </c>
      <c r="B440" s="13" t="s">
        <v>768</v>
      </c>
      <c r="C440" s="12">
        <v>9</v>
      </c>
      <c r="D440" s="14" t="e">
        <f t="shared" si="5"/>
        <v>#VALUE!</v>
      </c>
      <c r="E440" s="14" t="s">
        <v>815</v>
      </c>
      <c r="F440" s="15">
        <v>418</v>
      </c>
      <c r="G440" s="14" t="s">
        <v>17</v>
      </c>
      <c r="H440" s="8" t="s">
        <v>621</v>
      </c>
      <c r="I440" s="8" t="s">
        <v>621</v>
      </c>
      <c r="J440" s="11" t="s">
        <v>2333</v>
      </c>
      <c r="K440" s="8" t="s">
        <v>2334</v>
      </c>
      <c r="L440" s="8" t="s">
        <v>621</v>
      </c>
      <c r="M440" s="8" t="s">
        <v>2335</v>
      </c>
      <c r="N440" s="8" t="s">
        <v>1017</v>
      </c>
      <c r="O440" s="6">
        <f t="shared" si="8"/>
        <v>2845.6591639871381</v>
      </c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</row>
    <row r="441" spans="1:27" ht="12.75" x14ac:dyDescent="0.2">
      <c r="A441" s="12" t="s">
        <v>1509</v>
      </c>
      <c r="B441" s="13" t="s">
        <v>768</v>
      </c>
      <c r="C441" s="12">
        <v>10</v>
      </c>
      <c r="D441" s="14" t="e">
        <f t="shared" si="5"/>
        <v>#VALUE!</v>
      </c>
      <c r="E441" s="14" t="s">
        <v>821</v>
      </c>
      <c r="F441" s="15">
        <v>430</v>
      </c>
      <c r="G441" s="14" t="s">
        <v>28</v>
      </c>
      <c r="H441" s="8" t="s">
        <v>632</v>
      </c>
      <c r="I441" s="11" t="s">
        <v>2336</v>
      </c>
      <c r="J441" s="8" t="s">
        <v>632</v>
      </c>
      <c r="K441" s="8" t="s">
        <v>2337</v>
      </c>
      <c r="L441" s="8" t="s">
        <v>632</v>
      </c>
      <c r="M441" s="8" t="s">
        <v>2338</v>
      </c>
      <c r="N441" s="8" t="s">
        <v>1017</v>
      </c>
      <c r="O441" s="6">
        <f t="shared" si="8"/>
        <v>2910.4477611940297</v>
      </c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</row>
    <row r="442" spans="1:27" ht="12.75" x14ac:dyDescent="0.2">
      <c r="A442" s="4" t="s">
        <v>1509</v>
      </c>
      <c r="B442" s="5" t="s">
        <v>826</v>
      </c>
      <c r="C442" s="4">
        <v>1</v>
      </c>
      <c r="D442" s="6" t="e">
        <f t="shared" si="5"/>
        <v>#VALUE!</v>
      </c>
      <c r="E442" s="6" t="s">
        <v>827</v>
      </c>
      <c r="F442" s="7">
        <v>410</v>
      </c>
      <c r="G442" s="6" t="s">
        <v>28</v>
      </c>
      <c r="H442" s="8" t="s">
        <v>2339</v>
      </c>
      <c r="I442" s="10" t="s">
        <v>1462</v>
      </c>
      <c r="J442" s="9" t="s">
        <v>2339</v>
      </c>
      <c r="K442" s="9" t="s">
        <v>2340</v>
      </c>
      <c r="L442" s="9" t="s">
        <v>645</v>
      </c>
      <c r="M442" s="9" t="s">
        <v>2341</v>
      </c>
      <c r="N442" s="9" t="s">
        <v>1017</v>
      </c>
      <c r="O442" s="6">
        <f t="shared" si="8"/>
        <v>2976.1905777777779</v>
      </c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2.75" x14ac:dyDescent="0.2">
      <c r="A443" s="4" t="s">
        <v>1509</v>
      </c>
      <c r="B443" s="5" t="s">
        <v>826</v>
      </c>
      <c r="C443" s="4">
        <v>2</v>
      </c>
      <c r="D443" s="6" t="e">
        <f t="shared" si="5"/>
        <v>#VALUE!</v>
      </c>
      <c r="E443" s="6" t="s">
        <v>832</v>
      </c>
      <c r="F443" s="7">
        <v>420</v>
      </c>
      <c r="G443" s="6" t="s">
        <v>21</v>
      </c>
      <c r="H443" s="11" t="s">
        <v>2342</v>
      </c>
      <c r="I443" s="9" t="s">
        <v>2343</v>
      </c>
      <c r="J443" s="9" t="s">
        <v>2344</v>
      </c>
      <c r="K443" s="9" t="s">
        <v>2345</v>
      </c>
      <c r="L443" s="9" t="s">
        <v>1862</v>
      </c>
      <c r="M443" s="9" t="s">
        <v>2346</v>
      </c>
      <c r="N443" s="9" t="s">
        <v>1017</v>
      </c>
      <c r="O443" s="6">
        <f t="shared" si="8"/>
        <v>3036.8750463704041</v>
      </c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2.75" x14ac:dyDescent="0.2">
      <c r="A444" s="4" t="s">
        <v>1509</v>
      </c>
      <c r="B444" s="5" t="s">
        <v>826</v>
      </c>
      <c r="C444" s="4">
        <v>3</v>
      </c>
      <c r="D444" s="6" t="e">
        <f t="shared" si="5"/>
        <v>#VALUE!</v>
      </c>
      <c r="E444" s="6" t="s">
        <v>840</v>
      </c>
      <c r="F444" s="7">
        <v>430</v>
      </c>
      <c r="G444" s="6" t="s">
        <v>28</v>
      </c>
      <c r="H444" s="8" t="s">
        <v>25</v>
      </c>
      <c r="I444" s="10" t="s">
        <v>2347</v>
      </c>
      <c r="J444" s="9" t="s">
        <v>2348</v>
      </c>
      <c r="K444" s="9" t="s">
        <v>1507</v>
      </c>
      <c r="L444" s="9" t="s">
        <v>2349</v>
      </c>
      <c r="M444" s="9" t="s">
        <v>2350</v>
      </c>
      <c r="N444" s="9" t="s">
        <v>1017</v>
      </c>
      <c r="O444" s="6">
        <f t="shared" si="8"/>
        <v>2591.8560000000002</v>
      </c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2.75" x14ac:dyDescent="0.2">
      <c r="A445" s="4" t="s">
        <v>1509</v>
      </c>
      <c r="B445" s="5" t="s">
        <v>826</v>
      </c>
      <c r="C445" s="4">
        <v>4</v>
      </c>
      <c r="D445" s="6" t="e">
        <f t="shared" si="5"/>
        <v>#VALUE!</v>
      </c>
      <c r="E445" s="6" t="s">
        <v>845</v>
      </c>
      <c r="F445" s="7">
        <v>440</v>
      </c>
      <c r="G445" s="6" t="s">
        <v>28</v>
      </c>
      <c r="H445" s="8" t="s">
        <v>2351</v>
      </c>
      <c r="I445" s="10" t="s">
        <v>1174</v>
      </c>
      <c r="J445" s="9" t="s">
        <v>2352</v>
      </c>
      <c r="K445" s="9" t="s">
        <v>2353</v>
      </c>
      <c r="L445" s="9" t="s">
        <v>2354</v>
      </c>
      <c r="M445" s="9" t="s">
        <v>2355</v>
      </c>
      <c r="N445" s="9" t="s">
        <v>1017</v>
      </c>
      <c r="O445" s="6">
        <f t="shared" si="8"/>
        <v>2680.072347826087</v>
      </c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2.75" x14ac:dyDescent="0.2">
      <c r="A446" s="4" t="s">
        <v>1509</v>
      </c>
      <c r="B446" s="5" t="s">
        <v>826</v>
      </c>
      <c r="C446" s="4">
        <v>5</v>
      </c>
      <c r="D446" s="6" t="e">
        <f t="shared" si="5"/>
        <v>#VALUE!</v>
      </c>
      <c r="E446" s="6" t="s">
        <v>852</v>
      </c>
      <c r="F446" s="7">
        <v>450</v>
      </c>
      <c r="G446" s="6" t="s">
        <v>17</v>
      </c>
      <c r="H446" s="8" t="s">
        <v>2356</v>
      </c>
      <c r="I446" s="9" t="s">
        <v>2357</v>
      </c>
      <c r="J446" s="10" t="s">
        <v>2358</v>
      </c>
      <c r="K446" s="9" t="s">
        <v>2359</v>
      </c>
      <c r="L446" s="9" t="s">
        <v>2360</v>
      </c>
      <c r="M446" s="9" t="s">
        <v>2361</v>
      </c>
      <c r="N446" s="9" t="s">
        <v>1017</v>
      </c>
      <c r="O446" s="6">
        <f t="shared" si="8"/>
        <v>1353.3362147919891</v>
      </c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2.75" x14ac:dyDescent="0.2">
      <c r="A447" s="4" t="s">
        <v>1509</v>
      </c>
      <c r="B447" s="5" t="s">
        <v>826</v>
      </c>
      <c r="C447" s="4">
        <v>6</v>
      </c>
      <c r="D447" s="6" t="e">
        <f t="shared" si="5"/>
        <v>#VALUE!</v>
      </c>
      <c r="E447" s="6" t="s">
        <v>859</v>
      </c>
      <c r="F447" s="7">
        <v>460</v>
      </c>
      <c r="G447" s="6" t="s">
        <v>28</v>
      </c>
      <c r="H447" s="8" t="s">
        <v>2362</v>
      </c>
      <c r="I447" s="10" t="s">
        <v>2363</v>
      </c>
      <c r="J447" s="9" t="s">
        <v>2364</v>
      </c>
      <c r="K447" s="9" t="s">
        <v>2365</v>
      </c>
      <c r="L447" s="9" t="s">
        <v>2366</v>
      </c>
      <c r="M447" s="9" t="s">
        <v>2367</v>
      </c>
      <c r="N447" s="9" t="s">
        <v>1017</v>
      </c>
      <c r="O447" s="6">
        <f t="shared" si="8"/>
        <v>2902.6493489422878</v>
      </c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2.75" x14ac:dyDescent="0.2">
      <c r="A448" s="4" t="s">
        <v>1509</v>
      </c>
      <c r="B448" s="5" t="s">
        <v>826</v>
      </c>
      <c r="C448" s="4">
        <v>7</v>
      </c>
      <c r="D448" s="6" t="e">
        <f t="shared" si="5"/>
        <v>#VALUE!</v>
      </c>
      <c r="E448" s="6" t="s">
        <v>867</v>
      </c>
      <c r="F448" s="7">
        <v>470</v>
      </c>
      <c r="G448" s="6" t="s">
        <v>28</v>
      </c>
      <c r="H448" s="8" t="s">
        <v>2368</v>
      </c>
      <c r="I448" s="10" t="s">
        <v>2369</v>
      </c>
      <c r="J448" s="9" t="s">
        <v>2370</v>
      </c>
      <c r="K448" s="9" t="s">
        <v>2371</v>
      </c>
      <c r="L448" s="9" t="s">
        <v>2372</v>
      </c>
      <c r="M448" s="9" t="s">
        <v>2373</v>
      </c>
      <c r="N448" s="9" t="s">
        <v>1017</v>
      </c>
      <c r="O448" s="6">
        <f t="shared" si="8"/>
        <v>2945.7186707441388</v>
      </c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2.75" x14ac:dyDescent="0.2">
      <c r="A449" s="4" t="s">
        <v>1509</v>
      </c>
      <c r="B449" s="5" t="s">
        <v>826</v>
      </c>
      <c r="C449" s="4">
        <v>8</v>
      </c>
      <c r="D449" s="6" t="e">
        <f t="shared" si="5"/>
        <v>#VALUE!</v>
      </c>
      <c r="E449" s="6" t="s">
        <v>873</v>
      </c>
      <c r="F449" s="7">
        <v>480</v>
      </c>
      <c r="G449" s="6" t="s">
        <v>21</v>
      </c>
      <c r="H449" s="11" t="s">
        <v>2374</v>
      </c>
      <c r="I449" s="9" t="s">
        <v>2375</v>
      </c>
      <c r="J449" s="9" t="s">
        <v>2376</v>
      </c>
      <c r="K449" s="9" t="s">
        <v>2377</v>
      </c>
      <c r="L449" s="9" t="s">
        <v>2378</v>
      </c>
      <c r="M449" s="9" t="s">
        <v>2379</v>
      </c>
      <c r="N449" s="9" t="s">
        <v>1017</v>
      </c>
      <c r="O449" s="6">
        <f t="shared" si="8"/>
        <v>3963.7573562767079</v>
      </c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2.75" x14ac:dyDescent="0.2">
      <c r="A450" s="4" t="s">
        <v>1509</v>
      </c>
      <c r="B450" s="5" t="s">
        <v>826</v>
      </c>
      <c r="C450" s="4">
        <v>9</v>
      </c>
      <c r="D450" s="6" t="e">
        <f t="shared" si="5"/>
        <v>#VALUE!</v>
      </c>
      <c r="E450" s="6" t="s">
        <v>881</v>
      </c>
      <c r="F450" s="7">
        <v>490</v>
      </c>
      <c r="G450" s="6" t="s">
        <v>21</v>
      </c>
      <c r="H450" s="11" t="s">
        <v>2380</v>
      </c>
      <c r="I450" s="9" t="s">
        <v>2381</v>
      </c>
      <c r="J450" s="9" t="s">
        <v>2382</v>
      </c>
      <c r="K450" s="9" t="s">
        <v>2383</v>
      </c>
      <c r="L450" s="9" t="s">
        <v>2384</v>
      </c>
      <c r="M450" s="9" t="s">
        <v>2385</v>
      </c>
      <c r="N450" s="9" t="s">
        <v>1017</v>
      </c>
      <c r="O450" s="6">
        <f t="shared" si="8"/>
        <v>4146.6668443175513</v>
      </c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2.75" x14ac:dyDescent="0.2">
      <c r="A451" s="4" t="s">
        <v>1509</v>
      </c>
      <c r="B451" s="5" t="s">
        <v>826</v>
      </c>
      <c r="C451" s="4">
        <v>10</v>
      </c>
      <c r="D451" s="6" t="e">
        <f t="shared" si="5"/>
        <v>#VALUE!</v>
      </c>
      <c r="E451" s="6" t="s">
        <v>887</v>
      </c>
      <c r="F451" s="7">
        <v>500</v>
      </c>
      <c r="G451" s="6" t="s">
        <v>17</v>
      </c>
      <c r="H451" s="8" t="s">
        <v>2386</v>
      </c>
      <c r="I451" s="9" t="s">
        <v>2387</v>
      </c>
      <c r="J451" s="10" t="s">
        <v>2388</v>
      </c>
      <c r="K451" s="9" t="s">
        <v>2383</v>
      </c>
      <c r="L451" s="9" t="s">
        <v>2389</v>
      </c>
      <c r="M451" s="9" t="s">
        <v>2390</v>
      </c>
      <c r="N451" s="9" t="s">
        <v>1017</v>
      </c>
      <c r="O451" s="6">
        <f t="shared" ref="O451:O514" si="9">M451/K451</f>
        <v>1695.9998984852091</v>
      </c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2.75" x14ac:dyDescent="0.2">
      <c r="A452" s="4" t="s">
        <v>1509</v>
      </c>
      <c r="B452" s="5" t="s">
        <v>894</v>
      </c>
      <c r="C452" s="4">
        <v>1</v>
      </c>
      <c r="D452" s="6" t="e">
        <f t="shared" si="5"/>
        <v>#VALUE!</v>
      </c>
      <c r="E452" s="6" t="s">
        <v>895</v>
      </c>
      <c r="F452" s="7">
        <v>328</v>
      </c>
      <c r="G452" s="6" t="s">
        <v>21</v>
      </c>
      <c r="H452" s="11" t="s">
        <v>2391</v>
      </c>
      <c r="I452" s="9" t="s">
        <v>2392</v>
      </c>
      <c r="J452" s="9" t="s">
        <v>2392</v>
      </c>
      <c r="K452" s="9" t="s">
        <v>2393</v>
      </c>
      <c r="L452" s="9" t="s">
        <v>2394</v>
      </c>
      <c r="M452" s="9" t="s">
        <v>2395</v>
      </c>
      <c r="N452" s="9" t="s">
        <v>1052</v>
      </c>
      <c r="O452" s="6">
        <f t="shared" si="9"/>
        <v>1645</v>
      </c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2.75" x14ac:dyDescent="0.2">
      <c r="A453" s="4" t="s">
        <v>1509</v>
      </c>
      <c r="B453" s="5" t="s">
        <v>894</v>
      </c>
      <c r="C453" s="4">
        <v>2</v>
      </c>
      <c r="D453" s="6" t="e">
        <f t="shared" si="5"/>
        <v>#VALUE!</v>
      </c>
      <c r="E453" s="6" t="s">
        <v>900</v>
      </c>
      <c r="F453" s="7">
        <v>349</v>
      </c>
      <c r="G453" s="6" t="s">
        <v>21</v>
      </c>
      <c r="H453" s="11" t="s">
        <v>2396</v>
      </c>
      <c r="I453" s="9" t="s">
        <v>2397</v>
      </c>
      <c r="J453" s="9" t="s">
        <v>2398</v>
      </c>
      <c r="K453" s="9" t="s">
        <v>2399</v>
      </c>
      <c r="L453" s="9" t="s">
        <v>2400</v>
      </c>
      <c r="M453" s="9" t="s">
        <v>2401</v>
      </c>
      <c r="N453" s="9" t="s">
        <v>2402</v>
      </c>
      <c r="O453" s="6">
        <f t="shared" si="9"/>
        <v>1750.0000489799916</v>
      </c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2.75" x14ac:dyDescent="0.2">
      <c r="A454" s="4" t="s">
        <v>1509</v>
      </c>
      <c r="B454" s="5" t="s">
        <v>894</v>
      </c>
      <c r="C454" s="4">
        <v>3</v>
      </c>
      <c r="D454" s="6" t="e">
        <f t="shared" si="5"/>
        <v>#VALUE!</v>
      </c>
      <c r="E454" s="6" t="s">
        <v>907</v>
      </c>
      <c r="F454" s="7">
        <v>370</v>
      </c>
      <c r="G454" s="6" t="s">
        <v>17</v>
      </c>
      <c r="H454" s="8" t="s">
        <v>2403</v>
      </c>
      <c r="I454" s="9" t="s">
        <v>2403</v>
      </c>
      <c r="J454" s="10" t="s">
        <v>2404</v>
      </c>
      <c r="K454" s="9" t="s">
        <v>2405</v>
      </c>
      <c r="L454" s="9" t="s">
        <v>2406</v>
      </c>
      <c r="M454" s="9" t="s">
        <v>2407</v>
      </c>
      <c r="N454" s="9" t="s">
        <v>720</v>
      </c>
      <c r="O454" s="6">
        <f t="shared" si="9"/>
        <v>742</v>
      </c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2.75" x14ac:dyDescent="0.2">
      <c r="A455" s="4" t="s">
        <v>1509</v>
      </c>
      <c r="B455" s="5" t="s">
        <v>894</v>
      </c>
      <c r="C455" s="4">
        <v>4</v>
      </c>
      <c r="D455" s="6" t="e">
        <f t="shared" si="5"/>
        <v>#VALUE!</v>
      </c>
      <c r="E455" s="6" t="s">
        <v>913</v>
      </c>
      <c r="F455" s="7">
        <v>392</v>
      </c>
      <c r="G455" s="6" t="s">
        <v>28</v>
      </c>
      <c r="H455" s="8" t="s">
        <v>2408</v>
      </c>
      <c r="I455" s="10" t="s">
        <v>2409</v>
      </c>
      <c r="J455" s="9" t="s">
        <v>2410</v>
      </c>
      <c r="K455" s="9" t="s">
        <v>2411</v>
      </c>
      <c r="L455" s="9" t="s">
        <v>2412</v>
      </c>
      <c r="M455" s="9" t="s">
        <v>2413</v>
      </c>
      <c r="N455" s="9" t="s">
        <v>1317</v>
      </c>
      <c r="O455" s="6">
        <f t="shared" si="9"/>
        <v>1572.000043423981</v>
      </c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2.75" x14ac:dyDescent="0.2">
      <c r="A456" s="4" t="s">
        <v>1509</v>
      </c>
      <c r="B456" s="5" t="s">
        <v>894</v>
      </c>
      <c r="C456" s="4">
        <v>5</v>
      </c>
      <c r="D456" s="6" t="e">
        <f t="shared" si="5"/>
        <v>#VALUE!</v>
      </c>
      <c r="E456" s="6" t="s">
        <v>921</v>
      </c>
      <c r="F456" s="7">
        <v>414</v>
      </c>
      <c r="G456" s="6" t="s">
        <v>28</v>
      </c>
      <c r="H456" s="8" t="s">
        <v>2414</v>
      </c>
      <c r="I456" s="10" t="s">
        <v>2415</v>
      </c>
      <c r="J456" s="9" t="s">
        <v>2414</v>
      </c>
      <c r="K456" s="9" t="s">
        <v>2416</v>
      </c>
      <c r="L456" s="9" t="s">
        <v>2417</v>
      </c>
      <c r="M456" s="9" t="s">
        <v>2418</v>
      </c>
      <c r="N456" s="9" t="s">
        <v>1017</v>
      </c>
      <c r="O456" s="6">
        <f t="shared" si="9"/>
        <v>1659.9999215363189</v>
      </c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2.75" x14ac:dyDescent="0.2">
      <c r="A457" s="4" t="s">
        <v>1509</v>
      </c>
      <c r="B457" s="5" t="s">
        <v>894</v>
      </c>
      <c r="C457" s="4">
        <v>6</v>
      </c>
      <c r="D457" s="6" t="e">
        <f t="shared" si="5"/>
        <v>#VALUE!</v>
      </c>
      <c r="E457" s="6" t="s">
        <v>927</v>
      </c>
      <c r="F457" s="7">
        <v>437</v>
      </c>
      <c r="G457" s="6" t="s">
        <v>21</v>
      </c>
      <c r="H457" s="11" t="s">
        <v>2419</v>
      </c>
      <c r="I457" s="9" t="s">
        <v>2420</v>
      </c>
      <c r="J457" s="9" t="s">
        <v>2420</v>
      </c>
      <c r="K457" s="9" t="s">
        <v>2421</v>
      </c>
      <c r="L457" s="9" t="s">
        <v>2422</v>
      </c>
      <c r="M457" s="9" t="s">
        <v>2423</v>
      </c>
      <c r="N457" s="9" t="s">
        <v>1017</v>
      </c>
      <c r="O457" s="6">
        <f t="shared" si="9"/>
        <v>2189.9999827047968</v>
      </c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2.75" x14ac:dyDescent="0.2">
      <c r="A458" s="4" t="s">
        <v>1509</v>
      </c>
      <c r="B458" s="5" t="s">
        <v>894</v>
      </c>
      <c r="C458" s="4">
        <v>7</v>
      </c>
      <c r="D458" s="6" t="e">
        <f t="shared" si="5"/>
        <v>#VALUE!</v>
      </c>
      <c r="E458" s="6" t="s">
        <v>934</v>
      </c>
      <c r="F458" s="7">
        <v>461</v>
      </c>
      <c r="G458" s="6" t="s">
        <v>28</v>
      </c>
      <c r="H458" s="8" t="s">
        <v>2424</v>
      </c>
      <c r="I458" s="10" t="s">
        <v>2425</v>
      </c>
      <c r="J458" s="9" t="s">
        <v>2426</v>
      </c>
      <c r="K458" s="9" t="s">
        <v>2427</v>
      </c>
      <c r="L458" s="9" t="s">
        <v>2428</v>
      </c>
      <c r="M458" s="9" t="s">
        <v>2429</v>
      </c>
      <c r="N458" s="9" t="s">
        <v>1017</v>
      </c>
      <c r="O458" s="6">
        <f t="shared" si="9"/>
        <v>1848.0000332854854</v>
      </c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2.75" x14ac:dyDescent="0.2">
      <c r="A459" s="4" t="s">
        <v>1509</v>
      </c>
      <c r="B459" s="5" t="s">
        <v>894</v>
      </c>
      <c r="C459" s="4">
        <v>8</v>
      </c>
      <c r="D459" s="6" t="e">
        <f t="shared" si="5"/>
        <v>#VALUE!</v>
      </c>
      <c r="E459" s="6" t="s">
        <v>941</v>
      </c>
      <c r="F459" s="7">
        <v>485</v>
      </c>
      <c r="G459" s="6" t="s">
        <v>17</v>
      </c>
      <c r="H459" s="8" t="s">
        <v>2430</v>
      </c>
      <c r="I459" s="9" t="s">
        <v>2430</v>
      </c>
      <c r="J459" s="10" t="s">
        <v>2431</v>
      </c>
      <c r="K459" s="9" t="s">
        <v>2432</v>
      </c>
      <c r="L459" s="9" t="s">
        <v>2433</v>
      </c>
      <c r="M459" s="9" t="s">
        <v>2434</v>
      </c>
      <c r="N459" s="9" t="s">
        <v>1017</v>
      </c>
      <c r="O459" s="6">
        <f t="shared" si="9"/>
        <v>971.99998490286885</v>
      </c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2.75" x14ac:dyDescent="0.2">
      <c r="A460" s="4" t="s">
        <v>1509</v>
      </c>
      <c r="B460" s="5" t="s">
        <v>894</v>
      </c>
      <c r="C460" s="4">
        <v>9</v>
      </c>
      <c r="D460" s="6" t="e">
        <f t="shared" si="5"/>
        <v>#VALUE!</v>
      </c>
      <c r="E460" s="6" t="s">
        <v>947</v>
      </c>
      <c r="F460" s="7">
        <v>505</v>
      </c>
      <c r="G460" s="6" t="s">
        <v>948</v>
      </c>
      <c r="H460" s="11" t="s">
        <v>2435</v>
      </c>
      <c r="I460" s="9" t="s">
        <v>2436</v>
      </c>
      <c r="J460" s="9" t="s">
        <v>2437</v>
      </c>
      <c r="K460" s="9" t="s">
        <v>2438</v>
      </c>
      <c r="L460" s="9" t="s">
        <v>2439</v>
      </c>
      <c r="M460" s="9" t="s">
        <v>2440</v>
      </c>
      <c r="N460" s="9" t="s">
        <v>1017</v>
      </c>
      <c r="O460" s="6">
        <f t="shared" si="9"/>
        <v>2529.9999384012663</v>
      </c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2.75" x14ac:dyDescent="0.2">
      <c r="A461" s="4" t="s">
        <v>1509</v>
      </c>
      <c r="B461" s="5" t="s">
        <v>894</v>
      </c>
      <c r="C461" s="4">
        <v>10</v>
      </c>
      <c r="D461" s="6" t="e">
        <f t="shared" si="5"/>
        <v>#VALUE!</v>
      </c>
      <c r="E461" s="6" t="s">
        <v>956</v>
      </c>
      <c r="F461" s="7">
        <v>525</v>
      </c>
      <c r="G461" s="6" t="s">
        <v>28</v>
      </c>
      <c r="H461" s="8" t="s">
        <v>2441</v>
      </c>
      <c r="I461" s="10" t="s">
        <v>2442</v>
      </c>
      <c r="J461" s="9" t="s">
        <v>2441</v>
      </c>
      <c r="K461" s="9" t="s">
        <v>2443</v>
      </c>
      <c r="L461" s="9" t="s">
        <v>2444</v>
      </c>
      <c r="M461" s="9" t="s">
        <v>2445</v>
      </c>
      <c r="N461" s="9" t="s">
        <v>1017</v>
      </c>
      <c r="O461" s="6">
        <f t="shared" si="9"/>
        <v>2104.0000483404133</v>
      </c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2.75" x14ac:dyDescent="0.2">
      <c r="A462" s="4" t="s">
        <v>1509</v>
      </c>
      <c r="B462" s="5" t="s">
        <v>963</v>
      </c>
      <c r="C462" s="4">
        <v>1</v>
      </c>
      <c r="D462" s="6" t="e">
        <f t="shared" si="5"/>
        <v>#VALUE!</v>
      </c>
      <c r="E462" s="6" t="s">
        <v>964</v>
      </c>
      <c r="F462" s="7">
        <v>464</v>
      </c>
      <c r="G462" s="6" t="s">
        <v>21</v>
      </c>
      <c r="H462" s="11" t="s">
        <v>2446</v>
      </c>
      <c r="I462" s="9" t="s">
        <v>2447</v>
      </c>
      <c r="J462" s="9" t="s">
        <v>2448</v>
      </c>
      <c r="K462" s="9" t="s">
        <v>2449</v>
      </c>
      <c r="L462" s="9" t="s">
        <v>2450</v>
      </c>
      <c r="M462" s="9" t="s">
        <v>2451</v>
      </c>
      <c r="N462" s="9" t="s">
        <v>1017</v>
      </c>
      <c r="O462" s="6">
        <f t="shared" si="9"/>
        <v>2325</v>
      </c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2.75" x14ac:dyDescent="0.2">
      <c r="A463" s="4" t="s">
        <v>1509</v>
      </c>
      <c r="B463" s="5" t="s">
        <v>963</v>
      </c>
      <c r="C463" s="4">
        <v>2</v>
      </c>
      <c r="D463" s="6" t="e">
        <f t="shared" si="5"/>
        <v>#VALUE!</v>
      </c>
      <c r="E463" s="6" t="s">
        <v>969</v>
      </c>
      <c r="F463" s="7">
        <v>468</v>
      </c>
      <c r="G463" s="6" t="s">
        <v>21</v>
      </c>
      <c r="H463" s="11" t="s">
        <v>2452</v>
      </c>
      <c r="I463" s="9" t="s">
        <v>2453</v>
      </c>
      <c r="J463" s="9" t="s">
        <v>2454</v>
      </c>
      <c r="K463" s="9" t="s">
        <v>2455</v>
      </c>
      <c r="L463" s="9" t="s">
        <v>222</v>
      </c>
      <c r="M463" s="9" t="s">
        <v>2456</v>
      </c>
      <c r="N463" s="9" t="s">
        <v>1017</v>
      </c>
      <c r="O463" s="6">
        <f t="shared" si="9"/>
        <v>2344.9999582794444</v>
      </c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2.75" x14ac:dyDescent="0.2">
      <c r="A464" s="4" t="s">
        <v>1509</v>
      </c>
      <c r="B464" s="5" t="s">
        <v>963</v>
      </c>
      <c r="C464" s="4">
        <v>3</v>
      </c>
      <c r="D464" s="6" t="e">
        <f t="shared" si="5"/>
        <v>#VALUE!</v>
      </c>
      <c r="E464" s="6" t="s">
        <v>973</v>
      </c>
      <c r="F464" s="7">
        <v>472</v>
      </c>
      <c r="G464" s="6" t="s">
        <v>17</v>
      </c>
      <c r="H464" s="8" t="s">
        <v>2457</v>
      </c>
      <c r="I464" s="9" t="s">
        <v>2458</v>
      </c>
      <c r="J464" s="10" t="s">
        <v>2459</v>
      </c>
      <c r="K464" s="9" t="s">
        <v>2460</v>
      </c>
      <c r="L464" s="9" t="s">
        <v>1962</v>
      </c>
      <c r="M464" s="9" t="s">
        <v>2461</v>
      </c>
      <c r="N464" s="9" t="s">
        <v>1017</v>
      </c>
      <c r="O464" s="6">
        <f t="shared" si="9"/>
        <v>946</v>
      </c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2.75" x14ac:dyDescent="0.2">
      <c r="A465" s="4" t="s">
        <v>1509</v>
      </c>
      <c r="B465" s="5" t="s">
        <v>963</v>
      </c>
      <c r="C465" s="4">
        <v>4</v>
      </c>
      <c r="D465" s="6" t="e">
        <f t="shared" si="5"/>
        <v>#VALUE!</v>
      </c>
      <c r="E465" s="6" t="s">
        <v>978</v>
      </c>
      <c r="F465" s="7">
        <v>476</v>
      </c>
      <c r="G465" s="6" t="s">
        <v>21</v>
      </c>
      <c r="H465" s="11" t="s">
        <v>2462</v>
      </c>
      <c r="I465" s="9" t="s">
        <v>2463</v>
      </c>
      <c r="J465" s="9" t="s">
        <v>2464</v>
      </c>
      <c r="K465" s="9" t="s">
        <v>2465</v>
      </c>
      <c r="L465" s="9" t="s">
        <v>2466</v>
      </c>
      <c r="M465" s="9" t="s">
        <v>2467</v>
      </c>
      <c r="N465" s="9" t="s">
        <v>1017</v>
      </c>
      <c r="O465" s="6">
        <f t="shared" si="9"/>
        <v>2385.0000816793267</v>
      </c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2.75" x14ac:dyDescent="0.2">
      <c r="A466" s="4" t="s">
        <v>1509</v>
      </c>
      <c r="B466" s="5" t="s">
        <v>963</v>
      </c>
      <c r="C466" s="4">
        <v>5</v>
      </c>
      <c r="D466" s="6" t="e">
        <f t="shared" si="5"/>
        <v>#VALUE!</v>
      </c>
      <c r="E466" s="6" t="s">
        <v>983</v>
      </c>
      <c r="F466" s="7">
        <v>480</v>
      </c>
      <c r="G466" s="6" t="s">
        <v>21</v>
      </c>
      <c r="H466" s="11" t="s">
        <v>2468</v>
      </c>
      <c r="I466" s="9" t="s">
        <v>2469</v>
      </c>
      <c r="J466" s="9" t="s">
        <v>2470</v>
      </c>
      <c r="K466" s="9" t="s">
        <v>2471</v>
      </c>
      <c r="L466" s="9" t="s">
        <v>2472</v>
      </c>
      <c r="M466" s="9" t="s">
        <v>2473</v>
      </c>
      <c r="N466" s="9" t="s">
        <v>1017</v>
      </c>
      <c r="O466" s="6">
        <f t="shared" si="9"/>
        <v>2405.0000606293324</v>
      </c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2.75" x14ac:dyDescent="0.2">
      <c r="A467" s="4" t="s">
        <v>1509</v>
      </c>
      <c r="B467" s="5" t="s">
        <v>963</v>
      </c>
      <c r="C467" s="4">
        <v>6</v>
      </c>
      <c r="D467" s="6" t="e">
        <f t="shared" si="5"/>
        <v>#VALUE!</v>
      </c>
      <c r="E467" s="6" t="s">
        <v>989</v>
      </c>
      <c r="F467" s="7">
        <v>484</v>
      </c>
      <c r="G467" s="6" t="s">
        <v>17</v>
      </c>
      <c r="H467" s="8" t="s">
        <v>2474</v>
      </c>
      <c r="I467" s="9" t="s">
        <v>2475</v>
      </c>
      <c r="J467" s="10" t="s">
        <v>2476</v>
      </c>
      <c r="K467" s="9" t="s">
        <v>2477</v>
      </c>
      <c r="L467" s="9" t="s">
        <v>2478</v>
      </c>
      <c r="M467" s="9" t="s">
        <v>2479</v>
      </c>
      <c r="N467" s="9" t="s">
        <v>1017</v>
      </c>
      <c r="O467" s="6">
        <f t="shared" si="9"/>
        <v>969.99997614873644</v>
      </c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2.75" x14ac:dyDescent="0.2">
      <c r="A468" s="4" t="s">
        <v>1509</v>
      </c>
      <c r="B468" s="5" t="s">
        <v>963</v>
      </c>
      <c r="C468" s="4">
        <v>7</v>
      </c>
      <c r="D468" s="6" t="e">
        <f t="shared" si="5"/>
        <v>#VALUE!</v>
      </c>
      <c r="E468" s="6" t="s">
        <v>996</v>
      </c>
      <c r="F468" s="7">
        <v>488</v>
      </c>
      <c r="G468" s="6" t="s">
        <v>28</v>
      </c>
      <c r="H468" s="8" t="s">
        <v>2480</v>
      </c>
      <c r="I468" s="10" t="s">
        <v>2481</v>
      </c>
      <c r="J468" s="9" t="s">
        <v>2482</v>
      </c>
      <c r="K468" s="9" t="s">
        <v>2483</v>
      </c>
      <c r="L468" s="9" t="s">
        <v>2484</v>
      </c>
      <c r="M468" s="9" t="s">
        <v>2485</v>
      </c>
      <c r="N468" s="9" t="s">
        <v>1017</v>
      </c>
      <c r="O468" s="6">
        <f t="shared" si="9"/>
        <v>1956.000043764155</v>
      </c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2.75" x14ac:dyDescent="0.2">
      <c r="A469" s="4" t="s">
        <v>1509</v>
      </c>
      <c r="B469" s="5" t="s">
        <v>963</v>
      </c>
      <c r="C469" s="4">
        <v>8</v>
      </c>
      <c r="D469" s="6" t="e">
        <f t="shared" si="5"/>
        <v>#VALUE!</v>
      </c>
      <c r="E469" s="6" t="s">
        <v>1002</v>
      </c>
      <c r="F469" s="7">
        <v>492</v>
      </c>
      <c r="G469" s="6" t="s">
        <v>21</v>
      </c>
      <c r="H469" s="11" t="s">
        <v>2486</v>
      </c>
      <c r="I469" s="9" t="s">
        <v>2487</v>
      </c>
      <c r="J469" s="9" t="s">
        <v>2488</v>
      </c>
      <c r="K469" s="9" t="s">
        <v>2489</v>
      </c>
      <c r="L469" s="9" t="s">
        <v>2490</v>
      </c>
      <c r="M469" s="9" t="s">
        <v>2491</v>
      </c>
      <c r="N469" s="9" t="s">
        <v>1017</v>
      </c>
      <c r="O469" s="6">
        <f t="shared" si="9"/>
        <v>2464.9999145633515</v>
      </c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2.75" x14ac:dyDescent="0.2">
      <c r="A470" s="4" t="s">
        <v>1509</v>
      </c>
      <c r="B470" s="5" t="s">
        <v>963</v>
      </c>
      <c r="C470" s="4">
        <v>9</v>
      </c>
      <c r="D470" s="6" t="e">
        <f t="shared" si="5"/>
        <v>#VALUE!</v>
      </c>
      <c r="E470" s="6" t="s">
        <v>1009</v>
      </c>
      <c r="F470" s="7">
        <v>496</v>
      </c>
      <c r="G470" s="6" t="s">
        <v>21</v>
      </c>
      <c r="H470" s="11" t="s">
        <v>2492</v>
      </c>
      <c r="I470" s="9" t="s">
        <v>611</v>
      </c>
      <c r="J470" s="9" t="s">
        <v>1283</v>
      </c>
      <c r="K470" s="9" t="s">
        <v>2493</v>
      </c>
      <c r="L470" s="9" t="s">
        <v>828</v>
      </c>
      <c r="M470" s="9" t="s">
        <v>2494</v>
      </c>
      <c r="N470" s="9" t="s">
        <v>1017</v>
      </c>
      <c r="O470" s="6">
        <f t="shared" si="9"/>
        <v>2485.0000592592592</v>
      </c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2.75" x14ac:dyDescent="0.2">
      <c r="A471" s="4" t="s">
        <v>1509</v>
      </c>
      <c r="B471" s="5" t="s">
        <v>963</v>
      </c>
      <c r="C471" s="4">
        <v>10</v>
      </c>
      <c r="D471" s="6" t="e">
        <f t="shared" si="5"/>
        <v>#VALUE!</v>
      </c>
      <c r="E471" s="6" t="s">
        <v>1013</v>
      </c>
      <c r="F471" s="7">
        <v>500</v>
      </c>
      <c r="G471" s="6" t="s">
        <v>17</v>
      </c>
      <c r="H471" s="8" t="s">
        <v>2495</v>
      </c>
      <c r="I471" s="9" t="s">
        <v>828</v>
      </c>
      <c r="J471" s="10" t="s">
        <v>2496</v>
      </c>
      <c r="K471" s="9" t="s">
        <v>2497</v>
      </c>
      <c r="L471" s="9" t="s">
        <v>2498</v>
      </c>
      <c r="M471" s="9" t="s">
        <v>2499</v>
      </c>
      <c r="N471" s="9" t="s">
        <v>1017</v>
      </c>
      <c r="O471" s="6">
        <f t="shared" si="9"/>
        <v>2390.0336842105262</v>
      </c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2.75" x14ac:dyDescent="0.2">
      <c r="A472" s="12" t="s">
        <v>1509</v>
      </c>
      <c r="B472" s="13" t="s">
        <v>1018</v>
      </c>
      <c r="C472" s="12">
        <v>1</v>
      </c>
      <c r="D472" s="14" t="e">
        <f t="shared" si="5"/>
        <v>#VALUE!</v>
      </c>
      <c r="E472" s="14" t="s">
        <v>1019</v>
      </c>
      <c r="F472" s="15">
        <v>500</v>
      </c>
      <c r="G472" s="14" t="s">
        <v>21</v>
      </c>
      <c r="H472" s="11" t="s">
        <v>1427</v>
      </c>
      <c r="I472" s="8" t="s">
        <v>1452</v>
      </c>
      <c r="J472" s="8" t="s">
        <v>1452</v>
      </c>
      <c r="K472" s="8" t="s">
        <v>2497</v>
      </c>
      <c r="L472" s="8" t="s">
        <v>1452</v>
      </c>
      <c r="M472" s="8" t="s">
        <v>1447</v>
      </c>
      <c r="N472" s="8" t="s">
        <v>1017</v>
      </c>
      <c r="O472" s="6">
        <f t="shared" si="9"/>
        <v>3157.8947368421054</v>
      </c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</row>
    <row r="473" spans="1:27" ht="12.75" x14ac:dyDescent="0.2">
      <c r="A473" s="12" t="s">
        <v>1509</v>
      </c>
      <c r="B473" s="13" t="s">
        <v>1018</v>
      </c>
      <c r="C473" s="12">
        <v>2</v>
      </c>
      <c r="D473" s="14" t="e">
        <f t="shared" si="5"/>
        <v>#VALUE!</v>
      </c>
      <c r="E473" s="14" t="s">
        <v>1025</v>
      </c>
      <c r="F473" s="15">
        <v>507</v>
      </c>
      <c r="G473" s="14" t="s">
        <v>21</v>
      </c>
      <c r="H473" s="11" t="s">
        <v>1271</v>
      </c>
      <c r="I473" s="8" t="s">
        <v>2500</v>
      </c>
      <c r="J473" s="8" t="s">
        <v>2500</v>
      </c>
      <c r="K473" s="8" t="s">
        <v>2501</v>
      </c>
      <c r="L473" s="8" t="s">
        <v>2500</v>
      </c>
      <c r="M473" s="8" t="s">
        <v>2502</v>
      </c>
      <c r="N473" s="8" t="s">
        <v>1017</v>
      </c>
      <c r="O473" s="6">
        <f t="shared" si="9"/>
        <v>3174.8466257668711</v>
      </c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</row>
    <row r="474" spans="1:27" ht="12.75" x14ac:dyDescent="0.2">
      <c r="A474" s="12" t="s">
        <v>1509</v>
      </c>
      <c r="B474" s="13" t="s">
        <v>1018</v>
      </c>
      <c r="C474" s="12">
        <v>3</v>
      </c>
      <c r="D474" s="14" t="e">
        <f t="shared" si="5"/>
        <v>#VALUE!</v>
      </c>
      <c r="E474" s="14" t="s">
        <v>1031</v>
      </c>
      <c r="F474" s="15">
        <v>514</v>
      </c>
      <c r="G474" s="14" t="s">
        <v>17</v>
      </c>
      <c r="H474" s="8" t="s">
        <v>2336</v>
      </c>
      <c r="I474" s="8" t="s">
        <v>2336</v>
      </c>
      <c r="J474" s="11" t="s">
        <v>2503</v>
      </c>
      <c r="K474" s="8" t="s">
        <v>2504</v>
      </c>
      <c r="L474" s="8" t="s">
        <v>2336</v>
      </c>
      <c r="M474" s="8" t="s">
        <v>2505</v>
      </c>
      <c r="N474" s="8" t="s">
        <v>1017</v>
      </c>
      <c r="O474" s="6">
        <f t="shared" si="9"/>
        <v>3190.854870775348</v>
      </c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</row>
    <row r="475" spans="1:27" ht="12.75" x14ac:dyDescent="0.2">
      <c r="A475" s="12" t="s">
        <v>1509</v>
      </c>
      <c r="B475" s="13" t="s">
        <v>1018</v>
      </c>
      <c r="C475" s="12">
        <v>4</v>
      </c>
      <c r="D475" s="14" t="e">
        <f t="shared" si="5"/>
        <v>#VALUE!</v>
      </c>
      <c r="E475" s="14" t="s">
        <v>1036</v>
      </c>
      <c r="F475" s="15">
        <v>521</v>
      </c>
      <c r="G475" s="14" t="s">
        <v>28</v>
      </c>
      <c r="H475" s="8" t="s">
        <v>2506</v>
      </c>
      <c r="I475" s="11" t="s">
        <v>2238</v>
      </c>
      <c r="J475" s="8" t="s">
        <v>2506</v>
      </c>
      <c r="K475" s="8" t="s">
        <v>2507</v>
      </c>
      <c r="L475" s="8" t="s">
        <v>2506</v>
      </c>
      <c r="M475" s="8" t="s">
        <v>2508</v>
      </c>
      <c r="N475" s="8" t="s">
        <v>1017</v>
      </c>
      <c r="O475" s="6">
        <f t="shared" si="9"/>
        <v>3205.9961315280466</v>
      </c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</row>
    <row r="476" spans="1:27" ht="12.75" x14ac:dyDescent="0.2">
      <c r="A476" s="12" t="s">
        <v>1509</v>
      </c>
      <c r="B476" s="13" t="s">
        <v>1018</v>
      </c>
      <c r="C476" s="12">
        <v>5</v>
      </c>
      <c r="D476" s="14" t="e">
        <f t="shared" si="5"/>
        <v>#VALUE!</v>
      </c>
      <c r="E476" s="14" t="s">
        <v>1042</v>
      </c>
      <c r="F476" s="15">
        <v>528</v>
      </c>
      <c r="G476" s="14" t="s">
        <v>17</v>
      </c>
      <c r="H476" s="8" t="s">
        <v>777</v>
      </c>
      <c r="I476" s="8" t="s">
        <v>777</v>
      </c>
      <c r="J476" s="11" t="s">
        <v>2509</v>
      </c>
      <c r="K476" s="8" t="s">
        <v>2510</v>
      </c>
      <c r="L476" s="8" t="s">
        <v>777</v>
      </c>
      <c r="M476" s="8" t="s">
        <v>2511</v>
      </c>
      <c r="N476" s="8" t="s">
        <v>1017</v>
      </c>
      <c r="O476" s="6">
        <f t="shared" si="9"/>
        <v>3220.3389830508477</v>
      </c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</row>
    <row r="477" spans="1:27" ht="12.75" x14ac:dyDescent="0.2">
      <c r="A477" s="12" t="s">
        <v>1509</v>
      </c>
      <c r="B477" s="13" t="s">
        <v>1018</v>
      </c>
      <c r="C477" s="12">
        <v>6</v>
      </c>
      <c r="D477" s="14" t="e">
        <f t="shared" si="5"/>
        <v>#VALUE!</v>
      </c>
      <c r="E477" s="14" t="s">
        <v>1047</v>
      </c>
      <c r="F477" s="15">
        <v>535</v>
      </c>
      <c r="G477" s="14" t="s">
        <v>28</v>
      </c>
      <c r="H477" s="8" t="s">
        <v>2512</v>
      </c>
      <c r="I477" s="11" t="s">
        <v>2513</v>
      </c>
      <c r="J477" s="8" t="s">
        <v>2512</v>
      </c>
      <c r="K477" s="8" t="s">
        <v>2514</v>
      </c>
      <c r="L477" s="8" t="s">
        <v>2512</v>
      </c>
      <c r="M477" s="8" t="s">
        <v>2515</v>
      </c>
      <c r="N477" s="8" t="s">
        <v>1017</v>
      </c>
      <c r="O477" s="6">
        <f t="shared" si="9"/>
        <v>3233.9449541284403</v>
      </c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</row>
    <row r="478" spans="1:27" ht="12.75" x14ac:dyDescent="0.2">
      <c r="A478" s="12" t="s">
        <v>1509</v>
      </c>
      <c r="B478" s="13" t="s">
        <v>1018</v>
      </c>
      <c r="C478" s="12">
        <v>7</v>
      </c>
      <c r="D478" s="14" t="e">
        <f t="shared" si="5"/>
        <v>#VALUE!</v>
      </c>
      <c r="E478" s="14" t="s">
        <v>1053</v>
      </c>
      <c r="F478" s="15">
        <v>542</v>
      </c>
      <c r="G478" s="14" t="s">
        <v>17</v>
      </c>
      <c r="H478" s="8" t="s">
        <v>2516</v>
      </c>
      <c r="I478" s="8" t="s">
        <v>2516</v>
      </c>
      <c r="J478" s="11" t="s">
        <v>2517</v>
      </c>
      <c r="K478" s="8" t="s">
        <v>2518</v>
      </c>
      <c r="L478" s="8" t="s">
        <v>2516</v>
      </c>
      <c r="M478" s="8" t="s">
        <v>2519</v>
      </c>
      <c r="N478" s="8" t="s">
        <v>1017</v>
      </c>
      <c r="O478" s="6">
        <f t="shared" si="9"/>
        <v>3246.8694096601075</v>
      </c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</row>
    <row r="479" spans="1:27" ht="12.75" x14ac:dyDescent="0.2">
      <c r="A479" s="12" t="s">
        <v>1509</v>
      </c>
      <c r="B479" s="13" t="s">
        <v>1018</v>
      </c>
      <c r="C479" s="12">
        <v>8</v>
      </c>
      <c r="D479" s="14" t="e">
        <f t="shared" si="5"/>
        <v>#VALUE!</v>
      </c>
      <c r="E479" s="14" t="s">
        <v>1059</v>
      </c>
      <c r="F479" s="15">
        <v>549</v>
      </c>
      <c r="G479" s="14" t="s">
        <v>21</v>
      </c>
      <c r="H479" s="11" t="s">
        <v>2520</v>
      </c>
      <c r="I479" s="8" t="s">
        <v>2521</v>
      </c>
      <c r="J479" s="8" t="s">
        <v>2521</v>
      </c>
      <c r="K479" s="8" t="s">
        <v>2522</v>
      </c>
      <c r="L479" s="8" t="s">
        <v>2521</v>
      </c>
      <c r="M479" s="8" t="s">
        <v>2523</v>
      </c>
      <c r="N479" s="8" t="s">
        <v>1017</v>
      </c>
      <c r="O479" s="6">
        <f t="shared" si="9"/>
        <v>3259.1623036649216</v>
      </c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</row>
    <row r="480" spans="1:27" ht="12.75" x14ac:dyDescent="0.2">
      <c r="A480" s="12" t="s">
        <v>1509</v>
      </c>
      <c r="B480" s="13" t="s">
        <v>1018</v>
      </c>
      <c r="C480" s="12">
        <v>9</v>
      </c>
      <c r="D480" s="14" t="e">
        <f t="shared" si="5"/>
        <v>#VALUE!</v>
      </c>
      <c r="E480" s="14" t="s">
        <v>1065</v>
      </c>
      <c r="F480" s="15">
        <v>556</v>
      </c>
      <c r="G480" s="14" t="s">
        <v>21</v>
      </c>
      <c r="H480" s="11" t="s">
        <v>2524</v>
      </c>
      <c r="I480" s="8" t="s">
        <v>2525</v>
      </c>
      <c r="J480" s="8" t="s">
        <v>2525</v>
      </c>
      <c r="K480" s="8" t="s">
        <v>2526</v>
      </c>
      <c r="L480" s="8" t="s">
        <v>2525</v>
      </c>
      <c r="M480" s="8" t="s">
        <v>2527</v>
      </c>
      <c r="N480" s="8" t="s">
        <v>1017</v>
      </c>
      <c r="O480" s="6">
        <f t="shared" si="9"/>
        <v>3270.8688245315161</v>
      </c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</row>
    <row r="481" spans="1:27" ht="12.75" x14ac:dyDescent="0.2">
      <c r="A481" s="12" t="s">
        <v>1509</v>
      </c>
      <c r="B481" s="13" t="s">
        <v>1018</v>
      </c>
      <c r="C481" s="12">
        <v>10</v>
      </c>
      <c r="D481" s="14" t="e">
        <f t="shared" si="5"/>
        <v>#VALUE!</v>
      </c>
      <c r="E481" s="14" t="s">
        <v>1071</v>
      </c>
      <c r="F481" s="15">
        <v>570</v>
      </c>
      <c r="G481" s="14" t="s">
        <v>17</v>
      </c>
      <c r="H481" s="8" t="s">
        <v>818</v>
      </c>
      <c r="I481" s="8" t="s">
        <v>818</v>
      </c>
      <c r="J481" s="11" t="s">
        <v>1282</v>
      </c>
      <c r="K481" s="8" t="s">
        <v>2528</v>
      </c>
      <c r="L481" s="8" t="s">
        <v>818</v>
      </c>
      <c r="M481" s="8" t="s">
        <v>2529</v>
      </c>
      <c r="N481" s="8" t="s">
        <v>1017</v>
      </c>
      <c r="O481" s="6">
        <f t="shared" si="9"/>
        <v>3292.6829268292681</v>
      </c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</row>
    <row r="482" spans="1:27" ht="12.75" x14ac:dyDescent="0.2">
      <c r="A482" s="4" t="s">
        <v>1509</v>
      </c>
      <c r="B482" s="5" t="s">
        <v>1076</v>
      </c>
      <c r="C482" s="4">
        <v>1</v>
      </c>
      <c r="D482" s="6" t="e">
        <f t="shared" si="5"/>
        <v>#VALUE!</v>
      </c>
      <c r="E482" s="6" t="s">
        <v>1077</v>
      </c>
      <c r="F482" s="7">
        <v>400</v>
      </c>
      <c r="G482" s="6" t="s">
        <v>17</v>
      </c>
      <c r="H482" s="8" t="s">
        <v>829</v>
      </c>
      <c r="I482" s="9" t="s">
        <v>605</v>
      </c>
      <c r="J482" s="10" t="s">
        <v>829</v>
      </c>
      <c r="K482" s="9" t="s">
        <v>1442</v>
      </c>
      <c r="L482" s="9" t="s">
        <v>1044</v>
      </c>
      <c r="M482" s="9" t="s">
        <v>2530</v>
      </c>
      <c r="N482" s="9" t="s">
        <v>1017</v>
      </c>
      <c r="O482" s="6">
        <f t="shared" si="9"/>
        <v>33749.998933333336</v>
      </c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2.75" x14ac:dyDescent="0.2">
      <c r="A483" s="4" t="s">
        <v>1509</v>
      </c>
      <c r="B483" s="5" t="s">
        <v>1076</v>
      </c>
      <c r="C483" s="4">
        <v>2</v>
      </c>
      <c r="D483" s="6" t="e">
        <f t="shared" si="5"/>
        <v>#VALUE!</v>
      </c>
      <c r="E483" s="6" t="s">
        <v>1080</v>
      </c>
      <c r="F483" s="7">
        <v>400</v>
      </c>
      <c r="G483" s="6" t="s">
        <v>21</v>
      </c>
      <c r="H483" s="11" t="s">
        <v>1120</v>
      </c>
      <c r="I483" s="9" t="s">
        <v>605</v>
      </c>
      <c r="J483" s="9" t="s">
        <v>1120</v>
      </c>
      <c r="K483" s="9" t="s">
        <v>1446</v>
      </c>
      <c r="L483" s="9" t="s">
        <v>2531</v>
      </c>
      <c r="M483" s="9" t="s">
        <v>2532</v>
      </c>
      <c r="N483" s="9" t="s">
        <v>1017</v>
      </c>
      <c r="O483" s="6">
        <f t="shared" si="9"/>
        <v>15189.999519999999</v>
      </c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2.75" x14ac:dyDescent="0.2">
      <c r="A484" s="4" t="s">
        <v>1509</v>
      </c>
      <c r="B484" s="5" t="s">
        <v>1076</v>
      </c>
      <c r="C484" s="4">
        <v>3</v>
      </c>
      <c r="D484" s="6" t="e">
        <f t="shared" si="5"/>
        <v>#VALUE!</v>
      </c>
      <c r="E484" s="6" t="s">
        <v>1083</v>
      </c>
      <c r="F484" s="7">
        <v>400</v>
      </c>
      <c r="G484" s="6" t="s">
        <v>1084</v>
      </c>
      <c r="H484" s="11" t="s">
        <v>1097</v>
      </c>
      <c r="I484" s="9" t="s">
        <v>1044</v>
      </c>
      <c r="J484" s="9" t="s">
        <v>1044</v>
      </c>
      <c r="K484" s="9" t="s">
        <v>1449</v>
      </c>
      <c r="L484" s="9" t="s">
        <v>661</v>
      </c>
      <c r="M484" s="9" t="s">
        <v>2533</v>
      </c>
      <c r="N484" s="9" t="s">
        <v>1017</v>
      </c>
      <c r="O484" s="6">
        <f t="shared" si="9"/>
        <v>36818.180654545453</v>
      </c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2.75" x14ac:dyDescent="0.2">
      <c r="A485" s="4" t="s">
        <v>1509</v>
      </c>
      <c r="B485" s="5" t="s">
        <v>1076</v>
      </c>
      <c r="C485" s="4">
        <v>4</v>
      </c>
      <c r="D485" s="6" t="e">
        <f t="shared" si="5"/>
        <v>#VALUE!</v>
      </c>
      <c r="E485" s="6" t="s">
        <v>1088</v>
      </c>
      <c r="F485" s="7">
        <v>400</v>
      </c>
      <c r="G485" s="6" t="s">
        <v>28</v>
      </c>
      <c r="H485" s="8" t="s">
        <v>1100</v>
      </c>
      <c r="I485" s="10" t="s">
        <v>2534</v>
      </c>
      <c r="J485" s="9" t="s">
        <v>1100</v>
      </c>
      <c r="K485" s="9" t="s">
        <v>2535</v>
      </c>
      <c r="L485" s="9" t="s">
        <v>1120</v>
      </c>
      <c r="M485" s="9" t="s">
        <v>2533</v>
      </c>
      <c r="N485" s="9" t="s">
        <v>1017</v>
      </c>
      <c r="O485" s="6">
        <f t="shared" si="9"/>
        <v>33749.998933333336</v>
      </c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2.75" x14ac:dyDescent="0.2">
      <c r="A486" s="4" t="s">
        <v>1509</v>
      </c>
      <c r="B486" s="5" t="s">
        <v>1076</v>
      </c>
      <c r="C486" s="4">
        <v>5</v>
      </c>
      <c r="D486" s="6" t="e">
        <f t="shared" si="5"/>
        <v>#VALUE!</v>
      </c>
      <c r="E486" s="6" t="s">
        <v>1091</v>
      </c>
      <c r="F486" s="7">
        <v>400</v>
      </c>
      <c r="G486" s="6" t="s">
        <v>1084</v>
      </c>
      <c r="H486" s="11" t="s">
        <v>1108</v>
      </c>
      <c r="I486" s="9" t="s">
        <v>655</v>
      </c>
      <c r="J486" s="9" t="s">
        <v>655</v>
      </c>
      <c r="K486" s="9" t="s">
        <v>2536</v>
      </c>
      <c r="L486" s="9" t="s">
        <v>783</v>
      </c>
      <c r="M486" s="9" t="s">
        <v>2537</v>
      </c>
      <c r="N486" s="9" t="s">
        <v>1017</v>
      </c>
      <c r="O486" s="6">
        <f t="shared" si="9"/>
        <v>19471.153230769232</v>
      </c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2.75" x14ac:dyDescent="0.2">
      <c r="A487" s="4" t="s">
        <v>1509</v>
      </c>
      <c r="B487" s="5" t="s">
        <v>1076</v>
      </c>
      <c r="C487" s="4">
        <v>6</v>
      </c>
      <c r="D487" s="6" t="e">
        <f t="shared" si="5"/>
        <v>#VALUE!</v>
      </c>
      <c r="E487" s="6" t="s">
        <v>1095</v>
      </c>
      <c r="F487" s="7">
        <v>400</v>
      </c>
      <c r="G487" s="6" t="s">
        <v>17</v>
      </c>
      <c r="H487" s="8" t="s">
        <v>829</v>
      </c>
      <c r="I487" s="9" t="s">
        <v>829</v>
      </c>
      <c r="J487" s="10" t="s">
        <v>2538</v>
      </c>
      <c r="K487" s="9" t="s">
        <v>2539</v>
      </c>
      <c r="L487" s="9" t="s">
        <v>2540</v>
      </c>
      <c r="M487" s="9" t="s">
        <v>2530</v>
      </c>
      <c r="N487" s="9" t="s">
        <v>1017</v>
      </c>
      <c r="O487" s="6">
        <f t="shared" si="9"/>
        <v>21696.427885714285</v>
      </c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2.75" x14ac:dyDescent="0.2">
      <c r="A488" s="4" t="s">
        <v>1509</v>
      </c>
      <c r="B488" s="5" t="s">
        <v>1076</v>
      </c>
      <c r="C488" s="4">
        <v>7</v>
      </c>
      <c r="D488" s="6" t="e">
        <f t="shared" si="5"/>
        <v>#VALUE!</v>
      </c>
      <c r="E488" s="6" t="s">
        <v>1096</v>
      </c>
      <c r="F488" s="7">
        <v>450</v>
      </c>
      <c r="G488" s="6" t="s">
        <v>28</v>
      </c>
      <c r="H488" s="8" t="s">
        <v>1452</v>
      </c>
      <c r="I488" s="10" t="s">
        <v>1433</v>
      </c>
      <c r="J488" s="9" t="s">
        <v>1452</v>
      </c>
      <c r="K488" s="9" t="s">
        <v>1458</v>
      </c>
      <c r="L488" s="9" t="s">
        <v>2199</v>
      </c>
      <c r="M488" s="9" t="s">
        <v>2541</v>
      </c>
      <c r="N488" s="9" t="s">
        <v>1017</v>
      </c>
      <c r="O488" s="6">
        <f t="shared" si="9"/>
        <v>53999.99829333333</v>
      </c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2.75" x14ac:dyDescent="0.2">
      <c r="A489" s="4" t="s">
        <v>1509</v>
      </c>
      <c r="B489" s="5" t="s">
        <v>1076</v>
      </c>
      <c r="C489" s="4">
        <v>8</v>
      </c>
      <c r="D489" s="6" t="e">
        <f t="shared" si="5"/>
        <v>#VALUE!</v>
      </c>
      <c r="E489" s="6" t="s">
        <v>1099</v>
      </c>
      <c r="F489" s="7">
        <v>500</v>
      </c>
      <c r="G489" s="6" t="s">
        <v>17</v>
      </c>
      <c r="H489" s="8" t="s">
        <v>789</v>
      </c>
      <c r="I489" s="9" t="s">
        <v>789</v>
      </c>
      <c r="J489" s="10" t="s">
        <v>2542</v>
      </c>
      <c r="K489" s="9" t="s">
        <v>2543</v>
      </c>
      <c r="L489" s="9" t="s">
        <v>2315</v>
      </c>
      <c r="M489" s="9" t="s">
        <v>2541</v>
      </c>
      <c r="N489" s="9" t="s">
        <v>1017</v>
      </c>
      <c r="O489" s="6">
        <f t="shared" si="9"/>
        <v>50624.998399999997</v>
      </c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2.75" x14ac:dyDescent="0.2">
      <c r="A490" s="4" t="s">
        <v>1509</v>
      </c>
      <c r="B490" s="5" t="s">
        <v>1076</v>
      </c>
      <c r="C490" s="4">
        <v>9</v>
      </c>
      <c r="D490" s="6" t="e">
        <f t="shared" si="5"/>
        <v>#VALUE!</v>
      </c>
      <c r="E490" s="6" t="s">
        <v>1103</v>
      </c>
      <c r="F490" s="7">
        <v>550</v>
      </c>
      <c r="G490" s="6" t="s">
        <v>21</v>
      </c>
      <c r="H490" s="11" t="s">
        <v>1446</v>
      </c>
      <c r="I490" s="9" t="s">
        <v>2534</v>
      </c>
      <c r="J490" s="9" t="s">
        <v>2534</v>
      </c>
      <c r="K490" s="9" t="s">
        <v>2544</v>
      </c>
      <c r="L490" s="9" t="s">
        <v>1430</v>
      </c>
      <c r="M490" s="9" t="s">
        <v>2545</v>
      </c>
      <c r="N490" s="9" t="s">
        <v>1017</v>
      </c>
      <c r="O490" s="6">
        <f t="shared" si="9"/>
        <v>55227.274084848483</v>
      </c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2.75" x14ac:dyDescent="0.2">
      <c r="A491" s="4" t="s">
        <v>1509</v>
      </c>
      <c r="B491" s="5" t="s">
        <v>1076</v>
      </c>
      <c r="C491" s="4">
        <v>10</v>
      </c>
      <c r="D491" s="6" t="e">
        <f t="shared" si="5"/>
        <v>#VALUE!</v>
      </c>
      <c r="E491" s="6" t="s">
        <v>1107</v>
      </c>
      <c r="F491" s="7">
        <v>600</v>
      </c>
      <c r="G491" s="6" t="s">
        <v>17</v>
      </c>
      <c r="H491" s="8" t="s">
        <v>1430</v>
      </c>
      <c r="I491" s="9" t="s">
        <v>1430</v>
      </c>
      <c r="J491" s="10" t="s">
        <v>1453</v>
      </c>
      <c r="K491" s="9" t="s">
        <v>2546</v>
      </c>
      <c r="L491" s="9" t="s">
        <v>2547</v>
      </c>
      <c r="M491" s="9" t="s">
        <v>2548</v>
      </c>
      <c r="N491" s="9" t="s">
        <v>1017</v>
      </c>
      <c r="O491" s="6">
        <f t="shared" si="9"/>
        <v>28720.929339534883</v>
      </c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2.75" x14ac:dyDescent="0.2">
      <c r="A492" s="4" t="s">
        <v>1509</v>
      </c>
      <c r="B492" s="5" t="s">
        <v>1110</v>
      </c>
      <c r="C492" s="4">
        <v>1</v>
      </c>
      <c r="D492" s="6" t="e">
        <f t="shared" si="5"/>
        <v>#VALUE!</v>
      </c>
      <c r="E492" s="6" t="s">
        <v>1111</v>
      </c>
      <c r="F492" s="7">
        <v>504</v>
      </c>
      <c r="G492" s="6" t="s">
        <v>28</v>
      </c>
      <c r="H492" s="8" t="s">
        <v>2549</v>
      </c>
      <c r="I492" s="10" t="s">
        <v>2550</v>
      </c>
      <c r="J492" s="9" t="s">
        <v>2551</v>
      </c>
      <c r="K492" s="9" t="s">
        <v>2552</v>
      </c>
      <c r="L492" s="9" t="s">
        <v>2553</v>
      </c>
      <c r="M492" s="9" t="s">
        <v>2554</v>
      </c>
      <c r="N492" s="9" t="s">
        <v>1017</v>
      </c>
      <c r="O492" s="6">
        <f t="shared" si="9"/>
        <v>2020.0000352165378</v>
      </c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2.75" x14ac:dyDescent="0.2">
      <c r="A493" s="4" t="s">
        <v>1509</v>
      </c>
      <c r="B493" s="5" t="s">
        <v>1110</v>
      </c>
      <c r="C493" s="4">
        <v>2</v>
      </c>
      <c r="D493" s="6" t="e">
        <f t="shared" si="5"/>
        <v>#VALUE!</v>
      </c>
      <c r="E493" s="6" t="s">
        <v>1117</v>
      </c>
      <c r="F493" s="7">
        <v>508</v>
      </c>
      <c r="G493" s="6" t="s">
        <v>17</v>
      </c>
      <c r="H493" s="8" t="s">
        <v>2555</v>
      </c>
      <c r="I493" s="9" t="s">
        <v>2556</v>
      </c>
      <c r="J493" s="10" t="s">
        <v>2557</v>
      </c>
      <c r="K493" s="9" t="s">
        <v>2558</v>
      </c>
      <c r="L493" s="9" t="s">
        <v>2559</v>
      </c>
      <c r="M493" s="9" t="s">
        <v>2560</v>
      </c>
      <c r="N493" s="9" t="s">
        <v>1017</v>
      </c>
      <c r="O493" s="6">
        <f t="shared" si="9"/>
        <v>1017.9999578530335</v>
      </c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2.75" x14ac:dyDescent="0.2">
      <c r="A494" s="4" t="s">
        <v>1509</v>
      </c>
      <c r="B494" s="5" t="s">
        <v>1110</v>
      </c>
      <c r="C494" s="4">
        <v>3</v>
      </c>
      <c r="D494" s="6" t="e">
        <f t="shared" si="5"/>
        <v>#VALUE!</v>
      </c>
      <c r="E494" s="6" t="s">
        <v>1124</v>
      </c>
      <c r="F494" s="7">
        <v>512</v>
      </c>
      <c r="G494" s="6" t="s">
        <v>21</v>
      </c>
      <c r="H494" s="11" t="s">
        <v>2561</v>
      </c>
      <c r="I494" s="9" t="s">
        <v>2562</v>
      </c>
      <c r="J494" s="9" t="s">
        <v>2563</v>
      </c>
      <c r="K494" s="9" t="s">
        <v>2564</v>
      </c>
      <c r="L494" s="9" t="s">
        <v>2565</v>
      </c>
      <c r="M494" s="9" t="s">
        <v>2566</v>
      </c>
      <c r="N494" s="9" t="s">
        <v>1017</v>
      </c>
      <c r="O494" s="6">
        <f t="shared" si="9"/>
        <v>2565.0000309530442</v>
      </c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2.75" x14ac:dyDescent="0.2">
      <c r="A495" s="4" t="s">
        <v>1509</v>
      </c>
      <c r="B495" s="5" t="s">
        <v>1110</v>
      </c>
      <c r="C495" s="4">
        <v>4</v>
      </c>
      <c r="D495" s="6" t="e">
        <f t="shared" si="5"/>
        <v>#VALUE!</v>
      </c>
      <c r="E495" s="6" t="s">
        <v>1131</v>
      </c>
      <c r="F495" s="7">
        <v>516</v>
      </c>
      <c r="G495" s="6" t="s">
        <v>28</v>
      </c>
      <c r="H495" s="8" t="s">
        <v>2567</v>
      </c>
      <c r="I495" s="10" t="s">
        <v>2568</v>
      </c>
      <c r="J495" s="9" t="s">
        <v>2569</v>
      </c>
      <c r="K495" s="9" t="s">
        <v>2570</v>
      </c>
      <c r="L495" s="9" t="s">
        <v>2571</v>
      </c>
      <c r="M495" s="9" t="s">
        <v>2572</v>
      </c>
      <c r="N495" s="9" t="s">
        <v>1017</v>
      </c>
      <c r="O495" s="6">
        <f t="shared" si="9"/>
        <v>2068.0000271999675</v>
      </c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2.75" x14ac:dyDescent="0.2">
      <c r="A496" s="4" t="s">
        <v>1509</v>
      </c>
      <c r="B496" s="5" t="s">
        <v>1110</v>
      </c>
      <c r="C496" s="4">
        <v>5</v>
      </c>
      <c r="D496" s="6" t="e">
        <f t="shared" si="5"/>
        <v>#VALUE!</v>
      </c>
      <c r="E496" s="6" t="s">
        <v>1136</v>
      </c>
      <c r="F496" s="7">
        <v>520</v>
      </c>
      <c r="G496" s="6" t="s">
        <v>21</v>
      </c>
      <c r="H496" s="11" t="s">
        <v>2573</v>
      </c>
      <c r="I496" s="9" t="s">
        <v>2574</v>
      </c>
      <c r="J496" s="9" t="s">
        <v>2575</v>
      </c>
      <c r="K496" s="9" t="s">
        <v>2576</v>
      </c>
      <c r="L496" s="9" t="s">
        <v>2577</v>
      </c>
      <c r="M496" s="9" t="s">
        <v>2578</v>
      </c>
      <c r="N496" s="9" t="s">
        <v>1017</v>
      </c>
      <c r="O496" s="6">
        <f t="shared" si="9"/>
        <v>2605</v>
      </c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2.75" x14ac:dyDescent="0.2">
      <c r="A497" s="4" t="s">
        <v>1509</v>
      </c>
      <c r="B497" s="5" t="s">
        <v>1110</v>
      </c>
      <c r="C497" s="4">
        <v>6</v>
      </c>
      <c r="D497" s="6" t="e">
        <f t="shared" si="5"/>
        <v>#VALUE!</v>
      </c>
      <c r="E497" s="6" t="s">
        <v>1143</v>
      </c>
      <c r="F497" s="7">
        <v>524</v>
      </c>
      <c r="G497" s="6" t="s">
        <v>21</v>
      </c>
      <c r="H497" s="11" t="s">
        <v>2579</v>
      </c>
      <c r="I497" s="9" t="s">
        <v>2580</v>
      </c>
      <c r="J497" s="9" t="s">
        <v>2581</v>
      </c>
      <c r="K497" s="9" t="s">
        <v>2582</v>
      </c>
      <c r="L497" s="9" t="s">
        <v>2583</v>
      </c>
      <c r="M497" s="9" t="s">
        <v>2584</v>
      </c>
      <c r="N497" s="9" t="s">
        <v>1017</v>
      </c>
      <c r="O497" s="6">
        <f t="shared" si="9"/>
        <v>2625.0000665055754</v>
      </c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2.75" x14ac:dyDescent="0.2">
      <c r="A498" s="4" t="s">
        <v>1509</v>
      </c>
      <c r="B498" s="5" t="s">
        <v>1110</v>
      </c>
      <c r="C498" s="4">
        <v>7</v>
      </c>
      <c r="D498" s="6" t="e">
        <f t="shared" si="5"/>
        <v>#VALUE!</v>
      </c>
      <c r="E498" s="6" t="s">
        <v>1150</v>
      </c>
      <c r="F498" s="7">
        <v>528</v>
      </c>
      <c r="G498" s="6" t="s">
        <v>17</v>
      </c>
      <c r="H498" s="8" t="s">
        <v>2585</v>
      </c>
      <c r="I498" s="9" t="s">
        <v>811</v>
      </c>
      <c r="J498" s="10" t="s">
        <v>2586</v>
      </c>
      <c r="K498" s="9" t="s">
        <v>2587</v>
      </c>
      <c r="L498" s="9" t="s">
        <v>2588</v>
      </c>
      <c r="M498" s="9" t="s">
        <v>2589</v>
      </c>
      <c r="N498" s="9" t="s">
        <v>1017</v>
      </c>
      <c r="O498" s="6">
        <f t="shared" si="9"/>
        <v>1058.0000055275646</v>
      </c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2.75" x14ac:dyDescent="0.2">
      <c r="A499" s="4" t="s">
        <v>1509</v>
      </c>
      <c r="B499" s="5" t="s">
        <v>1110</v>
      </c>
      <c r="C499" s="4">
        <v>8</v>
      </c>
      <c r="D499" s="6" t="e">
        <f t="shared" si="5"/>
        <v>#VALUE!</v>
      </c>
      <c r="E499" s="6" t="s">
        <v>1157</v>
      </c>
      <c r="F499" s="7">
        <v>532</v>
      </c>
      <c r="G499" s="6" t="s">
        <v>17</v>
      </c>
      <c r="H499" s="8" t="s">
        <v>2590</v>
      </c>
      <c r="I499" s="9" t="s">
        <v>2591</v>
      </c>
      <c r="J499" s="10" t="s">
        <v>2592</v>
      </c>
      <c r="K499" s="9" t="s">
        <v>2593</v>
      </c>
      <c r="L499" s="9" t="s">
        <v>2594</v>
      </c>
      <c r="M499" s="9" t="s">
        <v>2595</v>
      </c>
      <c r="N499" s="9" t="s">
        <v>1017</v>
      </c>
      <c r="O499" s="6">
        <f t="shared" si="9"/>
        <v>1066.0000281224075</v>
      </c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2.75" x14ac:dyDescent="0.2">
      <c r="A500" s="4" t="s">
        <v>1509</v>
      </c>
      <c r="B500" s="5" t="s">
        <v>1110</v>
      </c>
      <c r="C500" s="4">
        <v>9</v>
      </c>
      <c r="D500" s="6" t="e">
        <f t="shared" si="5"/>
        <v>#VALUE!</v>
      </c>
      <c r="E500" s="6" t="s">
        <v>1163</v>
      </c>
      <c r="F500" s="7">
        <v>536</v>
      </c>
      <c r="G500" s="6" t="s">
        <v>21</v>
      </c>
      <c r="H500" s="11" t="s">
        <v>2596</v>
      </c>
      <c r="I500" s="9" t="s">
        <v>2597</v>
      </c>
      <c r="J500" s="9" t="s">
        <v>2598</v>
      </c>
      <c r="K500" s="9" t="s">
        <v>2599</v>
      </c>
      <c r="L500" s="9" t="s">
        <v>2600</v>
      </c>
      <c r="M500" s="9" t="s">
        <v>2601</v>
      </c>
      <c r="N500" s="9" t="s">
        <v>1017</v>
      </c>
      <c r="O500" s="6">
        <f t="shared" si="9"/>
        <v>2685.0000920352677</v>
      </c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2.75" x14ac:dyDescent="0.2">
      <c r="A501" s="4" t="s">
        <v>1509</v>
      </c>
      <c r="B501" s="5" t="s">
        <v>1110</v>
      </c>
      <c r="C501" s="4">
        <v>10</v>
      </c>
      <c r="D501" s="6" t="e">
        <f t="shared" si="5"/>
        <v>#VALUE!</v>
      </c>
      <c r="E501" s="6" t="s">
        <v>1170</v>
      </c>
      <c r="F501" s="7">
        <v>540</v>
      </c>
      <c r="G501" s="6" t="s">
        <v>28</v>
      </c>
      <c r="H501" s="8" t="s">
        <v>2602</v>
      </c>
      <c r="I501" s="10" t="s">
        <v>2603</v>
      </c>
      <c r="J501" s="9" t="s">
        <v>2604</v>
      </c>
      <c r="K501" s="9" t="s">
        <v>2605</v>
      </c>
      <c r="L501" s="9" t="s">
        <v>2606</v>
      </c>
      <c r="M501" s="9" t="s">
        <v>2607</v>
      </c>
      <c r="N501" s="9" t="s">
        <v>1017</v>
      </c>
      <c r="O501" s="6">
        <f t="shared" si="9"/>
        <v>2163.9999817801686</v>
      </c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2.75" x14ac:dyDescent="0.2">
      <c r="A502" s="4" t="s">
        <v>1509</v>
      </c>
      <c r="B502" s="5" t="s">
        <v>1177</v>
      </c>
      <c r="C502" s="4">
        <v>1</v>
      </c>
      <c r="D502" s="6" t="e">
        <f t="shared" si="5"/>
        <v>#VALUE!</v>
      </c>
      <c r="E502" s="6" t="s">
        <v>1178</v>
      </c>
      <c r="F502" s="7">
        <v>510</v>
      </c>
      <c r="G502" s="6" t="s">
        <v>17</v>
      </c>
      <c r="H502" s="8" t="s">
        <v>2608</v>
      </c>
      <c r="I502" s="9" t="s">
        <v>2608</v>
      </c>
      <c r="J502" s="10" t="s">
        <v>2609</v>
      </c>
      <c r="K502" s="9" t="s">
        <v>2610</v>
      </c>
      <c r="L502" s="9" t="s">
        <v>2611</v>
      </c>
      <c r="M502" s="9" t="s">
        <v>2612</v>
      </c>
      <c r="N502" s="9" t="s">
        <v>1017</v>
      </c>
      <c r="O502" s="6">
        <f t="shared" si="9"/>
        <v>1738.6665515815216</v>
      </c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2.75" x14ac:dyDescent="0.2">
      <c r="A503" s="4" t="s">
        <v>1509</v>
      </c>
      <c r="B503" s="5" t="s">
        <v>1177</v>
      </c>
      <c r="C503" s="4">
        <v>2</v>
      </c>
      <c r="D503" s="6" t="e">
        <f t="shared" si="5"/>
        <v>#VALUE!</v>
      </c>
      <c r="E503" s="6" t="s">
        <v>1184</v>
      </c>
      <c r="F503" s="7">
        <v>520</v>
      </c>
      <c r="G503" s="6" t="s">
        <v>17</v>
      </c>
      <c r="H503" s="8" t="s">
        <v>2613</v>
      </c>
      <c r="I503" s="9" t="s">
        <v>2614</v>
      </c>
      <c r="J503" s="10" t="s">
        <v>2615</v>
      </c>
      <c r="K503" s="9" t="s">
        <v>2616</v>
      </c>
      <c r="L503" s="9" t="s">
        <v>2617</v>
      </c>
      <c r="M503" s="9" t="s">
        <v>2618</v>
      </c>
      <c r="N503" s="9" t="s">
        <v>1017</v>
      </c>
      <c r="O503" s="6">
        <f t="shared" si="9"/>
        <v>1803.7525664465545</v>
      </c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2.75" x14ac:dyDescent="0.2">
      <c r="A504" s="4" t="s">
        <v>1509</v>
      </c>
      <c r="B504" s="5" t="s">
        <v>1177</v>
      </c>
      <c r="C504" s="4">
        <v>3</v>
      </c>
      <c r="D504" s="6" t="e">
        <f t="shared" si="5"/>
        <v>#VALUE!</v>
      </c>
      <c r="E504" s="6" t="s">
        <v>1192</v>
      </c>
      <c r="F504" s="7">
        <v>530</v>
      </c>
      <c r="G504" s="6" t="s">
        <v>17</v>
      </c>
      <c r="H504" s="8" t="s">
        <v>2619</v>
      </c>
      <c r="I504" s="9" t="s">
        <v>2620</v>
      </c>
      <c r="J504" s="10" t="s">
        <v>2621</v>
      </c>
      <c r="K504" s="9" t="s">
        <v>2622</v>
      </c>
      <c r="L504" s="9" t="s">
        <v>2623</v>
      </c>
      <c r="M504" s="9" t="s">
        <v>2624</v>
      </c>
      <c r="N504" s="9" t="s">
        <v>1017</v>
      </c>
      <c r="O504" s="6">
        <f t="shared" si="9"/>
        <v>1880.9998108273521</v>
      </c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2.75" x14ac:dyDescent="0.2">
      <c r="A505" s="4" t="s">
        <v>1509</v>
      </c>
      <c r="B505" s="5" t="s">
        <v>1177</v>
      </c>
      <c r="C505" s="4">
        <v>4</v>
      </c>
      <c r="D505" s="6" t="e">
        <f t="shared" si="5"/>
        <v>#VALUE!</v>
      </c>
      <c r="E505" s="6" t="s">
        <v>1199</v>
      </c>
      <c r="F505" s="7">
        <v>540</v>
      </c>
      <c r="G505" s="6" t="s">
        <v>28</v>
      </c>
      <c r="H505" s="8" t="s">
        <v>2625</v>
      </c>
      <c r="I505" s="10" t="s">
        <v>2626</v>
      </c>
      <c r="J505" s="9" t="s">
        <v>2627</v>
      </c>
      <c r="K505" s="9" t="s">
        <v>2628</v>
      </c>
      <c r="L505" s="9" t="s">
        <v>2629</v>
      </c>
      <c r="M505" s="9" t="s">
        <v>2630</v>
      </c>
      <c r="N505" s="9" t="s">
        <v>1017</v>
      </c>
      <c r="O505" s="6">
        <f t="shared" si="9"/>
        <v>3887.5057630244351</v>
      </c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2.75" x14ac:dyDescent="0.2">
      <c r="A506" s="4" t="s">
        <v>1509</v>
      </c>
      <c r="B506" s="5" t="s">
        <v>1177</v>
      </c>
      <c r="C506" s="4">
        <v>5</v>
      </c>
      <c r="D506" s="6" t="e">
        <f t="shared" si="5"/>
        <v>#VALUE!</v>
      </c>
      <c r="E506" s="6" t="s">
        <v>1206</v>
      </c>
      <c r="F506" s="7">
        <v>550</v>
      </c>
      <c r="G506" s="6" t="s">
        <v>17</v>
      </c>
      <c r="H506" s="8" t="s">
        <v>2631</v>
      </c>
      <c r="I506" s="9" t="s">
        <v>2632</v>
      </c>
      <c r="J506" s="10" t="s">
        <v>2633</v>
      </c>
      <c r="K506" s="9" t="s">
        <v>2634</v>
      </c>
      <c r="L506" s="9" t="s">
        <v>2635</v>
      </c>
      <c r="M506" s="9" t="s">
        <v>2636</v>
      </c>
      <c r="N506" s="9" t="s">
        <v>1017</v>
      </c>
      <c r="O506" s="6">
        <f t="shared" si="9"/>
        <v>2017.3332922381467</v>
      </c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2.75" x14ac:dyDescent="0.2">
      <c r="A507" s="4" t="s">
        <v>1509</v>
      </c>
      <c r="B507" s="5" t="s">
        <v>1177</v>
      </c>
      <c r="C507" s="4">
        <v>9</v>
      </c>
      <c r="D507" s="6" t="e">
        <f t="shared" si="5"/>
        <v>#VALUE!</v>
      </c>
      <c r="E507" s="6" t="s">
        <v>1213</v>
      </c>
      <c r="F507" s="7">
        <v>560</v>
      </c>
      <c r="G507" s="6" t="s">
        <v>21</v>
      </c>
      <c r="H507" s="11" t="s">
        <v>2637</v>
      </c>
      <c r="I507" s="9" t="s">
        <v>2638</v>
      </c>
      <c r="J507" s="9" t="s">
        <v>2639</v>
      </c>
      <c r="K507" s="9" t="s">
        <v>2640</v>
      </c>
      <c r="L507" s="9" t="s">
        <v>2641</v>
      </c>
      <c r="M507" s="9" t="s">
        <v>2642</v>
      </c>
      <c r="N507" s="9" t="s">
        <v>1017</v>
      </c>
      <c r="O507" s="6">
        <f t="shared" si="9"/>
        <v>2758.2823542970414</v>
      </c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2.75" x14ac:dyDescent="0.2">
      <c r="A508" s="4" t="s">
        <v>1509</v>
      </c>
      <c r="B508" s="5" t="s">
        <v>1177</v>
      </c>
      <c r="C508" s="4">
        <v>7</v>
      </c>
      <c r="D508" s="6" t="e">
        <f t="shared" si="5"/>
        <v>#VALUE!</v>
      </c>
      <c r="E508" s="6" t="s">
        <v>1221</v>
      </c>
      <c r="F508" s="7">
        <v>570</v>
      </c>
      <c r="G508" s="6" t="s">
        <v>17</v>
      </c>
      <c r="H508" s="8" t="s">
        <v>2643</v>
      </c>
      <c r="I508" s="9" t="s">
        <v>2644</v>
      </c>
      <c r="J508" s="10" t="s">
        <v>2645</v>
      </c>
      <c r="K508" s="9" t="s">
        <v>2646</v>
      </c>
      <c r="L508" s="9" t="s">
        <v>2647</v>
      </c>
      <c r="M508" s="9" t="s">
        <v>2648</v>
      </c>
      <c r="N508" s="9" t="s">
        <v>1017</v>
      </c>
      <c r="O508" s="6">
        <f t="shared" si="9"/>
        <v>2133.2524475745709</v>
      </c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2.75" x14ac:dyDescent="0.2">
      <c r="A509" s="4" t="s">
        <v>1509</v>
      </c>
      <c r="B509" s="5" t="s">
        <v>1177</v>
      </c>
      <c r="C509" s="4">
        <v>8</v>
      </c>
      <c r="D509" s="6" t="e">
        <f t="shared" si="5"/>
        <v>#VALUE!</v>
      </c>
      <c r="E509" s="6" t="s">
        <v>1228</v>
      </c>
      <c r="F509" s="7">
        <v>580</v>
      </c>
      <c r="G509" s="6" t="s">
        <v>17</v>
      </c>
      <c r="H509" s="8" t="s">
        <v>2649</v>
      </c>
      <c r="I509" s="9" t="s">
        <v>2650</v>
      </c>
      <c r="J509" s="10" t="s">
        <v>2651</v>
      </c>
      <c r="K509" s="9" t="s">
        <v>2652</v>
      </c>
      <c r="L509" s="9" t="s">
        <v>2653</v>
      </c>
      <c r="M509" s="9" t="s">
        <v>2654</v>
      </c>
      <c r="N509" s="9" t="s">
        <v>1017</v>
      </c>
      <c r="O509" s="6">
        <f t="shared" si="9"/>
        <v>2173.499938930946</v>
      </c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2.75" x14ac:dyDescent="0.2">
      <c r="A510" s="4" t="s">
        <v>1509</v>
      </c>
      <c r="B510" s="5" t="s">
        <v>1177</v>
      </c>
      <c r="C510" s="4">
        <v>9</v>
      </c>
      <c r="D510" s="6" t="e">
        <f t="shared" si="5"/>
        <v>#VALUE!</v>
      </c>
      <c r="E510" s="6" t="s">
        <v>1236</v>
      </c>
      <c r="F510" s="7">
        <v>590</v>
      </c>
      <c r="G510" s="6" t="s">
        <v>28</v>
      </c>
      <c r="H510" s="8" t="s">
        <v>2655</v>
      </c>
      <c r="I510" s="10" t="s">
        <v>2656</v>
      </c>
      <c r="J510" s="9" t="s">
        <v>2657</v>
      </c>
      <c r="K510" s="9" t="s">
        <v>2658</v>
      </c>
      <c r="L510" s="9" t="s">
        <v>2659</v>
      </c>
      <c r="M510" s="9" t="s">
        <v>2660</v>
      </c>
      <c r="N510" s="9" t="s">
        <v>1017</v>
      </c>
      <c r="O510" s="6">
        <f t="shared" si="9"/>
        <v>34859.164133327322</v>
      </c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2.75" x14ac:dyDescent="0.2">
      <c r="A511" s="4" t="s">
        <v>1509</v>
      </c>
      <c r="B511" s="5" t="s">
        <v>1177</v>
      </c>
      <c r="C511" s="4">
        <v>10</v>
      </c>
      <c r="D511" s="6" t="e">
        <f t="shared" si="5"/>
        <v>#VALUE!</v>
      </c>
      <c r="E511" s="6" t="s">
        <v>1243</v>
      </c>
      <c r="F511" s="7">
        <v>600</v>
      </c>
      <c r="G511" s="6" t="s">
        <v>17</v>
      </c>
      <c r="H511" s="8" t="s">
        <v>2661</v>
      </c>
      <c r="I511" s="9" t="s">
        <v>2662</v>
      </c>
      <c r="J511" s="10" t="s">
        <v>2663</v>
      </c>
      <c r="K511" s="9" t="s">
        <v>2664</v>
      </c>
      <c r="L511" s="9" t="s">
        <v>2665</v>
      </c>
      <c r="M511" s="9" t="s">
        <v>2666</v>
      </c>
      <c r="N511" s="9" t="s">
        <v>1017</v>
      </c>
      <c r="O511" s="6">
        <f t="shared" si="9"/>
        <v>2508.1666517311969</v>
      </c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2.75" x14ac:dyDescent="0.2">
      <c r="A512" s="4" t="s">
        <v>1509</v>
      </c>
      <c r="B512" s="5" t="s">
        <v>1250</v>
      </c>
      <c r="C512" s="4">
        <v>1</v>
      </c>
      <c r="D512" s="6" t="e">
        <f t="shared" ref="D512:D766" si="10">CONCATENATE(A512:C512)</f>
        <v>#VALUE!</v>
      </c>
      <c r="E512" s="6" t="s">
        <v>1251</v>
      </c>
      <c r="F512" s="7">
        <v>345</v>
      </c>
      <c r="G512" s="6" t="s">
        <v>21</v>
      </c>
      <c r="H512" s="11" t="s">
        <v>783</v>
      </c>
      <c r="I512" s="9" t="s">
        <v>593</v>
      </c>
      <c r="J512" s="9" t="s">
        <v>593</v>
      </c>
      <c r="K512" s="9" t="s">
        <v>2667</v>
      </c>
      <c r="L512" s="9" t="s">
        <v>2531</v>
      </c>
      <c r="M512" s="9" t="s">
        <v>2668</v>
      </c>
      <c r="N512" s="9" t="s">
        <v>579</v>
      </c>
      <c r="O512" s="6">
        <f t="shared" si="9"/>
        <v>1952.5000245398774</v>
      </c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2.75" x14ac:dyDescent="0.2">
      <c r="A513" s="4" t="s">
        <v>1509</v>
      </c>
      <c r="B513" s="5" t="s">
        <v>1250</v>
      </c>
      <c r="C513" s="4">
        <v>2</v>
      </c>
      <c r="D513" s="6" t="e">
        <f t="shared" si="10"/>
        <v>#VALUE!</v>
      </c>
      <c r="E513" s="6" t="s">
        <v>1253</v>
      </c>
      <c r="F513" s="7">
        <v>390</v>
      </c>
      <c r="G513" s="6" t="s">
        <v>21</v>
      </c>
      <c r="H513" s="11" t="s">
        <v>2182</v>
      </c>
      <c r="I513" s="9" t="s">
        <v>590</v>
      </c>
      <c r="J513" s="9" t="s">
        <v>590</v>
      </c>
      <c r="K513" s="9" t="s">
        <v>2669</v>
      </c>
      <c r="L513" s="9" t="s">
        <v>661</v>
      </c>
      <c r="M513" s="9" t="s">
        <v>2670</v>
      </c>
      <c r="N513" s="9" t="s">
        <v>751</v>
      </c>
      <c r="O513" s="6">
        <f t="shared" si="9"/>
        <v>2200</v>
      </c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2.75" x14ac:dyDescent="0.2">
      <c r="A514" s="4" t="s">
        <v>1509</v>
      </c>
      <c r="B514" s="5" t="s">
        <v>1250</v>
      </c>
      <c r="C514" s="4">
        <v>3</v>
      </c>
      <c r="D514" s="6" t="e">
        <f t="shared" si="10"/>
        <v>#VALUE!</v>
      </c>
      <c r="E514" s="6" t="s">
        <v>1255</v>
      </c>
      <c r="F514" s="7">
        <v>435</v>
      </c>
      <c r="G514" s="6" t="s">
        <v>17</v>
      </c>
      <c r="H514" s="8" t="s">
        <v>1100</v>
      </c>
      <c r="I514" s="9" t="s">
        <v>1100</v>
      </c>
      <c r="J514" s="10" t="s">
        <v>2671</v>
      </c>
      <c r="K514" s="9" t="s">
        <v>2672</v>
      </c>
      <c r="L514" s="9" t="s">
        <v>1120</v>
      </c>
      <c r="M514" s="9" t="s">
        <v>2673</v>
      </c>
      <c r="N514" s="9" t="s">
        <v>1017</v>
      </c>
      <c r="O514" s="6">
        <f t="shared" si="9"/>
        <v>979.00003463203461</v>
      </c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2.75" x14ac:dyDescent="0.2">
      <c r="A515" s="4" t="s">
        <v>1509</v>
      </c>
      <c r="B515" s="5" t="s">
        <v>1250</v>
      </c>
      <c r="C515" s="4">
        <v>4</v>
      </c>
      <c r="D515" s="6" t="e">
        <f t="shared" si="10"/>
        <v>#VALUE!</v>
      </c>
      <c r="E515" s="6" t="s">
        <v>1259</v>
      </c>
      <c r="F515" s="7">
        <v>485</v>
      </c>
      <c r="G515" s="6" t="s">
        <v>21</v>
      </c>
      <c r="H515" s="11" t="s">
        <v>1108</v>
      </c>
      <c r="I515" s="9" t="s">
        <v>1106</v>
      </c>
      <c r="J515" s="9" t="s">
        <v>1270</v>
      </c>
      <c r="K515" s="9" t="s">
        <v>2674</v>
      </c>
      <c r="L515" s="9" t="s">
        <v>783</v>
      </c>
      <c r="M515" s="9" t="s">
        <v>2675</v>
      </c>
      <c r="N515" s="9" t="s">
        <v>1017</v>
      </c>
      <c r="O515" s="6">
        <f t="shared" ref="O515:O578" si="11">M515/K515</f>
        <v>2722.5001056603774</v>
      </c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2.75" x14ac:dyDescent="0.2">
      <c r="A516" s="4" t="s">
        <v>1509</v>
      </c>
      <c r="B516" s="5" t="s">
        <v>1250</v>
      </c>
      <c r="C516" s="4">
        <v>5</v>
      </c>
      <c r="D516" s="6" t="e">
        <f t="shared" si="10"/>
        <v>#VALUE!</v>
      </c>
      <c r="E516" s="6" t="s">
        <v>1263</v>
      </c>
      <c r="F516" s="7">
        <v>525</v>
      </c>
      <c r="G516" s="6" t="s">
        <v>21</v>
      </c>
      <c r="H516" s="11" t="s">
        <v>2676</v>
      </c>
      <c r="I516" s="9" t="s">
        <v>2677</v>
      </c>
      <c r="J516" s="9" t="s">
        <v>2677</v>
      </c>
      <c r="K516" s="9" t="s">
        <v>2678</v>
      </c>
      <c r="L516" s="9" t="s">
        <v>2540</v>
      </c>
      <c r="M516" s="9" t="s">
        <v>2679</v>
      </c>
      <c r="N516" s="9" t="s">
        <v>1017</v>
      </c>
      <c r="O516" s="6">
        <f t="shared" si="11"/>
        <v>2942.5000181543119</v>
      </c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2.75" x14ac:dyDescent="0.2">
      <c r="A517" s="4" t="s">
        <v>1509</v>
      </c>
      <c r="B517" s="5" t="s">
        <v>1250</v>
      </c>
      <c r="C517" s="4">
        <v>6</v>
      </c>
      <c r="D517" s="6" t="e">
        <f t="shared" si="10"/>
        <v>#VALUE!</v>
      </c>
      <c r="E517" s="6" t="s">
        <v>1267</v>
      </c>
      <c r="F517" s="7">
        <v>565</v>
      </c>
      <c r="G517" s="6" t="s">
        <v>1268</v>
      </c>
      <c r="H517" s="8" t="s">
        <v>1490</v>
      </c>
      <c r="I517" s="10" t="s">
        <v>2680</v>
      </c>
      <c r="J517" s="9" t="s">
        <v>1490</v>
      </c>
      <c r="K517" s="9" t="s">
        <v>2681</v>
      </c>
      <c r="L517" s="9" t="s">
        <v>2199</v>
      </c>
      <c r="M517" s="9" t="s">
        <v>2682</v>
      </c>
      <c r="N517" s="9" t="s">
        <v>1017</v>
      </c>
      <c r="O517" s="6">
        <f t="shared" si="11"/>
        <v>2530</v>
      </c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2.75" x14ac:dyDescent="0.2">
      <c r="A518" s="4" t="s">
        <v>1509</v>
      </c>
      <c r="B518" s="5" t="s">
        <v>1250</v>
      </c>
      <c r="C518" s="4">
        <v>7</v>
      </c>
      <c r="D518" s="6" t="e">
        <f t="shared" si="10"/>
        <v>#VALUE!</v>
      </c>
      <c r="E518" s="6" t="s">
        <v>1273</v>
      </c>
      <c r="F518" s="7">
        <v>600</v>
      </c>
      <c r="G518" s="6" t="s">
        <v>1084</v>
      </c>
      <c r="H518" s="11" t="s">
        <v>2683</v>
      </c>
      <c r="I518" s="9" t="s">
        <v>1490</v>
      </c>
      <c r="J518" s="9" t="s">
        <v>1490</v>
      </c>
      <c r="K518" s="9" t="s">
        <v>2684</v>
      </c>
      <c r="L518" s="9" t="s">
        <v>2685</v>
      </c>
      <c r="M518" s="9" t="s">
        <v>2686</v>
      </c>
      <c r="N518" s="9" t="s">
        <v>1017</v>
      </c>
      <c r="O518" s="6">
        <f t="shared" si="11"/>
        <v>2684.0002682634731</v>
      </c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2.75" x14ac:dyDescent="0.2">
      <c r="A519" s="4" t="s">
        <v>1509</v>
      </c>
      <c r="B519" s="5" t="s">
        <v>1250</v>
      </c>
      <c r="C519" s="4">
        <v>8</v>
      </c>
      <c r="D519" s="6" t="e">
        <f t="shared" si="10"/>
        <v>#VALUE!</v>
      </c>
      <c r="E519" s="6" t="s">
        <v>1276</v>
      </c>
      <c r="F519" s="7">
        <v>625</v>
      </c>
      <c r="G519" s="6" t="s">
        <v>28</v>
      </c>
      <c r="H519" s="8" t="s">
        <v>1028</v>
      </c>
      <c r="I519" s="10" t="s">
        <v>2667</v>
      </c>
      <c r="J519" s="9" t="s">
        <v>1028</v>
      </c>
      <c r="K519" s="9" t="s">
        <v>2687</v>
      </c>
      <c r="L519" s="9" t="s">
        <v>2315</v>
      </c>
      <c r="M519" s="9" t="s">
        <v>2688</v>
      </c>
      <c r="N519" s="9" t="s">
        <v>1017</v>
      </c>
      <c r="O519" s="6">
        <f t="shared" si="11"/>
        <v>2794.0001418719212</v>
      </c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2.75" x14ac:dyDescent="0.2">
      <c r="A520" s="4" t="s">
        <v>1509</v>
      </c>
      <c r="B520" s="5" t="s">
        <v>1250</v>
      </c>
      <c r="C520" s="4">
        <v>9</v>
      </c>
      <c r="D520" s="6" t="e">
        <f t="shared" si="10"/>
        <v>#VALUE!</v>
      </c>
      <c r="E520" s="6" t="s">
        <v>1280</v>
      </c>
      <c r="F520" s="7">
        <v>645</v>
      </c>
      <c r="G520" s="6" t="s">
        <v>1084</v>
      </c>
      <c r="H520" s="11" t="s">
        <v>2689</v>
      </c>
      <c r="I520" s="9" t="s">
        <v>1092</v>
      </c>
      <c r="J520" s="9" t="s">
        <v>1092</v>
      </c>
      <c r="K520" s="9" t="s">
        <v>2690</v>
      </c>
      <c r="L520" s="9" t="s">
        <v>1430</v>
      </c>
      <c r="M520" s="9" t="s">
        <v>2691</v>
      </c>
      <c r="N520" s="9" t="s">
        <v>1017</v>
      </c>
      <c r="O520" s="6">
        <f t="shared" si="11"/>
        <v>2881.9999165217391</v>
      </c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2.75" x14ac:dyDescent="0.2">
      <c r="A521" s="4" t="s">
        <v>1509</v>
      </c>
      <c r="B521" s="5" t="s">
        <v>1250</v>
      </c>
      <c r="C521" s="4">
        <v>10</v>
      </c>
      <c r="D521" s="6" t="e">
        <f t="shared" si="10"/>
        <v>#VALUE!</v>
      </c>
      <c r="E521" s="6" t="s">
        <v>1285</v>
      </c>
      <c r="F521" s="7">
        <v>660</v>
      </c>
      <c r="G521" s="6" t="s">
        <v>1084</v>
      </c>
      <c r="H521" s="11" t="s">
        <v>2692</v>
      </c>
      <c r="I521" s="9" t="s">
        <v>2693</v>
      </c>
      <c r="J521" s="9" t="s">
        <v>2693</v>
      </c>
      <c r="K521" s="9" t="s">
        <v>2694</v>
      </c>
      <c r="L521" s="9" t="s">
        <v>2547</v>
      </c>
      <c r="M521" s="9" t="s">
        <v>2695</v>
      </c>
      <c r="N521" s="9" t="s">
        <v>1017</v>
      </c>
      <c r="O521" s="6">
        <f t="shared" si="11"/>
        <v>2948.0000450070324</v>
      </c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2.75" x14ac:dyDescent="0.2">
      <c r="A522" s="4" t="s">
        <v>1509</v>
      </c>
      <c r="B522" s="5" t="s">
        <v>1290</v>
      </c>
      <c r="C522" s="4">
        <v>1</v>
      </c>
      <c r="D522" s="6" t="e">
        <f t="shared" si="10"/>
        <v>#VALUE!</v>
      </c>
      <c r="E522" s="6" t="s">
        <v>1291</v>
      </c>
      <c r="F522" s="7">
        <v>546</v>
      </c>
      <c r="G522" s="6" t="s">
        <v>948</v>
      </c>
      <c r="H522" s="11" t="s">
        <v>2696</v>
      </c>
      <c r="I522" s="9" t="s">
        <v>2697</v>
      </c>
      <c r="J522" s="9" t="s">
        <v>2697</v>
      </c>
      <c r="K522" s="9" t="s">
        <v>2698</v>
      </c>
      <c r="L522" s="9" t="s">
        <v>2699</v>
      </c>
      <c r="M522" s="9" t="s">
        <v>2700</v>
      </c>
      <c r="N522" s="9" t="s">
        <v>1017</v>
      </c>
      <c r="O522" s="6">
        <f t="shared" si="11"/>
        <v>2734.9999510818116</v>
      </c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2.75" x14ac:dyDescent="0.2">
      <c r="A523" s="4" t="s">
        <v>1509</v>
      </c>
      <c r="B523" s="5" t="s">
        <v>1290</v>
      </c>
      <c r="C523" s="4">
        <v>2</v>
      </c>
      <c r="D523" s="6" t="e">
        <f t="shared" si="10"/>
        <v>#VALUE!</v>
      </c>
      <c r="E523" s="6" t="s">
        <v>1298</v>
      </c>
      <c r="F523" s="7">
        <v>567</v>
      </c>
      <c r="G523" s="6" t="s">
        <v>21</v>
      </c>
      <c r="H523" s="11" t="s">
        <v>2701</v>
      </c>
      <c r="I523" s="9" t="s">
        <v>2702</v>
      </c>
      <c r="J523" s="9" t="s">
        <v>2702</v>
      </c>
      <c r="K523" s="9" t="s">
        <v>2703</v>
      </c>
      <c r="L523" s="9" t="s">
        <v>2704</v>
      </c>
      <c r="M523" s="9" t="s">
        <v>2705</v>
      </c>
      <c r="N523" s="9" t="s">
        <v>1017</v>
      </c>
      <c r="O523" s="6">
        <f t="shared" si="11"/>
        <v>2840.0000212659061</v>
      </c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2.75" x14ac:dyDescent="0.2">
      <c r="A524" s="4" t="s">
        <v>1509</v>
      </c>
      <c r="B524" s="5" t="s">
        <v>1290</v>
      </c>
      <c r="C524" s="4">
        <v>3</v>
      </c>
      <c r="D524" s="6" t="e">
        <f t="shared" si="10"/>
        <v>#VALUE!</v>
      </c>
      <c r="E524" s="6" t="s">
        <v>1304</v>
      </c>
      <c r="F524" s="7">
        <v>588</v>
      </c>
      <c r="G524" s="6" t="s">
        <v>1268</v>
      </c>
      <c r="H524" s="8" t="s">
        <v>2706</v>
      </c>
      <c r="I524" s="10" t="s">
        <v>2707</v>
      </c>
      <c r="J524" s="9" t="s">
        <v>2706</v>
      </c>
      <c r="K524" s="9" t="s">
        <v>2708</v>
      </c>
      <c r="L524" s="9" t="s">
        <v>2709</v>
      </c>
      <c r="M524" s="9" t="s">
        <v>2710</v>
      </c>
      <c r="N524" s="9" t="s">
        <v>1017</v>
      </c>
      <c r="O524" s="6">
        <f t="shared" si="11"/>
        <v>2355.9999498748125</v>
      </c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2.75" x14ac:dyDescent="0.2">
      <c r="A525" s="4" t="s">
        <v>1509</v>
      </c>
      <c r="B525" s="5" t="s">
        <v>1290</v>
      </c>
      <c r="C525" s="4">
        <v>4</v>
      </c>
      <c r="D525" s="6" t="e">
        <f t="shared" si="10"/>
        <v>#VALUE!</v>
      </c>
      <c r="E525" s="6" t="s">
        <v>1311</v>
      </c>
      <c r="F525" s="7">
        <v>600</v>
      </c>
      <c r="G525" s="6" t="s">
        <v>17</v>
      </c>
      <c r="H525" s="8" t="s">
        <v>2711</v>
      </c>
      <c r="I525" s="9" t="s">
        <v>2711</v>
      </c>
      <c r="J525" s="10" t="s">
        <v>2712</v>
      </c>
      <c r="K525" s="9" t="s">
        <v>2713</v>
      </c>
      <c r="L525" s="9" t="s">
        <v>2714</v>
      </c>
      <c r="M525" s="9" t="s">
        <v>2715</v>
      </c>
      <c r="N525" s="9" t="s">
        <v>1017</v>
      </c>
      <c r="O525" s="6">
        <f t="shared" si="11"/>
        <v>1201.99997605622</v>
      </c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2.75" x14ac:dyDescent="0.2">
      <c r="A526" s="4" t="s">
        <v>1509</v>
      </c>
      <c r="B526" s="5" t="s">
        <v>1290</v>
      </c>
      <c r="C526" s="4">
        <v>5</v>
      </c>
      <c r="D526" s="6" t="e">
        <f t="shared" si="10"/>
        <v>#VALUE!</v>
      </c>
      <c r="E526" s="6" t="s">
        <v>1318</v>
      </c>
      <c r="F526" s="7">
        <v>612</v>
      </c>
      <c r="G526" s="6" t="s">
        <v>21</v>
      </c>
      <c r="H526" s="11" t="s">
        <v>2716</v>
      </c>
      <c r="I526" s="9" t="s">
        <v>2717</v>
      </c>
      <c r="J526" s="9" t="s">
        <v>2717</v>
      </c>
      <c r="K526" s="9" t="s">
        <v>2718</v>
      </c>
      <c r="L526" s="9" t="s">
        <v>2719</v>
      </c>
      <c r="M526" s="9" t="s">
        <v>2720</v>
      </c>
      <c r="N526" s="9" t="s">
        <v>1017</v>
      </c>
      <c r="O526" s="6">
        <f t="shared" si="11"/>
        <v>3064.9999530978848</v>
      </c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2.75" x14ac:dyDescent="0.2">
      <c r="A527" s="4" t="s">
        <v>1509</v>
      </c>
      <c r="B527" s="5" t="s">
        <v>1290</v>
      </c>
      <c r="C527" s="4">
        <v>6</v>
      </c>
      <c r="D527" s="6" t="e">
        <f t="shared" si="10"/>
        <v>#VALUE!</v>
      </c>
      <c r="E527" s="6" t="s">
        <v>1325</v>
      </c>
      <c r="F527" s="7">
        <v>624</v>
      </c>
      <c r="G527" s="6" t="s">
        <v>21</v>
      </c>
      <c r="H527" s="11" t="s">
        <v>2721</v>
      </c>
      <c r="I527" s="9" t="s">
        <v>2722</v>
      </c>
      <c r="J527" s="9" t="s">
        <v>2723</v>
      </c>
      <c r="K527" s="9" t="s">
        <v>2724</v>
      </c>
      <c r="L527" s="9" t="s">
        <v>2725</v>
      </c>
      <c r="M527" s="9" t="s">
        <v>2726</v>
      </c>
      <c r="N527" s="9" t="s">
        <v>1017</v>
      </c>
      <c r="O527" s="6">
        <f t="shared" si="11"/>
        <v>3125.0000728921846</v>
      </c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2.75" x14ac:dyDescent="0.2">
      <c r="A528" s="4" t="s">
        <v>1509</v>
      </c>
      <c r="B528" s="5" t="s">
        <v>1290</v>
      </c>
      <c r="C528" s="4">
        <v>7</v>
      </c>
      <c r="D528" s="6" t="e">
        <f t="shared" si="10"/>
        <v>#VALUE!</v>
      </c>
      <c r="E528" s="6" t="s">
        <v>1332</v>
      </c>
      <c r="F528" s="7">
        <v>636</v>
      </c>
      <c r="G528" s="6" t="s">
        <v>28</v>
      </c>
      <c r="H528" s="8" t="s">
        <v>2727</v>
      </c>
      <c r="I528" s="10" t="s">
        <v>2728</v>
      </c>
      <c r="J528" s="9" t="s">
        <v>2727</v>
      </c>
      <c r="K528" s="9" t="s">
        <v>2729</v>
      </c>
      <c r="L528" s="9" t="s">
        <v>2730</v>
      </c>
      <c r="M528" s="9" t="s">
        <v>2731</v>
      </c>
      <c r="N528" s="9" t="s">
        <v>1017</v>
      </c>
      <c r="O528" s="6">
        <f t="shared" si="11"/>
        <v>2548.0001187401667</v>
      </c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2.75" x14ac:dyDescent="0.2">
      <c r="A529" s="4" t="s">
        <v>1509</v>
      </c>
      <c r="B529" s="5" t="s">
        <v>1290</v>
      </c>
      <c r="C529" s="4">
        <v>8</v>
      </c>
      <c r="D529" s="6" t="e">
        <f t="shared" si="10"/>
        <v>#VALUE!</v>
      </c>
      <c r="E529" s="6" t="s">
        <v>1338</v>
      </c>
      <c r="F529" s="7">
        <v>648</v>
      </c>
      <c r="G529" s="6" t="s">
        <v>948</v>
      </c>
      <c r="H529" s="11" t="s">
        <v>2732</v>
      </c>
      <c r="I529" s="9" t="s">
        <v>2733</v>
      </c>
      <c r="J529" s="9" t="s">
        <v>2733</v>
      </c>
      <c r="K529" s="9" t="s">
        <v>2734</v>
      </c>
      <c r="L529" s="9" t="s">
        <v>2735</v>
      </c>
      <c r="M529" s="9" t="s">
        <v>2736</v>
      </c>
      <c r="N529" s="9" t="s">
        <v>1017</v>
      </c>
      <c r="O529" s="6">
        <f t="shared" si="11"/>
        <v>3245.0000260841894</v>
      </c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2.75" x14ac:dyDescent="0.2">
      <c r="A530" s="4" t="s">
        <v>1509</v>
      </c>
      <c r="B530" s="5" t="s">
        <v>1290</v>
      </c>
      <c r="C530" s="4">
        <v>9</v>
      </c>
      <c r="D530" s="6" t="e">
        <f t="shared" si="10"/>
        <v>#VALUE!</v>
      </c>
      <c r="E530" s="6" t="s">
        <v>1344</v>
      </c>
      <c r="F530" s="7">
        <v>660</v>
      </c>
      <c r="G530" s="6" t="s">
        <v>21</v>
      </c>
      <c r="H530" s="11" t="s">
        <v>2737</v>
      </c>
      <c r="I530" s="9" t="s">
        <v>789</v>
      </c>
      <c r="J530" s="9" t="s">
        <v>789</v>
      </c>
      <c r="K530" s="9" t="s">
        <v>2738</v>
      </c>
      <c r="L530" s="9" t="s">
        <v>2739</v>
      </c>
      <c r="M530" s="9" t="s">
        <v>2740</v>
      </c>
      <c r="N530" s="9" t="s">
        <v>1017</v>
      </c>
      <c r="O530" s="6">
        <f t="shared" si="11"/>
        <v>3305.0000138145506</v>
      </c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2.75" x14ac:dyDescent="0.2">
      <c r="A531" s="4" t="s">
        <v>1509</v>
      </c>
      <c r="B531" s="5" t="s">
        <v>1290</v>
      </c>
      <c r="C531" s="4">
        <v>10</v>
      </c>
      <c r="D531" s="6" t="e">
        <f t="shared" si="10"/>
        <v>#VALUE!</v>
      </c>
      <c r="E531" s="6" t="s">
        <v>1350</v>
      </c>
      <c r="F531" s="7">
        <v>666</v>
      </c>
      <c r="G531" s="6" t="s">
        <v>21</v>
      </c>
      <c r="H531" s="11" t="s">
        <v>2741</v>
      </c>
      <c r="I531" s="9" t="s">
        <v>2742</v>
      </c>
      <c r="J531" s="9" t="s">
        <v>2742</v>
      </c>
      <c r="K531" s="9" t="s">
        <v>2743</v>
      </c>
      <c r="L531" s="9" t="s">
        <v>2744</v>
      </c>
      <c r="M531" s="9" t="s">
        <v>2745</v>
      </c>
      <c r="N531" s="9" t="s">
        <v>1017</v>
      </c>
      <c r="O531" s="6">
        <f t="shared" si="11"/>
        <v>3334.9999353382232</v>
      </c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5" x14ac:dyDescent="0.25">
      <c r="A532" s="4" t="s">
        <v>1509</v>
      </c>
      <c r="B532" s="5" t="s">
        <v>1357</v>
      </c>
      <c r="C532" s="4">
        <v>1</v>
      </c>
      <c r="D532" s="6" t="e">
        <f t="shared" si="10"/>
        <v>#VALUE!</v>
      </c>
      <c r="E532" s="17" t="s">
        <v>1358</v>
      </c>
      <c r="F532" s="7">
        <v>468</v>
      </c>
      <c r="G532" s="6" t="s">
        <v>28</v>
      </c>
      <c r="H532" s="8" t="s">
        <v>2746</v>
      </c>
      <c r="I532" s="10" t="s">
        <v>2747</v>
      </c>
      <c r="J532" s="9" t="s">
        <v>2748</v>
      </c>
      <c r="K532" s="9" t="s">
        <v>2749</v>
      </c>
      <c r="L532" s="9" t="s">
        <v>2750</v>
      </c>
      <c r="M532" s="9" t="s">
        <v>2751</v>
      </c>
      <c r="N532" s="9" t="s">
        <v>1017</v>
      </c>
      <c r="O532" s="6">
        <f t="shared" si="11"/>
        <v>1875.9999305615831</v>
      </c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2.75" x14ac:dyDescent="0.2">
      <c r="A533" s="4" t="s">
        <v>1509</v>
      </c>
      <c r="B533" s="5" t="s">
        <v>1357</v>
      </c>
      <c r="C533" s="4">
        <v>2</v>
      </c>
      <c r="D533" s="6" t="e">
        <f t="shared" si="10"/>
        <v>#VALUE!</v>
      </c>
      <c r="E533" s="6" t="s">
        <v>1365</v>
      </c>
      <c r="F533" s="7">
        <v>476</v>
      </c>
      <c r="G533" s="6" t="s">
        <v>21</v>
      </c>
      <c r="H533" s="11" t="s">
        <v>2752</v>
      </c>
      <c r="I533" s="9" t="s">
        <v>2753</v>
      </c>
      <c r="J533" s="9" t="s">
        <v>2754</v>
      </c>
      <c r="K533" s="9" t="s">
        <v>2755</v>
      </c>
      <c r="L533" s="9" t="s">
        <v>762</v>
      </c>
      <c r="M533" s="9" t="s">
        <v>2756</v>
      </c>
      <c r="N533" s="9" t="s">
        <v>1017</v>
      </c>
      <c r="O533" s="6">
        <f t="shared" si="11"/>
        <v>2384.9999210920855</v>
      </c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5" x14ac:dyDescent="0.25">
      <c r="A534" s="4" t="s">
        <v>1509</v>
      </c>
      <c r="B534" s="5" t="s">
        <v>1357</v>
      </c>
      <c r="C534" s="4">
        <v>3</v>
      </c>
      <c r="D534" s="6" t="e">
        <f t="shared" si="10"/>
        <v>#VALUE!</v>
      </c>
      <c r="E534" s="17" t="s">
        <v>1372</v>
      </c>
      <c r="F534" s="7">
        <v>484</v>
      </c>
      <c r="G534" s="6" t="s">
        <v>17</v>
      </c>
      <c r="H534" s="8" t="s">
        <v>2757</v>
      </c>
      <c r="I534" s="9" t="s">
        <v>2758</v>
      </c>
      <c r="J534" s="10" t="s">
        <v>2759</v>
      </c>
      <c r="K534" s="9" t="s">
        <v>2760</v>
      </c>
      <c r="L534" s="9" t="s">
        <v>1359</v>
      </c>
      <c r="M534" s="9" t="s">
        <v>2761</v>
      </c>
      <c r="N534" s="9" t="s">
        <v>1017</v>
      </c>
      <c r="O534" s="6">
        <f t="shared" si="11"/>
        <v>970</v>
      </c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2.75" x14ac:dyDescent="0.2">
      <c r="A535" s="4" t="s">
        <v>1509</v>
      </c>
      <c r="B535" s="5" t="s">
        <v>1357</v>
      </c>
      <c r="C535" s="4">
        <v>4</v>
      </c>
      <c r="D535" s="6" t="e">
        <f t="shared" si="10"/>
        <v>#VALUE!</v>
      </c>
      <c r="E535" s="6" t="s">
        <v>1378</v>
      </c>
      <c r="F535" s="7">
        <v>492</v>
      </c>
      <c r="G535" s="6" t="s">
        <v>21</v>
      </c>
      <c r="H535" s="11" t="s">
        <v>2762</v>
      </c>
      <c r="I535" s="9" t="s">
        <v>2763</v>
      </c>
      <c r="J535" s="9" t="s">
        <v>2764</v>
      </c>
      <c r="K535" s="9" t="s">
        <v>2765</v>
      </c>
      <c r="L535" s="9" t="s">
        <v>1367</v>
      </c>
      <c r="M535" s="9" t="s">
        <v>2766</v>
      </c>
      <c r="N535" s="9" t="s">
        <v>1017</v>
      </c>
      <c r="O535" s="6">
        <f t="shared" si="11"/>
        <v>2465.0000260858224</v>
      </c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2.75" x14ac:dyDescent="0.2">
      <c r="A536" s="4" t="s">
        <v>1509</v>
      </c>
      <c r="B536" s="5" t="s">
        <v>1357</v>
      </c>
      <c r="C536" s="4">
        <v>5</v>
      </c>
      <c r="D536" s="6" t="e">
        <f t="shared" si="10"/>
        <v>#VALUE!</v>
      </c>
      <c r="E536" s="6" t="s">
        <v>1385</v>
      </c>
      <c r="F536" s="7">
        <v>500</v>
      </c>
      <c r="G536" s="6" t="s">
        <v>17</v>
      </c>
      <c r="H536" s="8" t="s">
        <v>2767</v>
      </c>
      <c r="I536" s="9" t="s">
        <v>2768</v>
      </c>
      <c r="J536" s="10" t="s">
        <v>2769</v>
      </c>
      <c r="K536" s="9" t="s">
        <v>2770</v>
      </c>
      <c r="L536" s="9" t="s">
        <v>1048</v>
      </c>
      <c r="M536" s="9" t="s">
        <v>2771</v>
      </c>
      <c r="N536" s="9" t="s">
        <v>1017</v>
      </c>
      <c r="O536" s="6">
        <f t="shared" si="11"/>
        <v>1002.0000237149463</v>
      </c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2.75" x14ac:dyDescent="0.2">
      <c r="A537" s="4" t="s">
        <v>1509</v>
      </c>
      <c r="B537" s="5" t="s">
        <v>1357</v>
      </c>
      <c r="C537" s="4">
        <v>6</v>
      </c>
      <c r="D537" s="6" t="e">
        <f t="shared" si="10"/>
        <v>#VALUE!</v>
      </c>
      <c r="E537" s="6" t="s">
        <v>1392</v>
      </c>
      <c r="F537" s="7">
        <v>508</v>
      </c>
      <c r="G537" s="6" t="s">
        <v>21</v>
      </c>
      <c r="H537" s="11" t="s">
        <v>2772</v>
      </c>
      <c r="I537" s="9" t="s">
        <v>2773</v>
      </c>
      <c r="J537" s="9" t="s">
        <v>1139</v>
      </c>
      <c r="K537" s="9" t="s">
        <v>2774</v>
      </c>
      <c r="L537" s="9" t="s">
        <v>1380</v>
      </c>
      <c r="M537" s="9" t="s">
        <v>2775</v>
      </c>
      <c r="N537" s="9" t="s">
        <v>1017</v>
      </c>
      <c r="O537" s="6">
        <f t="shared" si="11"/>
        <v>2545.0000323397835</v>
      </c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2.75" x14ac:dyDescent="0.2">
      <c r="A538" s="4" t="s">
        <v>1509</v>
      </c>
      <c r="B538" s="5" t="s">
        <v>1357</v>
      </c>
      <c r="C538" s="4">
        <v>7</v>
      </c>
      <c r="D538" s="6" t="e">
        <f t="shared" si="10"/>
        <v>#VALUE!</v>
      </c>
      <c r="E538" s="6" t="s">
        <v>1398</v>
      </c>
      <c r="F538" s="7">
        <v>516</v>
      </c>
      <c r="G538" s="6" t="s">
        <v>21</v>
      </c>
      <c r="H538" s="11" t="s">
        <v>2776</v>
      </c>
      <c r="I538" s="9" t="s">
        <v>2777</v>
      </c>
      <c r="J538" s="9" t="s">
        <v>2778</v>
      </c>
      <c r="K538" s="9" t="s">
        <v>2779</v>
      </c>
      <c r="L538" s="9" t="s">
        <v>1387</v>
      </c>
      <c r="M538" s="9" t="s">
        <v>2780</v>
      </c>
      <c r="N538" s="9" t="s">
        <v>1017</v>
      </c>
      <c r="O538" s="6">
        <f t="shared" si="11"/>
        <v>2585.000078400627</v>
      </c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2.75" x14ac:dyDescent="0.2">
      <c r="A539" s="4" t="s">
        <v>1509</v>
      </c>
      <c r="B539" s="5" t="s">
        <v>1357</v>
      </c>
      <c r="C539" s="4">
        <v>8</v>
      </c>
      <c r="D539" s="6" t="e">
        <f t="shared" si="10"/>
        <v>#VALUE!</v>
      </c>
      <c r="E539" s="6" t="s">
        <v>1405</v>
      </c>
      <c r="F539" s="7">
        <v>524</v>
      </c>
      <c r="G539" s="6" t="s">
        <v>21</v>
      </c>
      <c r="H539" s="11" t="s">
        <v>2781</v>
      </c>
      <c r="I539" s="9" t="s">
        <v>2782</v>
      </c>
      <c r="J539" s="9" t="s">
        <v>2783</v>
      </c>
      <c r="K539" s="9" t="s">
        <v>2784</v>
      </c>
      <c r="L539" s="9" t="s">
        <v>1394</v>
      </c>
      <c r="M539" s="9" t="s">
        <v>2785</v>
      </c>
      <c r="N539" s="9" t="s">
        <v>1017</v>
      </c>
      <c r="O539" s="6">
        <f t="shared" si="11"/>
        <v>2625.0001425516748</v>
      </c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5" x14ac:dyDescent="0.25">
      <c r="A540" s="4" t="s">
        <v>1509</v>
      </c>
      <c r="B540" s="5" t="s">
        <v>1357</v>
      </c>
      <c r="C540" s="4">
        <v>9</v>
      </c>
      <c r="D540" s="6" t="e">
        <f t="shared" si="10"/>
        <v>#VALUE!</v>
      </c>
      <c r="E540" s="17" t="s">
        <v>1412</v>
      </c>
      <c r="F540" s="7">
        <v>532</v>
      </c>
      <c r="G540" s="6" t="s">
        <v>28</v>
      </c>
      <c r="H540" s="8" t="s">
        <v>2786</v>
      </c>
      <c r="I540" s="10" t="s">
        <v>2787</v>
      </c>
      <c r="J540" s="9" t="s">
        <v>2788</v>
      </c>
      <c r="K540" s="9" t="s">
        <v>2789</v>
      </c>
      <c r="L540" s="9" t="s">
        <v>1400</v>
      </c>
      <c r="M540" s="9" t="s">
        <v>2790</v>
      </c>
      <c r="N540" s="9" t="s">
        <v>1017</v>
      </c>
      <c r="O540" s="6">
        <f t="shared" si="11"/>
        <v>2132</v>
      </c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2.75" x14ac:dyDescent="0.2">
      <c r="A541" s="4" t="s">
        <v>1509</v>
      </c>
      <c r="B541" s="5" t="s">
        <v>1357</v>
      </c>
      <c r="C541" s="4">
        <v>10</v>
      </c>
      <c r="D541" s="6" t="e">
        <f t="shared" si="10"/>
        <v>#VALUE!</v>
      </c>
      <c r="E541" s="6" t="s">
        <v>1418</v>
      </c>
      <c r="F541" s="7">
        <v>540</v>
      </c>
      <c r="G541" s="6" t="s">
        <v>17</v>
      </c>
      <c r="H541" s="8" t="s">
        <v>2791</v>
      </c>
      <c r="I541" s="9" t="s">
        <v>2792</v>
      </c>
      <c r="J541" s="10" t="s">
        <v>2793</v>
      </c>
      <c r="K541" s="9" t="s">
        <v>2794</v>
      </c>
      <c r="L541" s="9" t="s">
        <v>1407</v>
      </c>
      <c r="M541" s="9" t="s">
        <v>2795</v>
      </c>
      <c r="N541" s="9" t="s">
        <v>1017</v>
      </c>
      <c r="O541" s="6">
        <f t="shared" si="11"/>
        <v>1081.9999852730018</v>
      </c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2.75" x14ac:dyDescent="0.2">
      <c r="A542" s="4" t="s">
        <v>1509</v>
      </c>
      <c r="B542" s="5" t="s">
        <v>1425</v>
      </c>
      <c r="C542" s="4">
        <v>1</v>
      </c>
      <c r="D542" s="6" t="e">
        <f t="shared" si="10"/>
        <v>#VALUE!</v>
      </c>
      <c r="E542" s="6" t="s">
        <v>1426</v>
      </c>
      <c r="F542" s="7">
        <v>345</v>
      </c>
      <c r="G542" s="6" t="s">
        <v>17</v>
      </c>
      <c r="H542" s="8" t="s">
        <v>605</v>
      </c>
      <c r="I542" s="9" t="s">
        <v>605</v>
      </c>
      <c r="J542" s="10" t="s">
        <v>1120</v>
      </c>
      <c r="K542" s="9" t="s">
        <v>1446</v>
      </c>
      <c r="L542" s="9" t="s">
        <v>2531</v>
      </c>
      <c r="M542" s="9" t="s">
        <v>2796</v>
      </c>
      <c r="N542" s="9" t="s">
        <v>579</v>
      </c>
      <c r="O542" s="6">
        <f t="shared" si="11"/>
        <v>14377.50016</v>
      </c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2.75" x14ac:dyDescent="0.2">
      <c r="A543" s="4" t="s">
        <v>1509</v>
      </c>
      <c r="B543" s="5" t="s">
        <v>1425</v>
      </c>
      <c r="C543" s="4">
        <v>2</v>
      </c>
      <c r="D543" s="6" t="e">
        <f t="shared" si="10"/>
        <v>#VALUE!</v>
      </c>
      <c r="E543" s="6" t="s">
        <v>1429</v>
      </c>
      <c r="F543" s="7">
        <v>390</v>
      </c>
      <c r="G543" s="6" t="s">
        <v>21</v>
      </c>
      <c r="H543" s="11" t="s">
        <v>1097</v>
      </c>
      <c r="I543" s="9" t="s">
        <v>1044</v>
      </c>
      <c r="J543" s="9" t="s">
        <v>1044</v>
      </c>
      <c r="K543" s="9" t="s">
        <v>1449</v>
      </c>
      <c r="L543" s="9" t="s">
        <v>661</v>
      </c>
      <c r="M543" s="9" t="s">
        <v>2797</v>
      </c>
      <c r="N543" s="9" t="s">
        <v>751</v>
      </c>
      <c r="O543" s="6">
        <f t="shared" si="11"/>
        <v>40500.000581818182</v>
      </c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2.75" x14ac:dyDescent="0.2">
      <c r="A544" s="4" t="s">
        <v>1509</v>
      </c>
      <c r="B544" s="5" t="s">
        <v>1425</v>
      </c>
      <c r="C544" s="4">
        <v>3</v>
      </c>
      <c r="D544" s="6" t="e">
        <f t="shared" si="10"/>
        <v>#VALUE!</v>
      </c>
      <c r="E544" s="6" t="s">
        <v>1432</v>
      </c>
      <c r="F544" s="7">
        <v>435</v>
      </c>
      <c r="G544" s="6" t="s">
        <v>28</v>
      </c>
      <c r="H544" s="8" t="s">
        <v>1100</v>
      </c>
      <c r="I544" s="10" t="s">
        <v>2534</v>
      </c>
      <c r="J544" s="9" t="s">
        <v>1100</v>
      </c>
      <c r="K544" s="9" t="s">
        <v>2535</v>
      </c>
      <c r="L544" s="9" t="s">
        <v>1120</v>
      </c>
      <c r="M544" s="9" t="s">
        <v>2798</v>
      </c>
      <c r="N544" s="9" t="s">
        <v>1017</v>
      </c>
      <c r="O544" s="6">
        <f t="shared" si="11"/>
        <v>36045.000533333332</v>
      </c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2.75" x14ac:dyDescent="0.2">
      <c r="A545" s="4" t="s">
        <v>1509</v>
      </c>
      <c r="B545" s="5" t="s">
        <v>1425</v>
      </c>
      <c r="C545" s="4">
        <v>4</v>
      </c>
      <c r="D545" s="6" t="e">
        <f t="shared" si="10"/>
        <v>#VALUE!</v>
      </c>
      <c r="E545" s="6" t="s">
        <v>1435</v>
      </c>
      <c r="F545" s="7">
        <v>485</v>
      </c>
      <c r="G545" s="6" t="s">
        <v>17</v>
      </c>
      <c r="H545" s="8" t="s">
        <v>655</v>
      </c>
      <c r="I545" s="9" t="s">
        <v>655</v>
      </c>
      <c r="J545" s="10" t="s">
        <v>1108</v>
      </c>
      <c r="K545" s="9" t="s">
        <v>2536</v>
      </c>
      <c r="L545" s="9" t="s">
        <v>783</v>
      </c>
      <c r="M545" s="9" t="s">
        <v>2799</v>
      </c>
      <c r="N545" s="9" t="s">
        <v>1017</v>
      </c>
      <c r="O545" s="6">
        <f t="shared" si="11"/>
        <v>20047.499815384614</v>
      </c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2.75" x14ac:dyDescent="0.2">
      <c r="A546" s="4" t="s">
        <v>1509</v>
      </c>
      <c r="B546" s="5" t="s">
        <v>1425</v>
      </c>
      <c r="C546" s="4">
        <v>5</v>
      </c>
      <c r="D546" s="6" t="e">
        <f t="shared" si="10"/>
        <v>#VALUE!</v>
      </c>
      <c r="E546" s="6" t="s">
        <v>1438</v>
      </c>
      <c r="F546" s="7">
        <v>525</v>
      </c>
      <c r="G546" s="6" t="s">
        <v>17</v>
      </c>
      <c r="H546" s="8" t="s">
        <v>829</v>
      </c>
      <c r="I546" s="9" t="s">
        <v>829</v>
      </c>
      <c r="J546" s="10" t="s">
        <v>2538</v>
      </c>
      <c r="K546" s="9" t="s">
        <v>2539</v>
      </c>
      <c r="L546" s="9" t="s">
        <v>2540</v>
      </c>
      <c r="M546" s="9" t="s">
        <v>2800</v>
      </c>
      <c r="N546" s="9" t="s">
        <v>1017</v>
      </c>
      <c r="O546" s="6">
        <f t="shared" si="11"/>
        <v>21667.499885714285</v>
      </c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2.75" x14ac:dyDescent="0.2">
      <c r="A547" s="4" t="s">
        <v>1509</v>
      </c>
      <c r="B547" s="5" t="s">
        <v>1425</v>
      </c>
      <c r="C547" s="4">
        <v>6</v>
      </c>
      <c r="D547" s="6" t="e">
        <f t="shared" si="10"/>
        <v>#VALUE!</v>
      </c>
      <c r="E547" s="6" t="s">
        <v>1441</v>
      </c>
      <c r="F547" s="7">
        <v>565</v>
      </c>
      <c r="G547" s="6" t="s">
        <v>21</v>
      </c>
      <c r="H547" s="11" t="s">
        <v>1433</v>
      </c>
      <c r="I547" s="9" t="s">
        <v>1452</v>
      </c>
      <c r="J547" s="9" t="s">
        <v>1452</v>
      </c>
      <c r="K547" s="9" t="s">
        <v>1458</v>
      </c>
      <c r="L547" s="9" t="s">
        <v>2199</v>
      </c>
      <c r="M547" s="9" t="s">
        <v>2801</v>
      </c>
      <c r="N547" s="9" t="s">
        <v>1017</v>
      </c>
      <c r="O547" s="6">
        <f t="shared" si="11"/>
        <v>58218.748586666668</v>
      </c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2.75" x14ac:dyDescent="0.2">
      <c r="A548" s="4" t="s">
        <v>1509</v>
      </c>
      <c r="B548" s="5" t="s">
        <v>1425</v>
      </c>
      <c r="C548" s="4">
        <v>7</v>
      </c>
      <c r="D548" s="6" t="e">
        <f t="shared" si="10"/>
        <v>#VALUE!</v>
      </c>
      <c r="E548" s="6" t="s">
        <v>1444</v>
      </c>
      <c r="F548" s="7">
        <v>600</v>
      </c>
      <c r="G548" s="6" t="s">
        <v>21</v>
      </c>
      <c r="H548" s="11" t="s">
        <v>2802</v>
      </c>
      <c r="I548" s="9" t="s">
        <v>1120</v>
      </c>
      <c r="J548" s="9" t="s">
        <v>1120</v>
      </c>
      <c r="K548" s="9" t="s">
        <v>2543</v>
      </c>
      <c r="L548" s="9" t="s">
        <v>2685</v>
      </c>
      <c r="M548" s="9" t="s">
        <v>2803</v>
      </c>
      <c r="N548" s="9" t="s">
        <v>1017</v>
      </c>
      <c r="O548" s="6">
        <f t="shared" si="11"/>
        <v>61762.502399999998</v>
      </c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2.75" x14ac:dyDescent="0.2">
      <c r="A549" s="4" t="s">
        <v>1509</v>
      </c>
      <c r="B549" s="5" t="s">
        <v>1425</v>
      </c>
      <c r="C549" s="4">
        <v>8</v>
      </c>
      <c r="D549" s="6" t="e">
        <f t="shared" si="10"/>
        <v>#VALUE!</v>
      </c>
      <c r="E549" s="6" t="s">
        <v>1448</v>
      </c>
      <c r="F549" s="7">
        <v>625</v>
      </c>
      <c r="G549" s="6" t="s">
        <v>28</v>
      </c>
      <c r="H549" s="8" t="s">
        <v>789</v>
      </c>
      <c r="I549" s="10" t="s">
        <v>2542</v>
      </c>
      <c r="J549" s="9" t="s">
        <v>789</v>
      </c>
      <c r="K549" s="9" t="s">
        <v>2804</v>
      </c>
      <c r="L549" s="9" t="s">
        <v>2315</v>
      </c>
      <c r="M549" s="9" t="s">
        <v>2805</v>
      </c>
      <c r="N549" s="9" t="s">
        <v>1017</v>
      </c>
      <c r="O549" s="6">
        <f t="shared" si="11"/>
        <v>51435.001976470587</v>
      </c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2.75" x14ac:dyDescent="0.2">
      <c r="A550" s="4" t="s">
        <v>1509</v>
      </c>
      <c r="B550" s="5" t="s">
        <v>1425</v>
      </c>
      <c r="C550" s="4">
        <v>9</v>
      </c>
      <c r="D550" s="6" t="e">
        <f t="shared" si="10"/>
        <v>#VALUE!</v>
      </c>
      <c r="E550" s="6" t="s">
        <v>1451</v>
      </c>
      <c r="F550" s="7">
        <v>645</v>
      </c>
      <c r="G550" s="6" t="s">
        <v>28</v>
      </c>
      <c r="H550" s="8" t="s">
        <v>2534</v>
      </c>
      <c r="I550" s="10" t="s">
        <v>1446</v>
      </c>
      <c r="J550" s="9" t="s">
        <v>2806</v>
      </c>
      <c r="K550" s="9" t="s">
        <v>2807</v>
      </c>
      <c r="L550" s="9" t="s">
        <v>1430</v>
      </c>
      <c r="M550" s="9" t="s">
        <v>2808</v>
      </c>
      <c r="N550" s="9" t="s">
        <v>1017</v>
      </c>
      <c r="O550" s="6">
        <f t="shared" si="11"/>
        <v>53054.998755555556</v>
      </c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2.75" x14ac:dyDescent="0.2">
      <c r="A551" s="4" t="s">
        <v>1509</v>
      </c>
      <c r="B551" s="5" t="s">
        <v>1425</v>
      </c>
      <c r="C551" s="4">
        <v>10</v>
      </c>
      <c r="D551" s="6" t="e">
        <f t="shared" si="10"/>
        <v>#VALUE!</v>
      </c>
      <c r="E551" s="6" t="s">
        <v>1455</v>
      </c>
      <c r="F551" s="7">
        <v>660</v>
      </c>
      <c r="G551" s="6" t="s">
        <v>17</v>
      </c>
      <c r="H551" s="8" t="s">
        <v>1430</v>
      </c>
      <c r="I551" s="9" t="s">
        <v>1430</v>
      </c>
      <c r="J551" s="10" t="s">
        <v>1453</v>
      </c>
      <c r="K551" s="9" t="s">
        <v>2809</v>
      </c>
      <c r="L551" s="9" t="s">
        <v>2547</v>
      </c>
      <c r="M551" s="9" t="s">
        <v>2810</v>
      </c>
      <c r="N551" s="9" t="s">
        <v>1017</v>
      </c>
      <c r="O551" s="6">
        <f t="shared" si="11"/>
        <v>22612.500479999999</v>
      </c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2.75" x14ac:dyDescent="0.2">
      <c r="A552" s="12" t="s">
        <v>1509</v>
      </c>
      <c r="B552" s="13" t="s">
        <v>1460</v>
      </c>
      <c r="C552" s="12">
        <v>1</v>
      </c>
      <c r="D552" s="14" t="e">
        <f t="shared" si="10"/>
        <v>#VALUE!</v>
      </c>
      <c r="E552" s="14" t="s">
        <v>1461</v>
      </c>
      <c r="F552" s="15">
        <v>600</v>
      </c>
      <c r="G552" s="14" t="s">
        <v>21</v>
      </c>
      <c r="H552" s="11" t="s">
        <v>2539</v>
      </c>
      <c r="I552" s="8" t="s">
        <v>1436</v>
      </c>
      <c r="J552" s="8" t="s">
        <v>1436</v>
      </c>
      <c r="K552" s="8" t="s">
        <v>2546</v>
      </c>
      <c r="L552" s="8" t="s">
        <v>1436</v>
      </c>
      <c r="M552" s="9" t="s">
        <v>2811</v>
      </c>
      <c r="N552" s="9" t="s">
        <v>1017</v>
      </c>
      <c r="O552" s="6">
        <f t="shared" si="11"/>
        <v>34883.72212093023</v>
      </c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ht="12.75" x14ac:dyDescent="0.2">
      <c r="A553" s="12" t="s">
        <v>1509</v>
      </c>
      <c r="B553" s="13" t="s">
        <v>1460</v>
      </c>
      <c r="C553" s="12">
        <v>2</v>
      </c>
      <c r="D553" s="14" t="e">
        <f t="shared" si="10"/>
        <v>#VALUE!</v>
      </c>
      <c r="E553" s="14" t="s">
        <v>1465</v>
      </c>
      <c r="F553" s="15">
        <v>605</v>
      </c>
      <c r="G553" s="14" t="s">
        <v>17</v>
      </c>
      <c r="H553" s="8" t="s">
        <v>2812</v>
      </c>
      <c r="I553" s="8" t="s">
        <v>2812</v>
      </c>
      <c r="J553" s="11" t="s">
        <v>2813</v>
      </c>
      <c r="K553" s="8" t="s">
        <v>2814</v>
      </c>
      <c r="L553" s="8" t="s">
        <v>2812</v>
      </c>
      <c r="M553" s="9" t="s">
        <v>2815</v>
      </c>
      <c r="N553" s="9" t="s">
        <v>1017</v>
      </c>
      <c r="O553" s="6">
        <f t="shared" si="11"/>
        <v>35368.662709677417</v>
      </c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ht="12.75" x14ac:dyDescent="0.2">
      <c r="A554" s="12" t="s">
        <v>1509</v>
      </c>
      <c r="B554" s="13" t="s">
        <v>1460</v>
      </c>
      <c r="C554" s="12">
        <v>3</v>
      </c>
      <c r="D554" s="14" t="e">
        <f t="shared" si="10"/>
        <v>#VALUE!</v>
      </c>
      <c r="E554" s="14" t="s">
        <v>1470</v>
      </c>
      <c r="F554" s="15">
        <v>610</v>
      </c>
      <c r="G554" s="14" t="s">
        <v>28</v>
      </c>
      <c r="H554" s="8" t="s">
        <v>2340</v>
      </c>
      <c r="I554" s="11" t="s">
        <v>2816</v>
      </c>
      <c r="J554" s="8" t="s">
        <v>2340</v>
      </c>
      <c r="K554" s="8" t="s">
        <v>2817</v>
      </c>
      <c r="L554" s="8" t="s">
        <v>2340</v>
      </c>
      <c r="M554" s="8" t="s">
        <v>2818</v>
      </c>
      <c r="N554" s="9" t="s">
        <v>1017</v>
      </c>
      <c r="O554" s="6">
        <f t="shared" si="11"/>
        <v>38100.437519650652</v>
      </c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ht="12.75" x14ac:dyDescent="0.2">
      <c r="A555" s="12" t="s">
        <v>1509</v>
      </c>
      <c r="B555" s="13" t="s">
        <v>1460</v>
      </c>
      <c r="C555" s="12">
        <v>4</v>
      </c>
      <c r="D555" s="14" t="e">
        <f t="shared" si="10"/>
        <v>#VALUE!</v>
      </c>
      <c r="E555" s="14" t="s">
        <v>1475</v>
      </c>
      <c r="F555" s="15">
        <v>615</v>
      </c>
      <c r="G555" s="14" t="s">
        <v>21</v>
      </c>
      <c r="H555" s="11" t="s">
        <v>2543</v>
      </c>
      <c r="I555" s="8" t="s">
        <v>1439</v>
      </c>
      <c r="J555" s="8" t="s">
        <v>1439</v>
      </c>
      <c r="K555" s="8" t="s">
        <v>2819</v>
      </c>
      <c r="L555" s="8" t="s">
        <v>1439</v>
      </c>
      <c r="M555" s="8" t="s">
        <v>2820</v>
      </c>
      <c r="N555" s="9" t="s">
        <v>1017</v>
      </c>
      <c r="O555" s="6">
        <f t="shared" si="11"/>
        <v>38528.137419913422</v>
      </c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ht="12.75" x14ac:dyDescent="0.2">
      <c r="A556" s="12" t="s">
        <v>1509</v>
      </c>
      <c r="B556" s="13" t="s">
        <v>1460</v>
      </c>
      <c r="C556" s="12">
        <v>5</v>
      </c>
      <c r="D556" s="14" t="e">
        <f t="shared" si="10"/>
        <v>#VALUE!</v>
      </c>
      <c r="E556" s="14" t="s">
        <v>1479</v>
      </c>
      <c r="F556" s="15">
        <v>620</v>
      </c>
      <c r="G556" s="14" t="s">
        <v>17</v>
      </c>
      <c r="H556" s="8" t="s">
        <v>2821</v>
      </c>
      <c r="I556" s="8" t="s">
        <v>2821</v>
      </c>
      <c r="J556" s="11" t="s">
        <v>2822</v>
      </c>
      <c r="K556" s="8" t="s">
        <v>2823</v>
      </c>
      <c r="L556" s="8" t="s">
        <v>2821</v>
      </c>
      <c r="M556" s="25" t="s">
        <v>2824</v>
      </c>
      <c r="N556" s="9" t="s">
        <v>1017</v>
      </c>
      <c r="O556" s="6">
        <f t="shared" si="11"/>
        <v>40946.502584362141</v>
      </c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ht="12.75" x14ac:dyDescent="0.2">
      <c r="A557" s="12" t="s">
        <v>1509</v>
      </c>
      <c r="B557" s="13" t="s">
        <v>1460</v>
      </c>
      <c r="C557" s="12">
        <v>6</v>
      </c>
      <c r="D557" s="14" t="e">
        <f t="shared" si="10"/>
        <v>#VALUE!</v>
      </c>
      <c r="E557" s="14" t="s">
        <v>1484</v>
      </c>
      <c r="F557" s="15">
        <v>625</v>
      </c>
      <c r="G557" s="14" t="s">
        <v>21</v>
      </c>
      <c r="H557" s="11" t="s">
        <v>2825</v>
      </c>
      <c r="I557" s="8" t="s">
        <v>2826</v>
      </c>
      <c r="J557" s="8" t="s">
        <v>2826</v>
      </c>
      <c r="K557" s="8" t="s">
        <v>2827</v>
      </c>
      <c r="L557" s="8" t="s">
        <v>2826</v>
      </c>
      <c r="M557" s="25" t="s">
        <v>2828</v>
      </c>
      <c r="N557" s="9" t="s">
        <v>1017</v>
      </c>
      <c r="O557" s="6">
        <f t="shared" si="11"/>
        <v>41326.529306122451</v>
      </c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ht="12.75" x14ac:dyDescent="0.2">
      <c r="A558" s="12" t="s">
        <v>1509</v>
      </c>
      <c r="B558" s="13" t="s">
        <v>1460</v>
      </c>
      <c r="C558" s="12">
        <v>7</v>
      </c>
      <c r="D558" s="14" t="e">
        <f t="shared" si="10"/>
        <v>#VALUE!</v>
      </c>
      <c r="E558" s="14" t="s">
        <v>1489</v>
      </c>
      <c r="F558" s="15">
        <v>630</v>
      </c>
      <c r="G558" s="14" t="s">
        <v>28</v>
      </c>
      <c r="H558" s="8" t="s">
        <v>2829</v>
      </c>
      <c r="I558" s="11" t="s">
        <v>2830</v>
      </c>
      <c r="J558" s="8" t="s">
        <v>2829</v>
      </c>
      <c r="K558" s="8" t="s">
        <v>2831</v>
      </c>
      <c r="L558" s="8" t="s">
        <v>2829</v>
      </c>
      <c r="M558" s="25" t="s">
        <v>2832</v>
      </c>
      <c r="N558" s="9" t="s">
        <v>1017</v>
      </c>
      <c r="O558" s="6">
        <f t="shared" si="11"/>
        <v>43482.490521400781</v>
      </c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ht="12.75" x14ac:dyDescent="0.2">
      <c r="A559" s="12" t="s">
        <v>1509</v>
      </c>
      <c r="B559" s="13" t="s">
        <v>1460</v>
      </c>
      <c r="C559" s="12">
        <v>8</v>
      </c>
      <c r="D559" s="14" t="e">
        <f t="shared" si="10"/>
        <v>#VALUE!</v>
      </c>
      <c r="E559" s="14" t="s">
        <v>1494</v>
      </c>
      <c r="F559" s="15">
        <v>635</v>
      </c>
      <c r="G559" s="14" t="s">
        <v>28</v>
      </c>
      <c r="H559" s="8" t="s">
        <v>2833</v>
      </c>
      <c r="I559" s="11" t="s">
        <v>2834</v>
      </c>
      <c r="J559" s="8" t="s">
        <v>2833</v>
      </c>
      <c r="K559" s="8" t="s">
        <v>2835</v>
      </c>
      <c r="L559" s="8" t="s">
        <v>2833</v>
      </c>
      <c r="M559" s="25" t="s">
        <v>2836</v>
      </c>
      <c r="N559" s="9" t="s">
        <v>1017</v>
      </c>
      <c r="O559" s="6">
        <f t="shared" si="11"/>
        <v>43822.392339768339</v>
      </c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ht="12.75" x14ac:dyDescent="0.2">
      <c r="A560" s="12" t="s">
        <v>1509</v>
      </c>
      <c r="B560" s="13" t="s">
        <v>1460</v>
      </c>
      <c r="C560" s="12">
        <v>9</v>
      </c>
      <c r="D560" s="14" t="e">
        <f t="shared" si="10"/>
        <v>#VALUE!</v>
      </c>
      <c r="E560" s="14" t="s">
        <v>1499</v>
      </c>
      <c r="F560" s="15">
        <v>640</v>
      </c>
      <c r="G560" s="14" t="s">
        <v>21</v>
      </c>
      <c r="H560" s="11" t="s">
        <v>2837</v>
      </c>
      <c r="I560" s="8" t="s">
        <v>2838</v>
      </c>
      <c r="J560" s="8" t="s">
        <v>2838</v>
      </c>
      <c r="K560" s="8" t="s">
        <v>2839</v>
      </c>
      <c r="L560" s="8" t="s">
        <v>2838</v>
      </c>
      <c r="M560" s="25" t="s">
        <v>2840</v>
      </c>
      <c r="N560" s="9" t="s">
        <v>1017</v>
      </c>
      <c r="O560" s="6">
        <f t="shared" si="11"/>
        <v>45756.457564575649</v>
      </c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ht="13.5" thickBot="1" x14ac:dyDescent="0.25">
      <c r="A561" s="12" t="s">
        <v>1509</v>
      </c>
      <c r="B561" s="13" t="s">
        <v>1460</v>
      </c>
      <c r="C561" s="12">
        <v>10</v>
      </c>
      <c r="D561" s="14" t="e">
        <f t="shared" si="10"/>
        <v>#VALUE!</v>
      </c>
      <c r="E561" s="14" t="s">
        <v>1504</v>
      </c>
      <c r="F561" s="15">
        <v>650</v>
      </c>
      <c r="G561" s="14" t="s">
        <v>21</v>
      </c>
      <c r="H561" s="11" t="s">
        <v>2841</v>
      </c>
      <c r="I561" s="8" t="s">
        <v>2842</v>
      </c>
      <c r="J561" s="8" t="s">
        <v>2842</v>
      </c>
      <c r="K561" s="8" t="s">
        <v>2843</v>
      </c>
      <c r="L561" s="8" t="s">
        <v>2842</v>
      </c>
      <c r="M561" s="25" t="s">
        <v>2844</v>
      </c>
      <c r="N561" s="9" t="s">
        <v>1017</v>
      </c>
      <c r="O561" s="6">
        <f t="shared" si="11"/>
        <v>46363.636552727272</v>
      </c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ht="13.5" thickTop="1" x14ac:dyDescent="0.2">
      <c r="A562" s="18" t="s">
        <v>2845</v>
      </c>
      <c r="B562" s="19" t="s">
        <v>2846</v>
      </c>
      <c r="C562" s="18">
        <v>1</v>
      </c>
      <c r="D562" s="20" t="e">
        <f t="shared" si="10"/>
        <v>#VALUE!</v>
      </c>
      <c r="E562" s="20" t="s">
        <v>2847</v>
      </c>
      <c r="F562" s="21">
        <v>222</v>
      </c>
      <c r="G562" s="20" t="s">
        <v>21</v>
      </c>
      <c r="H562" s="26" t="s">
        <v>1108</v>
      </c>
      <c r="I562" s="23" t="s">
        <v>181</v>
      </c>
      <c r="J562" s="23" t="s">
        <v>181</v>
      </c>
      <c r="K562" s="23" t="s">
        <v>1068</v>
      </c>
      <c r="L562" s="23" t="s">
        <v>1081</v>
      </c>
      <c r="M562" s="23" t="s">
        <v>2848</v>
      </c>
      <c r="N562" s="23" t="s">
        <v>613</v>
      </c>
      <c r="O562" s="6">
        <f t="shared" si="11"/>
        <v>1081.081081081081</v>
      </c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</row>
    <row r="563" spans="1:27" ht="12.75" x14ac:dyDescent="0.2">
      <c r="A563" s="4" t="s">
        <v>2845</v>
      </c>
      <c r="B563" s="5" t="s">
        <v>2846</v>
      </c>
      <c r="C563" s="4">
        <v>2</v>
      </c>
      <c r="D563" s="6" t="e">
        <f t="shared" si="10"/>
        <v>#VALUE!</v>
      </c>
      <c r="E563" s="6" t="s">
        <v>2849</v>
      </c>
      <c r="F563" s="7">
        <v>244</v>
      </c>
      <c r="G563" s="6" t="s">
        <v>21</v>
      </c>
      <c r="H563" s="11" t="s">
        <v>1430</v>
      </c>
      <c r="I563" s="9" t="s">
        <v>2044</v>
      </c>
      <c r="J563" s="9" t="s">
        <v>2044</v>
      </c>
      <c r="K563" s="9" t="s">
        <v>2850</v>
      </c>
      <c r="L563" s="9" t="s">
        <v>1087</v>
      </c>
      <c r="M563" s="9" t="s">
        <v>2851</v>
      </c>
      <c r="N563" s="9" t="s">
        <v>1685</v>
      </c>
      <c r="O563" s="6">
        <f t="shared" si="11"/>
        <v>1190.4761904761904</v>
      </c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2.75" x14ac:dyDescent="0.2">
      <c r="A564" s="4" t="s">
        <v>2845</v>
      </c>
      <c r="B564" s="5" t="s">
        <v>2846</v>
      </c>
      <c r="C564" s="4">
        <v>3</v>
      </c>
      <c r="D564" s="6" t="e">
        <f t="shared" si="10"/>
        <v>#VALUE!</v>
      </c>
      <c r="E564" s="6" t="s">
        <v>2852</v>
      </c>
      <c r="F564" s="7">
        <v>266</v>
      </c>
      <c r="G564" s="6" t="s">
        <v>17</v>
      </c>
      <c r="H564" s="8" t="s">
        <v>293</v>
      </c>
      <c r="I564" s="9" t="s">
        <v>293</v>
      </c>
      <c r="J564" s="10" t="s">
        <v>1433</v>
      </c>
      <c r="K564" s="9" t="s">
        <v>1430</v>
      </c>
      <c r="L564" s="9" t="s">
        <v>2853</v>
      </c>
      <c r="M564" s="9" t="s">
        <v>2854</v>
      </c>
      <c r="N564" s="9" t="s">
        <v>1745</v>
      </c>
      <c r="O564" s="6">
        <f t="shared" si="11"/>
        <v>1200</v>
      </c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2.75" x14ac:dyDescent="0.2">
      <c r="A565" s="4" t="s">
        <v>2845</v>
      </c>
      <c r="B565" s="5" t="s">
        <v>2846</v>
      </c>
      <c r="C565" s="4">
        <v>4</v>
      </c>
      <c r="D565" s="6" t="e">
        <f t="shared" si="10"/>
        <v>#VALUE!</v>
      </c>
      <c r="E565" s="6" t="s">
        <v>2855</v>
      </c>
      <c r="F565" s="7">
        <v>288</v>
      </c>
      <c r="G565" s="6" t="s">
        <v>28</v>
      </c>
      <c r="H565" s="8" t="s">
        <v>1260</v>
      </c>
      <c r="I565" s="10" t="s">
        <v>1436</v>
      </c>
      <c r="J565" s="9" t="s">
        <v>1260</v>
      </c>
      <c r="K565" s="9" t="s">
        <v>1433</v>
      </c>
      <c r="L565" s="9" t="s">
        <v>2856</v>
      </c>
      <c r="M565" s="9" t="s">
        <v>2857</v>
      </c>
      <c r="N565" s="9" t="s">
        <v>1812</v>
      </c>
      <c r="O565" s="6">
        <f t="shared" si="11"/>
        <v>1200</v>
      </c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2.75" x14ac:dyDescent="0.2">
      <c r="A566" s="4" t="s">
        <v>2845</v>
      </c>
      <c r="B566" s="5" t="s">
        <v>2846</v>
      </c>
      <c r="C566" s="4">
        <v>5</v>
      </c>
      <c r="D566" s="6" t="e">
        <f t="shared" si="10"/>
        <v>#VALUE!</v>
      </c>
      <c r="E566" s="6" t="s">
        <v>2858</v>
      </c>
      <c r="F566" s="7">
        <v>333</v>
      </c>
      <c r="G566" s="6" t="s">
        <v>17</v>
      </c>
      <c r="H566" s="8" t="s">
        <v>615</v>
      </c>
      <c r="I566" s="9" t="s">
        <v>615</v>
      </c>
      <c r="J566" s="10" t="s">
        <v>1442</v>
      </c>
      <c r="K566" s="9" t="s">
        <v>2859</v>
      </c>
      <c r="L566" s="9" t="s">
        <v>2860</v>
      </c>
      <c r="M566" s="9" t="s">
        <v>2861</v>
      </c>
      <c r="N566" s="9" t="s">
        <v>2862</v>
      </c>
      <c r="O566" s="6">
        <f t="shared" si="11"/>
        <v>1194.4444444444443</v>
      </c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2.75" x14ac:dyDescent="0.2">
      <c r="A567" s="4" t="s">
        <v>2845</v>
      </c>
      <c r="B567" s="5" t="s">
        <v>2846</v>
      </c>
      <c r="C567" s="4">
        <v>6</v>
      </c>
      <c r="D567" s="6" t="e">
        <f t="shared" si="10"/>
        <v>#VALUE!</v>
      </c>
      <c r="E567" s="6" t="s">
        <v>2863</v>
      </c>
      <c r="F567" s="7">
        <v>366</v>
      </c>
      <c r="G567" s="6" t="s">
        <v>17</v>
      </c>
      <c r="H567" s="8" t="s">
        <v>830</v>
      </c>
      <c r="I567" s="9" t="s">
        <v>830</v>
      </c>
      <c r="J567" s="10" t="s">
        <v>2864</v>
      </c>
      <c r="K567" s="9" t="s">
        <v>2865</v>
      </c>
      <c r="L567" s="9" t="s">
        <v>1237</v>
      </c>
      <c r="M567" s="9" t="s">
        <v>2866</v>
      </c>
      <c r="N567" s="9" t="s">
        <v>2042</v>
      </c>
      <c r="O567" s="6">
        <f t="shared" si="11"/>
        <v>1197.6744186046512</v>
      </c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2.75" x14ac:dyDescent="0.2">
      <c r="A568" s="4" t="s">
        <v>2845</v>
      </c>
      <c r="B568" s="5" t="s">
        <v>2846</v>
      </c>
      <c r="C568" s="4">
        <v>7</v>
      </c>
      <c r="D568" s="6" t="e">
        <f t="shared" si="10"/>
        <v>#VALUE!</v>
      </c>
      <c r="E568" s="6" t="s">
        <v>2867</v>
      </c>
      <c r="F568" s="7">
        <v>399</v>
      </c>
      <c r="G568" s="6" t="s">
        <v>17</v>
      </c>
      <c r="H568" s="8" t="s">
        <v>1081</v>
      </c>
      <c r="I568" s="9" t="s">
        <v>1081</v>
      </c>
      <c r="J568" s="10" t="s">
        <v>2535</v>
      </c>
      <c r="K568" s="9" t="s">
        <v>2833</v>
      </c>
      <c r="L568" s="9" t="s">
        <v>605</v>
      </c>
      <c r="M568" s="9" t="s">
        <v>2868</v>
      </c>
      <c r="N568" s="9" t="s">
        <v>1017</v>
      </c>
      <c r="O568" s="6">
        <f t="shared" si="11"/>
        <v>1203.8834951456311</v>
      </c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2.75" x14ac:dyDescent="0.2">
      <c r="A569" s="4" t="s">
        <v>2845</v>
      </c>
      <c r="B569" s="5" t="s">
        <v>2846</v>
      </c>
      <c r="C569" s="4">
        <v>8</v>
      </c>
      <c r="D569" s="6" t="e">
        <f t="shared" si="10"/>
        <v>#VALUE!</v>
      </c>
      <c r="E569" s="6" t="s">
        <v>2869</v>
      </c>
      <c r="F569" s="7">
        <v>444</v>
      </c>
      <c r="G569" s="6" t="s">
        <v>948</v>
      </c>
      <c r="H569" s="11" t="s">
        <v>2870</v>
      </c>
      <c r="I569" s="9" t="s">
        <v>1087</v>
      </c>
      <c r="J569" s="9" t="s">
        <v>1087</v>
      </c>
      <c r="K569" s="9" t="s">
        <v>2871</v>
      </c>
      <c r="L569" s="9" t="s">
        <v>616</v>
      </c>
      <c r="M569" s="9" t="s">
        <v>1017</v>
      </c>
      <c r="N569" s="9" t="s">
        <v>1017</v>
      </c>
      <c r="O569" s="6">
        <f t="shared" si="11"/>
        <v>1209.6774193548388</v>
      </c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2.75" x14ac:dyDescent="0.2">
      <c r="A570" s="4" t="s">
        <v>2845</v>
      </c>
      <c r="B570" s="5" t="s">
        <v>2846</v>
      </c>
      <c r="C570" s="4">
        <v>9</v>
      </c>
      <c r="D570" s="6" t="e">
        <f t="shared" si="10"/>
        <v>#VALUE!</v>
      </c>
      <c r="E570" s="6" t="s">
        <v>2872</v>
      </c>
      <c r="F570" s="7">
        <v>488</v>
      </c>
      <c r="G570" s="6" t="s">
        <v>1084</v>
      </c>
      <c r="H570" s="11" t="s">
        <v>2822</v>
      </c>
      <c r="I570" s="9" t="s">
        <v>1078</v>
      </c>
      <c r="J570" s="9" t="s">
        <v>1078</v>
      </c>
      <c r="K570" s="9" t="s">
        <v>1458</v>
      </c>
      <c r="L570" s="9" t="s">
        <v>2873</v>
      </c>
      <c r="M570" s="9" t="s">
        <v>2874</v>
      </c>
      <c r="N570" s="9" t="s">
        <v>1017</v>
      </c>
      <c r="O570" s="6">
        <f t="shared" si="11"/>
        <v>1200</v>
      </c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2.75" x14ac:dyDescent="0.2">
      <c r="A571" s="4" t="s">
        <v>2845</v>
      </c>
      <c r="B571" s="5" t="s">
        <v>2846</v>
      </c>
      <c r="C571" s="4">
        <v>10</v>
      </c>
      <c r="D571" s="6" t="e">
        <f t="shared" si="10"/>
        <v>#VALUE!</v>
      </c>
      <c r="E571" s="6" t="s">
        <v>2875</v>
      </c>
      <c r="F571" s="7">
        <v>555</v>
      </c>
      <c r="G571" s="6" t="s">
        <v>1268</v>
      </c>
      <c r="H571" s="8" t="s">
        <v>1043</v>
      </c>
      <c r="I571" s="10" t="s">
        <v>2876</v>
      </c>
      <c r="J571" s="9" t="s">
        <v>1043</v>
      </c>
      <c r="K571" s="9" t="s">
        <v>2807</v>
      </c>
      <c r="L571" s="9" t="s">
        <v>992</v>
      </c>
      <c r="M571" s="9" t="s">
        <v>2877</v>
      </c>
      <c r="N571" s="9" t="s">
        <v>1017</v>
      </c>
      <c r="O571" s="6">
        <f t="shared" si="11"/>
        <v>1194.4444444444443</v>
      </c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4.25" x14ac:dyDescent="0.2">
      <c r="A572" s="4" t="s">
        <v>2845</v>
      </c>
      <c r="B572" s="5" t="s">
        <v>2846</v>
      </c>
      <c r="C572" s="4">
        <v>11</v>
      </c>
      <c r="D572" s="6" t="e">
        <f t="shared" si="10"/>
        <v>#VALUE!</v>
      </c>
      <c r="E572" s="27" t="s">
        <v>2878</v>
      </c>
      <c r="F572" s="7">
        <v>557</v>
      </c>
      <c r="G572" s="6" t="s">
        <v>17</v>
      </c>
      <c r="H572" s="8" t="s">
        <v>2879</v>
      </c>
      <c r="I572" s="9" t="s">
        <v>2879</v>
      </c>
      <c r="J572" s="10" t="s">
        <v>2880</v>
      </c>
      <c r="K572" s="9" t="s">
        <v>2881</v>
      </c>
      <c r="L572" s="9" t="s">
        <v>1366</v>
      </c>
      <c r="M572" s="9" t="s">
        <v>2882</v>
      </c>
      <c r="N572" s="9" t="s">
        <v>1017</v>
      </c>
      <c r="O572" s="6">
        <f t="shared" si="11"/>
        <v>1116</v>
      </c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4.25" x14ac:dyDescent="0.2">
      <c r="A573" s="4" t="s">
        <v>2845</v>
      </c>
      <c r="B573" s="5" t="s">
        <v>2846</v>
      </c>
      <c r="C573" s="4">
        <v>12</v>
      </c>
      <c r="D573" s="6" t="e">
        <f t="shared" si="10"/>
        <v>#VALUE!</v>
      </c>
      <c r="E573" s="27" t="s">
        <v>2883</v>
      </c>
      <c r="F573" s="7">
        <v>559</v>
      </c>
      <c r="G573" s="6" t="s">
        <v>28</v>
      </c>
      <c r="H573" s="8" t="s">
        <v>2884</v>
      </c>
      <c r="I573" s="10" t="s">
        <v>2885</v>
      </c>
      <c r="J573" s="9" t="s">
        <v>2884</v>
      </c>
      <c r="K573" s="9" t="s">
        <v>2886</v>
      </c>
      <c r="L573" s="9" t="s">
        <v>2887</v>
      </c>
      <c r="M573" s="9" t="s">
        <v>2888</v>
      </c>
      <c r="N573" s="9" t="s">
        <v>1017</v>
      </c>
      <c r="O573" s="6">
        <f t="shared" si="11"/>
        <v>2240</v>
      </c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2.75" x14ac:dyDescent="0.2">
      <c r="A574" s="4" t="s">
        <v>2845</v>
      </c>
      <c r="B574" s="5" t="s">
        <v>2846</v>
      </c>
      <c r="C574" s="4">
        <v>13</v>
      </c>
      <c r="D574" s="6" t="e">
        <f t="shared" si="10"/>
        <v>#VALUE!</v>
      </c>
      <c r="E574" s="6" t="s">
        <v>2889</v>
      </c>
      <c r="F574" s="7">
        <v>561</v>
      </c>
      <c r="G574" s="6" t="s">
        <v>948</v>
      </c>
      <c r="H574" s="11" t="s">
        <v>2890</v>
      </c>
      <c r="I574" s="9" t="s">
        <v>2860</v>
      </c>
      <c r="J574" s="9" t="s">
        <v>2860</v>
      </c>
      <c r="K574" s="9" t="s">
        <v>2891</v>
      </c>
      <c r="L574" s="9" t="s">
        <v>2892</v>
      </c>
      <c r="M574" s="9" t="s">
        <v>2893</v>
      </c>
      <c r="N574" s="9" t="s">
        <v>1017</v>
      </c>
      <c r="O574" s="6">
        <f t="shared" si="11"/>
        <v>2810.0000328398237</v>
      </c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2.75" x14ac:dyDescent="0.2">
      <c r="A575" s="4" t="s">
        <v>2845</v>
      </c>
      <c r="B575" s="5" t="s">
        <v>2846</v>
      </c>
      <c r="C575" s="4">
        <v>14</v>
      </c>
      <c r="D575" s="6" t="e">
        <f t="shared" si="10"/>
        <v>#VALUE!</v>
      </c>
      <c r="E575" s="6" t="s">
        <v>2894</v>
      </c>
      <c r="F575" s="7">
        <v>563</v>
      </c>
      <c r="G575" s="6" t="s">
        <v>21</v>
      </c>
      <c r="H575" s="11" t="s">
        <v>2895</v>
      </c>
      <c r="I575" s="9" t="s">
        <v>2896</v>
      </c>
      <c r="J575" s="9" t="s">
        <v>2896</v>
      </c>
      <c r="K575" s="9" t="s">
        <v>2897</v>
      </c>
      <c r="L575" s="9" t="s">
        <v>2898</v>
      </c>
      <c r="M575" s="9" t="s">
        <v>2899</v>
      </c>
      <c r="N575" s="9" t="s">
        <v>1017</v>
      </c>
      <c r="O575" s="6">
        <f t="shared" si="11"/>
        <v>2820.0000217847128</v>
      </c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2.75" x14ac:dyDescent="0.2">
      <c r="A576" s="4" t="s">
        <v>2845</v>
      </c>
      <c r="B576" s="5" t="s">
        <v>2846</v>
      </c>
      <c r="C576" s="4">
        <v>15</v>
      </c>
      <c r="D576" s="6" t="e">
        <f t="shared" si="10"/>
        <v>#VALUE!</v>
      </c>
      <c r="E576" s="6" t="s">
        <v>2900</v>
      </c>
      <c r="F576" s="7">
        <v>565</v>
      </c>
      <c r="G576" s="6" t="s">
        <v>1084</v>
      </c>
      <c r="H576" s="11" t="s">
        <v>2901</v>
      </c>
      <c r="I576" s="9" t="s">
        <v>590</v>
      </c>
      <c r="J576" s="9" t="s">
        <v>590</v>
      </c>
      <c r="K576" s="9" t="s">
        <v>2902</v>
      </c>
      <c r="L576" s="9" t="s">
        <v>2903</v>
      </c>
      <c r="M576" s="9" t="s">
        <v>2904</v>
      </c>
      <c r="N576" s="9" t="s">
        <v>1017</v>
      </c>
      <c r="O576" s="6">
        <f t="shared" si="11"/>
        <v>2264.0000867067683</v>
      </c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2.75" x14ac:dyDescent="0.2">
      <c r="A577" s="4" t="s">
        <v>2845</v>
      </c>
      <c r="B577" s="5" t="s">
        <v>2846</v>
      </c>
      <c r="C577" s="4">
        <v>16</v>
      </c>
      <c r="D577" s="6" t="e">
        <f t="shared" si="10"/>
        <v>#VALUE!</v>
      </c>
      <c r="E577" s="6" t="s">
        <v>2905</v>
      </c>
      <c r="F577" s="7">
        <v>567</v>
      </c>
      <c r="G577" s="6" t="s">
        <v>17</v>
      </c>
      <c r="H577" s="8" t="s">
        <v>2201</v>
      </c>
      <c r="I577" s="9" t="s">
        <v>2201</v>
      </c>
      <c r="J577" s="10" t="s">
        <v>2906</v>
      </c>
      <c r="K577" s="9" t="s">
        <v>2907</v>
      </c>
      <c r="L577" s="9" t="s">
        <v>2908</v>
      </c>
      <c r="M577" s="9" t="s">
        <v>2909</v>
      </c>
      <c r="N577" s="9" t="s">
        <v>1017</v>
      </c>
      <c r="O577" s="6">
        <f t="shared" si="11"/>
        <v>1136</v>
      </c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2.75" x14ac:dyDescent="0.2">
      <c r="A578" s="4" t="s">
        <v>2845</v>
      </c>
      <c r="B578" s="5" t="s">
        <v>2846</v>
      </c>
      <c r="C578" s="4">
        <v>17</v>
      </c>
      <c r="D578" s="6" t="e">
        <f t="shared" si="10"/>
        <v>#VALUE!</v>
      </c>
      <c r="E578" s="6" t="s">
        <v>2910</v>
      </c>
      <c r="F578" s="7">
        <v>569</v>
      </c>
      <c r="G578" s="6" t="s">
        <v>21</v>
      </c>
      <c r="H578" s="11" t="s">
        <v>2911</v>
      </c>
      <c r="I578" s="9" t="s">
        <v>2912</v>
      </c>
      <c r="J578" s="9" t="s">
        <v>2912</v>
      </c>
      <c r="K578" s="9" t="s">
        <v>2913</v>
      </c>
      <c r="L578" s="9" t="s">
        <v>2914</v>
      </c>
      <c r="M578" s="9" t="s">
        <v>2915</v>
      </c>
      <c r="N578" s="9" t="s">
        <v>1017</v>
      </c>
      <c r="O578" s="6">
        <f t="shared" si="11"/>
        <v>2849.9999248826293</v>
      </c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2.75" x14ac:dyDescent="0.2">
      <c r="A579" s="4" t="s">
        <v>2845</v>
      </c>
      <c r="B579" s="5" t="s">
        <v>2846</v>
      </c>
      <c r="C579" s="4">
        <v>18</v>
      </c>
      <c r="D579" s="6" t="e">
        <f t="shared" si="10"/>
        <v>#VALUE!</v>
      </c>
      <c r="E579" s="6" t="s">
        <v>2916</v>
      </c>
      <c r="F579" s="7">
        <v>571</v>
      </c>
      <c r="G579" s="6" t="s">
        <v>17</v>
      </c>
      <c r="H579" s="8" t="s">
        <v>2917</v>
      </c>
      <c r="I579" s="9" t="s">
        <v>2917</v>
      </c>
      <c r="J579" s="10" t="s">
        <v>2918</v>
      </c>
      <c r="K579" s="9" t="s">
        <v>2919</v>
      </c>
      <c r="L579" s="9" t="s">
        <v>2920</v>
      </c>
      <c r="M579" s="9" t="s">
        <v>2921</v>
      </c>
      <c r="N579" s="9" t="s">
        <v>1017</v>
      </c>
      <c r="O579" s="6">
        <f t="shared" ref="O579:O642" si="12">M579/K579</f>
        <v>1144.0000427110863</v>
      </c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4.25" x14ac:dyDescent="0.2">
      <c r="A580" s="4" t="s">
        <v>2845</v>
      </c>
      <c r="B580" s="5" t="s">
        <v>2846</v>
      </c>
      <c r="C580" s="4">
        <v>19</v>
      </c>
      <c r="D580" s="6" t="e">
        <f t="shared" si="10"/>
        <v>#VALUE!</v>
      </c>
      <c r="E580" s="27" t="s">
        <v>2922</v>
      </c>
      <c r="F580" s="7">
        <v>573</v>
      </c>
      <c r="G580" s="6" t="s">
        <v>2923</v>
      </c>
      <c r="H580" s="8" t="s">
        <v>1072</v>
      </c>
      <c r="I580" s="10" t="s">
        <v>2924</v>
      </c>
      <c r="J580" s="9" t="s">
        <v>1072</v>
      </c>
      <c r="K580" s="9" t="s">
        <v>2925</v>
      </c>
      <c r="L580" s="9" t="s">
        <v>2926</v>
      </c>
      <c r="M580" s="9" t="s">
        <v>2927</v>
      </c>
      <c r="N580" s="9" t="s">
        <v>1017</v>
      </c>
      <c r="O580" s="6">
        <f t="shared" si="12"/>
        <v>2296</v>
      </c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2.75" x14ac:dyDescent="0.2">
      <c r="A581" s="4" t="s">
        <v>2845</v>
      </c>
      <c r="B581" s="5" t="s">
        <v>2846</v>
      </c>
      <c r="C581" s="4">
        <v>20</v>
      </c>
      <c r="D581" s="6" t="e">
        <f t="shared" si="10"/>
        <v>#VALUE!</v>
      </c>
      <c r="E581" s="6" t="s">
        <v>2928</v>
      </c>
      <c r="F581" s="7">
        <v>575</v>
      </c>
      <c r="G581" s="6" t="s">
        <v>1084</v>
      </c>
      <c r="H581" s="11" t="s">
        <v>2929</v>
      </c>
      <c r="I581" s="9" t="s">
        <v>828</v>
      </c>
      <c r="J581" s="9" t="s">
        <v>828</v>
      </c>
      <c r="K581" s="9" t="s">
        <v>2930</v>
      </c>
      <c r="L581" s="9" t="s">
        <v>2931</v>
      </c>
      <c r="M581" s="9" t="s">
        <v>2932</v>
      </c>
      <c r="N581" s="9" t="s">
        <v>1017</v>
      </c>
      <c r="O581" s="6">
        <f t="shared" si="12"/>
        <v>2304</v>
      </c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3.5" thickBot="1" x14ac:dyDescent="0.25">
      <c r="A582" s="4" t="s">
        <v>2845</v>
      </c>
      <c r="B582" s="5" t="s">
        <v>2846</v>
      </c>
      <c r="C582" s="4">
        <v>21</v>
      </c>
      <c r="D582" s="6" t="e">
        <f t="shared" si="10"/>
        <v>#VALUE!</v>
      </c>
      <c r="E582" s="6" t="s">
        <v>2933</v>
      </c>
      <c r="F582" s="7">
        <v>580</v>
      </c>
      <c r="G582" s="6" t="s">
        <v>17</v>
      </c>
      <c r="H582" s="11" t="s">
        <v>593</v>
      </c>
      <c r="I582" s="9" t="s">
        <v>593</v>
      </c>
      <c r="J582" s="10" t="s">
        <v>2934</v>
      </c>
      <c r="K582" s="9" t="s">
        <v>2935</v>
      </c>
      <c r="L582" s="9" t="s">
        <v>645</v>
      </c>
      <c r="M582" s="9" t="s">
        <v>2936</v>
      </c>
      <c r="N582" s="9" t="s">
        <v>1017</v>
      </c>
      <c r="O582" s="6">
        <f t="shared" si="12"/>
        <v>1184.2105263157894</v>
      </c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3.5" thickTop="1" x14ac:dyDescent="0.2">
      <c r="A583" s="19" t="s">
        <v>2937</v>
      </c>
      <c r="B583" s="19" t="s">
        <v>2937</v>
      </c>
      <c r="C583" s="18">
        <v>1</v>
      </c>
      <c r="D583" s="20" t="e">
        <f t="shared" si="10"/>
        <v>#VALUE!</v>
      </c>
      <c r="E583" s="20" t="s">
        <v>2938</v>
      </c>
      <c r="F583" s="21">
        <v>100</v>
      </c>
      <c r="G583" s="20" t="s">
        <v>21</v>
      </c>
      <c r="H583" s="26" t="s">
        <v>177</v>
      </c>
      <c r="I583" s="23">
        <v>610</v>
      </c>
      <c r="J583" s="23">
        <v>585</v>
      </c>
      <c r="K583" s="23" t="s">
        <v>2939</v>
      </c>
      <c r="L583" s="23">
        <v>490</v>
      </c>
      <c r="M583" s="23" t="s">
        <v>2940</v>
      </c>
      <c r="N583" s="23" t="s">
        <v>2941</v>
      </c>
      <c r="O583" s="6">
        <f t="shared" si="12"/>
        <v>505</v>
      </c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</row>
    <row r="584" spans="1:27" ht="12.75" x14ac:dyDescent="0.2">
      <c r="A584" s="5" t="s">
        <v>2937</v>
      </c>
      <c r="B584" s="5" t="s">
        <v>2937</v>
      </c>
      <c r="C584" s="4">
        <v>2</v>
      </c>
      <c r="D584" s="6" t="e">
        <f t="shared" si="10"/>
        <v>#VALUE!</v>
      </c>
      <c r="E584" s="6" t="s">
        <v>2942</v>
      </c>
      <c r="F584" s="7">
        <v>105</v>
      </c>
      <c r="G584" s="6" t="s">
        <v>17</v>
      </c>
      <c r="H584" s="8">
        <v>480</v>
      </c>
      <c r="I584" s="9">
        <v>500</v>
      </c>
      <c r="J584" s="10" t="s">
        <v>154</v>
      </c>
      <c r="K584" s="9" t="s">
        <v>199</v>
      </c>
      <c r="L584" s="9">
        <v>715</v>
      </c>
      <c r="M584" s="9" t="s">
        <v>2943</v>
      </c>
      <c r="N584" s="9" t="s">
        <v>2944</v>
      </c>
      <c r="O584" s="6">
        <f t="shared" si="12"/>
        <v>212</v>
      </c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2.75" x14ac:dyDescent="0.2">
      <c r="A585" s="5" t="s">
        <v>2937</v>
      </c>
      <c r="B585" s="5" t="s">
        <v>2937</v>
      </c>
      <c r="C585" s="4">
        <v>3</v>
      </c>
      <c r="D585" s="6" t="e">
        <f t="shared" si="10"/>
        <v>#VALUE!</v>
      </c>
      <c r="E585" s="6" t="s">
        <v>2945</v>
      </c>
      <c r="F585" s="7">
        <v>110</v>
      </c>
      <c r="G585" s="6" t="s">
        <v>28</v>
      </c>
      <c r="H585" s="8">
        <v>520</v>
      </c>
      <c r="I585" s="10" t="s">
        <v>154</v>
      </c>
      <c r="J585" s="9">
        <v>510</v>
      </c>
      <c r="K585" s="9" t="s">
        <v>2946</v>
      </c>
      <c r="L585" s="9">
        <v>750</v>
      </c>
      <c r="M585" s="9" t="s">
        <v>2947</v>
      </c>
      <c r="N585" s="9" t="s">
        <v>2948</v>
      </c>
      <c r="O585" s="6">
        <f t="shared" si="12"/>
        <v>444</v>
      </c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2.75" x14ac:dyDescent="0.2">
      <c r="A586" s="5" t="s">
        <v>2937</v>
      </c>
      <c r="B586" s="5" t="s">
        <v>2937</v>
      </c>
      <c r="C586" s="4">
        <v>4</v>
      </c>
      <c r="D586" s="6" t="e">
        <f t="shared" si="10"/>
        <v>#VALUE!</v>
      </c>
      <c r="E586" s="6" t="s">
        <v>2949</v>
      </c>
      <c r="F586" s="7">
        <v>115</v>
      </c>
      <c r="G586" s="6" t="s">
        <v>28</v>
      </c>
      <c r="H586" s="8">
        <v>550</v>
      </c>
      <c r="I586" s="10" t="s">
        <v>194</v>
      </c>
      <c r="J586" s="9">
        <v>540</v>
      </c>
      <c r="K586" s="9" t="s">
        <v>2950</v>
      </c>
      <c r="L586" s="9">
        <v>795</v>
      </c>
      <c r="M586" s="9" t="s">
        <v>2951</v>
      </c>
      <c r="N586" s="9" t="s">
        <v>2952</v>
      </c>
      <c r="O586" s="6">
        <f t="shared" si="12"/>
        <v>464</v>
      </c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2.75" x14ac:dyDescent="0.2">
      <c r="A587" s="5" t="s">
        <v>2937</v>
      </c>
      <c r="B587" s="5" t="s">
        <v>2937</v>
      </c>
      <c r="C587" s="4">
        <v>5</v>
      </c>
      <c r="D587" s="6" t="e">
        <f t="shared" si="10"/>
        <v>#VALUE!</v>
      </c>
      <c r="E587" s="6" t="s">
        <v>2953</v>
      </c>
      <c r="F587" s="7">
        <v>120</v>
      </c>
      <c r="G587" s="6" t="s">
        <v>17</v>
      </c>
      <c r="H587" s="8">
        <v>550</v>
      </c>
      <c r="I587" s="9">
        <v>570</v>
      </c>
      <c r="J587" s="10" t="s">
        <v>217</v>
      </c>
      <c r="K587" s="9" t="s">
        <v>2950</v>
      </c>
      <c r="L587" s="9">
        <v>820</v>
      </c>
      <c r="M587" s="9" t="s">
        <v>2954</v>
      </c>
      <c r="N587" s="9" t="s">
        <v>2955</v>
      </c>
      <c r="O587" s="6">
        <f t="shared" si="12"/>
        <v>242</v>
      </c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2.75" x14ac:dyDescent="0.2">
      <c r="A588" s="5" t="s">
        <v>2937</v>
      </c>
      <c r="B588" s="5" t="s">
        <v>2937</v>
      </c>
      <c r="C588" s="4">
        <v>6</v>
      </c>
      <c r="D588" s="6" t="e">
        <f t="shared" si="10"/>
        <v>#VALUE!</v>
      </c>
      <c r="E588" s="6" t="s">
        <v>2957</v>
      </c>
      <c r="F588" s="7">
        <v>125</v>
      </c>
      <c r="G588" s="6" t="s">
        <v>28</v>
      </c>
      <c r="H588" s="8">
        <v>600</v>
      </c>
      <c r="I588" s="10" t="s">
        <v>252</v>
      </c>
      <c r="J588" s="9">
        <v>590</v>
      </c>
      <c r="K588" s="9" t="s">
        <v>1939</v>
      </c>
      <c r="L588" s="9">
        <v>870</v>
      </c>
      <c r="M588" s="9" t="s">
        <v>2958</v>
      </c>
      <c r="N588" s="9" t="s">
        <v>2959</v>
      </c>
      <c r="O588" s="6">
        <f t="shared" si="12"/>
        <v>504</v>
      </c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2.75" x14ac:dyDescent="0.2">
      <c r="A589" s="5" t="s">
        <v>2937</v>
      </c>
      <c r="B589" s="5" t="s">
        <v>2937</v>
      </c>
      <c r="C589" s="4">
        <v>7</v>
      </c>
      <c r="D589" s="6" t="e">
        <f t="shared" si="10"/>
        <v>#VALUE!</v>
      </c>
      <c r="E589" s="6" t="s">
        <v>2960</v>
      </c>
      <c r="F589" s="7">
        <v>130</v>
      </c>
      <c r="G589" s="6" t="s">
        <v>28</v>
      </c>
      <c r="H589" s="8">
        <v>620</v>
      </c>
      <c r="I589" s="10" t="s">
        <v>193</v>
      </c>
      <c r="J589" s="9">
        <v>610</v>
      </c>
      <c r="K589" s="9" t="s">
        <v>2961</v>
      </c>
      <c r="L589" s="9">
        <v>900</v>
      </c>
      <c r="M589" s="9" t="s">
        <v>2962</v>
      </c>
      <c r="N589" s="9" t="s">
        <v>2963</v>
      </c>
      <c r="O589" s="6">
        <f t="shared" si="12"/>
        <v>524</v>
      </c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2.75" x14ac:dyDescent="0.2">
      <c r="A590" s="5" t="s">
        <v>2937</v>
      </c>
      <c r="B590" s="5" t="s">
        <v>2937</v>
      </c>
      <c r="C590" s="4">
        <v>8</v>
      </c>
      <c r="D590" s="6" t="e">
        <f t="shared" si="10"/>
        <v>#VALUE!</v>
      </c>
      <c r="E590" s="6" t="s">
        <v>123</v>
      </c>
      <c r="F590" s="7">
        <v>135</v>
      </c>
      <c r="G590" s="6" t="s">
        <v>28</v>
      </c>
      <c r="H590" s="8">
        <v>650</v>
      </c>
      <c r="I590" s="10" t="s">
        <v>236</v>
      </c>
      <c r="J590" s="9">
        <v>640</v>
      </c>
      <c r="K590" s="9" t="s">
        <v>2964</v>
      </c>
      <c r="L590" s="9">
        <v>945</v>
      </c>
      <c r="M590" s="9" t="s">
        <v>2965</v>
      </c>
      <c r="N590" s="9" t="s">
        <v>2966</v>
      </c>
      <c r="O590" s="6">
        <f t="shared" si="12"/>
        <v>544</v>
      </c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2.75" x14ac:dyDescent="0.2">
      <c r="A591" s="5" t="s">
        <v>2937</v>
      </c>
      <c r="B591" s="5" t="s">
        <v>2937</v>
      </c>
      <c r="C591" s="4">
        <v>9</v>
      </c>
      <c r="D591" s="6" t="e">
        <f t="shared" si="10"/>
        <v>#VALUE!</v>
      </c>
      <c r="E591" s="6" t="s">
        <v>2967</v>
      </c>
      <c r="F591" s="7">
        <v>140</v>
      </c>
      <c r="G591" s="6" t="s">
        <v>17</v>
      </c>
      <c r="H591" s="8">
        <v>650</v>
      </c>
      <c r="I591" s="9">
        <v>670</v>
      </c>
      <c r="J591" s="10" t="s">
        <v>230</v>
      </c>
      <c r="K591" s="9" t="s">
        <v>2964</v>
      </c>
      <c r="L591" s="9">
        <v>970</v>
      </c>
      <c r="M591" s="9" t="s">
        <v>2968</v>
      </c>
      <c r="N591" s="9" t="s">
        <v>2969</v>
      </c>
      <c r="O591" s="6">
        <f t="shared" si="12"/>
        <v>282</v>
      </c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2.75" x14ac:dyDescent="0.2">
      <c r="A592" s="5" t="s">
        <v>2937</v>
      </c>
      <c r="B592" s="5" t="s">
        <v>2937</v>
      </c>
      <c r="C592" s="4">
        <v>10</v>
      </c>
      <c r="D592" s="6" t="e">
        <f t="shared" si="10"/>
        <v>#VALUE!</v>
      </c>
      <c r="E592" s="6" t="s">
        <v>2970</v>
      </c>
      <c r="F592" s="7">
        <v>145</v>
      </c>
      <c r="G592" s="6" t="s">
        <v>28</v>
      </c>
      <c r="H592" s="8">
        <v>700</v>
      </c>
      <c r="I592" s="10" t="s">
        <v>264</v>
      </c>
      <c r="J592" s="9">
        <v>690</v>
      </c>
      <c r="K592" s="9" t="s">
        <v>2971</v>
      </c>
      <c r="L592" s="9" t="s">
        <v>1594</v>
      </c>
      <c r="M592" s="9" t="s">
        <v>2972</v>
      </c>
      <c r="N592" s="9" t="s">
        <v>2973</v>
      </c>
      <c r="O592" s="6">
        <f t="shared" si="12"/>
        <v>584</v>
      </c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2.75" x14ac:dyDescent="0.2">
      <c r="A593" s="5" t="s">
        <v>2937</v>
      </c>
      <c r="B593" s="5" t="s">
        <v>2937</v>
      </c>
      <c r="C593" s="4">
        <v>11</v>
      </c>
      <c r="D593" s="6" t="e">
        <f t="shared" si="10"/>
        <v>#VALUE!</v>
      </c>
      <c r="E593" s="6" t="s">
        <v>2974</v>
      </c>
      <c r="F593" s="7">
        <v>150</v>
      </c>
      <c r="G593" s="6" t="s">
        <v>17</v>
      </c>
      <c r="H593" s="8">
        <v>700</v>
      </c>
      <c r="I593" s="9">
        <v>720</v>
      </c>
      <c r="J593" s="10" t="s">
        <v>288</v>
      </c>
      <c r="K593" s="9" t="s">
        <v>2971</v>
      </c>
      <c r="L593" s="9" t="s">
        <v>1521</v>
      </c>
      <c r="M593" s="9" t="s">
        <v>2975</v>
      </c>
      <c r="N593" s="9" t="s">
        <v>2976</v>
      </c>
      <c r="O593" s="6">
        <f t="shared" si="12"/>
        <v>302</v>
      </c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2.75" x14ac:dyDescent="0.2">
      <c r="A594" s="5" t="s">
        <v>2937</v>
      </c>
      <c r="B594" s="5" t="s">
        <v>2937</v>
      </c>
      <c r="C594" s="4">
        <v>12</v>
      </c>
      <c r="D594" s="6" t="e">
        <f t="shared" si="10"/>
        <v>#VALUE!</v>
      </c>
      <c r="E594" s="6" t="s">
        <v>2977</v>
      </c>
      <c r="F594" s="7">
        <v>152</v>
      </c>
      <c r="G594" s="6" t="s">
        <v>17</v>
      </c>
      <c r="H594" s="8">
        <v>710</v>
      </c>
      <c r="I594" s="9">
        <v>730</v>
      </c>
      <c r="J594" s="10" t="s">
        <v>278</v>
      </c>
      <c r="K594" s="9" t="s">
        <v>2978</v>
      </c>
      <c r="L594" s="9" t="s">
        <v>2979</v>
      </c>
      <c r="M594" s="9" t="s">
        <v>2980</v>
      </c>
      <c r="N594" s="9" t="s">
        <v>2981</v>
      </c>
      <c r="O594" s="6">
        <f t="shared" si="12"/>
        <v>306</v>
      </c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2.75" x14ac:dyDescent="0.2">
      <c r="A595" s="5" t="s">
        <v>2937</v>
      </c>
      <c r="B595" s="5" t="s">
        <v>2937</v>
      </c>
      <c r="C595" s="4">
        <v>13</v>
      </c>
      <c r="D595" s="6" t="e">
        <f t="shared" si="10"/>
        <v>#VALUE!</v>
      </c>
      <c r="E595" s="6" t="s">
        <v>2982</v>
      </c>
      <c r="F595" s="7">
        <v>154</v>
      </c>
      <c r="G595" s="6" t="s">
        <v>21</v>
      </c>
      <c r="H595" s="11" t="s">
        <v>288</v>
      </c>
      <c r="I595" s="9" t="s">
        <v>289</v>
      </c>
      <c r="J595" s="9">
        <v>990</v>
      </c>
      <c r="K595" s="9" t="s">
        <v>2983</v>
      </c>
      <c r="L595" s="9">
        <v>760</v>
      </c>
      <c r="M595" s="9" t="s">
        <v>2984</v>
      </c>
      <c r="N595" s="9" t="s">
        <v>2985</v>
      </c>
      <c r="O595" s="6">
        <f t="shared" si="12"/>
        <v>775</v>
      </c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2.75" x14ac:dyDescent="0.2">
      <c r="A596" s="5" t="s">
        <v>2937</v>
      </c>
      <c r="B596" s="5" t="s">
        <v>2937</v>
      </c>
      <c r="C596" s="4">
        <v>14</v>
      </c>
      <c r="D596" s="6" t="e">
        <f t="shared" si="10"/>
        <v>#VALUE!</v>
      </c>
      <c r="E596" s="6" t="s">
        <v>24</v>
      </c>
      <c r="F596" s="7">
        <v>156</v>
      </c>
      <c r="G596" s="6" t="s">
        <v>21</v>
      </c>
      <c r="H596" s="11" t="s">
        <v>278</v>
      </c>
      <c r="I596" s="9" t="s">
        <v>389</v>
      </c>
      <c r="J596" s="9" t="s">
        <v>231</v>
      </c>
      <c r="K596" s="9" t="s">
        <v>2986</v>
      </c>
      <c r="L596" s="9">
        <v>770</v>
      </c>
      <c r="M596" s="9" t="s">
        <v>2987</v>
      </c>
      <c r="N596" s="9" t="s">
        <v>2988</v>
      </c>
      <c r="O596" s="6">
        <f t="shared" si="12"/>
        <v>785</v>
      </c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2.75" x14ac:dyDescent="0.2">
      <c r="A597" s="5" t="s">
        <v>2937</v>
      </c>
      <c r="B597" s="5" t="s">
        <v>2937</v>
      </c>
      <c r="C597" s="4">
        <v>15</v>
      </c>
      <c r="D597" s="6" t="e">
        <f t="shared" si="10"/>
        <v>#VALUE!</v>
      </c>
      <c r="E597" s="6" t="s">
        <v>537</v>
      </c>
      <c r="F597" s="7">
        <v>158</v>
      </c>
      <c r="G597" s="6" t="s">
        <v>21</v>
      </c>
      <c r="H597" s="11" t="s">
        <v>293</v>
      </c>
      <c r="I597" s="9" t="s">
        <v>1521</v>
      </c>
      <c r="J597" s="9" t="s">
        <v>1594</v>
      </c>
      <c r="K597" s="9" t="s">
        <v>2989</v>
      </c>
      <c r="L597" s="9">
        <v>780</v>
      </c>
      <c r="M597" s="9" t="s">
        <v>2990</v>
      </c>
      <c r="N597" s="9" t="s">
        <v>2991</v>
      </c>
      <c r="O597" s="6">
        <f t="shared" si="12"/>
        <v>795</v>
      </c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2.75" x14ac:dyDescent="0.2">
      <c r="A598" s="5" t="s">
        <v>2937</v>
      </c>
      <c r="B598" s="5" t="s">
        <v>2937</v>
      </c>
      <c r="C598" s="4">
        <v>16</v>
      </c>
      <c r="D598" s="6" t="e">
        <f t="shared" si="10"/>
        <v>#VALUE!</v>
      </c>
      <c r="E598" s="6" t="s">
        <v>2992</v>
      </c>
      <c r="F598" s="7">
        <v>160</v>
      </c>
      <c r="G598" s="6" t="s">
        <v>17</v>
      </c>
      <c r="H598" s="8">
        <v>750</v>
      </c>
      <c r="I598" s="9">
        <v>770</v>
      </c>
      <c r="J598" s="10" t="s">
        <v>297</v>
      </c>
      <c r="K598" s="9" t="s">
        <v>2993</v>
      </c>
      <c r="L598" s="9" t="s">
        <v>102</v>
      </c>
      <c r="M598" s="9" t="s">
        <v>2994</v>
      </c>
      <c r="N598" s="9" t="s">
        <v>2995</v>
      </c>
      <c r="O598" s="6">
        <f t="shared" si="12"/>
        <v>322</v>
      </c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2.75" x14ac:dyDescent="0.2">
      <c r="A599" s="5" t="s">
        <v>2937</v>
      </c>
      <c r="B599" s="5" t="s">
        <v>2937</v>
      </c>
      <c r="C599" s="4">
        <v>17</v>
      </c>
      <c r="D599" s="6" t="e">
        <f t="shared" si="10"/>
        <v>#VALUE!</v>
      </c>
      <c r="E599" s="6" t="s">
        <v>492</v>
      </c>
      <c r="F599" s="7">
        <v>162</v>
      </c>
      <c r="G599" s="6" t="s">
        <v>21</v>
      </c>
      <c r="H599" s="11" t="s">
        <v>342</v>
      </c>
      <c r="I599" s="9" t="s">
        <v>343</v>
      </c>
      <c r="J599" s="9" t="s">
        <v>237</v>
      </c>
      <c r="K599" s="9" t="s">
        <v>868</v>
      </c>
      <c r="L599" s="9">
        <v>800</v>
      </c>
      <c r="M599" s="9" t="s">
        <v>2996</v>
      </c>
      <c r="N599" s="9" t="s">
        <v>2997</v>
      </c>
      <c r="O599" s="6">
        <f t="shared" si="12"/>
        <v>815</v>
      </c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2.75" x14ac:dyDescent="0.2">
      <c r="A600" s="5" t="s">
        <v>2937</v>
      </c>
      <c r="B600" s="5" t="s">
        <v>2937</v>
      </c>
      <c r="C600" s="4">
        <v>18</v>
      </c>
      <c r="D600" s="6" t="e">
        <f t="shared" si="10"/>
        <v>#VALUE!</v>
      </c>
      <c r="E600" s="6" t="s">
        <v>2998</v>
      </c>
      <c r="F600" s="7">
        <v>164</v>
      </c>
      <c r="G600" s="6" t="s">
        <v>17</v>
      </c>
      <c r="H600" s="8">
        <v>770</v>
      </c>
      <c r="I600" s="9">
        <v>790</v>
      </c>
      <c r="J600" s="10" t="s">
        <v>974</v>
      </c>
      <c r="K600" s="9" t="s">
        <v>2999</v>
      </c>
      <c r="L600" s="9" t="s">
        <v>307</v>
      </c>
      <c r="M600" s="9" t="s">
        <v>3000</v>
      </c>
      <c r="N600" s="9" t="s">
        <v>3001</v>
      </c>
      <c r="O600" s="6">
        <f t="shared" si="12"/>
        <v>330</v>
      </c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2.75" x14ac:dyDescent="0.2">
      <c r="A601" s="5" t="s">
        <v>2937</v>
      </c>
      <c r="B601" s="5" t="s">
        <v>2937</v>
      </c>
      <c r="C601" s="4">
        <v>19</v>
      </c>
      <c r="D601" s="6" t="e">
        <f t="shared" si="10"/>
        <v>#VALUE!</v>
      </c>
      <c r="E601" s="6" t="s">
        <v>744</v>
      </c>
      <c r="F601" s="7">
        <v>166</v>
      </c>
      <c r="G601" s="6" t="s">
        <v>21</v>
      </c>
      <c r="H601" s="11" t="s">
        <v>313</v>
      </c>
      <c r="I601" s="9" t="s">
        <v>3002</v>
      </c>
      <c r="J601" s="9" t="s">
        <v>107</v>
      </c>
      <c r="K601" s="9" t="s">
        <v>3003</v>
      </c>
      <c r="L601" s="9">
        <v>820</v>
      </c>
      <c r="M601" s="9" t="s">
        <v>3004</v>
      </c>
      <c r="N601" s="9" t="s">
        <v>3005</v>
      </c>
      <c r="O601" s="6">
        <f t="shared" si="12"/>
        <v>835</v>
      </c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2.75" x14ac:dyDescent="0.2">
      <c r="A602" s="5" t="s">
        <v>2937</v>
      </c>
      <c r="B602" s="5" t="s">
        <v>2937</v>
      </c>
      <c r="C602" s="4">
        <v>20</v>
      </c>
      <c r="D602" s="6" t="e">
        <f t="shared" si="10"/>
        <v>#VALUE!</v>
      </c>
      <c r="E602" s="6" t="s">
        <v>3006</v>
      </c>
      <c r="F602" s="7">
        <v>168</v>
      </c>
      <c r="G602" s="6" t="s">
        <v>21</v>
      </c>
      <c r="H602" s="11" t="s">
        <v>974</v>
      </c>
      <c r="I602" s="9" t="s">
        <v>102</v>
      </c>
      <c r="J602" s="9" t="s">
        <v>400</v>
      </c>
      <c r="K602" s="9" t="s">
        <v>3007</v>
      </c>
      <c r="L602" s="9">
        <v>830</v>
      </c>
      <c r="M602" s="9" t="s">
        <v>3008</v>
      </c>
      <c r="N602" s="9" t="s">
        <v>3009</v>
      </c>
      <c r="O602" s="6">
        <f t="shared" si="12"/>
        <v>845</v>
      </c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2.75" x14ac:dyDescent="0.2">
      <c r="A603" s="5" t="s">
        <v>2937</v>
      </c>
      <c r="B603" s="5" t="s">
        <v>2937</v>
      </c>
      <c r="C603" s="4">
        <v>21</v>
      </c>
      <c r="D603" s="6" t="e">
        <f t="shared" si="10"/>
        <v>#VALUE!</v>
      </c>
      <c r="E603" s="6" t="s">
        <v>3010</v>
      </c>
      <c r="F603" s="7">
        <v>170</v>
      </c>
      <c r="G603" s="6" t="s">
        <v>17</v>
      </c>
      <c r="H603" s="8">
        <v>800</v>
      </c>
      <c r="I603" s="9">
        <v>820</v>
      </c>
      <c r="J603" s="10" t="s">
        <v>350</v>
      </c>
      <c r="K603" s="9" t="s">
        <v>3011</v>
      </c>
      <c r="L603" s="9" t="s">
        <v>3012</v>
      </c>
      <c r="M603" s="9" t="s">
        <v>3013</v>
      </c>
      <c r="N603" s="9" t="s">
        <v>3014</v>
      </c>
      <c r="O603" s="6">
        <f t="shared" si="12"/>
        <v>342</v>
      </c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2.75" x14ac:dyDescent="0.2">
      <c r="A604" s="5" t="s">
        <v>2937</v>
      </c>
      <c r="B604" s="5" t="s">
        <v>2937</v>
      </c>
      <c r="C604" s="4">
        <v>22</v>
      </c>
      <c r="D604" s="6" t="e">
        <f t="shared" si="10"/>
        <v>#VALUE!</v>
      </c>
      <c r="E604" s="6" t="s">
        <v>3015</v>
      </c>
      <c r="F604" s="7">
        <v>172</v>
      </c>
      <c r="G604" s="6" t="s">
        <v>17</v>
      </c>
      <c r="H604" s="8">
        <v>810</v>
      </c>
      <c r="I604" s="9">
        <v>830</v>
      </c>
      <c r="J604" s="10" t="s">
        <v>355</v>
      </c>
      <c r="K604" s="9" t="s">
        <v>3016</v>
      </c>
      <c r="L604" s="9" t="s">
        <v>3017</v>
      </c>
      <c r="M604" s="9" t="s">
        <v>3018</v>
      </c>
      <c r="N604" s="9" t="s">
        <v>3019</v>
      </c>
      <c r="O604" s="6">
        <f t="shared" si="12"/>
        <v>346</v>
      </c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2.75" x14ac:dyDescent="0.2">
      <c r="A605" s="5" t="s">
        <v>2937</v>
      </c>
      <c r="B605" s="5" t="s">
        <v>2937</v>
      </c>
      <c r="C605" s="4">
        <v>23</v>
      </c>
      <c r="D605" s="6" t="e">
        <f t="shared" si="10"/>
        <v>#VALUE!</v>
      </c>
      <c r="E605" s="6" t="s">
        <v>3020</v>
      </c>
      <c r="F605" s="7">
        <v>174</v>
      </c>
      <c r="G605" s="6" t="s">
        <v>17</v>
      </c>
      <c r="H605" s="8">
        <v>820</v>
      </c>
      <c r="I605" s="9">
        <v>840</v>
      </c>
      <c r="J605" s="10" t="s">
        <v>360</v>
      </c>
      <c r="K605" s="9" t="s">
        <v>3021</v>
      </c>
      <c r="L605" s="9" t="s">
        <v>3022</v>
      </c>
      <c r="M605" s="9" t="s">
        <v>3023</v>
      </c>
      <c r="N605" s="9" t="s">
        <v>3024</v>
      </c>
      <c r="O605" s="6">
        <f t="shared" si="12"/>
        <v>350</v>
      </c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2.75" x14ac:dyDescent="0.2">
      <c r="A606" s="5" t="s">
        <v>2937</v>
      </c>
      <c r="B606" s="5" t="s">
        <v>2937</v>
      </c>
      <c r="C606" s="4">
        <v>24</v>
      </c>
      <c r="D606" s="6" t="e">
        <f t="shared" si="10"/>
        <v>#VALUE!</v>
      </c>
      <c r="E606" s="6" t="s">
        <v>3025</v>
      </c>
      <c r="F606" s="7">
        <v>176</v>
      </c>
      <c r="G606" s="6" t="s">
        <v>17</v>
      </c>
      <c r="H606" s="8">
        <v>830</v>
      </c>
      <c r="I606" s="9">
        <v>850</v>
      </c>
      <c r="J606" s="10" t="s">
        <v>193</v>
      </c>
      <c r="K606" s="9" t="s">
        <v>3026</v>
      </c>
      <c r="L606" s="9" t="s">
        <v>78</v>
      </c>
      <c r="M606" s="9" t="s">
        <v>3027</v>
      </c>
      <c r="N606" s="9" t="s">
        <v>3028</v>
      </c>
      <c r="O606" s="6">
        <f t="shared" si="12"/>
        <v>354</v>
      </c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2.75" x14ac:dyDescent="0.2">
      <c r="A607" s="5" t="s">
        <v>2937</v>
      </c>
      <c r="B607" s="5" t="s">
        <v>2937</v>
      </c>
      <c r="C607" s="4">
        <v>25</v>
      </c>
      <c r="D607" s="6" t="e">
        <f t="shared" si="10"/>
        <v>#VALUE!</v>
      </c>
      <c r="E607" s="6" t="s">
        <v>27</v>
      </c>
      <c r="F607" s="7">
        <v>178</v>
      </c>
      <c r="G607" s="6" t="s">
        <v>28</v>
      </c>
      <c r="H607" s="8">
        <v>860</v>
      </c>
      <c r="I607" s="10" t="s">
        <v>360</v>
      </c>
      <c r="J607" s="9">
        <v>850</v>
      </c>
      <c r="K607" s="9" t="s">
        <v>3029</v>
      </c>
      <c r="L607" s="9" t="s">
        <v>361</v>
      </c>
      <c r="M607" s="9" t="s">
        <v>3030</v>
      </c>
      <c r="N607" s="9" t="s">
        <v>3031</v>
      </c>
      <c r="O607" s="6">
        <f t="shared" si="12"/>
        <v>716</v>
      </c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2.75" x14ac:dyDescent="0.2">
      <c r="A608" s="5" t="s">
        <v>2937</v>
      </c>
      <c r="B608" s="5" t="s">
        <v>2937</v>
      </c>
      <c r="C608" s="4">
        <v>26</v>
      </c>
      <c r="D608" s="6" t="e">
        <f t="shared" si="10"/>
        <v>#VALUE!</v>
      </c>
      <c r="E608" s="6" t="s">
        <v>3032</v>
      </c>
      <c r="F608" s="7">
        <v>180</v>
      </c>
      <c r="G608" s="6" t="s">
        <v>28</v>
      </c>
      <c r="H608" s="8">
        <v>870</v>
      </c>
      <c r="I608" s="10" t="s">
        <v>312</v>
      </c>
      <c r="J608" s="9">
        <v>860</v>
      </c>
      <c r="K608" s="9" t="s">
        <v>3033</v>
      </c>
      <c r="L608" s="9" t="s">
        <v>314</v>
      </c>
      <c r="M608" s="9" t="s">
        <v>3034</v>
      </c>
      <c r="N608" s="9" t="s">
        <v>3035</v>
      </c>
      <c r="O608" s="6">
        <f t="shared" si="12"/>
        <v>724</v>
      </c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2.75" x14ac:dyDescent="0.2">
      <c r="A609" s="5" t="s">
        <v>2937</v>
      </c>
      <c r="B609" s="5" t="s">
        <v>2937</v>
      </c>
      <c r="C609" s="4">
        <v>27</v>
      </c>
      <c r="D609" s="6" t="e">
        <f t="shared" si="10"/>
        <v>#VALUE!</v>
      </c>
      <c r="E609" s="6" t="s">
        <v>3036</v>
      </c>
      <c r="F609" s="7">
        <v>182</v>
      </c>
      <c r="G609" s="6" t="s">
        <v>17</v>
      </c>
      <c r="H609" s="8">
        <v>875</v>
      </c>
      <c r="I609" s="9">
        <v>895</v>
      </c>
      <c r="J609" s="10" t="s">
        <v>318</v>
      </c>
      <c r="K609" s="9" t="s">
        <v>3037</v>
      </c>
      <c r="L609" s="9" t="s">
        <v>320</v>
      </c>
      <c r="M609" s="9" t="s">
        <v>3038</v>
      </c>
      <c r="N609" s="9" t="s">
        <v>3039</v>
      </c>
      <c r="O609" s="6">
        <f t="shared" si="12"/>
        <v>366</v>
      </c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2.75" x14ac:dyDescent="0.2">
      <c r="A610" s="5" t="s">
        <v>2937</v>
      </c>
      <c r="B610" s="5" t="s">
        <v>2937</v>
      </c>
      <c r="C610" s="4">
        <v>28</v>
      </c>
      <c r="D610" s="6" t="e">
        <f t="shared" si="10"/>
        <v>#VALUE!</v>
      </c>
      <c r="E610" s="6" t="s">
        <v>3040</v>
      </c>
      <c r="F610" s="7">
        <v>184</v>
      </c>
      <c r="G610" s="6" t="s">
        <v>17</v>
      </c>
      <c r="H610" s="8">
        <v>875</v>
      </c>
      <c r="I610" s="9">
        <v>895</v>
      </c>
      <c r="J610" s="10" t="s">
        <v>318</v>
      </c>
      <c r="K610" s="9" t="s">
        <v>3037</v>
      </c>
      <c r="L610" s="9" t="s">
        <v>320</v>
      </c>
      <c r="M610" s="9" t="s">
        <v>3041</v>
      </c>
      <c r="N610" s="9" t="s">
        <v>3042</v>
      </c>
      <c r="O610" s="6">
        <f t="shared" si="12"/>
        <v>370</v>
      </c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2.75" x14ac:dyDescent="0.2">
      <c r="A611" s="5" t="s">
        <v>2937</v>
      </c>
      <c r="B611" s="5" t="s">
        <v>2937</v>
      </c>
      <c r="C611" s="4">
        <v>29</v>
      </c>
      <c r="D611" s="6" t="e">
        <f t="shared" si="10"/>
        <v>#VALUE!</v>
      </c>
      <c r="E611" s="6" t="s">
        <v>2998</v>
      </c>
      <c r="F611" s="7">
        <v>186</v>
      </c>
      <c r="G611" s="6" t="s">
        <v>17</v>
      </c>
      <c r="H611" s="8">
        <v>900</v>
      </c>
      <c r="I611" s="9">
        <v>920</v>
      </c>
      <c r="J611" s="10" t="s">
        <v>364</v>
      </c>
      <c r="K611" s="9" t="s">
        <v>3043</v>
      </c>
      <c r="L611" s="9" t="s">
        <v>365</v>
      </c>
      <c r="M611" s="9" t="s">
        <v>3044</v>
      </c>
      <c r="N611" s="9" t="s">
        <v>3045</v>
      </c>
      <c r="O611" s="6">
        <f t="shared" si="12"/>
        <v>374</v>
      </c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2.75" x14ac:dyDescent="0.2">
      <c r="A612" s="5" t="s">
        <v>2937</v>
      </c>
      <c r="B612" s="5" t="s">
        <v>2937</v>
      </c>
      <c r="C612" s="4">
        <v>30</v>
      </c>
      <c r="D612" s="6" t="e">
        <f t="shared" si="10"/>
        <v>#VALUE!</v>
      </c>
      <c r="E612" s="6" t="s">
        <v>2970</v>
      </c>
      <c r="F612" s="7">
        <v>188</v>
      </c>
      <c r="G612" s="6" t="s">
        <v>21</v>
      </c>
      <c r="H612" s="11" t="s">
        <v>603</v>
      </c>
      <c r="I612" s="9" t="s">
        <v>112</v>
      </c>
      <c r="J612" s="9" t="s">
        <v>3046</v>
      </c>
      <c r="K612" s="9" t="s">
        <v>3047</v>
      </c>
      <c r="L612" s="9">
        <v>930</v>
      </c>
      <c r="M612" s="9" t="s">
        <v>3048</v>
      </c>
      <c r="N612" s="9" t="s">
        <v>3049</v>
      </c>
      <c r="O612" s="6">
        <f t="shared" si="12"/>
        <v>945</v>
      </c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2.75" x14ac:dyDescent="0.2">
      <c r="A613" s="5" t="s">
        <v>2937</v>
      </c>
      <c r="B613" s="5" t="s">
        <v>2937</v>
      </c>
      <c r="C613" s="4">
        <v>31</v>
      </c>
      <c r="D613" s="6" t="e">
        <f t="shared" si="10"/>
        <v>#VALUE!</v>
      </c>
      <c r="E613" s="6" t="s">
        <v>3050</v>
      </c>
      <c r="F613" s="7">
        <v>190</v>
      </c>
      <c r="G613" s="6" t="s">
        <v>21</v>
      </c>
      <c r="H613" s="11" t="s">
        <v>603</v>
      </c>
      <c r="I613" s="9" t="s">
        <v>112</v>
      </c>
      <c r="J613" s="9" t="s">
        <v>3046</v>
      </c>
      <c r="K613" s="9" t="s">
        <v>3047</v>
      </c>
      <c r="L613" s="9">
        <v>930</v>
      </c>
      <c r="M613" s="9" t="s">
        <v>3051</v>
      </c>
      <c r="N613" s="9" t="s">
        <v>3052</v>
      </c>
      <c r="O613" s="6">
        <f t="shared" si="12"/>
        <v>955</v>
      </c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2.75" x14ac:dyDescent="0.2">
      <c r="A614" s="5" t="s">
        <v>2937</v>
      </c>
      <c r="B614" s="5" t="s">
        <v>2937</v>
      </c>
      <c r="C614" s="4">
        <v>32</v>
      </c>
      <c r="D614" s="6" t="e">
        <f t="shared" si="10"/>
        <v>#VALUE!</v>
      </c>
      <c r="E614" s="6" t="s">
        <v>370</v>
      </c>
      <c r="F614" s="7">
        <v>192</v>
      </c>
      <c r="G614" s="6" t="s">
        <v>21</v>
      </c>
      <c r="H614" s="11" t="s">
        <v>3053</v>
      </c>
      <c r="I614" s="9" t="s">
        <v>3054</v>
      </c>
      <c r="J614" s="9" t="s">
        <v>3055</v>
      </c>
      <c r="K614" s="9" t="s">
        <v>3056</v>
      </c>
      <c r="L614" s="9">
        <v>950</v>
      </c>
      <c r="M614" s="9" t="s">
        <v>3057</v>
      </c>
      <c r="N614" s="9" t="s">
        <v>3058</v>
      </c>
      <c r="O614" s="6">
        <f t="shared" si="12"/>
        <v>965</v>
      </c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2.75" x14ac:dyDescent="0.2">
      <c r="A615" s="5" t="s">
        <v>2937</v>
      </c>
      <c r="B615" s="5" t="s">
        <v>2937</v>
      </c>
      <c r="C615" s="4">
        <v>33</v>
      </c>
      <c r="D615" s="6" t="e">
        <f t="shared" si="10"/>
        <v>#VALUE!</v>
      </c>
      <c r="E615" s="6" t="s">
        <v>3059</v>
      </c>
      <c r="F615" s="7">
        <v>194</v>
      </c>
      <c r="G615" s="6" t="s">
        <v>17</v>
      </c>
      <c r="H615" s="8">
        <v>925</v>
      </c>
      <c r="I615" s="9">
        <v>945</v>
      </c>
      <c r="J615" s="10" t="s">
        <v>609</v>
      </c>
      <c r="K615" s="9" t="s">
        <v>3060</v>
      </c>
      <c r="L615" s="9" t="s">
        <v>3061</v>
      </c>
      <c r="M615" s="9" t="s">
        <v>3062</v>
      </c>
      <c r="N615" s="9" t="s">
        <v>3063</v>
      </c>
      <c r="O615" s="6">
        <f t="shared" si="12"/>
        <v>390</v>
      </c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2.75" x14ac:dyDescent="0.2">
      <c r="A616" s="5" t="s">
        <v>2937</v>
      </c>
      <c r="B616" s="5" t="s">
        <v>2937</v>
      </c>
      <c r="C616" s="4">
        <v>34</v>
      </c>
      <c r="D616" s="6" t="e">
        <f t="shared" si="10"/>
        <v>#VALUE!</v>
      </c>
      <c r="E616" s="6" t="s">
        <v>399</v>
      </c>
      <c r="F616" s="7">
        <v>196</v>
      </c>
      <c r="G616" s="6" t="s">
        <v>17</v>
      </c>
      <c r="H616" s="8">
        <v>950</v>
      </c>
      <c r="I616" s="9">
        <v>970</v>
      </c>
      <c r="J616" s="10" t="s">
        <v>324</v>
      </c>
      <c r="K616" s="9" t="s">
        <v>3064</v>
      </c>
      <c r="L616" s="9" t="s">
        <v>326</v>
      </c>
      <c r="M616" s="9" t="s">
        <v>3065</v>
      </c>
      <c r="N616" s="9" t="s">
        <v>3066</v>
      </c>
      <c r="O616" s="6">
        <f t="shared" si="12"/>
        <v>394</v>
      </c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2.75" x14ac:dyDescent="0.2">
      <c r="A617" s="5" t="s">
        <v>2937</v>
      </c>
      <c r="B617" s="5" t="s">
        <v>2937</v>
      </c>
      <c r="C617" s="4">
        <v>35</v>
      </c>
      <c r="D617" s="6" t="e">
        <f t="shared" si="10"/>
        <v>#VALUE!</v>
      </c>
      <c r="E617" s="6" t="s">
        <v>133</v>
      </c>
      <c r="F617" s="7">
        <v>198</v>
      </c>
      <c r="G617" s="6" t="s">
        <v>17</v>
      </c>
      <c r="H617" s="8">
        <v>950</v>
      </c>
      <c r="I617" s="9">
        <v>970</v>
      </c>
      <c r="J617" s="10" t="s">
        <v>324</v>
      </c>
      <c r="K617" s="9" t="s">
        <v>3064</v>
      </c>
      <c r="L617" s="9" t="s">
        <v>326</v>
      </c>
      <c r="M617" s="9" t="s">
        <v>3067</v>
      </c>
      <c r="N617" s="9" t="s">
        <v>3068</v>
      </c>
      <c r="O617" s="6">
        <f t="shared" si="12"/>
        <v>398</v>
      </c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2.75" x14ac:dyDescent="0.2">
      <c r="A618" s="5" t="s">
        <v>2937</v>
      </c>
      <c r="B618" s="5" t="s">
        <v>2937</v>
      </c>
      <c r="C618" s="4">
        <v>36</v>
      </c>
      <c r="D618" s="6" t="e">
        <f t="shared" si="10"/>
        <v>#VALUE!</v>
      </c>
      <c r="E618" s="6" t="s">
        <v>172</v>
      </c>
      <c r="F618" s="7">
        <v>200</v>
      </c>
      <c r="G618" s="6" t="s">
        <v>17</v>
      </c>
      <c r="H618" s="8">
        <v>950</v>
      </c>
      <c r="I618" s="9">
        <v>970</v>
      </c>
      <c r="J618" s="10" t="s">
        <v>324</v>
      </c>
      <c r="K618" s="9" t="s">
        <v>3064</v>
      </c>
      <c r="L618" s="9" t="s">
        <v>326</v>
      </c>
      <c r="M618" s="9" t="s">
        <v>3069</v>
      </c>
      <c r="N618" s="9" t="s">
        <v>3070</v>
      </c>
      <c r="O618" s="6">
        <f t="shared" si="12"/>
        <v>402</v>
      </c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2.75" x14ac:dyDescent="0.2">
      <c r="A619" s="5" t="s">
        <v>2937</v>
      </c>
      <c r="B619" s="5" t="s">
        <v>2937</v>
      </c>
      <c r="C619" s="4">
        <v>37</v>
      </c>
      <c r="D619" s="6" t="e">
        <f t="shared" si="10"/>
        <v>#VALUE!</v>
      </c>
      <c r="E619" s="6" t="s">
        <v>3071</v>
      </c>
      <c r="F619" s="7">
        <v>201</v>
      </c>
      <c r="G619" s="6" t="s">
        <v>28</v>
      </c>
      <c r="H619" s="8">
        <v>995</v>
      </c>
      <c r="I619" s="10" t="s">
        <v>371</v>
      </c>
      <c r="J619" s="9">
        <v>985</v>
      </c>
      <c r="K619" s="9" t="s">
        <v>3072</v>
      </c>
      <c r="L619" s="9" t="s">
        <v>373</v>
      </c>
      <c r="M619" s="9" t="s">
        <v>3073</v>
      </c>
      <c r="N619" s="9" t="s">
        <v>3074</v>
      </c>
      <c r="O619" s="6">
        <f t="shared" si="12"/>
        <v>808</v>
      </c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2.75" x14ac:dyDescent="0.2">
      <c r="A620" s="5" t="s">
        <v>2937</v>
      </c>
      <c r="B620" s="5" t="s">
        <v>2937</v>
      </c>
      <c r="C620" s="4">
        <v>38</v>
      </c>
      <c r="D620" s="6" t="e">
        <f t="shared" si="10"/>
        <v>#VALUE!</v>
      </c>
      <c r="E620" s="6" t="s">
        <v>3075</v>
      </c>
      <c r="F620" s="7">
        <v>202</v>
      </c>
      <c r="G620" s="6" t="s">
        <v>28</v>
      </c>
      <c r="H620" s="8">
        <v>995</v>
      </c>
      <c r="I620" s="10" t="s">
        <v>371</v>
      </c>
      <c r="J620" s="9">
        <v>985</v>
      </c>
      <c r="K620" s="9" t="s">
        <v>3072</v>
      </c>
      <c r="L620" s="9" t="s">
        <v>373</v>
      </c>
      <c r="M620" s="9" t="s">
        <v>3076</v>
      </c>
      <c r="N620" s="9" t="s">
        <v>3077</v>
      </c>
      <c r="O620" s="6">
        <f t="shared" si="12"/>
        <v>812</v>
      </c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2.75" x14ac:dyDescent="0.2">
      <c r="A621" s="5" t="s">
        <v>2937</v>
      </c>
      <c r="B621" s="5" t="s">
        <v>2937</v>
      </c>
      <c r="C621" s="4">
        <v>39</v>
      </c>
      <c r="D621" s="6" t="e">
        <f t="shared" si="10"/>
        <v>#VALUE!</v>
      </c>
      <c r="E621" s="6" t="s">
        <v>3078</v>
      </c>
      <c r="F621" s="7">
        <v>203</v>
      </c>
      <c r="G621" s="6" t="s">
        <v>17</v>
      </c>
      <c r="H621" s="8">
        <v>975</v>
      </c>
      <c r="I621" s="9">
        <v>995</v>
      </c>
      <c r="J621" s="10" t="s">
        <v>3079</v>
      </c>
      <c r="K621" s="9" t="s">
        <v>3080</v>
      </c>
      <c r="L621" s="9" t="s">
        <v>500</v>
      </c>
      <c r="M621" s="9" t="s">
        <v>3081</v>
      </c>
      <c r="N621" s="9" t="s">
        <v>3082</v>
      </c>
      <c r="O621" s="6">
        <f t="shared" si="12"/>
        <v>408</v>
      </c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2.75" x14ac:dyDescent="0.2">
      <c r="A622" s="5" t="s">
        <v>2937</v>
      </c>
      <c r="B622" s="5" t="s">
        <v>2937</v>
      </c>
      <c r="C622" s="4">
        <v>40</v>
      </c>
      <c r="D622" s="6" t="e">
        <f t="shared" si="10"/>
        <v>#VALUE!</v>
      </c>
      <c r="E622" s="6" t="s">
        <v>3083</v>
      </c>
      <c r="F622" s="7">
        <v>204</v>
      </c>
      <c r="G622" s="6" t="s">
        <v>28</v>
      </c>
      <c r="H622" s="8">
        <v>995</v>
      </c>
      <c r="I622" s="10" t="s">
        <v>371</v>
      </c>
      <c r="J622" s="9">
        <v>985</v>
      </c>
      <c r="K622" s="9" t="s">
        <v>3072</v>
      </c>
      <c r="L622" s="9" t="s">
        <v>373</v>
      </c>
      <c r="M622" s="9" t="s">
        <v>3084</v>
      </c>
      <c r="N622" s="9" t="s">
        <v>3085</v>
      </c>
      <c r="O622" s="6">
        <f t="shared" si="12"/>
        <v>820</v>
      </c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2.75" x14ac:dyDescent="0.2">
      <c r="A623" s="5" t="s">
        <v>2937</v>
      </c>
      <c r="B623" s="5" t="s">
        <v>2937</v>
      </c>
      <c r="C623" s="4">
        <v>41</v>
      </c>
      <c r="D623" s="6" t="e">
        <f t="shared" si="10"/>
        <v>#VALUE!</v>
      </c>
      <c r="E623" s="6" t="s">
        <v>2998</v>
      </c>
      <c r="F623" s="7">
        <v>205</v>
      </c>
      <c r="G623" s="6" t="s">
        <v>28</v>
      </c>
      <c r="H623" s="8">
        <v>995</v>
      </c>
      <c r="I623" s="10" t="s">
        <v>371</v>
      </c>
      <c r="J623" s="9">
        <v>985</v>
      </c>
      <c r="K623" s="9" t="s">
        <v>3072</v>
      </c>
      <c r="L623" s="9" t="s">
        <v>373</v>
      </c>
      <c r="M623" s="9" t="s">
        <v>3086</v>
      </c>
      <c r="N623" s="9" t="s">
        <v>3087</v>
      </c>
      <c r="O623" s="6">
        <f t="shared" si="12"/>
        <v>824</v>
      </c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2.75" x14ac:dyDescent="0.2">
      <c r="A624" s="5" t="s">
        <v>2937</v>
      </c>
      <c r="B624" s="5" t="s">
        <v>2937</v>
      </c>
      <c r="C624" s="4">
        <v>42</v>
      </c>
      <c r="D624" s="6" t="e">
        <f t="shared" si="10"/>
        <v>#VALUE!</v>
      </c>
      <c r="E624" s="6" t="s">
        <v>3088</v>
      </c>
      <c r="F624" s="7">
        <v>206</v>
      </c>
      <c r="G624" s="6" t="s">
        <v>21</v>
      </c>
      <c r="H624" s="11" t="s">
        <v>377</v>
      </c>
      <c r="I624" s="9" t="s">
        <v>378</v>
      </c>
      <c r="J624" s="9" t="s">
        <v>379</v>
      </c>
      <c r="K624" s="9" t="s">
        <v>3089</v>
      </c>
      <c r="L624" s="9" t="s">
        <v>381</v>
      </c>
      <c r="M624" s="9" t="s">
        <v>3090</v>
      </c>
      <c r="N624" s="9" t="s">
        <v>3091</v>
      </c>
      <c r="O624" s="6">
        <f t="shared" si="12"/>
        <v>1035</v>
      </c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2.75" x14ac:dyDescent="0.2">
      <c r="A625" s="5" t="s">
        <v>2937</v>
      </c>
      <c r="B625" s="5" t="s">
        <v>2937</v>
      </c>
      <c r="C625" s="4">
        <v>43</v>
      </c>
      <c r="D625" s="6" t="e">
        <f t="shared" si="10"/>
        <v>#VALUE!</v>
      </c>
      <c r="E625" s="6" t="s">
        <v>3092</v>
      </c>
      <c r="F625" s="7">
        <v>207</v>
      </c>
      <c r="G625" s="6" t="s">
        <v>21</v>
      </c>
      <c r="H625" s="11" t="s">
        <v>377</v>
      </c>
      <c r="I625" s="9" t="s">
        <v>378</v>
      </c>
      <c r="J625" s="9" t="s">
        <v>379</v>
      </c>
      <c r="K625" s="9" t="s">
        <v>3089</v>
      </c>
      <c r="L625" s="9" t="s">
        <v>381</v>
      </c>
      <c r="M625" s="9" t="s">
        <v>3093</v>
      </c>
      <c r="N625" s="9" t="s">
        <v>3094</v>
      </c>
      <c r="O625" s="6">
        <f t="shared" si="12"/>
        <v>1040</v>
      </c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2.75" x14ac:dyDescent="0.2">
      <c r="A626" s="5" t="s">
        <v>2937</v>
      </c>
      <c r="B626" s="5" t="s">
        <v>2937</v>
      </c>
      <c r="C626" s="4">
        <v>44</v>
      </c>
      <c r="D626" s="6" t="e">
        <f t="shared" si="10"/>
        <v>#VALUE!</v>
      </c>
      <c r="E626" s="6" t="s">
        <v>3095</v>
      </c>
      <c r="F626" s="7">
        <v>208</v>
      </c>
      <c r="G626" s="6" t="s">
        <v>17</v>
      </c>
      <c r="H626" s="8" t="s">
        <v>124</v>
      </c>
      <c r="I626" s="9" t="s">
        <v>1594</v>
      </c>
      <c r="J626" s="10" t="s">
        <v>3096</v>
      </c>
      <c r="K626" s="9" t="s">
        <v>3097</v>
      </c>
      <c r="L626" s="9" t="s">
        <v>137</v>
      </c>
      <c r="M626" s="9" t="s">
        <v>3098</v>
      </c>
      <c r="N626" s="9" t="s">
        <v>3099</v>
      </c>
      <c r="O626" s="6">
        <f t="shared" si="12"/>
        <v>418</v>
      </c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2.75" x14ac:dyDescent="0.2">
      <c r="A627" s="5" t="s">
        <v>2937</v>
      </c>
      <c r="B627" s="5" t="s">
        <v>2937</v>
      </c>
      <c r="C627" s="4">
        <v>45</v>
      </c>
      <c r="D627" s="6" t="e">
        <f t="shared" si="10"/>
        <v>#VALUE!</v>
      </c>
      <c r="E627" s="6" t="s">
        <v>3100</v>
      </c>
      <c r="F627" s="7">
        <v>209</v>
      </c>
      <c r="G627" s="6" t="s">
        <v>28</v>
      </c>
      <c r="H627" s="8" t="s">
        <v>1594</v>
      </c>
      <c r="I627" s="10" t="s">
        <v>377</v>
      </c>
      <c r="J627" s="9" t="s">
        <v>381</v>
      </c>
      <c r="K627" s="9" t="s">
        <v>3101</v>
      </c>
      <c r="L627" s="9" t="s">
        <v>3102</v>
      </c>
      <c r="M627" s="9" t="s">
        <v>3103</v>
      </c>
      <c r="N627" s="9" t="s">
        <v>3104</v>
      </c>
      <c r="O627" s="6">
        <f t="shared" si="12"/>
        <v>840</v>
      </c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2.75" x14ac:dyDescent="0.2">
      <c r="A628" s="5" t="s">
        <v>2937</v>
      </c>
      <c r="B628" s="5" t="s">
        <v>2937</v>
      </c>
      <c r="C628" s="4">
        <v>46</v>
      </c>
      <c r="D628" s="6" t="e">
        <f t="shared" si="10"/>
        <v>#VALUE!</v>
      </c>
      <c r="E628" s="6" t="s">
        <v>3105</v>
      </c>
      <c r="F628" s="7">
        <v>210</v>
      </c>
      <c r="G628" s="6" t="s">
        <v>17</v>
      </c>
      <c r="H628" s="8" t="s">
        <v>124</v>
      </c>
      <c r="I628" s="9" t="s">
        <v>1594</v>
      </c>
      <c r="J628" s="10" t="s">
        <v>3096</v>
      </c>
      <c r="K628" s="9" t="s">
        <v>3097</v>
      </c>
      <c r="L628" s="9" t="s">
        <v>137</v>
      </c>
      <c r="M628" s="9" t="s">
        <v>3106</v>
      </c>
      <c r="N628" s="9" t="s">
        <v>3107</v>
      </c>
      <c r="O628" s="6">
        <f t="shared" si="12"/>
        <v>422</v>
      </c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2.75" x14ac:dyDescent="0.2">
      <c r="A629" s="5" t="s">
        <v>2937</v>
      </c>
      <c r="B629" s="5" t="s">
        <v>2937</v>
      </c>
      <c r="C629" s="4">
        <v>47</v>
      </c>
      <c r="D629" s="6" t="e">
        <f t="shared" si="10"/>
        <v>#VALUE!</v>
      </c>
      <c r="E629" s="6" t="s">
        <v>3108</v>
      </c>
      <c r="F629" s="7">
        <v>211</v>
      </c>
      <c r="G629" s="6" t="s">
        <v>28</v>
      </c>
      <c r="H629" s="8" t="s">
        <v>1521</v>
      </c>
      <c r="I629" s="10" t="s">
        <v>385</v>
      </c>
      <c r="J629" s="9" t="s">
        <v>3109</v>
      </c>
      <c r="K629" s="9" t="s">
        <v>3110</v>
      </c>
      <c r="L629" s="9" t="s">
        <v>141</v>
      </c>
      <c r="M629" s="9" t="s">
        <v>3111</v>
      </c>
      <c r="N629" s="9" t="s">
        <v>3112</v>
      </c>
      <c r="O629" s="6">
        <f t="shared" si="12"/>
        <v>848</v>
      </c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2.75" x14ac:dyDescent="0.2">
      <c r="A630" s="5" t="s">
        <v>2937</v>
      </c>
      <c r="B630" s="5" t="s">
        <v>2937</v>
      </c>
      <c r="C630" s="4">
        <v>48</v>
      </c>
      <c r="D630" s="6" t="e">
        <f t="shared" si="10"/>
        <v>#VALUE!</v>
      </c>
      <c r="E630" s="6" t="s">
        <v>3113</v>
      </c>
      <c r="F630" s="7">
        <v>212</v>
      </c>
      <c r="G630" s="6" t="s">
        <v>17</v>
      </c>
      <c r="H630" s="8" t="s">
        <v>3114</v>
      </c>
      <c r="I630" s="9" t="s">
        <v>1521</v>
      </c>
      <c r="J630" s="10" t="s">
        <v>3115</v>
      </c>
      <c r="K630" s="9" t="s">
        <v>3116</v>
      </c>
      <c r="L630" s="9" t="s">
        <v>3117</v>
      </c>
      <c r="M630" s="9" t="s">
        <v>3118</v>
      </c>
      <c r="N630" s="9" t="s">
        <v>3119</v>
      </c>
      <c r="O630" s="6">
        <f t="shared" si="12"/>
        <v>426</v>
      </c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2.75" x14ac:dyDescent="0.2">
      <c r="A631" s="5" t="s">
        <v>2937</v>
      </c>
      <c r="B631" s="5" t="s">
        <v>2937</v>
      </c>
      <c r="C631" s="4">
        <v>49</v>
      </c>
      <c r="D631" s="6" t="e">
        <f t="shared" si="10"/>
        <v>#VALUE!</v>
      </c>
      <c r="E631" s="6" t="s">
        <v>3113</v>
      </c>
      <c r="F631" s="7">
        <v>213</v>
      </c>
      <c r="G631" s="6" t="s">
        <v>21</v>
      </c>
      <c r="H631" s="11" t="s">
        <v>385</v>
      </c>
      <c r="I631" s="9" t="s">
        <v>386</v>
      </c>
      <c r="J631" s="9" t="s">
        <v>387</v>
      </c>
      <c r="K631" s="9" t="s">
        <v>3120</v>
      </c>
      <c r="L631" s="9" t="s">
        <v>389</v>
      </c>
      <c r="M631" s="9" t="s">
        <v>3121</v>
      </c>
      <c r="N631" s="9" t="s">
        <v>3122</v>
      </c>
      <c r="O631" s="6">
        <f t="shared" si="12"/>
        <v>1070</v>
      </c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2.75" x14ac:dyDescent="0.2">
      <c r="A632" s="5" t="s">
        <v>2937</v>
      </c>
      <c r="B632" s="5" t="s">
        <v>2937</v>
      </c>
      <c r="C632" s="4">
        <v>50</v>
      </c>
      <c r="D632" s="6" t="e">
        <f t="shared" si="10"/>
        <v>#VALUE!</v>
      </c>
      <c r="E632" s="6" t="s">
        <v>3123</v>
      </c>
      <c r="F632" s="7">
        <v>214</v>
      </c>
      <c r="G632" s="6" t="s">
        <v>21</v>
      </c>
      <c r="H632" s="11" t="s">
        <v>385</v>
      </c>
      <c r="I632" s="9" t="s">
        <v>386</v>
      </c>
      <c r="J632" s="9" t="s">
        <v>387</v>
      </c>
      <c r="K632" s="9" t="s">
        <v>3120</v>
      </c>
      <c r="L632" s="9" t="s">
        <v>389</v>
      </c>
      <c r="M632" s="9" t="s">
        <v>3124</v>
      </c>
      <c r="N632" s="9" t="s">
        <v>3125</v>
      </c>
      <c r="O632" s="6">
        <f t="shared" si="12"/>
        <v>1075</v>
      </c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2.75" x14ac:dyDescent="0.2">
      <c r="A633" s="5" t="s">
        <v>2937</v>
      </c>
      <c r="B633" s="5" t="s">
        <v>2937</v>
      </c>
      <c r="C633" s="4">
        <v>51</v>
      </c>
      <c r="D633" s="6" t="e">
        <f t="shared" si="10"/>
        <v>#VALUE!</v>
      </c>
      <c r="E633" s="6" t="s">
        <v>3126</v>
      </c>
      <c r="F633" s="7">
        <v>215</v>
      </c>
      <c r="G633" s="6" t="s">
        <v>28</v>
      </c>
      <c r="H633" s="8" t="s">
        <v>1521</v>
      </c>
      <c r="I633" s="10" t="s">
        <v>385</v>
      </c>
      <c r="J633" s="9" t="s">
        <v>3109</v>
      </c>
      <c r="K633" s="9" t="s">
        <v>3110</v>
      </c>
      <c r="L633" s="9" t="s">
        <v>141</v>
      </c>
      <c r="M633" s="9" t="s">
        <v>3127</v>
      </c>
      <c r="N633" s="9" t="s">
        <v>3128</v>
      </c>
      <c r="O633" s="6">
        <f t="shared" si="12"/>
        <v>864</v>
      </c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2.75" x14ac:dyDescent="0.2">
      <c r="A634" s="5" t="s">
        <v>2937</v>
      </c>
      <c r="B634" s="5" t="s">
        <v>2937</v>
      </c>
      <c r="C634" s="4">
        <v>52</v>
      </c>
      <c r="D634" s="6" t="e">
        <f t="shared" si="10"/>
        <v>#VALUE!</v>
      </c>
      <c r="E634" s="6" t="s">
        <v>3129</v>
      </c>
      <c r="F634" s="7">
        <v>216</v>
      </c>
      <c r="G634" s="6" t="s">
        <v>28</v>
      </c>
      <c r="H634" s="8" t="s">
        <v>3130</v>
      </c>
      <c r="I634" s="10" t="s">
        <v>393</v>
      </c>
      <c r="J634" s="9" t="s">
        <v>2979</v>
      </c>
      <c r="K634" s="9" t="s">
        <v>3131</v>
      </c>
      <c r="L634" s="9" t="s">
        <v>3132</v>
      </c>
      <c r="M634" s="9" t="s">
        <v>3133</v>
      </c>
      <c r="N634" s="9" t="s">
        <v>3134</v>
      </c>
      <c r="O634" s="6">
        <f t="shared" si="12"/>
        <v>868</v>
      </c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2.75" x14ac:dyDescent="0.2">
      <c r="A635" s="5" t="s">
        <v>2937</v>
      </c>
      <c r="B635" s="5" t="s">
        <v>2937</v>
      </c>
      <c r="C635" s="4">
        <v>53</v>
      </c>
      <c r="D635" s="6" t="e">
        <f t="shared" si="10"/>
        <v>#VALUE!</v>
      </c>
      <c r="E635" s="6" t="s">
        <v>3135</v>
      </c>
      <c r="F635" s="7">
        <v>217</v>
      </c>
      <c r="G635" s="6" t="s">
        <v>17</v>
      </c>
      <c r="H635" s="8" t="s">
        <v>237</v>
      </c>
      <c r="I635" s="9" t="s">
        <v>3130</v>
      </c>
      <c r="J635" s="10" t="s">
        <v>3136</v>
      </c>
      <c r="K635" s="9" t="s">
        <v>3137</v>
      </c>
      <c r="L635" s="9" t="s">
        <v>577</v>
      </c>
      <c r="M635" s="9" t="s">
        <v>3138</v>
      </c>
      <c r="N635" s="9" t="s">
        <v>3139</v>
      </c>
      <c r="O635" s="6">
        <f t="shared" si="12"/>
        <v>436</v>
      </c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2.75" x14ac:dyDescent="0.2">
      <c r="A636" s="5" t="s">
        <v>2937</v>
      </c>
      <c r="B636" s="5" t="s">
        <v>2937</v>
      </c>
      <c r="C636" s="4">
        <v>54</v>
      </c>
      <c r="D636" s="6" t="e">
        <f t="shared" si="10"/>
        <v>#VALUE!</v>
      </c>
      <c r="E636" s="6" t="s">
        <v>3140</v>
      </c>
      <c r="F636" s="7">
        <v>218</v>
      </c>
      <c r="G636" s="6" t="s">
        <v>21</v>
      </c>
      <c r="H636" s="11" t="s">
        <v>393</v>
      </c>
      <c r="I636" s="9" t="s">
        <v>394</v>
      </c>
      <c r="J636" s="9" t="s">
        <v>395</v>
      </c>
      <c r="K636" s="9" t="s">
        <v>3141</v>
      </c>
      <c r="L636" s="9" t="s">
        <v>237</v>
      </c>
      <c r="M636" s="9" t="s">
        <v>3142</v>
      </c>
      <c r="N636" s="9" t="s">
        <v>3143</v>
      </c>
      <c r="O636" s="6">
        <f t="shared" si="12"/>
        <v>1095</v>
      </c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2.75" x14ac:dyDescent="0.2">
      <c r="A637" s="5" t="s">
        <v>2937</v>
      </c>
      <c r="B637" s="5" t="s">
        <v>2937</v>
      </c>
      <c r="C637" s="4">
        <v>55</v>
      </c>
      <c r="D637" s="6" t="e">
        <f t="shared" si="10"/>
        <v>#VALUE!</v>
      </c>
      <c r="E637" s="6" t="s">
        <v>3144</v>
      </c>
      <c r="F637" s="7">
        <v>219</v>
      </c>
      <c r="G637" s="6" t="s">
        <v>17</v>
      </c>
      <c r="H637" s="8" t="s">
        <v>237</v>
      </c>
      <c r="I637" s="9" t="s">
        <v>3130</v>
      </c>
      <c r="J637" s="10" t="s">
        <v>3136</v>
      </c>
      <c r="K637" s="9" t="s">
        <v>3137</v>
      </c>
      <c r="L637" s="9" t="s">
        <v>577</v>
      </c>
      <c r="M637" s="9" t="s">
        <v>3145</v>
      </c>
      <c r="N637" s="9" t="s">
        <v>3146</v>
      </c>
      <c r="O637" s="6">
        <f t="shared" si="12"/>
        <v>440</v>
      </c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2.75" x14ac:dyDescent="0.2">
      <c r="A638" s="5" t="s">
        <v>2937</v>
      </c>
      <c r="B638" s="5" t="s">
        <v>2937</v>
      </c>
      <c r="C638" s="4">
        <v>56</v>
      </c>
      <c r="D638" s="6" t="e">
        <f t="shared" si="10"/>
        <v>#VALUE!</v>
      </c>
      <c r="E638" s="6" t="s">
        <v>3147</v>
      </c>
      <c r="F638" s="7">
        <v>220</v>
      </c>
      <c r="G638" s="6" t="s">
        <v>21</v>
      </c>
      <c r="H638" s="11" t="s">
        <v>393</v>
      </c>
      <c r="I638" s="9" t="s">
        <v>394</v>
      </c>
      <c r="J638" s="9" t="s">
        <v>395</v>
      </c>
      <c r="K638" s="9" t="s">
        <v>3141</v>
      </c>
      <c r="L638" s="9" t="s">
        <v>237</v>
      </c>
      <c r="M638" s="9" t="s">
        <v>3148</v>
      </c>
      <c r="N638" s="9" t="s">
        <v>3149</v>
      </c>
      <c r="O638" s="6">
        <f t="shared" si="12"/>
        <v>1105</v>
      </c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2.75" x14ac:dyDescent="0.2">
      <c r="A639" s="5" t="s">
        <v>2937</v>
      </c>
      <c r="B639" s="5" t="s">
        <v>2937</v>
      </c>
      <c r="C639" s="4">
        <v>57</v>
      </c>
      <c r="D639" s="6" t="e">
        <f t="shared" si="10"/>
        <v>#VALUE!</v>
      </c>
      <c r="E639" s="6" t="s">
        <v>3150</v>
      </c>
      <c r="F639" s="7">
        <v>221</v>
      </c>
      <c r="G639" s="6" t="s">
        <v>21</v>
      </c>
      <c r="H639" s="11" t="s">
        <v>401</v>
      </c>
      <c r="I639" s="9" t="s">
        <v>3151</v>
      </c>
      <c r="J639" s="9" t="s">
        <v>523</v>
      </c>
      <c r="K639" s="9" t="s">
        <v>3152</v>
      </c>
      <c r="L639" s="9" t="s">
        <v>3130</v>
      </c>
      <c r="M639" s="9" t="s">
        <v>3153</v>
      </c>
      <c r="N639" s="9" t="s">
        <v>3154</v>
      </c>
      <c r="O639" s="6">
        <f t="shared" si="12"/>
        <v>1110</v>
      </c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2.75" x14ac:dyDescent="0.2">
      <c r="A640" s="5" t="s">
        <v>2937</v>
      </c>
      <c r="B640" s="5" t="s">
        <v>2937</v>
      </c>
      <c r="C640" s="4">
        <v>58</v>
      </c>
      <c r="D640" s="6" t="e">
        <f t="shared" si="10"/>
        <v>#VALUE!</v>
      </c>
      <c r="E640" s="6" t="s">
        <v>3140</v>
      </c>
      <c r="F640" s="7">
        <v>222</v>
      </c>
      <c r="G640" s="6" t="s">
        <v>17</v>
      </c>
      <c r="H640" s="8" t="s">
        <v>343</v>
      </c>
      <c r="I640" s="9" t="s">
        <v>400</v>
      </c>
      <c r="J640" s="10" t="s">
        <v>3155</v>
      </c>
      <c r="K640" s="9" t="s">
        <v>3156</v>
      </c>
      <c r="L640" s="9" t="s">
        <v>3157</v>
      </c>
      <c r="M640" s="9" t="s">
        <v>3158</v>
      </c>
      <c r="N640" s="9" t="s">
        <v>3159</v>
      </c>
      <c r="O640" s="6">
        <f t="shared" si="12"/>
        <v>446</v>
      </c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2.75" x14ac:dyDescent="0.2">
      <c r="A641" s="5" t="s">
        <v>2937</v>
      </c>
      <c r="B641" s="5" t="s">
        <v>2937</v>
      </c>
      <c r="C641" s="4">
        <v>59</v>
      </c>
      <c r="D641" s="6" t="e">
        <f t="shared" si="10"/>
        <v>#VALUE!</v>
      </c>
      <c r="E641" s="6" t="s">
        <v>3160</v>
      </c>
      <c r="F641" s="7">
        <v>223</v>
      </c>
      <c r="G641" s="6" t="s">
        <v>28</v>
      </c>
      <c r="H641" s="8" t="s">
        <v>400</v>
      </c>
      <c r="I641" s="10" t="s">
        <v>401</v>
      </c>
      <c r="J641" s="9" t="s">
        <v>402</v>
      </c>
      <c r="K641" s="9" t="s">
        <v>3161</v>
      </c>
      <c r="L641" s="9" t="s">
        <v>404</v>
      </c>
      <c r="M641" s="9" t="s">
        <v>3162</v>
      </c>
      <c r="N641" s="9" t="s">
        <v>3163</v>
      </c>
      <c r="O641" s="6">
        <f t="shared" si="12"/>
        <v>896</v>
      </c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2.75" x14ac:dyDescent="0.2">
      <c r="A642" s="5" t="s">
        <v>2937</v>
      </c>
      <c r="B642" s="5" t="s">
        <v>2937</v>
      </c>
      <c r="C642" s="4">
        <v>60</v>
      </c>
      <c r="D642" s="6" t="e">
        <f t="shared" si="10"/>
        <v>#VALUE!</v>
      </c>
      <c r="E642" s="6" t="s">
        <v>3164</v>
      </c>
      <c r="F642" s="7">
        <v>224</v>
      </c>
      <c r="G642" s="6" t="s">
        <v>28</v>
      </c>
      <c r="H642" s="8" t="s">
        <v>400</v>
      </c>
      <c r="I642" s="10" t="s">
        <v>401</v>
      </c>
      <c r="J642" s="9" t="s">
        <v>402</v>
      </c>
      <c r="K642" s="9" t="s">
        <v>3161</v>
      </c>
      <c r="L642" s="9" t="s">
        <v>404</v>
      </c>
      <c r="M642" s="9" t="s">
        <v>3165</v>
      </c>
      <c r="N642" s="9" t="s">
        <v>3166</v>
      </c>
      <c r="O642" s="6">
        <f t="shared" si="12"/>
        <v>900</v>
      </c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2.75" x14ac:dyDescent="0.2">
      <c r="A643" s="5" t="s">
        <v>2937</v>
      </c>
      <c r="B643" s="5" t="s">
        <v>2937</v>
      </c>
      <c r="C643" s="4">
        <v>61</v>
      </c>
      <c r="D643" s="6" t="e">
        <f t="shared" si="10"/>
        <v>#VALUE!</v>
      </c>
      <c r="E643" s="6" t="s">
        <v>3092</v>
      </c>
      <c r="F643" s="7">
        <v>225</v>
      </c>
      <c r="G643" s="6" t="s">
        <v>17</v>
      </c>
      <c r="H643" s="8" t="s">
        <v>343</v>
      </c>
      <c r="I643" s="9" t="s">
        <v>400</v>
      </c>
      <c r="J643" s="10" t="s">
        <v>3155</v>
      </c>
      <c r="K643" s="9" t="s">
        <v>3156</v>
      </c>
      <c r="L643" s="9" t="s">
        <v>3157</v>
      </c>
      <c r="M643" s="9" t="s">
        <v>3167</v>
      </c>
      <c r="N643" s="9" t="s">
        <v>3168</v>
      </c>
      <c r="O643" s="6">
        <f t="shared" ref="O643:O706" si="13">M643/K643</f>
        <v>452</v>
      </c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2.75" x14ac:dyDescent="0.2">
      <c r="A644" s="5" t="s">
        <v>2937</v>
      </c>
      <c r="B644" s="5" t="s">
        <v>2937</v>
      </c>
      <c r="C644" s="4">
        <v>62</v>
      </c>
      <c r="D644" s="6" t="e">
        <f t="shared" si="10"/>
        <v>#VALUE!</v>
      </c>
      <c r="E644" s="6" t="s">
        <v>3169</v>
      </c>
      <c r="F644" s="7">
        <v>226</v>
      </c>
      <c r="G644" s="6" t="s">
        <v>28</v>
      </c>
      <c r="H644" s="8" t="s">
        <v>102</v>
      </c>
      <c r="I644" s="10" t="s">
        <v>408</v>
      </c>
      <c r="J644" s="9" t="s">
        <v>277</v>
      </c>
      <c r="K644" s="9" t="s">
        <v>3170</v>
      </c>
      <c r="L644" s="9" t="s">
        <v>3171</v>
      </c>
      <c r="M644" s="9" t="s">
        <v>3172</v>
      </c>
      <c r="N644" s="9" t="s">
        <v>3173</v>
      </c>
      <c r="O644" s="6">
        <f t="shared" si="13"/>
        <v>908</v>
      </c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2.75" x14ac:dyDescent="0.2">
      <c r="A645" s="5" t="s">
        <v>2937</v>
      </c>
      <c r="B645" s="5" t="s">
        <v>2937</v>
      </c>
      <c r="C645" s="4">
        <v>63</v>
      </c>
      <c r="D645" s="6" t="e">
        <f t="shared" si="10"/>
        <v>#VALUE!</v>
      </c>
      <c r="E645" s="6" t="s">
        <v>3174</v>
      </c>
      <c r="F645" s="7">
        <v>227</v>
      </c>
      <c r="G645" s="6" t="s">
        <v>17</v>
      </c>
      <c r="H645" s="8" t="s">
        <v>3175</v>
      </c>
      <c r="I645" s="9" t="s">
        <v>102</v>
      </c>
      <c r="J645" s="10" t="s">
        <v>3176</v>
      </c>
      <c r="K645" s="9" t="s">
        <v>2466</v>
      </c>
      <c r="L645" s="9" t="s">
        <v>3177</v>
      </c>
      <c r="M645" s="9" t="s">
        <v>3178</v>
      </c>
      <c r="N645" s="9" t="s">
        <v>3179</v>
      </c>
      <c r="O645" s="6">
        <f t="shared" si="13"/>
        <v>456</v>
      </c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2.75" x14ac:dyDescent="0.2">
      <c r="A646" s="5" t="s">
        <v>2937</v>
      </c>
      <c r="B646" s="5" t="s">
        <v>2937</v>
      </c>
      <c r="C646" s="4">
        <v>64</v>
      </c>
      <c r="D646" s="6" t="e">
        <f t="shared" si="10"/>
        <v>#VALUE!</v>
      </c>
      <c r="E646" s="6" t="s">
        <v>3088</v>
      </c>
      <c r="F646" s="7">
        <v>228</v>
      </c>
      <c r="G646" s="6" t="s">
        <v>21</v>
      </c>
      <c r="H646" s="11" t="s">
        <v>408</v>
      </c>
      <c r="I646" s="9" t="s">
        <v>111</v>
      </c>
      <c r="J646" s="9" t="s">
        <v>3180</v>
      </c>
      <c r="K646" s="9" t="s">
        <v>3181</v>
      </c>
      <c r="L646" s="9" t="s">
        <v>336</v>
      </c>
      <c r="M646" s="9" t="s">
        <v>3182</v>
      </c>
      <c r="N646" s="9" t="s">
        <v>3183</v>
      </c>
      <c r="O646" s="6">
        <f t="shared" si="13"/>
        <v>1145</v>
      </c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2.75" x14ac:dyDescent="0.2">
      <c r="A647" s="5" t="s">
        <v>2937</v>
      </c>
      <c r="B647" s="5" t="s">
        <v>2937</v>
      </c>
      <c r="C647" s="4">
        <v>65</v>
      </c>
      <c r="D647" s="6" t="e">
        <f t="shared" si="10"/>
        <v>#VALUE!</v>
      </c>
      <c r="E647" s="6" t="s">
        <v>3184</v>
      </c>
      <c r="F647" s="7">
        <v>229</v>
      </c>
      <c r="G647" s="6" t="s">
        <v>21</v>
      </c>
      <c r="H647" s="11" t="s">
        <v>408</v>
      </c>
      <c r="I647" s="9" t="s">
        <v>111</v>
      </c>
      <c r="J647" s="9" t="s">
        <v>3180</v>
      </c>
      <c r="K647" s="9" t="s">
        <v>3181</v>
      </c>
      <c r="L647" s="9" t="s">
        <v>336</v>
      </c>
      <c r="M647" s="9" t="s">
        <v>3185</v>
      </c>
      <c r="N647" s="9" t="s">
        <v>3186</v>
      </c>
      <c r="O647" s="6">
        <f t="shared" si="13"/>
        <v>1150</v>
      </c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2.75" x14ac:dyDescent="0.2">
      <c r="A648" s="5" t="s">
        <v>2937</v>
      </c>
      <c r="B648" s="5" t="s">
        <v>2937</v>
      </c>
      <c r="C648" s="4">
        <v>66</v>
      </c>
      <c r="D648" s="6" t="e">
        <f t="shared" si="10"/>
        <v>#VALUE!</v>
      </c>
      <c r="E648" s="6" t="s">
        <v>91</v>
      </c>
      <c r="F648" s="7">
        <v>230</v>
      </c>
      <c r="G648" s="6" t="s">
        <v>17</v>
      </c>
      <c r="H648" s="8" t="s">
        <v>3175</v>
      </c>
      <c r="I648" s="9" t="s">
        <v>102</v>
      </c>
      <c r="J648" s="10" t="s">
        <v>3176</v>
      </c>
      <c r="K648" s="9" t="s">
        <v>2466</v>
      </c>
      <c r="L648" s="9" t="s">
        <v>3177</v>
      </c>
      <c r="M648" s="9" t="s">
        <v>3187</v>
      </c>
      <c r="N648" s="9" t="s">
        <v>3188</v>
      </c>
      <c r="O648" s="6">
        <f t="shared" si="13"/>
        <v>462</v>
      </c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2.75" x14ac:dyDescent="0.2">
      <c r="A649" s="5" t="s">
        <v>2937</v>
      </c>
      <c r="B649" s="5" t="s">
        <v>2937</v>
      </c>
      <c r="C649" s="4">
        <v>67</v>
      </c>
      <c r="D649" s="6" t="e">
        <f t="shared" si="10"/>
        <v>#VALUE!</v>
      </c>
      <c r="E649" s="6" t="s">
        <v>3189</v>
      </c>
      <c r="F649" s="7">
        <v>231</v>
      </c>
      <c r="G649" s="6" t="s">
        <v>17</v>
      </c>
      <c r="H649" s="8" t="s">
        <v>308</v>
      </c>
      <c r="I649" s="9" t="s">
        <v>413</v>
      </c>
      <c r="J649" s="10" t="s">
        <v>414</v>
      </c>
      <c r="K649" s="9" t="s">
        <v>3190</v>
      </c>
      <c r="L649" s="9" t="s">
        <v>416</v>
      </c>
      <c r="M649" s="9" t="s">
        <v>3191</v>
      </c>
      <c r="N649" s="9" t="s">
        <v>3192</v>
      </c>
      <c r="O649" s="6">
        <f t="shared" si="13"/>
        <v>464</v>
      </c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2.75" x14ac:dyDescent="0.2">
      <c r="A650" s="5" t="s">
        <v>2937</v>
      </c>
      <c r="B650" s="5" t="s">
        <v>2937</v>
      </c>
      <c r="C650" s="4">
        <v>68</v>
      </c>
      <c r="D650" s="6" t="e">
        <f t="shared" si="10"/>
        <v>#VALUE!</v>
      </c>
      <c r="E650" s="6" t="s">
        <v>3193</v>
      </c>
      <c r="F650" s="7">
        <v>232</v>
      </c>
      <c r="G650" s="6" t="s">
        <v>17</v>
      </c>
      <c r="H650" s="8" t="s">
        <v>308</v>
      </c>
      <c r="I650" s="9" t="s">
        <v>413</v>
      </c>
      <c r="J650" s="10" t="s">
        <v>414</v>
      </c>
      <c r="K650" s="9" t="s">
        <v>3190</v>
      </c>
      <c r="L650" s="9" t="s">
        <v>416</v>
      </c>
      <c r="M650" s="9" t="s">
        <v>3194</v>
      </c>
      <c r="N650" s="9" t="s">
        <v>3195</v>
      </c>
      <c r="O650" s="6">
        <f t="shared" si="13"/>
        <v>466</v>
      </c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2.75" x14ac:dyDescent="0.2">
      <c r="A651" s="5" t="s">
        <v>2937</v>
      </c>
      <c r="B651" s="5" t="s">
        <v>2937</v>
      </c>
      <c r="C651" s="4">
        <v>69</v>
      </c>
      <c r="D651" s="6" t="e">
        <f t="shared" si="10"/>
        <v>#VALUE!</v>
      </c>
      <c r="E651" s="6" t="s">
        <v>3196</v>
      </c>
      <c r="F651" s="7">
        <v>233</v>
      </c>
      <c r="G651" s="6" t="s">
        <v>21</v>
      </c>
      <c r="H651" s="11" t="s">
        <v>630</v>
      </c>
      <c r="I651" s="9" t="s">
        <v>545</v>
      </c>
      <c r="J651" s="9" t="s">
        <v>538</v>
      </c>
      <c r="K651" s="9" t="s">
        <v>3197</v>
      </c>
      <c r="L651" s="9" t="s">
        <v>277</v>
      </c>
      <c r="M651" s="9" t="s">
        <v>3198</v>
      </c>
      <c r="N651" s="9" t="s">
        <v>3199</v>
      </c>
      <c r="O651" s="6">
        <f t="shared" si="13"/>
        <v>1170</v>
      </c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2.75" x14ac:dyDescent="0.2">
      <c r="A652" s="5" t="s">
        <v>2937</v>
      </c>
      <c r="B652" s="5" t="s">
        <v>2937</v>
      </c>
      <c r="C652" s="4">
        <v>70</v>
      </c>
      <c r="D652" s="6" t="e">
        <f t="shared" si="10"/>
        <v>#VALUE!</v>
      </c>
      <c r="E652" s="6" t="s">
        <v>3050</v>
      </c>
      <c r="F652" s="7">
        <v>234</v>
      </c>
      <c r="G652" s="6" t="s">
        <v>17</v>
      </c>
      <c r="H652" s="8" t="s">
        <v>308</v>
      </c>
      <c r="I652" s="9" t="s">
        <v>413</v>
      </c>
      <c r="J652" s="10" t="s">
        <v>414</v>
      </c>
      <c r="K652" s="9" t="s">
        <v>3190</v>
      </c>
      <c r="L652" s="9" t="s">
        <v>416</v>
      </c>
      <c r="M652" s="9" t="s">
        <v>3200</v>
      </c>
      <c r="N652" s="9" t="s">
        <v>3201</v>
      </c>
      <c r="O652" s="6">
        <f t="shared" si="13"/>
        <v>470</v>
      </c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2.75" x14ac:dyDescent="0.2">
      <c r="A653" s="5" t="s">
        <v>2937</v>
      </c>
      <c r="B653" s="5" t="s">
        <v>2937</v>
      </c>
      <c r="C653" s="4">
        <v>71</v>
      </c>
      <c r="D653" s="6" t="e">
        <f t="shared" si="10"/>
        <v>#VALUE!</v>
      </c>
      <c r="E653" s="6" t="s">
        <v>3202</v>
      </c>
      <c r="F653" s="7">
        <v>235</v>
      </c>
      <c r="G653" s="6" t="s">
        <v>21</v>
      </c>
      <c r="H653" s="11" t="s">
        <v>630</v>
      </c>
      <c r="I653" s="9" t="s">
        <v>545</v>
      </c>
      <c r="J653" s="9" t="s">
        <v>538</v>
      </c>
      <c r="K653" s="9" t="s">
        <v>3197</v>
      </c>
      <c r="L653" s="9" t="s">
        <v>277</v>
      </c>
      <c r="M653" s="9" t="s">
        <v>3203</v>
      </c>
      <c r="N653" s="9" t="s">
        <v>3204</v>
      </c>
      <c r="O653" s="6">
        <f t="shared" si="13"/>
        <v>1180</v>
      </c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2.75" x14ac:dyDescent="0.2">
      <c r="A654" s="5" t="s">
        <v>2937</v>
      </c>
      <c r="B654" s="5" t="s">
        <v>2937</v>
      </c>
      <c r="C654" s="4">
        <v>72</v>
      </c>
      <c r="D654" s="6" t="e">
        <f t="shared" si="10"/>
        <v>#VALUE!</v>
      </c>
      <c r="E654" s="6" t="s">
        <v>3205</v>
      </c>
      <c r="F654" s="7">
        <v>236</v>
      </c>
      <c r="G654" s="6" t="s">
        <v>21</v>
      </c>
      <c r="H654" s="11" t="s">
        <v>419</v>
      </c>
      <c r="I654" s="9" t="s">
        <v>420</v>
      </c>
      <c r="J654" s="9" t="s">
        <v>421</v>
      </c>
      <c r="K654" s="9" t="s">
        <v>3206</v>
      </c>
      <c r="L654" s="9" t="s">
        <v>423</v>
      </c>
      <c r="M654" s="9" t="s">
        <v>3207</v>
      </c>
      <c r="N654" s="9" t="s">
        <v>3208</v>
      </c>
      <c r="O654" s="6">
        <f t="shared" si="13"/>
        <v>1185</v>
      </c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2.75" x14ac:dyDescent="0.2">
      <c r="A655" s="5" t="s">
        <v>2937</v>
      </c>
      <c r="B655" s="5" t="s">
        <v>2937</v>
      </c>
      <c r="C655" s="4">
        <v>73</v>
      </c>
      <c r="D655" s="6" t="e">
        <f t="shared" si="10"/>
        <v>#VALUE!</v>
      </c>
      <c r="E655" s="6" t="s">
        <v>3209</v>
      </c>
      <c r="F655" s="7">
        <v>237</v>
      </c>
      <c r="G655" s="6" t="s">
        <v>28</v>
      </c>
      <c r="H655" s="8" t="s">
        <v>436</v>
      </c>
      <c r="I655" s="10" t="s">
        <v>419</v>
      </c>
      <c r="J655" s="9" t="s">
        <v>74</v>
      </c>
      <c r="K655" s="9" t="s">
        <v>3210</v>
      </c>
      <c r="L655" s="9" t="s">
        <v>3211</v>
      </c>
      <c r="M655" s="9" t="s">
        <v>3212</v>
      </c>
      <c r="N655" s="9" t="s">
        <v>3213</v>
      </c>
      <c r="O655" s="6">
        <f t="shared" si="13"/>
        <v>952</v>
      </c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2.75" x14ac:dyDescent="0.2">
      <c r="A656" s="5" t="s">
        <v>2937</v>
      </c>
      <c r="B656" s="5" t="s">
        <v>2937</v>
      </c>
      <c r="C656" s="4">
        <v>74</v>
      </c>
      <c r="D656" s="6" t="e">
        <f t="shared" si="10"/>
        <v>#VALUE!</v>
      </c>
      <c r="E656" s="6" t="s">
        <v>3214</v>
      </c>
      <c r="F656" s="7">
        <v>238</v>
      </c>
      <c r="G656" s="6" t="s">
        <v>28</v>
      </c>
      <c r="H656" s="8" t="s">
        <v>436</v>
      </c>
      <c r="I656" s="10" t="s">
        <v>419</v>
      </c>
      <c r="J656" s="9" t="s">
        <v>74</v>
      </c>
      <c r="K656" s="9" t="s">
        <v>3210</v>
      </c>
      <c r="L656" s="9" t="s">
        <v>3211</v>
      </c>
      <c r="M656" s="9" t="s">
        <v>3215</v>
      </c>
      <c r="N656" s="9" t="s">
        <v>3216</v>
      </c>
      <c r="O656" s="6">
        <f t="shared" si="13"/>
        <v>956</v>
      </c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2.75" x14ac:dyDescent="0.2">
      <c r="A657" s="5" t="s">
        <v>2937</v>
      </c>
      <c r="B657" s="5" t="s">
        <v>2937</v>
      </c>
      <c r="C657" s="4">
        <v>75</v>
      </c>
      <c r="D657" s="6" t="e">
        <f t="shared" si="10"/>
        <v>#VALUE!</v>
      </c>
      <c r="E657" s="6" t="s">
        <v>284</v>
      </c>
      <c r="F657" s="7">
        <v>239</v>
      </c>
      <c r="G657" s="6" t="s">
        <v>28</v>
      </c>
      <c r="H657" s="8" t="s">
        <v>436</v>
      </c>
      <c r="I657" s="10" t="s">
        <v>419</v>
      </c>
      <c r="J657" s="9" t="s">
        <v>74</v>
      </c>
      <c r="K657" s="9" t="s">
        <v>3210</v>
      </c>
      <c r="L657" s="9" t="s">
        <v>3211</v>
      </c>
      <c r="M657" s="9" t="s">
        <v>3217</v>
      </c>
      <c r="N657" s="9" t="s">
        <v>3218</v>
      </c>
      <c r="O657" s="6">
        <f t="shared" si="13"/>
        <v>960</v>
      </c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2.75" x14ac:dyDescent="0.2">
      <c r="A658" s="5" t="s">
        <v>2937</v>
      </c>
      <c r="B658" s="5" t="s">
        <v>2937</v>
      </c>
      <c r="C658" s="4">
        <v>76</v>
      </c>
      <c r="D658" s="6" t="e">
        <f t="shared" si="10"/>
        <v>#VALUE!</v>
      </c>
      <c r="E658" s="6" t="s">
        <v>3036</v>
      </c>
      <c r="F658" s="7">
        <v>240</v>
      </c>
      <c r="G658" s="6" t="s">
        <v>21</v>
      </c>
      <c r="H658" s="11" t="s">
        <v>419</v>
      </c>
      <c r="I658" s="9" t="s">
        <v>420</v>
      </c>
      <c r="J658" s="9" t="s">
        <v>421</v>
      </c>
      <c r="K658" s="9" t="s">
        <v>3206</v>
      </c>
      <c r="L658" s="9" t="s">
        <v>423</v>
      </c>
      <c r="M658" s="9" t="s">
        <v>3219</v>
      </c>
      <c r="N658" s="9" t="s">
        <v>3220</v>
      </c>
      <c r="O658" s="6">
        <f t="shared" si="13"/>
        <v>1205</v>
      </c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2.75" x14ac:dyDescent="0.2">
      <c r="A659" s="5" t="s">
        <v>2937</v>
      </c>
      <c r="B659" s="5" t="s">
        <v>2937</v>
      </c>
      <c r="C659" s="4">
        <v>77</v>
      </c>
      <c r="D659" s="6" t="e">
        <f t="shared" si="10"/>
        <v>#VALUE!</v>
      </c>
      <c r="E659" s="6" t="s">
        <v>3221</v>
      </c>
      <c r="F659" s="7">
        <v>241</v>
      </c>
      <c r="G659" s="6" t="s">
        <v>17</v>
      </c>
      <c r="H659" s="8" t="s">
        <v>3222</v>
      </c>
      <c r="I659" s="9" t="s">
        <v>3012</v>
      </c>
      <c r="J659" s="10" t="s">
        <v>1729</v>
      </c>
      <c r="K659" s="9" t="s">
        <v>3223</v>
      </c>
      <c r="L659" s="9" t="s">
        <v>3224</v>
      </c>
      <c r="M659" s="9" t="s">
        <v>3225</v>
      </c>
      <c r="N659" s="9" t="s">
        <v>3226</v>
      </c>
      <c r="O659" s="6">
        <f t="shared" si="13"/>
        <v>484</v>
      </c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2.75" x14ac:dyDescent="0.2">
      <c r="A660" s="5" t="s">
        <v>2937</v>
      </c>
      <c r="B660" s="5" t="s">
        <v>2937</v>
      </c>
      <c r="C660" s="4">
        <v>78</v>
      </c>
      <c r="D660" s="6" t="e">
        <f t="shared" si="10"/>
        <v>#VALUE!</v>
      </c>
      <c r="E660" s="6" t="s">
        <v>3227</v>
      </c>
      <c r="F660" s="7">
        <v>242</v>
      </c>
      <c r="G660" s="6" t="s">
        <v>21</v>
      </c>
      <c r="H660" s="11" t="s">
        <v>426</v>
      </c>
      <c r="I660" s="9" t="s">
        <v>427</v>
      </c>
      <c r="J660" s="9" t="s">
        <v>116</v>
      </c>
      <c r="K660" s="9" t="s">
        <v>3228</v>
      </c>
      <c r="L660" s="9" t="s">
        <v>307</v>
      </c>
      <c r="M660" s="9" t="s">
        <v>3229</v>
      </c>
      <c r="N660" s="9" t="s">
        <v>3230</v>
      </c>
      <c r="O660" s="6">
        <f t="shared" si="13"/>
        <v>1215</v>
      </c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2.75" x14ac:dyDescent="0.2">
      <c r="A661" s="5" t="s">
        <v>2937</v>
      </c>
      <c r="B661" s="5" t="s">
        <v>2937</v>
      </c>
      <c r="C661" s="4">
        <v>79</v>
      </c>
      <c r="D661" s="6" t="e">
        <f t="shared" si="10"/>
        <v>#VALUE!</v>
      </c>
      <c r="E661" s="6" t="s">
        <v>3231</v>
      </c>
      <c r="F661" s="7">
        <v>243</v>
      </c>
      <c r="G661" s="6" t="s">
        <v>28</v>
      </c>
      <c r="H661" s="8" t="s">
        <v>3012</v>
      </c>
      <c r="I661" s="10" t="s">
        <v>426</v>
      </c>
      <c r="J661" s="9" t="s">
        <v>3232</v>
      </c>
      <c r="K661" s="9" t="s">
        <v>3233</v>
      </c>
      <c r="L661" s="9" t="s">
        <v>3234</v>
      </c>
      <c r="M661" s="9" t="s">
        <v>3235</v>
      </c>
      <c r="N661" s="9" t="s">
        <v>3236</v>
      </c>
      <c r="O661" s="6">
        <f t="shared" si="13"/>
        <v>976</v>
      </c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2.75" x14ac:dyDescent="0.2">
      <c r="A662" s="5" t="s">
        <v>2937</v>
      </c>
      <c r="B662" s="5" t="s">
        <v>2937</v>
      </c>
      <c r="C662" s="4">
        <v>80</v>
      </c>
      <c r="D662" s="6" t="e">
        <f t="shared" si="10"/>
        <v>#VALUE!</v>
      </c>
      <c r="E662" s="6" t="s">
        <v>2992</v>
      </c>
      <c r="F662" s="7">
        <v>244</v>
      </c>
      <c r="G662" s="6" t="s">
        <v>17</v>
      </c>
      <c r="H662" s="8" t="s">
        <v>3222</v>
      </c>
      <c r="I662" s="9" t="s">
        <v>3012</v>
      </c>
      <c r="J662" s="10" t="s">
        <v>1729</v>
      </c>
      <c r="K662" s="9" t="s">
        <v>3223</v>
      </c>
      <c r="L662" s="9" t="s">
        <v>3224</v>
      </c>
      <c r="M662" s="9" t="s">
        <v>3237</v>
      </c>
      <c r="N662" s="9" t="s">
        <v>3238</v>
      </c>
      <c r="O662" s="6">
        <f t="shared" si="13"/>
        <v>490</v>
      </c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2.75" x14ac:dyDescent="0.2">
      <c r="A663" s="5" t="s">
        <v>2937</v>
      </c>
      <c r="B663" s="5" t="s">
        <v>2937</v>
      </c>
      <c r="C663" s="4">
        <v>81</v>
      </c>
      <c r="D663" s="6" t="e">
        <f t="shared" si="10"/>
        <v>#VALUE!</v>
      </c>
      <c r="E663" s="6" t="s">
        <v>3239</v>
      </c>
      <c r="F663" s="7">
        <v>245</v>
      </c>
      <c r="G663" s="6" t="s">
        <v>28</v>
      </c>
      <c r="H663" s="8" t="s">
        <v>3012</v>
      </c>
      <c r="I663" s="10" t="s">
        <v>426</v>
      </c>
      <c r="J663" s="9" t="s">
        <v>3232</v>
      </c>
      <c r="K663" s="9" t="s">
        <v>3233</v>
      </c>
      <c r="L663" s="9" t="s">
        <v>3234</v>
      </c>
      <c r="M663" s="9" t="s">
        <v>3240</v>
      </c>
      <c r="N663" s="9" t="s">
        <v>3241</v>
      </c>
      <c r="O663" s="6">
        <f t="shared" si="13"/>
        <v>984</v>
      </c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2.75" x14ac:dyDescent="0.2">
      <c r="A664" s="5" t="s">
        <v>2937</v>
      </c>
      <c r="B664" s="5" t="s">
        <v>2937</v>
      </c>
      <c r="C664" s="4">
        <v>82</v>
      </c>
      <c r="D664" s="6" t="e">
        <f t="shared" si="10"/>
        <v>#VALUE!</v>
      </c>
      <c r="E664" s="6" t="s">
        <v>431</v>
      </c>
      <c r="F664" s="7">
        <v>246</v>
      </c>
      <c r="G664" s="6" t="s">
        <v>17</v>
      </c>
      <c r="H664" s="8" t="s">
        <v>130</v>
      </c>
      <c r="I664" s="9" t="s">
        <v>3242</v>
      </c>
      <c r="J664" s="10" t="s">
        <v>2750</v>
      </c>
      <c r="K664" s="9" t="s">
        <v>3243</v>
      </c>
      <c r="L664" s="9" t="s">
        <v>145</v>
      </c>
      <c r="M664" s="9" t="s">
        <v>3244</v>
      </c>
      <c r="N664" s="9" t="s">
        <v>3245</v>
      </c>
      <c r="O664" s="6">
        <f t="shared" si="13"/>
        <v>494</v>
      </c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2.75" x14ac:dyDescent="0.2">
      <c r="A665" s="5" t="s">
        <v>2937</v>
      </c>
      <c r="B665" s="5" t="s">
        <v>2937</v>
      </c>
      <c r="C665" s="4">
        <v>83</v>
      </c>
      <c r="D665" s="6" t="e">
        <f t="shared" si="10"/>
        <v>#VALUE!</v>
      </c>
      <c r="E665" s="6" t="s">
        <v>3246</v>
      </c>
      <c r="F665" s="7">
        <v>247</v>
      </c>
      <c r="G665" s="6" t="s">
        <v>21</v>
      </c>
      <c r="H665" s="11" t="s">
        <v>432</v>
      </c>
      <c r="I665" s="9" t="s">
        <v>433</v>
      </c>
      <c r="J665" s="9" t="s">
        <v>434</v>
      </c>
      <c r="K665" s="9" t="s">
        <v>3247</v>
      </c>
      <c r="L665" s="9" t="s">
        <v>436</v>
      </c>
      <c r="M665" s="9" t="s">
        <v>3248</v>
      </c>
      <c r="N665" s="9" t="s">
        <v>3249</v>
      </c>
      <c r="O665" s="6">
        <f t="shared" si="13"/>
        <v>1240</v>
      </c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2.75" x14ac:dyDescent="0.2">
      <c r="A666" s="5" t="s">
        <v>2937</v>
      </c>
      <c r="B666" s="5" t="s">
        <v>2937</v>
      </c>
      <c r="C666" s="4">
        <v>84</v>
      </c>
      <c r="D666" s="6" t="e">
        <f t="shared" si="10"/>
        <v>#VALUE!</v>
      </c>
      <c r="E666" s="6" t="s">
        <v>3250</v>
      </c>
      <c r="F666" s="7">
        <v>248</v>
      </c>
      <c r="G666" s="6" t="s">
        <v>17</v>
      </c>
      <c r="H666" s="8" t="s">
        <v>130</v>
      </c>
      <c r="I666" s="9" t="s">
        <v>3242</v>
      </c>
      <c r="J666" s="10" t="s">
        <v>2750</v>
      </c>
      <c r="K666" s="9" t="s">
        <v>3243</v>
      </c>
      <c r="L666" s="9" t="s">
        <v>145</v>
      </c>
      <c r="M666" s="9" t="s">
        <v>3251</v>
      </c>
      <c r="N666" s="9" t="s">
        <v>3252</v>
      </c>
      <c r="O666" s="6">
        <f t="shared" si="13"/>
        <v>498</v>
      </c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2.75" x14ac:dyDescent="0.2">
      <c r="A667" s="5" t="s">
        <v>2937</v>
      </c>
      <c r="B667" s="5" t="s">
        <v>2937</v>
      </c>
      <c r="C667" s="4">
        <v>85</v>
      </c>
      <c r="D667" s="6" t="e">
        <f t="shared" si="10"/>
        <v>#VALUE!</v>
      </c>
      <c r="E667" s="6" t="s">
        <v>2945</v>
      </c>
      <c r="F667" s="7">
        <v>249</v>
      </c>
      <c r="G667" s="6" t="s">
        <v>17</v>
      </c>
      <c r="H667" s="8" t="s">
        <v>130</v>
      </c>
      <c r="I667" s="9" t="s">
        <v>3242</v>
      </c>
      <c r="J667" s="10" t="s">
        <v>2750</v>
      </c>
      <c r="K667" s="9" t="s">
        <v>3243</v>
      </c>
      <c r="L667" s="9" t="s">
        <v>145</v>
      </c>
      <c r="M667" s="9" t="s">
        <v>3253</v>
      </c>
      <c r="N667" s="9" t="s">
        <v>3254</v>
      </c>
      <c r="O667" s="6">
        <f t="shared" si="13"/>
        <v>500</v>
      </c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2.75" x14ac:dyDescent="0.2">
      <c r="A668" s="5" t="s">
        <v>2937</v>
      </c>
      <c r="B668" s="5" t="s">
        <v>2937</v>
      </c>
      <c r="C668" s="4">
        <v>86</v>
      </c>
      <c r="D668" s="6" t="e">
        <f t="shared" si="10"/>
        <v>#VALUE!</v>
      </c>
      <c r="E668" s="6" t="s">
        <v>3255</v>
      </c>
      <c r="F668" s="7">
        <v>250</v>
      </c>
      <c r="G668" s="6" t="s">
        <v>17</v>
      </c>
      <c r="H668" s="8" t="s">
        <v>130</v>
      </c>
      <c r="I668" s="9" t="s">
        <v>3242</v>
      </c>
      <c r="J668" s="10" t="s">
        <v>2750</v>
      </c>
      <c r="K668" s="9" t="s">
        <v>3243</v>
      </c>
      <c r="L668" s="9" t="s">
        <v>145</v>
      </c>
      <c r="M668" s="9" t="s">
        <v>3256</v>
      </c>
      <c r="N668" s="9" t="s">
        <v>3257</v>
      </c>
      <c r="O668" s="6">
        <f t="shared" si="13"/>
        <v>502</v>
      </c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2.75" x14ac:dyDescent="0.2">
      <c r="A669" s="5" t="s">
        <v>2937</v>
      </c>
      <c r="B669" s="5" t="s">
        <v>2937</v>
      </c>
      <c r="C669" s="4">
        <v>87</v>
      </c>
      <c r="D669" s="6" t="e">
        <f t="shared" si="10"/>
        <v>#VALUE!</v>
      </c>
      <c r="E669" s="6" t="s">
        <v>3258</v>
      </c>
      <c r="F669" s="7">
        <v>250</v>
      </c>
      <c r="G669" s="6" t="s">
        <v>28</v>
      </c>
      <c r="H669" s="8" t="s">
        <v>3242</v>
      </c>
      <c r="I669" s="10" t="s">
        <v>432</v>
      </c>
      <c r="J669" s="9" t="s">
        <v>3017</v>
      </c>
      <c r="K669" s="9" t="s">
        <v>3259</v>
      </c>
      <c r="L669" s="9" t="s">
        <v>2099</v>
      </c>
      <c r="M669" s="9" t="s">
        <v>3260</v>
      </c>
      <c r="N669" s="9" t="s">
        <v>3257</v>
      </c>
      <c r="O669" s="6">
        <f t="shared" si="13"/>
        <v>1004</v>
      </c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2.75" x14ac:dyDescent="0.2">
      <c r="A670" s="5" t="s">
        <v>2937</v>
      </c>
      <c r="B670" s="5" t="s">
        <v>2937</v>
      </c>
      <c r="C670" s="4">
        <v>88</v>
      </c>
      <c r="D670" s="6" t="e">
        <f t="shared" si="10"/>
        <v>#VALUE!</v>
      </c>
      <c r="E670" s="6" t="s">
        <v>3261</v>
      </c>
      <c r="F670" s="7">
        <v>251</v>
      </c>
      <c r="G670" s="6" t="s">
        <v>21</v>
      </c>
      <c r="H670" s="11" t="s">
        <v>459</v>
      </c>
      <c r="I670" s="9" t="s">
        <v>3262</v>
      </c>
      <c r="J670" s="9" t="s">
        <v>3263</v>
      </c>
      <c r="K670" s="9" t="s">
        <v>3264</v>
      </c>
      <c r="L670" s="9" t="s">
        <v>3265</v>
      </c>
      <c r="M670" s="9" t="s">
        <v>3266</v>
      </c>
      <c r="N670" s="9" t="s">
        <v>3267</v>
      </c>
      <c r="O670" s="6">
        <f t="shared" si="13"/>
        <v>1260</v>
      </c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2.75" x14ac:dyDescent="0.2">
      <c r="A671" s="5" t="s">
        <v>2937</v>
      </c>
      <c r="B671" s="5" t="s">
        <v>2937</v>
      </c>
      <c r="C671" s="4">
        <v>89</v>
      </c>
      <c r="D671" s="6" t="e">
        <f t="shared" si="10"/>
        <v>#VALUE!</v>
      </c>
      <c r="E671" s="6" t="s">
        <v>3268</v>
      </c>
      <c r="F671" s="7">
        <v>252</v>
      </c>
      <c r="G671" s="6" t="s">
        <v>21</v>
      </c>
      <c r="H671" s="11" t="s">
        <v>3269</v>
      </c>
      <c r="I671" s="9" t="s">
        <v>3270</v>
      </c>
      <c r="J671" s="9" t="s">
        <v>3271</v>
      </c>
      <c r="K671" s="9" t="s">
        <v>3272</v>
      </c>
      <c r="L671" s="9" t="s">
        <v>3273</v>
      </c>
      <c r="M671" s="9" t="s">
        <v>3274</v>
      </c>
      <c r="N671" s="9" t="s">
        <v>3275</v>
      </c>
      <c r="O671" s="6">
        <f t="shared" si="13"/>
        <v>1265</v>
      </c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2.75" x14ac:dyDescent="0.2">
      <c r="A672" s="5" t="s">
        <v>2937</v>
      </c>
      <c r="B672" s="5" t="s">
        <v>2937</v>
      </c>
      <c r="C672" s="4">
        <v>90</v>
      </c>
      <c r="D672" s="6" t="e">
        <f t="shared" si="10"/>
        <v>#VALUE!</v>
      </c>
      <c r="E672" s="6" t="s">
        <v>3276</v>
      </c>
      <c r="F672" s="7">
        <v>252</v>
      </c>
      <c r="G672" s="6" t="s">
        <v>17</v>
      </c>
      <c r="H672" s="8" t="s">
        <v>3017</v>
      </c>
      <c r="I672" s="9" t="s">
        <v>460</v>
      </c>
      <c r="J672" s="10" t="s">
        <v>466</v>
      </c>
      <c r="K672" s="9" t="s">
        <v>3277</v>
      </c>
      <c r="L672" s="9" t="s">
        <v>3278</v>
      </c>
      <c r="M672" s="9" t="s">
        <v>3279</v>
      </c>
      <c r="N672" s="9" t="s">
        <v>3275</v>
      </c>
      <c r="O672" s="6">
        <f t="shared" si="13"/>
        <v>506</v>
      </c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2.75" x14ac:dyDescent="0.2">
      <c r="A673" s="5" t="s">
        <v>2937</v>
      </c>
      <c r="B673" s="5" t="s">
        <v>2937</v>
      </c>
      <c r="C673" s="4">
        <v>91</v>
      </c>
      <c r="D673" s="6" t="e">
        <f t="shared" si="10"/>
        <v>#VALUE!</v>
      </c>
      <c r="E673" s="6" t="s">
        <v>3280</v>
      </c>
      <c r="F673" s="7">
        <v>252</v>
      </c>
      <c r="G673" s="6" t="s">
        <v>21</v>
      </c>
      <c r="H673" s="11" t="s">
        <v>3269</v>
      </c>
      <c r="I673" s="9" t="s">
        <v>3270</v>
      </c>
      <c r="J673" s="9" t="s">
        <v>3271</v>
      </c>
      <c r="K673" s="9" t="s">
        <v>3272</v>
      </c>
      <c r="L673" s="9" t="s">
        <v>3273</v>
      </c>
      <c r="M673" s="9" t="s">
        <v>3274</v>
      </c>
      <c r="N673" s="9" t="s">
        <v>3275</v>
      </c>
      <c r="O673" s="6">
        <f t="shared" si="13"/>
        <v>1265</v>
      </c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2.75" x14ac:dyDescent="0.2">
      <c r="A674" s="5" t="s">
        <v>2937</v>
      </c>
      <c r="B674" s="5" t="s">
        <v>2937</v>
      </c>
      <c r="C674" s="4">
        <v>92</v>
      </c>
      <c r="D674" s="6" t="e">
        <f t="shared" si="10"/>
        <v>#VALUE!</v>
      </c>
      <c r="E674" s="6" t="s">
        <v>3281</v>
      </c>
      <c r="F674" s="7">
        <v>253</v>
      </c>
      <c r="G674" s="6" t="s">
        <v>17</v>
      </c>
      <c r="H674" s="8" t="s">
        <v>3282</v>
      </c>
      <c r="I674" s="9" t="s">
        <v>3283</v>
      </c>
      <c r="J674" s="10" t="s">
        <v>474</v>
      </c>
      <c r="K674" s="9" t="s">
        <v>3284</v>
      </c>
      <c r="L674" s="9" t="s">
        <v>2120</v>
      </c>
      <c r="M674" s="9" t="s">
        <v>3285</v>
      </c>
      <c r="N674" s="9" t="s">
        <v>3286</v>
      </c>
      <c r="O674" s="6">
        <f t="shared" si="13"/>
        <v>508</v>
      </c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2.75" x14ac:dyDescent="0.2">
      <c r="A675" s="5" t="s">
        <v>2937</v>
      </c>
      <c r="B675" s="5" t="s">
        <v>2937</v>
      </c>
      <c r="C675" s="4">
        <v>93</v>
      </c>
      <c r="D675" s="6" t="e">
        <f t="shared" si="10"/>
        <v>#VALUE!</v>
      </c>
      <c r="E675" s="6" t="s">
        <v>296</v>
      </c>
      <c r="F675" s="7">
        <v>254</v>
      </c>
      <c r="G675" s="6" t="s">
        <v>21</v>
      </c>
      <c r="H675" s="11" t="s">
        <v>2750</v>
      </c>
      <c r="I675" s="9" t="s">
        <v>3287</v>
      </c>
      <c r="J675" s="9" t="s">
        <v>3288</v>
      </c>
      <c r="K675" s="9" t="s">
        <v>3289</v>
      </c>
      <c r="L675" s="9" t="s">
        <v>3290</v>
      </c>
      <c r="M675" s="9" t="s">
        <v>3291</v>
      </c>
      <c r="N675" s="9" t="s">
        <v>3292</v>
      </c>
      <c r="O675" s="6">
        <f t="shared" si="13"/>
        <v>1275</v>
      </c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2.75" x14ac:dyDescent="0.2">
      <c r="A676" s="5" t="s">
        <v>2937</v>
      </c>
      <c r="B676" s="5" t="s">
        <v>2937</v>
      </c>
      <c r="C676" s="4">
        <v>94</v>
      </c>
      <c r="D676" s="6" t="e">
        <f t="shared" si="10"/>
        <v>#VALUE!</v>
      </c>
      <c r="E676" s="6" t="s">
        <v>3293</v>
      </c>
      <c r="F676" s="7">
        <v>254</v>
      </c>
      <c r="G676" s="6" t="s">
        <v>21</v>
      </c>
      <c r="H676" s="11" t="s">
        <v>2750</v>
      </c>
      <c r="I676" s="9" t="s">
        <v>3287</v>
      </c>
      <c r="J676" s="9" t="s">
        <v>3288</v>
      </c>
      <c r="K676" s="9" t="s">
        <v>3289</v>
      </c>
      <c r="L676" s="9" t="s">
        <v>3290</v>
      </c>
      <c r="M676" s="9" t="s">
        <v>3291</v>
      </c>
      <c r="N676" s="9" t="s">
        <v>3292</v>
      </c>
      <c r="O676" s="6">
        <f t="shared" si="13"/>
        <v>1275</v>
      </c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2.75" x14ac:dyDescent="0.2">
      <c r="A677" s="5" t="s">
        <v>2937</v>
      </c>
      <c r="B677" s="5" t="s">
        <v>2937</v>
      </c>
      <c r="C677" s="4">
        <v>95</v>
      </c>
      <c r="D677" s="6" t="e">
        <f t="shared" si="10"/>
        <v>#VALUE!</v>
      </c>
      <c r="E677" s="6" t="s">
        <v>3083</v>
      </c>
      <c r="F677" s="7">
        <v>254</v>
      </c>
      <c r="G677" s="6" t="s">
        <v>28</v>
      </c>
      <c r="H677" s="8" t="s">
        <v>78</v>
      </c>
      <c r="I677" s="10" t="s">
        <v>2750</v>
      </c>
      <c r="J677" s="9" t="s">
        <v>460</v>
      </c>
      <c r="K677" s="9" t="s">
        <v>3294</v>
      </c>
      <c r="L677" s="9" t="s">
        <v>3295</v>
      </c>
      <c r="M677" s="9" t="s">
        <v>453</v>
      </c>
      <c r="N677" s="9" t="s">
        <v>3292</v>
      </c>
      <c r="O677" s="6">
        <f t="shared" si="13"/>
        <v>1020</v>
      </c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2.75" x14ac:dyDescent="0.2">
      <c r="A678" s="5" t="s">
        <v>2937</v>
      </c>
      <c r="B678" s="5" t="s">
        <v>2937</v>
      </c>
      <c r="C678" s="4">
        <v>96</v>
      </c>
      <c r="D678" s="6" t="e">
        <f t="shared" si="10"/>
        <v>#VALUE!</v>
      </c>
      <c r="E678" s="6" t="s">
        <v>3296</v>
      </c>
      <c r="F678" s="7">
        <v>255</v>
      </c>
      <c r="G678" s="6" t="s">
        <v>21</v>
      </c>
      <c r="H678" s="11" t="s">
        <v>441</v>
      </c>
      <c r="I678" s="9" t="s">
        <v>442</v>
      </c>
      <c r="J678" s="9" t="s">
        <v>443</v>
      </c>
      <c r="K678" s="9" t="s">
        <v>1944</v>
      </c>
      <c r="L678" s="9" t="s">
        <v>445</v>
      </c>
      <c r="M678" s="9" t="s">
        <v>3297</v>
      </c>
      <c r="N678" s="9" t="s">
        <v>3298</v>
      </c>
      <c r="O678" s="6">
        <f t="shared" si="13"/>
        <v>1280</v>
      </c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2.75" x14ac:dyDescent="0.2">
      <c r="A679" s="5" t="s">
        <v>2937</v>
      </c>
      <c r="B679" s="5" t="s">
        <v>2937</v>
      </c>
      <c r="C679" s="4">
        <v>97</v>
      </c>
      <c r="D679" s="6" t="e">
        <f t="shared" si="10"/>
        <v>#VALUE!</v>
      </c>
      <c r="E679" s="6" t="s">
        <v>3299</v>
      </c>
      <c r="F679" s="7">
        <v>256</v>
      </c>
      <c r="G679" s="6" t="s">
        <v>17</v>
      </c>
      <c r="H679" s="8" t="s">
        <v>460</v>
      </c>
      <c r="I679" s="9" t="s">
        <v>467</v>
      </c>
      <c r="J679" s="10" t="s">
        <v>450</v>
      </c>
      <c r="K679" s="9" t="s">
        <v>3300</v>
      </c>
      <c r="L679" s="9" t="s">
        <v>3301</v>
      </c>
      <c r="M679" s="9" t="s">
        <v>3302</v>
      </c>
      <c r="N679" s="9" t="s">
        <v>3303</v>
      </c>
      <c r="O679" s="6">
        <f t="shared" si="13"/>
        <v>514</v>
      </c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2.75" x14ac:dyDescent="0.2">
      <c r="A680" s="5" t="s">
        <v>2937</v>
      </c>
      <c r="B680" s="5" t="s">
        <v>2937</v>
      </c>
      <c r="C680" s="4">
        <v>98</v>
      </c>
      <c r="D680" s="6" t="e">
        <f t="shared" si="10"/>
        <v>#VALUE!</v>
      </c>
      <c r="E680" s="6" t="s">
        <v>3304</v>
      </c>
      <c r="F680" s="7">
        <v>256</v>
      </c>
      <c r="G680" s="6" t="s">
        <v>28</v>
      </c>
      <c r="H680" s="8" t="s">
        <v>467</v>
      </c>
      <c r="I680" s="10" t="s">
        <v>466</v>
      </c>
      <c r="J680" s="9" t="s">
        <v>78</v>
      </c>
      <c r="K680" s="9" t="s">
        <v>3305</v>
      </c>
      <c r="L680" s="9" t="s">
        <v>3306</v>
      </c>
      <c r="M680" s="9" t="s">
        <v>3307</v>
      </c>
      <c r="N680" s="9" t="s">
        <v>3303</v>
      </c>
      <c r="O680" s="6">
        <f t="shared" si="13"/>
        <v>1028</v>
      </c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2.75" x14ac:dyDescent="0.2">
      <c r="A681" s="5" t="s">
        <v>2937</v>
      </c>
      <c r="B681" s="5" t="s">
        <v>2937</v>
      </c>
      <c r="C681" s="4">
        <v>99</v>
      </c>
      <c r="D681" s="6" t="e">
        <f t="shared" si="10"/>
        <v>#VALUE!</v>
      </c>
      <c r="E681" s="6" t="s">
        <v>120</v>
      </c>
      <c r="F681" s="7">
        <v>256</v>
      </c>
      <c r="G681" s="6" t="s">
        <v>21</v>
      </c>
      <c r="H681" s="11" t="s">
        <v>466</v>
      </c>
      <c r="I681" s="9" t="s">
        <v>2029</v>
      </c>
      <c r="J681" s="9" t="s">
        <v>3308</v>
      </c>
      <c r="K681" s="9" t="s">
        <v>3309</v>
      </c>
      <c r="L681" s="9" t="s">
        <v>3310</v>
      </c>
      <c r="M681" s="9" t="s">
        <v>3311</v>
      </c>
      <c r="N681" s="9" t="s">
        <v>3303</v>
      </c>
      <c r="O681" s="6">
        <f t="shared" si="13"/>
        <v>1285</v>
      </c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2.75" x14ac:dyDescent="0.2">
      <c r="A682" s="5" t="s">
        <v>2937</v>
      </c>
      <c r="B682" s="5" t="s">
        <v>2937</v>
      </c>
      <c r="C682" s="4">
        <v>100</v>
      </c>
      <c r="D682" s="6" t="e">
        <f t="shared" si="10"/>
        <v>#VALUE!</v>
      </c>
      <c r="E682" s="6" t="s">
        <v>3312</v>
      </c>
      <c r="F682" s="7">
        <v>257</v>
      </c>
      <c r="G682" s="6" t="s">
        <v>17</v>
      </c>
      <c r="H682" s="8" t="s">
        <v>3283</v>
      </c>
      <c r="I682" s="9" t="s">
        <v>3046</v>
      </c>
      <c r="J682" s="10" t="s">
        <v>3313</v>
      </c>
      <c r="K682" s="9" t="s">
        <v>3314</v>
      </c>
      <c r="L682" s="9" t="s">
        <v>3315</v>
      </c>
      <c r="M682" s="9" t="s">
        <v>3316</v>
      </c>
      <c r="N682" s="9" t="s">
        <v>3317</v>
      </c>
      <c r="O682" s="6">
        <f t="shared" si="13"/>
        <v>516</v>
      </c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2.75" x14ac:dyDescent="0.2">
      <c r="A683" s="5" t="s">
        <v>2937</v>
      </c>
      <c r="B683" s="5" t="s">
        <v>2937</v>
      </c>
      <c r="C683" s="4">
        <v>101</v>
      </c>
      <c r="D683" s="6" t="e">
        <f t="shared" si="10"/>
        <v>#VALUE!</v>
      </c>
      <c r="E683" s="6" t="s">
        <v>3318</v>
      </c>
      <c r="F683" s="7">
        <v>258</v>
      </c>
      <c r="G683" s="6" t="s">
        <v>28</v>
      </c>
      <c r="H683" s="8" t="s">
        <v>3319</v>
      </c>
      <c r="I683" s="10" t="s">
        <v>3320</v>
      </c>
      <c r="J683" s="9" t="s">
        <v>3321</v>
      </c>
      <c r="K683" s="9" t="s">
        <v>3322</v>
      </c>
      <c r="L683" s="9" t="s">
        <v>3323</v>
      </c>
      <c r="M683" s="9" t="s">
        <v>3324</v>
      </c>
      <c r="N683" s="9" t="s">
        <v>3325</v>
      </c>
      <c r="O683" s="6">
        <f t="shared" si="13"/>
        <v>1036</v>
      </c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2.75" x14ac:dyDescent="0.2">
      <c r="A684" s="5" t="s">
        <v>2937</v>
      </c>
      <c r="B684" s="5" t="s">
        <v>2937</v>
      </c>
      <c r="C684" s="4">
        <v>102</v>
      </c>
      <c r="D684" s="6" t="e">
        <f t="shared" si="10"/>
        <v>#VALUE!</v>
      </c>
      <c r="E684" s="6" t="s">
        <v>3113</v>
      </c>
      <c r="F684" s="7">
        <v>258</v>
      </c>
      <c r="G684" s="6" t="s">
        <v>21</v>
      </c>
      <c r="H684" s="11" t="s">
        <v>3326</v>
      </c>
      <c r="I684" s="9" t="s">
        <v>3327</v>
      </c>
      <c r="J684" s="9" t="s">
        <v>3328</v>
      </c>
      <c r="K684" s="9" t="s">
        <v>3329</v>
      </c>
      <c r="L684" s="9" t="s">
        <v>3330</v>
      </c>
      <c r="M684" s="9" t="s">
        <v>3331</v>
      </c>
      <c r="N684" s="9" t="s">
        <v>3325</v>
      </c>
      <c r="O684" s="6">
        <f t="shared" si="13"/>
        <v>1295</v>
      </c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2.75" x14ac:dyDescent="0.2">
      <c r="A685" s="5" t="s">
        <v>2937</v>
      </c>
      <c r="B685" s="5" t="s">
        <v>2937</v>
      </c>
      <c r="C685" s="4">
        <v>103</v>
      </c>
      <c r="D685" s="6" t="e">
        <f t="shared" si="10"/>
        <v>#VALUE!</v>
      </c>
      <c r="E685" s="6" t="s">
        <v>3332</v>
      </c>
      <c r="F685" s="7">
        <v>258</v>
      </c>
      <c r="G685" s="6" t="s">
        <v>17</v>
      </c>
      <c r="H685" s="8" t="s">
        <v>3333</v>
      </c>
      <c r="I685" s="9" t="s">
        <v>3334</v>
      </c>
      <c r="J685" s="10" t="s">
        <v>3335</v>
      </c>
      <c r="K685" s="9" t="s">
        <v>3336</v>
      </c>
      <c r="L685" s="9" t="s">
        <v>3337</v>
      </c>
      <c r="M685" s="9" t="s">
        <v>3338</v>
      </c>
      <c r="N685" s="9" t="s">
        <v>3325</v>
      </c>
      <c r="O685" s="6">
        <f t="shared" si="13"/>
        <v>518</v>
      </c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2.75" x14ac:dyDescent="0.2">
      <c r="A686" s="5" t="s">
        <v>2937</v>
      </c>
      <c r="B686" s="5" t="s">
        <v>2937</v>
      </c>
      <c r="C686" s="4">
        <v>104</v>
      </c>
      <c r="D686" s="6" t="e">
        <f t="shared" si="10"/>
        <v>#VALUE!</v>
      </c>
      <c r="E686" s="6" t="s">
        <v>3339</v>
      </c>
      <c r="F686" s="7">
        <v>259</v>
      </c>
      <c r="G686" s="6" t="s">
        <v>17</v>
      </c>
      <c r="H686" s="8" t="s">
        <v>1664</v>
      </c>
      <c r="I686" s="9" t="s">
        <v>3340</v>
      </c>
      <c r="J686" s="10" t="s">
        <v>3341</v>
      </c>
      <c r="K686" s="9" t="s">
        <v>3342</v>
      </c>
      <c r="L686" s="9" t="s">
        <v>3343</v>
      </c>
      <c r="M686" s="9" t="s">
        <v>3344</v>
      </c>
      <c r="N686" s="9" t="s">
        <v>3345</v>
      </c>
      <c r="O686" s="6">
        <f t="shared" si="13"/>
        <v>520</v>
      </c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2.75" x14ac:dyDescent="0.2">
      <c r="A687" s="5" t="s">
        <v>2937</v>
      </c>
      <c r="B687" s="5" t="s">
        <v>2937</v>
      </c>
      <c r="C687" s="4">
        <v>105</v>
      </c>
      <c r="D687" s="6" t="e">
        <f t="shared" si="10"/>
        <v>#VALUE!</v>
      </c>
      <c r="E687" s="6" t="s">
        <v>3346</v>
      </c>
      <c r="F687" s="7">
        <v>260</v>
      </c>
      <c r="G687" s="6" t="s">
        <v>28</v>
      </c>
      <c r="H687" s="8" t="s">
        <v>3347</v>
      </c>
      <c r="I687" s="10" t="s">
        <v>3348</v>
      </c>
      <c r="J687" s="9" t="s">
        <v>1590</v>
      </c>
      <c r="K687" s="9" t="s">
        <v>3349</v>
      </c>
      <c r="L687" s="9" t="s">
        <v>3350</v>
      </c>
      <c r="M687" s="9" t="s">
        <v>3351</v>
      </c>
      <c r="N687" s="9" t="s">
        <v>3352</v>
      </c>
      <c r="O687" s="6">
        <f t="shared" si="13"/>
        <v>1044</v>
      </c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2.75" x14ac:dyDescent="0.2">
      <c r="A688" s="5" t="s">
        <v>2937</v>
      </c>
      <c r="B688" s="5" t="s">
        <v>2937</v>
      </c>
      <c r="C688" s="4">
        <v>106</v>
      </c>
      <c r="D688" s="6" t="e">
        <f t="shared" si="10"/>
        <v>#VALUE!</v>
      </c>
      <c r="E688" s="6" t="s">
        <v>3353</v>
      </c>
      <c r="F688" s="7">
        <v>260</v>
      </c>
      <c r="G688" s="6" t="s">
        <v>17</v>
      </c>
      <c r="H688" s="8" t="s">
        <v>471</v>
      </c>
      <c r="I688" s="9" t="s">
        <v>3354</v>
      </c>
      <c r="J688" s="10" t="s">
        <v>3355</v>
      </c>
      <c r="K688" s="9" t="s">
        <v>3356</v>
      </c>
      <c r="L688" s="9" t="s">
        <v>2142</v>
      </c>
      <c r="M688" s="9" t="s">
        <v>3357</v>
      </c>
      <c r="N688" s="9" t="s">
        <v>3352</v>
      </c>
      <c r="O688" s="6">
        <f t="shared" si="13"/>
        <v>522</v>
      </c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2.75" x14ac:dyDescent="0.2">
      <c r="A689" s="5" t="s">
        <v>2937</v>
      </c>
      <c r="B689" s="5" t="s">
        <v>2937</v>
      </c>
      <c r="C689" s="4">
        <v>107</v>
      </c>
      <c r="D689" s="6" t="e">
        <f t="shared" si="10"/>
        <v>#VALUE!</v>
      </c>
      <c r="E689" s="6" t="s">
        <v>752</v>
      </c>
      <c r="F689" s="7">
        <v>260</v>
      </c>
      <c r="G689" s="6" t="s">
        <v>17</v>
      </c>
      <c r="H689" s="8" t="s">
        <v>1636</v>
      </c>
      <c r="I689" s="9" t="s">
        <v>3358</v>
      </c>
      <c r="J689" s="10" t="s">
        <v>3359</v>
      </c>
      <c r="K689" s="9" t="s">
        <v>3360</v>
      </c>
      <c r="L689" s="9" t="s">
        <v>1850</v>
      </c>
      <c r="M689" s="9" t="s">
        <v>3361</v>
      </c>
      <c r="N689" s="9" t="s">
        <v>3352</v>
      </c>
      <c r="O689" s="6">
        <f t="shared" si="13"/>
        <v>522</v>
      </c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2.75" x14ac:dyDescent="0.2">
      <c r="A690" s="5" t="s">
        <v>2937</v>
      </c>
      <c r="B690" s="5" t="s">
        <v>2937</v>
      </c>
      <c r="C690" s="4">
        <v>108</v>
      </c>
      <c r="D690" s="6" t="e">
        <f t="shared" si="10"/>
        <v>#VALUE!</v>
      </c>
      <c r="E690" s="6" t="s">
        <v>3362</v>
      </c>
      <c r="F690" s="7">
        <v>261</v>
      </c>
      <c r="G690" s="6" t="s">
        <v>17</v>
      </c>
      <c r="H690" s="8" t="s">
        <v>1821</v>
      </c>
      <c r="I690" s="9" t="s">
        <v>3363</v>
      </c>
      <c r="J690" s="10" t="s">
        <v>1804</v>
      </c>
      <c r="K690" s="9" t="s">
        <v>3364</v>
      </c>
      <c r="L690" s="9" t="s">
        <v>3365</v>
      </c>
      <c r="M690" s="9" t="s">
        <v>3366</v>
      </c>
      <c r="N690" s="9" t="s">
        <v>3367</v>
      </c>
      <c r="O690" s="6">
        <f t="shared" si="13"/>
        <v>524</v>
      </c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2.75" x14ac:dyDescent="0.2">
      <c r="A691" s="5" t="s">
        <v>2937</v>
      </c>
      <c r="B691" s="5" t="s">
        <v>2937</v>
      </c>
      <c r="C691" s="4">
        <v>109</v>
      </c>
      <c r="D691" s="6" t="e">
        <f t="shared" si="10"/>
        <v>#VALUE!</v>
      </c>
      <c r="E691" s="6" t="s">
        <v>334</v>
      </c>
      <c r="F691" s="7">
        <v>262</v>
      </c>
      <c r="G691" s="6" t="s">
        <v>21</v>
      </c>
      <c r="H691" s="11" t="s">
        <v>3368</v>
      </c>
      <c r="I691" s="9" t="s">
        <v>487</v>
      </c>
      <c r="J691" s="9" t="s">
        <v>3369</v>
      </c>
      <c r="K691" s="9" t="s">
        <v>3370</v>
      </c>
      <c r="L691" s="9" t="s">
        <v>1784</v>
      </c>
      <c r="M691" s="9" t="s">
        <v>3371</v>
      </c>
      <c r="N691" s="9" t="s">
        <v>3372</v>
      </c>
      <c r="O691" s="6">
        <f t="shared" si="13"/>
        <v>1315</v>
      </c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2.75" x14ac:dyDescent="0.2">
      <c r="A692" s="5" t="s">
        <v>2937</v>
      </c>
      <c r="B692" s="5" t="s">
        <v>2937</v>
      </c>
      <c r="C692" s="4">
        <v>110</v>
      </c>
      <c r="D692" s="6" t="e">
        <f t="shared" si="10"/>
        <v>#VALUE!</v>
      </c>
      <c r="E692" s="6" t="s">
        <v>3373</v>
      </c>
      <c r="F692" s="7">
        <v>262</v>
      </c>
      <c r="G692" s="6" t="s">
        <v>17</v>
      </c>
      <c r="H692" s="8" t="s">
        <v>3374</v>
      </c>
      <c r="I692" s="9" t="s">
        <v>3375</v>
      </c>
      <c r="J692" s="10" t="s">
        <v>3376</v>
      </c>
      <c r="K692" s="9" t="s">
        <v>3377</v>
      </c>
      <c r="L692" s="9" t="s">
        <v>3378</v>
      </c>
      <c r="M692" s="9" t="s">
        <v>3379</v>
      </c>
      <c r="N692" s="9" t="s">
        <v>3372</v>
      </c>
      <c r="O692" s="6">
        <f t="shared" si="13"/>
        <v>526</v>
      </c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2.75" x14ac:dyDescent="0.2">
      <c r="A693" s="5" t="s">
        <v>2937</v>
      </c>
      <c r="B693" s="5" t="s">
        <v>2937</v>
      </c>
      <c r="C693" s="4">
        <v>111</v>
      </c>
      <c r="D693" s="6" t="e">
        <f t="shared" si="10"/>
        <v>#VALUE!</v>
      </c>
      <c r="E693" s="6" t="s">
        <v>3205</v>
      </c>
      <c r="F693" s="7">
        <v>262</v>
      </c>
      <c r="G693" s="6" t="s">
        <v>28</v>
      </c>
      <c r="H693" s="8" t="s">
        <v>3380</v>
      </c>
      <c r="I693" s="10" t="s">
        <v>3381</v>
      </c>
      <c r="J693" s="9" t="s">
        <v>326</v>
      </c>
      <c r="K693" s="9" t="s">
        <v>3382</v>
      </c>
      <c r="L693" s="9" t="s">
        <v>3383</v>
      </c>
      <c r="M693" s="9" t="s">
        <v>3384</v>
      </c>
      <c r="N693" s="9" t="s">
        <v>3372</v>
      </c>
      <c r="O693" s="6">
        <f t="shared" si="13"/>
        <v>1052</v>
      </c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2.75" x14ac:dyDescent="0.2">
      <c r="A694" s="5" t="s">
        <v>2937</v>
      </c>
      <c r="B694" s="5" t="s">
        <v>2937</v>
      </c>
      <c r="C694" s="4">
        <v>112</v>
      </c>
      <c r="D694" s="6" t="e">
        <f t="shared" si="10"/>
        <v>#VALUE!</v>
      </c>
      <c r="E694" s="6" t="s">
        <v>3385</v>
      </c>
      <c r="F694" s="7">
        <v>263</v>
      </c>
      <c r="G694" s="6" t="s">
        <v>28</v>
      </c>
      <c r="H694" s="8" t="s">
        <v>3386</v>
      </c>
      <c r="I694" s="10" t="s">
        <v>3387</v>
      </c>
      <c r="J694" s="9" t="s">
        <v>3388</v>
      </c>
      <c r="K694" s="9" t="s">
        <v>3389</v>
      </c>
      <c r="L694" s="9" t="s">
        <v>3390</v>
      </c>
      <c r="M694" s="9" t="s">
        <v>3391</v>
      </c>
      <c r="N694" s="9" t="s">
        <v>3392</v>
      </c>
      <c r="O694" s="6">
        <f t="shared" si="13"/>
        <v>1056</v>
      </c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2.75" x14ac:dyDescent="0.2">
      <c r="A695" s="5" t="s">
        <v>2937</v>
      </c>
      <c r="B695" s="5" t="s">
        <v>2937</v>
      </c>
      <c r="C695" s="4">
        <v>113</v>
      </c>
      <c r="D695" s="6" t="e">
        <f t="shared" si="10"/>
        <v>#VALUE!</v>
      </c>
      <c r="E695" s="6" t="s">
        <v>3393</v>
      </c>
      <c r="F695" s="7">
        <v>264</v>
      </c>
      <c r="G695" s="6" t="s">
        <v>28</v>
      </c>
      <c r="H695" s="8" t="s">
        <v>3394</v>
      </c>
      <c r="I695" s="10" t="s">
        <v>3395</v>
      </c>
      <c r="J695" s="9" t="s">
        <v>3396</v>
      </c>
      <c r="K695" s="9" t="s">
        <v>3397</v>
      </c>
      <c r="L695" s="9" t="s">
        <v>3398</v>
      </c>
      <c r="M695" s="9" t="s">
        <v>3399</v>
      </c>
      <c r="N695" s="9" t="s">
        <v>3400</v>
      </c>
      <c r="O695" s="6">
        <f t="shared" si="13"/>
        <v>1060</v>
      </c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2.75" x14ac:dyDescent="0.2">
      <c r="A696" s="5" t="s">
        <v>2937</v>
      </c>
      <c r="B696" s="5" t="s">
        <v>2937</v>
      </c>
      <c r="C696" s="4">
        <v>114</v>
      </c>
      <c r="D696" s="6" t="e">
        <f t="shared" si="10"/>
        <v>#VALUE!</v>
      </c>
      <c r="E696" s="6" t="s">
        <v>3227</v>
      </c>
      <c r="F696" s="7">
        <v>264</v>
      </c>
      <c r="G696" s="6" t="s">
        <v>21</v>
      </c>
      <c r="H696" s="11" t="s">
        <v>3401</v>
      </c>
      <c r="I696" s="9" t="s">
        <v>508</v>
      </c>
      <c r="J696" s="9" t="s">
        <v>3402</v>
      </c>
      <c r="K696" s="9" t="s">
        <v>3403</v>
      </c>
      <c r="L696" s="9" t="s">
        <v>3404</v>
      </c>
      <c r="M696" s="9" t="s">
        <v>3405</v>
      </c>
      <c r="N696" s="9" t="s">
        <v>3400</v>
      </c>
      <c r="O696" s="6">
        <f t="shared" si="13"/>
        <v>1325</v>
      </c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2.75" x14ac:dyDescent="0.2">
      <c r="A697" s="5" t="s">
        <v>2937</v>
      </c>
      <c r="B697" s="5" t="s">
        <v>2937</v>
      </c>
      <c r="C697" s="4">
        <v>115</v>
      </c>
      <c r="D697" s="6" t="e">
        <f t="shared" si="10"/>
        <v>#VALUE!</v>
      </c>
      <c r="E697" s="6" t="s">
        <v>3406</v>
      </c>
      <c r="F697" s="7">
        <v>264</v>
      </c>
      <c r="G697" s="6" t="s">
        <v>21</v>
      </c>
      <c r="H697" s="11" t="s">
        <v>3407</v>
      </c>
      <c r="I697" s="9" t="s">
        <v>3408</v>
      </c>
      <c r="J697" s="9" t="s">
        <v>3409</v>
      </c>
      <c r="K697" s="9" t="s">
        <v>1222</v>
      </c>
      <c r="L697" s="9" t="s">
        <v>326</v>
      </c>
      <c r="M697" s="9" t="s">
        <v>3410</v>
      </c>
      <c r="N697" s="9" t="s">
        <v>3400</v>
      </c>
      <c r="O697" s="6">
        <f t="shared" si="13"/>
        <v>1325</v>
      </c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2.75" x14ac:dyDescent="0.2">
      <c r="A698" s="5" t="s">
        <v>2937</v>
      </c>
      <c r="B698" s="5" t="s">
        <v>2937</v>
      </c>
      <c r="C698" s="4">
        <v>116</v>
      </c>
      <c r="D698" s="6" t="e">
        <f t="shared" si="10"/>
        <v>#VALUE!</v>
      </c>
      <c r="E698" s="6" t="s">
        <v>40</v>
      </c>
      <c r="F698" s="7">
        <v>265</v>
      </c>
      <c r="G698" s="6" t="s">
        <v>21</v>
      </c>
      <c r="H698" s="11" t="s">
        <v>3411</v>
      </c>
      <c r="I698" s="9" t="s">
        <v>3412</v>
      </c>
      <c r="J698" s="9" t="s">
        <v>3413</v>
      </c>
      <c r="K698" s="9" t="s">
        <v>3414</v>
      </c>
      <c r="L698" s="9" t="s">
        <v>3415</v>
      </c>
      <c r="M698" s="9" t="s">
        <v>3416</v>
      </c>
      <c r="N698" s="9" t="s">
        <v>3417</v>
      </c>
      <c r="O698" s="6">
        <f t="shared" si="13"/>
        <v>1330</v>
      </c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2.75" x14ac:dyDescent="0.2">
      <c r="A699" s="5" t="s">
        <v>2937</v>
      </c>
      <c r="B699" s="5" t="s">
        <v>2937</v>
      </c>
      <c r="C699" s="4">
        <v>117</v>
      </c>
      <c r="D699" s="6" t="e">
        <f t="shared" si="10"/>
        <v>#VALUE!</v>
      </c>
      <c r="E699" s="6" t="s">
        <v>3418</v>
      </c>
      <c r="F699" s="7">
        <v>266</v>
      </c>
      <c r="G699" s="6" t="s">
        <v>17</v>
      </c>
      <c r="H699" s="8" t="s">
        <v>3419</v>
      </c>
      <c r="I699" s="9" t="s">
        <v>1905</v>
      </c>
      <c r="J699" s="10" t="s">
        <v>3420</v>
      </c>
      <c r="K699" s="9" t="s">
        <v>3421</v>
      </c>
      <c r="L699" s="9" t="s">
        <v>970</v>
      </c>
      <c r="M699" s="9" t="s">
        <v>3422</v>
      </c>
      <c r="N699" s="9" t="s">
        <v>3423</v>
      </c>
      <c r="O699" s="6">
        <f t="shared" si="13"/>
        <v>534</v>
      </c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2.75" x14ac:dyDescent="0.2">
      <c r="A700" s="5" t="s">
        <v>2937</v>
      </c>
      <c r="B700" s="5" t="s">
        <v>2937</v>
      </c>
      <c r="C700" s="4">
        <v>118</v>
      </c>
      <c r="D700" s="6" t="e">
        <f t="shared" si="10"/>
        <v>#VALUE!</v>
      </c>
      <c r="E700" s="6" t="s">
        <v>3424</v>
      </c>
      <c r="F700" s="7">
        <v>266</v>
      </c>
      <c r="G700" s="6" t="s">
        <v>21</v>
      </c>
      <c r="H700" s="11" t="s">
        <v>3206</v>
      </c>
      <c r="I700" s="9" t="s">
        <v>3425</v>
      </c>
      <c r="J700" s="9" t="s">
        <v>3426</v>
      </c>
      <c r="K700" s="9" t="s">
        <v>3427</v>
      </c>
      <c r="L700" s="9" t="s">
        <v>3428</v>
      </c>
      <c r="M700" s="9" t="s">
        <v>3429</v>
      </c>
      <c r="N700" s="9" t="s">
        <v>3423</v>
      </c>
      <c r="O700" s="6">
        <f t="shared" si="13"/>
        <v>1335</v>
      </c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2.75" x14ac:dyDescent="0.2">
      <c r="A701" s="5" t="s">
        <v>2937</v>
      </c>
      <c r="B701" s="5" t="s">
        <v>2937</v>
      </c>
      <c r="C701" s="4">
        <v>119</v>
      </c>
      <c r="D701" s="6" t="e">
        <f t="shared" si="10"/>
        <v>#VALUE!</v>
      </c>
      <c r="E701" s="6" t="s">
        <v>3430</v>
      </c>
      <c r="F701" s="7">
        <v>266</v>
      </c>
      <c r="G701" s="6" t="s">
        <v>17</v>
      </c>
      <c r="H701" s="8" t="s">
        <v>3431</v>
      </c>
      <c r="I701" s="9" t="s">
        <v>3432</v>
      </c>
      <c r="J701" s="10" t="s">
        <v>3433</v>
      </c>
      <c r="K701" s="9" t="s">
        <v>3434</v>
      </c>
      <c r="L701" s="9" t="s">
        <v>3435</v>
      </c>
      <c r="M701" s="9" t="s">
        <v>3436</v>
      </c>
      <c r="N701" s="9" t="s">
        <v>3423</v>
      </c>
      <c r="O701" s="6">
        <f t="shared" si="13"/>
        <v>534</v>
      </c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2.75" x14ac:dyDescent="0.2">
      <c r="A702" s="5" t="s">
        <v>2937</v>
      </c>
      <c r="B702" s="5" t="s">
        <v>2937</v>
      </c>
      <c r="C702" s="4">
        <v>120</v>
      </c>
      <c r="D702" s="6" t="e">
        <f t="shared" si="10"/>
        <v>#VALUE!</v>
      </c>
      <c r="E702" s="6" t="s">
        <v>3437</v>
      </c>
      <c r="F702" s="7">
        <v>267</v>
      </c>
      <c r="G702" s="6" t="s">
        <v>28</v>
      </c>
      <c r="H702" s="8" t="s">
        <v>3438</v>
      </c>
      <c r="I702" s="10" t="s">
        <v>3439</v>
      </c>
      <c r="J702" s="9" t="s">
        <v>3440</v>
      </c>
      <c r="K702" s="9" t="s">
        <v>3441</v>
      </c>
      <c r="L702" s="9" t="s">
        <v>1912</v>
      </c>
      <c r="M702" s="9" t="s">
        <v>3442</v>
      </c>
      <c r="N702" s="9" t="s">
        <v>3443</v>
      </c>
      <c r="O702" s="6">
        <f t="shared" si="13"/>
        <v>1072</v>
      </c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2.75" x14ac:dyDescent="0.2">
      <c r="A703" s="5" t="s">
        <v>2937</v>
      </c>
      <c r="B703" s="5" t="s">
        <v>2937</v>
      </c>
      <c r="C703" s="4">
        <v>121</v>
      </c>
      <c r="D703" s="6" t="e">
        <f t="shared" si="10"/>
        <v>#VALUE!</v>
      </c>
      <c r="E703" s="6" t="s">
        <v>82</v>
      </c>
      <c r="F703" s="7">
        <v>268</v>
      </c>
      <c r="G703" s="6" t="s">
        <v>21</v>
      </c>
      <c r="H703" s="11" t="s">
        <v>3444</v>
      </c>
      <c r="I703" s="9" t="s">
        <v>3445</v>
      </c>
      <c r="J703" s="9" t="s">
        <v>3446</v>
      </c>
      <c r="K703" s="9" t="s">
        <v>3447</v>
      </c>
      <c r="L703" s="9" t="s">
        <v>3448</v>
      </c>
      <c r="M703" s="9" t="s">
        <v>3449</v>
      </c>
      <c r="N703" s="9" t="s">
        <v>3450</v>
      </c>
      <c r="O703" s="6">
        <f t="shared" si="13"/>
        <v>1345</v>
      </c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2.75" x14ac:dyDescent="0.2">
      <c r="A704" s="5" t="s">
        <v>2937</v>
      </c>
      <c r="B704" s="5" t="s">
        <v>2937</v>
      </c>
      <c r="C704" s="4">
        <v>122</v>
      </c>
      <c r="D704" s="6" t="e">
        <f t="shared" si="10"/>
        <v>#VALUE!</v>
      </c>
      <c r="E704" s="6" t="s">
        <v>3451</v>
      </c>
      <c r="F704" s="7">
        <v>268</v>
      </c>
      <c r="G704" s="6" t="s">
        <v>28</v>
      </c>
      <c r="H704" s="8" t="s">
        <v>3452</v>
      </c>
      <c r="I704" s="10" t="s">
        <v>3453</v>
      </c>
      <c r="J704" s="9" t="s">
        <v>1928</v>
      </c>
      <c r="K704" s="9" t="s">
        <v>3454</v>
      </c>
      <c r="L704" s="9" t="s">
        <v>3455</v>
      </c>
      <c r="M704" s="9" t="s">
        <v>3456</v>
      </c>
      <c r="N704" s="9" t="s">
        <v>3450</v>
      </c>
      <c r="O704" s="6">
        <f t="shared" si="13"/>
        <v>1076</v>
      </c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2.75" x14ac:dyDescent="0.2">
      <c r="A705" s="5" t="s">
        <v>2937</v>
      </c>
      <c r="B705" s="5" t="s">
        <v>2937</v>
      </c>
      <c r="C705" s="4">
        <v>123</v>
      </c>
      <c r="D705" s="6" t="e">
        <f t="shared" si="10"/>
        <v>#VALUE!</v>
      </c>
      <c r="E705" s="6" t="s">
        <v>3457</v>
      </c>
      <c r="F705" s="7">
        <v>268</v>
      </c>
      <c r="G705" s="6" t="s">
        <v>28</v>
      </c>
      <c r="H705" s="8" t="s">
        <v>3458</v>
      </c>
      <c r="I705" s="10" t="s">
        <v>3264</v>
      </c>
      <c r="J705" s="9" t="s">
        <v>3459</v>
      </c>
      <c r="K705" s="9" t="s">
        <v>3460</v>
      </c>
      <c r="L705" s="9" t="s">
        <v>1936</v>
      </c>
      <c r="M705" s="9" t="s">
        <v>3461</v>
      </c>
      <c r="N705" s="9" t="s">
        <v>3450</v>
      </c>
      <c r="O705" s="6">
        <f t="shared" si="13"/>
        <v>1076</v>
      </c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2.75" x14ac:dyDescent="0.2">
      <c r="A706" s="5" t="s">
        <v>2937</v>
      </c>
      <c r="B706" s="5" t="s">
        <v>2937</v>
      </c>
      <c r="C706" s="4">
        <v>124</v>
      </c>
      <c r="D706" s="6" t="e">
        <f t="shared" si="10"/>
        <v>#VALUE!</v>
      </c>
      <c r="E706" s="6" t="s">
        <v>3462</v>
      </c>
      <c r="F706" s="7">
        <v>269</v>
      </c>
      <c r="G706" s="6" t="s">
        <v>17</v>
      </c>
      <c r="H706" s="8" t="s">
        <v>3463</v>
      </c>
      <c r="I706" s="9" t="s">
        <v>3464</v>
      </c>
      <c r="J706" s="10" t="s">
        <v>3465</v>
      </c>
      <c r="K706" s="9" t="s">
        <v>3466</v>
      </c>
      <c r="L706" s="9" t="s">
        <v>3467</v>
      </c>
      <c r="M706" s="9" t="s">
        <v>3468</v>
      </c>
      <c r="N706" s="9" t="s">
        <v>3469</v>
      </c>
      <c r="O706" s="6">
        <f t="shared" si="13"/>
        <v>540</v>
      </c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2.75" x14ac:dyDescent="0.2">
      <c r="A707" s="5" t="s">
        <v>2937</v>
      </c>
      <c r="B707" s="5" t="s">
        <v>2937</v>
      </c>
      <c r="C707" s="4">
        <v>125</v>
      </c>
      <c r="D707" s="6" t="e">
        <f t="shared" si="10"/>
        <v>#VALUE!</v>
      </c>
      <c r="E707" s="6" t="s">
        <v>3470</v>
      </c>
      <c r="F707" s="7">
        <v>270</v>
      </c>
      <c r="G707" s="6" t="s">
        <v>21</v>
      </c>
      <c r="H707" s="11" t="s">
        <v>3471</v>
      </c>
      <c r="I707" s="9" t="s">
        <v>3472</v>
      </c>
      <c r="J707" s="9" t="s">
        <v>3473</v>
      </c>
      <c r="K707" s="9" t="s">
        <v>3474</v>
      </c>
      <c r="L707" s="9" t="s">
        <v>1724</v>
      </c>
      <c r="M707" s="9" t="s">
        <v>3475</v>
      </c>
      <c r="N707" s="9" t="s">
        <v>3476</v>
      </c>
      <c r="O707" s="6">
        <f t="shared" ref="O707:O770" si="14">M707/K707</f>
        <v>1355</v>
      </c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2.75" x14ac:dyDescent="0.2">
      <c r="A708" s="5" t="s">
        <v>2937</v>
      </c>
      <c r="B708" s="5" t="s">
        <v>2937</v>
      </c>
      <c r="C708" s="4">
        <v>126</v>
      </c>
      <c r="D708" s="6" t="e">
        <f t="shared" si="10"/>
        <v>#VALUE!</v>
      </c>
      <c r="E708" s="6" t="s">
        <v>3477</v>
      </c>
      <c r="F708" s="7">
        <v>270</v>
      </c>
      <c r="G708" s="6" t="s">
        <v>28</v>
      </c>
      <c r="H708" s="8" t="s">
        <v>3478</v>
      </c>
      <c r="I708" s="10" t="s">
        <v>1300</v>
      </c>
      <c r="J708" s="9" t="s">
        <v>3479</v>
      </c>
      <c r="K708" s="9" t="s">
        <v>3480</v>
      </c>
      <c r="L708" s="9" t="s">
        <v>221</v>
      </c>
      <c r="M708" s="9" t="s">
        <v>3481</v>
      </c>
      <c r="N708" s="9" t="s">
        <v>3476</v>
      </c>
      <c r="O708" s="6">
        <f t="shared" si="14"/>
        <v>1084</v>
      </c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2.75" x14ac:dyDescent="0.2">
      <c r="A709" s="5" t="s">
        <v>2937</v>
      </c>
      <c r="B709" s="5" t="s">
        <v>2937</v>
      </c>
      <c r="C709" s="4">
        <v>127</v>
      </c>
      <c r="D709" s="6" t="e">
        <f t="shared" si="10"/>
        <v>#VALUE!</v>
      </c>
      <c r="E709" s="6" t="s">
        <v>3482</v>
      </c>
      <c r="F709" s="7">
        <v>270</v>
      </c>
      <c r="G709" s="6" t="s">
        <v>21</v>
      </c>
      <c r="H709" s="11" t="s">
        <v>3483</v>
      </c>
      <c r="I709" s="9" t="s">
        <v>3484</v>
      </c>
      <c r="J709" s="9" t="s">
        <v>567</v>
      </c>
      <c r="K709" s="9" t="s">
        <v>3485</v>
      </c>
      <c r="L709" s="9" t="s">
        <v>3486</v>
      </c>
      <c r="M709" s="9" t="s">
        <v>3487</v>
      </c>
      <c r="N709" s="9" t="s">
        <v>3476</v>
      </c>
      <c r="O709" s="6">
        <f t="shared" si="14"/>
        <v>1355</v>
      </c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2.75" x14ac:dyDescent="0.2">
      <c r="A710" s="5" t="s">
        <v>2937</v>
      </c>
      <c r="B710" s="5" t="s">
        <v>2937</v>
      </c>
      <c r="C710" s="4">
        <v>128</v>
      </c>
      <c r="D710" s="6" t="e">
        <f t="shared" si="10"/>
        <v>#VALUE!</v>
      </c>
      <c r="E710" s="6" t="s">
        <v>3488</v>
      </c>
      <c r="F710" s="7">
        <v>271</v>
      </c>
      <c r="G710" s="6" t="s">
        <v>17</v>
      </c>
      <c r="H710" s="8" t="s">
        <v>3489</v>
      </c>
      <c r="I710" s="9" t="s">
        <v>3490</v>
      </c>
      <c r="J710" s="10" t="s">
        <v>3491</v>
      </c>
      <c r="K710" s="9" t="s">
        <v>2956</v>
      </c>
      <c r="L710" s="9" t="s">
        <v>3492</v>
      </c>
      <c r="M710" s="9" t="s">
        <v>3493</v>
      </c>
      <c r="N710" s="9" t="s">
        <v>3494</v>
      </c>
      <c r="O710" s="6">
        <f t="shared" si="14"/>
        <v>544</v>
      </c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2.75" x14ac:dyDescent="0.2">
      <c r="A711" s="5" t="s">
        <v>2937</v>
      </c>
      <c r="B711" s="5" t="s">
        <v>2937</v>
      </c>
      <c r="C711" s="4">
        <v>129</v>
      </c>
      <c r="D711" s="6" t="e">
        <f t="shared" si="10"/>
        <v>#VALUE!</v>
      </c>
      <c r="E711" s="6" t="s">
        <v>3495</v>
      </c>
      <c r="F711" s="7">
        <v>272</v>
      </c>
      <c r="G711" s="6" t="s">
        <v>17</v>
      </c>
      <c r="H711" s="8" t="s">
        <v>1969</v>
      </c>
      <c r="I711" s="9" t="s">
        <v>696</v>
      </c>
      <c r="J711" s="10" t="s">
        <v>3496</v>
      </c>
      <c r="K711" s="9" t="s">
        <v>3497</v>
      </c>
      <c r="L711" s="9" t="s">
        <v>3498</v>
      </c>
      <c r="M711" s="9" t="s">
        <v>3499</v>
      </c>
      <c r="N711" s="9" t="s">
        <v>3500</v>
      </c>
      <c r="O711" s="6">
        <f t="shared" si="14"/>
        <v>546</v>
      </c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2.75" x14ac:dyDescent="0.2">
      <c r="A712" s="5" t="s">
        <v>2937</v>
      </c>
      <c r="B712" s="5" t="s">
        <v>2937</v>
      </c>
      <c r="C712" s="4">
        <v>130</v>
      </c>
      <c r="D712" s="6" t="e">
        <f t="shared" si="10"/>
        <v>#VALUE!</v>
      </c>
      <c r="E712" s="6" t="s">
        <v>3501</v>
      </c>
      <c r="F712" s="7">
        <v>272</v>
      </c>
      <c r="G712" s="6" t="s">
        <v>21</v>
      </c>
      <c r="H712" s="11" t="s">
        <v>3502</v>
      </c>
      <c r="I712" s="9" t="s">
        <v>3503</v>
      </c>
      <c r="J712" s="9" t="s">
        <v>3504</v>
      </c>
      <c r="K712" s="9" t="s">
        <v>1216</v>
      </c>
      <c r="L712" s="9" t="s">
        <v>560</v>
      </c>
      <c r="M712" s="9" t="s">
        <v>3505</v>
      </c>
      <c r="N712" s="9" t="s">
        <v>3500</v>
      </c>
      <c r="O712" s="6">
        <f t="shared" si="14"/>
        <v>1365</v>
      </c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2.75" x14ac:dyDescent="0.2">
      <c r="A713" s="5" t="s">
        <v>2937</v>
      </c>
      <c r="B713" s="5" t="s">
        <v>2937</v>
      </c>
      <c r="C713" s="4">
        <v>131</v>
      </c>
      <c r="D713" s="6" t="e">
        <f t="shared" si="10"/>
        <v>#VALUE!</v>
      </c>
      <c r="E713" s="6" t="s">
        <v>172</v>
      </c>
      <c r="F713" s="7">
        <v>272</v>
      </c>
      <c r="G713" s="6" t="s">
        <v>17</v>
      </c>
      <c r="H713" s="8" t="s">
        <v>696</v>
      </c>
      <c r="I713" s="9" t="s">
        <v>2029</v>
      </c>
      <c r="J713" s="10" t="s">
        <v>3506</v>
      </c>
      <c r="K713" s="9" t="s">
        <v>3507</v>
      </c>
      <c r="L713" s="9" t="s">
        <v>3508</v>
      </c>
      <c r="M713" s="9" t="s">
        <v>3509</v>
      </c>
      <c r="N713" s="9" t="s">
        <v>3500</v>
      </c>
      <c r="O713" s="6">
        <f t="shared" si="14"/>
        <v>546</v>
      </c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2.75" x14ac:dyDescent="0.2">
      <c r="A714" s="5" t="s">
        <v>2937</v>
      </c>
      <c r="B714" s="5" t="s">
        <v>2937</v>
      </c>
      <c r="C714" s="4">
        <v>132</v>
      </c>
      <c r="D714" s="6" t="e">
        <f t="shared" si="10"/>
        <v>#VALUE!</v>
      </c>
      <c r="E714" s="6" t="s">
        <v>3510</v>
      </c>
      <c r="F714" s="7">
        <v>273</v>
      </c>
      <c r="G714" s="6" t="s">
        <v>21</v>
      </c>
      <c r="H714" s="11" t="s">
        <v>3511</v>
      </c>
      <c r="I714" s="9" t="s">
        <v>3512</v>
      </c>
      <c r="J714" s="9" t="s">
        <v>2013</v>
      </c>
      <c r="K714" s="9" t="s">
        <v>3513</v>
      </c>
      <c r="L714" s="9" t="s">
        <v>3514</v>
      </c>
      <c r="M714" s="9" t="s">
        <v>3515</v>
      </c>
      <c r="N714" s="9" t="s">
        <v>3516</v>
      </c>
      <c r="O714" s="6">
        <f t="shared" si="14"/>
        <v>1370</v>
      </c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2.75" x14ac:dyDescent="0.2">
      <c r="A715" s="5" t="s">
        <v>2937</v>
      </c>
      <c r="B715" s="5" t="s">
        <v>2937</v>
      </c>
      <c r="C715" s="4">
        <v>133</v>
      </c>
      <c r="D715" s="6" t="e">
        <f t="shared" si="10"/>
        <v>#VALUE!</v>
      </c>
      <c r="E715" s="6" t="s">
        <v>3517</v>
      </c>
      <c r="F715" s="7">
        <v>274</v>
      </c>
      <c r="G715" s="6" t="s">
        <v>17</v>
      </c>
      <c r="H715" s="8" t="s">
        <v>3518</v>
      </c>
      <c r="I715" s="9" t="s">
        <v>3519</v>
      </c>
      <c r="J715" s="10" t="s">
        <v>3520</v>
      </c>
      <c r="K715" s="9" t="s">
        <v>3521</v>
      </c>
      <c r="L715" s="9" t="s">
        <v>3522</v>
      </c>
      <c r="M715" s="9" t="s">
        <v>3523</v>
      </c>
      <c r="N715" s="9" t="s">
        <v>3524</v>
      </c>
      <c r="O715" s="6">
        <f t="shared" si="14"/>
        <v>550</v>
      </c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2.75" x14ac:dyDescent="0.2">
      <c r="A716" s="5" t="s">
        <v>2937</v>
      </c>
      <c r="B716" s="5" t="s">
        <v>2937</v>
      </c>
      <c r="C716" s="4">
        <v>134</v>
      </c>
      <c r="D716" s="6" t="e">
        <f t="shared" si="10"/>
        <v>#VALUE!</v>
      </c>
      <c r="E716" s="6" t="s">
        <v>3525</v>
      </c>
      <c r="F716" s="7">
        <v>274</v>
      </c>
      <c r="G716" s="6" t="s">
        <v>28</v>
      </c>
      <c r="H716" s="8" t="s">
        <v>1790</v>
      </c>
      <c r="I716" s="10" t="s">
        <v>3526</v>
      </c>
      <c r="J716" s="9" t="s">
        <v>3519</v>
      </c>
      <c r="K716" s="9" t="s">
        <v>3527</v>
      </c>
      <c r="L716" s="9" t="s">
        <v>3528</v>
      </c>
      <c r="M716" s="9" t="s">
        <v>3529</v>
      </c>
      <c r="N716" s="9" t="s">
        <v>3524</v>
      </c>
      <c r="O716" s="6">
        <f t="shared" si="14"/>
        <v>1100</v>
      </c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2.75" x14ac:dyDescent="0.2">
      <c r="A717" s="5" t="s">
        <v>2937</v>
      </c>
      <c r="B717" s="5" t="s">
        <v>2937</v>
      </c>
      <c r="C717" s="4">
        <v>135</v>
      </c>
      <c r="D717" s="6" t="e">
        <f t="shared" si="10"/>
        <v>#VALUE!</v>
      </c>
      <c r="E717" s="6" t="s">
        <v>3160</v>
      </c>
      <c r="F717" s="7">
        <v>274</v>
      </c>
      <c r="G717" s="6" t="s">
        <v>28</v>
      </c>
      <c r="H717" s="8" t="s">
        <v>3315</v>
      </c>
      <c r="I717" s="10" t="s">
        <v>3520</v>
      </c>
      <c r="J717" s="9" t="s">
        <v>1790</v>
      </c>
      <c r="K717" s="9" t="s">
        <v>3530</v>
      </c>
      <c r="L717" s="9" t="s">
        <v>3531</v>
      </c>
      <c r="M717" s="9" t="s">
        <v>3532</v>
      </c>
      <c r="N717" s="9" t="s">
        <v>3524</v>
      </c>
      <c r="O717" s="6">
        <f t="shared" si="14"/>
        <v>1100</v>
      </c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2.75" x14ac:dyDescent="0.2">
      <c r="A718" s="5" t="s">
        <v>2937</v>
      </c>
      <c r="B718" s="5" t="s">
        <v>2937</v>
      </c>
      <c r="C718" s="4">
        <v>136</v>
      </c>
      <c r="D718" s="6" t="e">
        <f t="shared" si="10"/>
        <v>#VALUE!</v>
      </c>
      <c r="E718" s="6" t="s">
        <v>3533</v>
      </c>
      <c r="F718" s="7">
        <v>275</v>
      </c>
      <c r="G718" s="6" t="s">
        <v>17</v>
      </c>
      <c r="H718" s="8" t="s">
        <v>3301</v>
      </c>
      <c r="I718" s="9" t="s">
        <v>3534</v>
      </c>
      <c r="J718" s="10" t="s">
        <v>3535</v>
      </c>
      <c r="K718" s="9" t="s">
        <v>3536</v>
      </c>
      <c r="L718" s="9" t="s">
        <v>2118</v>
      </c>
      <c r="M718" s="9" t="s">
        <v>3537</v>
      </c>
      <c r="N718" s="9" t="s">
        <v>3538</v>
      </c>
      <c r="O718" s="6">
        <f t="shared" si="14"/>
        <v>552</v>
      </c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2.75" x14ac:dyDescent="0.2">
      <c r="A719" s="5" t="s">
        <v>2937</v>
      </c>
      <c r="B719" s="5" t="s">
        <v>2937</v>
      </c>
      <c r="C719" s="4">
        <v>137</v>
      </c>
      <c r="D719" s="6" t="e">
        <f t="shared" si="10"/>
        <v>#VALUE!</v>
      </c>
      <c r="E719" s="6" t="s">
        <v>3539</v>
      </c>
      <c r="F719" s="7">
        <v>276</v>
      </c>
      <c r="G719" s="6" t="s">
        <v>21</v>
      </c>
      <c r="H719" s="11" t="s">
        <v>3540</v>
      </c>
      <c r="I719" s="9" t="s">
        <v>3541</v>
      </c>
      <c r="J719" s="9" t="s">
        <v>2022</v>
      </c>
      <c r="K719" s="9" t="s">
        <v>3542</v>
      </c>
      <c r="L719" s="9" t="s">
        <v>2073</v>
      </c>
      <c r="M719" s="9" t="s">
        <v>3543</v>
      </c>
      <c r="N719" s="9" t="s">
        <v>3544</v>
      </c>
      <c r="O719" s="6">
        <f t="shared" si="14"/>
        <v>1385</v>
      </c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2.75" x14ac:dyDescent="0.2">
      <c r="A720" s="5" t="s">
        <v>2937</v>
      </c>
      <c r="B720" s="5" t="s">
        <v>2937</v>
      </c>
      <c r="C720" s="4">
        <v>138</v>
      </c>
      <c r="D720" s="6" t="e">
        <f t="shared" si="10"/>
        <v>#VALUE!</v>
      </c>
      <c r="E720" s="6" t="s">
        <v>3205</v>
      </c>
      <c r="F720" s="7">
        <v>276</v>
      </c>
      <c r="G720" s="6" t="s">
        <v>21</v>
      </c>
      <c r="H720" s="11" t="s">
        <v>3545</v>
      </c>
      <c r="I720" s="9" t="s">
        <v>3546</v>
      </c>
      <c r="J720" s="9" t="s">
        <v>2033</v>
      </c>
      <c r="K720" s="9" t="s">
        <v>3547</v>
      </c>
      <c r="L720" s="9" t="s">
        <v>3548</v>
      </c>
      <c r="M720" s="9" t="s">
        <v>3549</v>
      </c>
      <c r="N720" s="9" t="s">
        <v>3544</v>
      </c>
      <c r="O720" s="6">
        <f t="shared" si="14"/>
        <v>1385</v>
      </c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2.75" x14ac:dyDescent="0.2">
      <c r="A721" s="5" t="s">
        <v>2937</v>
      </c>
      <c r="B721" s="5" t="s">
        <v>2937</v>
      </c>
      <c r="C721" s="4">
        <v>139</v>
      </c>
      <c r="D721" s="6" t="e">
        <f t="shared" si="10"/>
        <v>#VALUE!</v>
      </c>
      <c r="E721" s="6" t="s">
        <v>2970</v>
      </c>
      <c r="F721" s="7">
        <v>276</v>
      </c>
      <c r="G721" s="6" t="s">
        <v>17</v>
      </c>
      <c r="H721" s="8" t="s">
        <v>3550</v>
      </c>
      <c r="I721" s="9" t="s">
        <v>2104</v>
      </c>
      <c r="J721" s="10" t="s">
        <v>931</v>
      </c>
      <c r="K721" s="9" t="s">
        <v>3551</v>
      </c>
      <c r="L721" s="9" t="s">
        <v>3552</v>
      </c>
      <c r="M721" s="9" t="s">
        <v>3553</v>
      </c>
      <c r="N721" s="9" t="s">
        <v>3544</v>
      </c>
      <c r="O721" s="6">
        <f t="shared" si="14"/>
        <v>554</v>
      </c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2.75" x14ac:dyDescent="0.2">
      <c r="A722" s="5" t="s">
        <v>2937</v>
      </c>
      <c r="B722" s="5" t="s">
        <v>2937</v>
      </c>
      <c r="C722" s="4">
        <v>140</v>
      </c>
      <c r="D722" s="6" t="e">
        <f t="shared" si="10"/>
        <v>#VALUE!</v>
      </c>
      <c r="E722" s="6" t="s">
        <v>3554</v>
      </c>
      <c r="F722" s="7">
        <v>277</v>
      </c>
      <c r="G722" s="6" t="s">
        <v>28</v>
      </c>
      <c r="H722" s="8" t="s">
        <v>3555</v>
      </c>
      <c r="I722" s="10" t="s">
        <v>3556</v>
      </c>
      <c r="J722" s="9" t="s">
        <v>3557</v>
      </c>
      <c r="K722" s="9" t="s">
        <v>3558</v>
      </c>
      <c r="L722" s="9" t="s">
        <v>2153</v>
      </c>
      <c r="M722" s="9" t="s">
        <v>3559</v>
      </c>
      <c r="N722" s="9" t="s">
        <v>3560</v>
      </c>
      <c r="O722" s="6">
        <f t="shared" si="14"/>
        <v>1112</v>
      </c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2.75" x14ac:dyDescent="0.2">
      <c r="A723" s="5" t="s">
        <v>2937</v>
      </c>
      <c r="B723" s="5" t="s">
        <v>2937</v>
      </c>
      <c r="C723" s="4">
        <v>141</v>
      </c>
      <c r="D723" s="6" t="e">
        <f t="shared" si="10"/>
        <v>#VALUE!</v>
      </c>
      <c r="E723" s="6" t="s">
        <v>729</v>
      </c>
      <c r="F723" s="7">
        <v>278</v>
      </c>
      <c r="G723" s="6" t="s">
        <v>17</v>
      </c>
      <c r="H723" s="8" t="s">
        <v>3561</v>
      </c>
      <c r="I723" s="9" t="s">
        <v>3562</v>
      </c>
      <c r="J723" s="10" t="s">
        <v>3563</v>
      </c>
      <c r="K723" s="9" t="s">
        <v>3564</v>
      </c>
      <c r="L723" s="9" t="s">
        <v>3565</v>
      </c>
      <c r="M723" s="9" t="s">
        <v>3566</v>
      </c>
      <c r="N723" s="9" t="s">
        <v>3567</v>
      </c>
      <c r="O723" s="6">
        <f t="shared" si="14"/>
        <v>558</v>
      </c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2.75" x14ac:dyDescent="0.2">
      <c r="A724" s="5" t="s">
        <v>2937</v>
      </c>
      <c r="B724" s="5" t="s">
        <v>2937</v>
      </c>
      <c r="C724" s="4">
        <v>142</v>
      </c>
      <c r="D724" s="6" t="e">
        <f t="shared" si="10"/>
        <v>#VALUE!</v>
      </c>
      <c r="E724" s="6" t="s">
        <v>3568</v>
      </c>
      <c r="F724" s="7">
        <v>278</v>
      </c>
      <c r="G724" s="6" t="s">
        <v>21</v>
      </c>
      <c r="H724" s="11" t="s">
        <v>3569</v>
      </c>
      <c r="I724" s="9" t="s">
        <v>3570</v>
      </c>
      <c r="J724" s="9" t="s">
        <v>3571</v>
      </c>
      <c r="K724" s="9" t="s">
        <v>3572</v>
      </c>
      <c r="L724" s="9" t="s">
        <v>3573</v>
      </c>
      <c r="M724" s="9" t="s">
        <v>3574</v>
      </c>
      <c r="N724" s="9" t="s">
        <v>3567</v>
      </c>
      <c r="O724" s="6">
        <f t="shared" si="14"/>
        <v>1395</v>
      </c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2.75" x14ac:dyDescent="0.2">
      <c r="A725" s="5" t="s">
        <v>2937</v>
      </c>
      <c r="B725" s="5" t="s">
        <v>2937</v>
      </c>
      <c r="C725" s="4">
        <v>143</v>
      </c>
      <c r="D725" s="6" t="e">
        <f t="shared" si="10"/>
        <v>#VALUE!</v>
      </c>
      <c r="E725" s="6" t="s">
        <v>3575</v>
      </c>
      <c r="F725" s="7">
        <v>278</v>
      </c>
      <c r="G725" s="6" t="s">
        <v>21</v>
      </c>
      <c r="H725" s="11" t="s">
        <v>3576</v>
      </c>
      <c r="I725" s="9" t="s">
        <v>3577</v>
      </c>
      <c r="J725" s="9" t="s">
        <v>3578</v>
      </c>
      <c r="K725" s="9" t="s">
        <v>3579</v>
      </c>
      <c r="L725" s="9" t="s">
        <v>3580</v>
      </c>
      <c r="M725" s="9" t="s">
        <v>3581</v>
      </c>
      <c r="N725" s="9" t="s">
        <v>3567</v>
      </c>
      <c r="O725" s="6">
        <f t="shared" si="14"/>
        <v>1395</v>
      </c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2.75" x14ac:dyDescent="0.2">
      <c r="A726" s="5" t="s">
        <v>2937</v>
      </c>
      <c r="B726" s="5" t="s">
        <v>2937</v>
      </c>
      <c r="C726" s="4">
        <v>144</v>
      </c>
      <c r="D726" s="6" t="e">
        <f t="shared" si="10"/>
        <v>#VALUE!</v>
      </c>
      <c r="E726" s="6" t="s">
        <v>3533</v>
      </c>
      <c r="F726" s="7">
        <v>279</v>
      </c>
      <c r="G726" s="6" t="s">
        <v>17</v>
      </c>
      <c r="H726" s="8" t="s">
        <v>3582</v>
      </c>
      <c r="I726" s="9" t="s">
        <v>1868</v>
      </c>
      <c r="J726" s="10" t="s">
        <v>3583</v>
      </c>
      <c r="K726" s="9" t="s">
        <v>3584</v>
      </c>
      <c r="L726" s="9" t="s">
        <v>3585</v>
      </c>
      <c r="M726" s="9" t="s">
        <v>3586</v>
      </c>
      <c r="N726" s="9" t="s">
        <v>3587</v>
      </c>
      <c r="O726" s="6">
        <f t="shared" si="14"/>
        <v>560</v>
      </c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2.75" x14ac:dyDescent="0.2">
      <c r="A727" s="5" t="s">
        <v>2937</v>
      </c>
      <c r="B727" s="5" t="s">
        <v>2937</v>
      </c>
      <c r="C727" s="4">
        <v>145</v>
      </c>
      <c r="D727" s="6" t="e">
        <f t="shared" si="10"/>
        <v>#VALUE!</v>
      </c>
      <c r="E727" s="6" t="s">
        <v>3588</v>
      </c>
      <c r="F727" s="7">
        <v>280</v>
      </c>
      <c r="G727" s="6" t="s">
        <v>17</v>
      </c>
      <c r="H727" s="8" t="s">
        <v>3589</v>
      </c>
      <c r="I727" s="9" t="s">
        <v>876</v>
      </c>
      <c r="J727" s="10" t="s">
        <v>3590</v>
      </c>
      <c r="K727" s="9" t="s">
        <v>3591</v>
      </c>
      <c r="L727" s="9" t="s">
        <v>3592</v>
      </c>
      <c r="M727" s="9" t="s">
        <v>3593</v>
      </c>
      <c r="N727" s="9" t="s">
        <v>3594</v>
      </c>
      <c r="O727" s="6">
        <f t="shared" si="14"/>
        <v>562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2.75" x14ac:dyDescent="0.2">
      <c r="A728" s="5" t="s">
        <v>2937</v>
      </c>
      <c r="B728" s="5" t="s">
        <v>2937</v>
      </c>
      <c r="C728" s="4">
        <v>146</v>
      </c>
      <c r="D728" s="6" t="e">
        <f t="shared" si="10"/>
        <v>#VALUE!</v>
      </c>
      <c r="E728" s="6" t="s">
        <v>3595</v>
      </c>
      <c r="F728" s="7">
        <v>280</v>
      </c>
      <c r="G728" s="6" t="s">
        <v>28</v>
      </c>
      <c r="H728" s="8" t="s">
        <v>181</v>
      </c>
      <c r="I728" s="10" t="s">
        <v>3596</v>
      </c>
      <c r="J728" s="9" t="s">
        <v>876</v>
      </c>
      <c r="K728" s="9" t="s">
        <v>3597</v>
      </c>
      <c r="L728" s="9" t="s">
        <v>3598</v>
      </c>
      <c r="M728" s="9" t="s">
        <v>3599</v>
      </c>
      <c r="N728" s="9" t="s">
        <v>3594</v>
      </c>
      <c r="O728" s="6">
        <f t="shared" si="14"/>
        <v>1124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2.75" x14ac:dyDescent="0.2">
      <c r="A729" s="5" t="s">
        <v>2937</v>
      </c>
      <c r="B729" s="5" t="s">
        <v>2937</v>
      </c>
      <c r="C729" s="4">
        <v>147</v>
      </c>
      <c r="D729" s="6" t="e">
        <f t="shared" si="10"/>
        <v>#VALUE!</v>
      </c>
      <c r="E729" s="6" t="s">
        <v>3600</v>
      </c>
      <c r="F729" s="7">
        <v>280</v>
      </c>
      <c r="G729" s="6" t="s">
        <v>28</v>
      </c>
      <c r="H729" s="8" t="s">
        <v>903</v>
      </c>
      <c r="I729" s="10" t="s">
        <v>3601</v>
      </c>
      <c r="J729" s="9" t="s">
        <v>3602</v>
      </c>
      <c r="K729" s="9" t="s">
        <v>3603</v>
      </c>
      <c r="L729" s="9" t="s">
        <v>3604</v>
      </c>
      <c r="M729" s="9" t="s">
        <v>3605</v>
      </c>
      <c r="N729" s="9" t="s">
        <v>3594</v>
      </c>
      <c r="O729" s="6">
        <f t="shared" si="14"/>
        <v>1124</v>
      </c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2.75" x14ac:dyDescent="0.2">
      <c r="A730" s="5" t="s">
        <v>2937</v>
      </c>
      <c r="B730" s="5" t="s">
        <v>2937</v>
      </c>
      <c r="C730" s="4">
        <v>148</v>
      </c>
      <c r="D730" s="6" t="e">
        <f t="shared" si="10"/>
        <v>#VALUE!</v>
      </c>
      <c r="E730" s="6" t="s">
        <v>3250</v>
      </c>
      <c r="F730" s="7">
        <v>281</v>
      </c>
      <c r="G730" s="6" t="s">
        <v>17</v>
      </c>
      <c r="H730" s="8" t="s">
        <v>3606</v>
      </c>
      <c r="I730" s="9" t="s">
        <v>3607</v>
      </c>
      <c r="J730" s="10" t="s">
        <v>3608</v>
      </c>
      <c r="K730" s="9" t="s">
        <v>3609</v>
      </c>
      <c r="L730" s="9" t="s">
        <v>3610</v>
      </c>
      <c r="M730" s="9" t="s">
        <v>3611</v>
      </c>
      <c r="N730" s="9" t="s">
        <v>3612</v>
      </c>
      <c r="O730" s="6">
        <f t="shared" si="14"/>
        <v>564</v>
      </c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2.75" x14ac:dyDescent="0.2">
      <c r="A731" s="5" t="s">
        <v>2937</v>
      </c>
      <c r="B731" s="5" t="s">
        <v>2937</v>
      </c>
      <c r="C731" s="4">
        <v>149</v>
      </c>
      <c r="D731" s="6" t="e">
        <f t="shared" si="10"/>
        <v>#VALUE!</v>
      </c>
      <c r="E731" s="6" t="s">
        <v>3613</v>
      </c>
      <c r="F731" s="7">
        <v>282</v>
      </c>
      <c r="G731" s="6" t="s">
        <v>28</v>
      </c>
      <c r="H731" s="8" t="s">
        <v>3614</v>
      </c>
      <c r="I731" s="10" t="s">
        <v>3615</v>
      </c>
      <c r="J731" s="9" t="s">
        <v>3616</v>
      </c>
      <c r="K731" s="9" t="s">
        <v>3617</v>
      </c>
      <c r="L731" s="9" t="s">
        <v>3618</v>
      </c>
      <c r="M731" s="9" t="s">
        <v>3619</v>
      </c>
      <c r="N731" s="9" t="s">
        <v>3620</v>
      </c>
      <c r="O731" s="6">
        <f t="shared" si="14"/>
        <v>1132</v>
      </c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2.75" x14ac:dyDescent="0.2">
      <c r="A732" s="5" t="s">
        <v>2937</v>
      </c>
      <c r="B732" s="5" t="s">
        <v>2937</v>
      </c>
      <c r="C732" s="4">
        <v>150</v>
      </c>
      <c r="D732" s="6" t="e">
        <f t="shared" si="10"/>
        <v>#VALUE!</v>
      </c>
      <c r="E732" s="6" t="s">
        <v>3059</v>
      </c>
      <c r="F732" s="7">
        <v>282</v>
      </c>
      <c r="G732" s="6" t="s">
        <v>17</v>
      </c>
      <c r="H732" s="8" t="s">
        <v>154</v>
      </c>
      <c r="I732" s="9" t="s">
        <v>726</v>
      </c>
      <c r="J732" s="10" t="s">
        <v>3621</v>
      </c>
      <c r="K732" s="9" t="s">
        <v>3622</v>
      </c>
      <c r="L732" s="9" t="s">
        <v>3623</v>
      </c>
      <c r="M732" s="9" t="s">
        <v>3624</v>
      </c>
      <c r="N732" s="9" t="s">
        <v>3620</v>
      </c>
      <c r="O732" s="6">
        <f t="shared" si="14"/>
        <v>566</v>
      </c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2.75" x14ac:dyDescent="0.2">
      <c r="A733" s="5" t="s">
        <v>2937</v>
      </c>
      <c r="B733" s="5" t="s">
        <v>2937</v>
      </c>
      <c r="C733" s="4">
        <v>151</v>
      </c>
      <c r="D733" s="6" t="e">
        <f t="shared" si="10"/>
        <v>#VALUE!</v>
      </c>
      <c r="E733" s="6" t="s">
        <v>115</v>
      </c>
      <c r="F733" s="7">
        <v>282</v>
      </c>
      <c r="G733" s="6" t="s">
        <v>28</v>
      </c>
      <c r="H733" s="8" t="s">
        <v>3625</v>
      </c>
      <c r="I733" s="10" t="s">
        <v>3626</v>
      </c>
      <c r="J733" s="9" t="s">
        <v>1873</v>
      </c>
      <c r="K733" s="9" t="s">
        <v>3627</v>
      </c>
      <c r="L733" s="9" t="s">
        <v>3628</v>
      </c>
      <c r="M733" s="9" t="s">
        <v>3629</v>
      </c>
      <c r="N733" s="9" t="s">
        <v>3620</v>
      </c>
      <c r="O733" s="6">
        <f t="shared" si="14"/>
        <v>1132</v>
      </c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2.75" x14ac:dyDescent="0.2">
      <c r="A734" s="5" t="s">
        <v>2937</v>
      </c>
      <c r="B734" s="5" t="s">
        <v>2937</v>
      </c>
      <c r="C734" s="4">
        <v>152</v>
      </c>
      <c r="D734" s="6" t="e">
        <f t="shared" si="10"/>
        <v>#VALUE!</v>
      </c>
      <c r="E734" s="6" t="s">
        <v>3630</v>
      </c>
      <c r="F734" s="7">
        <v>283</v>
      </c>
      <c r="G734" s="6" t="s">
        <v>17</v>
      </c>
      <c r="H734" s="8" t="s">
        <v>503</v>
      </c>
      <c r="I734" s="9" t="s">
        <v>3398</v>
      </c>
      <c r="J734" s="10" t="s">
        <v>3631</v>
      </c>
      <c r="K734" s="9" t="s">
        <v>3632</v>
      </c>
      <c r="L734" s="9" t="s">
        <v>3633</v>
      </c>
      <c r="M734" s="9" t="s">
        <v>3634</v>
      </c>
      <c r="N734" s="9" t="s">
        <v>3635</v>
      </c>
      <c r="O734" s="6">
        <f t="shared" si="14"/>
        <v>568</v>
      </c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2.75" x14ac:dyDescent="0.2">
      <c r="A735" s="5" t="s">
        <v>2937</v>
      </c>
      <c r="B735" s="5" t="s">
        <v>2937</v>
      </c>
      <c r="C735" s="4">
        <v>153</v>
      </c>
      <c r="D735" s="6" t="e">
        <f t="shared" si="10"/>
        <v>#VALUE!</v>
      </c>
      <c r="E735" s="6" t="s">
        <v>3636</v>
      </c>
      <c r="F735" s="7">
        <v>284</v>
      </c>
      <c r="G735" s="6" t="s">
        <v>28</v>
      </c>
      <c r="H735" s="8" t="s">
        <v>3637</v>
      </c>
      <c r="I735" s="10" t="s">
        <v>3638</v>
      </c>
      <c r="J735" s="9" t="s">
        <v>3639</v>
      </c>
      <c r="K735" s="9" t="s">
        <v>3640</v>
      </c>
      <c r="L735" s="9" t="s">
        <v>3641</v>
      </c>
      <c r="M735" s="9" t="s">
        <v>3642</v>
      </c>
      <c r="N735" s="9" t="s">
        <v>3643</v>
      </c>
      <c r="O735" s="6">
        <f t="shared" si="14"/>
        <v>1140</v>
      </c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2.75" x14ac:dyDescent="0.2">
      <c r="A736" s="5" t="s">
        <v>2937</v>
      </c>
      <c r="B736" s="5" t="s">
        <v>2937</v>
      </c>
      <c r="C736" s="4">
        <v>154</v>
      </c>
      <c r="D736" s="6" t="e">
        <f t="shared" si="10"/>
        <v>#VALUE!</v>
      </c>
      <c r="E736" s="6" t="s">
        <v>3644</v>
      </c>
      <c r="F736" s="7">
        <v>284</v>
      </c>
      <c r="G736" s="6" t="s">
        <v>17</v>
      </c>
      <c r="H736" s="8" t="s">
        <v>2450</v>
      </c>
      <c r="I736" s="9" t="s">
        <v>3645</v>
      </c>
      <c r="J736" s="10" t="s">
        <v>3646</v>
      </c>
      <c r="K736" s="9" t="s">
        <v>3647</v>
      </c>
      <c r="L736" s="9" t="s">
        <v>3648</v>
      </c>
      <c r="M736" s="9" t="s">
        <v>3649</v>
      </c>
      <c r="N736" s="9" t="s">
        <v>3643</v>
      </c>
      <c r="O736" s="6">
        <f t="shared" si="14"/>
        <v>570</v>
      </c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2.75" x14ac:dyDescent="0.2">
      <c r="A737" s="5" t="s">
        <v>2937</v>
      </c>
      <c r="B737" s="5" t="s">
        <v>2937</v>
      </c>
      <c r="C737" s="4">
        <v>155</v>
      </c>
      <c r="D737" s="6" t="e">
        <f t="shared" si="10"/>
        <v>#VALUE!</v>
      </c>
      <c r="E737" s="6" t="s">
        <v>3650</v>
      </c>
      <c r="F737" s="7">
        <v>284</v>
      </c>
      <c r="G737" s="6" t="s">
        <v>28</v>
      </c>
      <c r="H737" s="8" t="s">
        <v>531</v>
      </c>
      <c r="I737" s="10" t="s">
        <v>3651</v>
      </c>
      <c r="J737" s="9" t="s">
        <v>3652</v>
      </c>
      <c r="K737" s="9" t="s">
        <v>3653</v>
      </c>
      <c r="L737" s="9" t="s">
        <v>3654</v>
      </c>
      <c r="M737" s="9" t="s">
        <v>3655</v>
      </c>
      <c r="N737" s="9" t="s">
        <v>3643</v>
      </c>
      <c r="O737" s="6">
        <f t="shared" si="14"/>
        <v>1140</v>
      </c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2.75" x14ac:dyDescent="0.2">
      <c r="A738" s="5" t="s">
        <v>2937</v>
      </c>
      <c r="B738" s="5" t="s">
        <v>2937</v>
      </c>
      <c r="C738" s="4">
        <v>156</v>
      </c>
      <c r="D738" s="6" t="e">
        <f t="shared" si="10"/>
        <v>#VALUE!</v>
      </c>
      <c r="E738" s="6" t="s">
        <v>3015</v>
      </c>
      <c r="F738" s="7">
        <v>285</v>
      </c>
      <c r="G738" s="6" t="s">
        <v>17</v>
      </c>
      <c r="H738" s="8" t="s">
        <v>519</v>
      </c>
      <c r="I738" s="9" t="s">
        <v>3446</v>
      </c>
      <c r="J738" s="10" t="s">
        <v>3656</v>
      </c>
      <c r="K738" s="9" t="s">
        <v>3657</v>
      </c>
      <c r="L738" s="9" t="s">
        <v>3658</v>
      </c>
      <c r="M738" s="9" t="s">
        <v>3659</v>
      </c>
      <c r="N738" s="9" t="s">
        <v>3660</v>
      </c>
      <c r="O738" s="6">
        <f t="shared" si="14"/>
        <v>572</v>
      </c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2.75" x14ac:dyDescent="0.2">
      <c r="A739" s="5" t="s">
        <v>2937</v>
      </c>
      <c r="B739" s="5" t="s">
        <v>2937</v>
      </c>
      <c r="C739" s="4">
        <v>157</v>
      </c>
      <c r="D739" s="6" t="e">
        <f t="shared" si="10"/>
        <v>#VALUE!</v>
      </c>
      <c r="E739" s="6" t="s">
        <v>3661</v>
      </c>
      <c r="F739" s="7">
        <v>286</v>
      </c>
      <c r="G739" s="6" t="s">
        <v>21</v>
      </c>
      <c r="H739" s="11" t="s">
        <v>3662</v>
      </c>
      <c r="I739" s="9" t="s">
        <v>3641</v>
      </c>
      <c r="J739" s="9" t="s">
        <v>3663</v>
      </c>
      <c r="K739" s="9" t="s">
        <v>3664</v>
      </c>
      <c r="L739" s="9" t="s">
        <v>3665</v>
      </c>
      <c r="M739" s="9" t="s">
        <v>3666</v>
      </c>
      <c r="N739" s="9" t="s">
        <v>3667</v>
      </c>
      <c r="O739" s="6">
        <f t="shared" si="14"/>
        <v>1435</v>
      </c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2.75" x14ac:dyDescent="0.2">
      <c r="A740" s="5" t="s">
        <v>2937</v>
      </c>
      <c r="B740" s="5" t="s">
        <v>2937</v>
      </c>
      <c r="C740" s="4">
        <v>158</v>
      </c>
      <c r="D740" s="6" t="e">
        <f t="shared" si="10"/>
        <v>#VALUE!</v>
      </c>
      <c r="E740" s="6" t="s">
        <v>3668</v>
      </c>
      <c r="F740" s="7">
        <v>286</v>
      </c>
      <c r="G740" s="6" t="s">
        <v>21</v>
      </c>
      <c r="H740" s="11" t="s">
        <v>3669</v>
      </c>
      <c r="I740" s="9" t="s">
        <v>3670</v>
      </c>
      <c r="J740" s="9" t="s">
        <v>3671</v>
      </c>
      <c r="K740" s="9" t="s">
        <v>3672</v>
      </c>
      <c r="L740" s="9" t="s">
        <v>3673</v>
      </c>
      <c r="M740" s="9" t="s">
        <v>3674</v>
      </c>
      <c r="N740" s="9" t="s">
        <v>3667</v>
      </c>
      <c r="O740" s="6">
        <f t="shared" si="14"/>
        <v>1435</v>
      </c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2.75" x14ac:dyDescent="0.2">
      <c r="A741" s="5" t="s">
        <v>2937</v>
      </c>
      <c r="B741" s="5" t="s">
        <v>2937</v>
      </c>
      <c r="C741" s="4">
        <v>159</v>
      </c>
      <c r="D741" s="6" t="e">
        <f t="shared" si="10"/>
        <v>#VALUE!</v>
      </c>
      <c r="E741" s="6" t="s">
        <v>31</v>
      </c>
      <c r="F741" s="7">
        <v>286</v>
      </c>
      <c r="G741" s="6" t="s">
        <v>21</v>
      </c>
      <c r="H741" s="11" t="s">
        <v>3675</v>
      </c>
      <c r="I741" s="9" t="s">
        <v>718</v>
      </c>
      <c r="J741" s="9" t="s">
        <v>3676</v>
      </c>
      <c r="K741" s="9" t="s">
        <v>3677</v>
      </c>
      <c r="L741" s="9" t="s">
        <v>3678</v>
      </c>
      <c r="M741" s="9" t="s">
        <v>3679</v>
      </c>
      <c r="N741" s="9" t="s">
        <v>3667</v>
      </c>
      <c r="O741" s="6">
        <f t="shared" si="14"/>
        <v>1434.9999146976029</v>
      </c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2.75" x14ac:dyDescent="0.2">
      <c r="A742" s="5" t="s">
        <v>2937</v>
      </c>
      <c r="B742" s="5" t="s">
        <v>2937</v>
      </c>
      <c r="C742" s="4">
        <v>160</v>
      </c>
      <c r="D742" s="6" t="e">
        <f t="shared" si="10"/>
        <v>#VALUE!</v>
      </c>
      <c r="E742" s="6" t="s">
        <v>172</v>
      </c>
      <c r="F742" s="7">
        <v>287</v>
      </c>
      <c r="G742" s="6" t="s">
        <v>17</v>
      </c>
      <c r="H742" s="8" t="s">
        <v>3680</v>
      </c>
      <c r="I742" s="9" t="s">
        <v>3681</v>
      </c>
      <c r="J742" s="10" t="s">
        <v>3682</v>
      </c>
      <c r="K742" s="9" t="s">
        <v>3683</v>
      </c>
      <c r="L742" s="9" t="s">
        <v>3684</v>
      </c>
      <c r="M742" s="9" t="s">
        <v>3685</v>
      </c>
      <c r="N742" s="9" t="s">
        <v>3686</v>
      </c>
      <c r="O742" s="6">
        <f t="shared" si="14"/>
        <v>576</v>
      </c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2.75" x14ac:dyDescent="0.2">
      <c r="A743" s="5" t="s">
        <v>2937</v>
      </c>
      <c r="B743" s="5" t="s">
        <v>2937</v>
      </c>
      <c r="C743" s="4">
        <v>161</v>
      </c>
      <c r="D743" s="6" t="e">
        <f t="shared" si="10"/>
        <v>#VALUE!</v>
      </c>
      <c r="E743" s="6" t="s">
        <v>3687</v>
      </c>
      <c r="F743" s="7">
        <v>288</v>
      </c>
      <c r="G743" s="6" t="s">
        <v>28</v>
      </c>
      <c r="H743" s="8" t="s">
        <v>3688</v>
      </c>
      <c r="I743" s="10" t="s">
        <v>3689</v>
      </c>
      <c r="J743" s="9" t="s">
        <v>3690</v>
      </c>
      <c r="K743" s="9" t="s">
        <v>3691</v>
      </c>
      <c r="L743" s="9" t="s">
        <v>3692</v>
      </c>
      <c r="M743" s="9" t="s">
        <v>3693</v>
      </c>
      <c r="N743" s="9" t="s">
        <v>3694</v>
      </c>
      <c r="O743" s="6">
        <f t="shared" si="14"/>
        <v>1156</v>
      </c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2.75" x14ac:dyDescent="0.2">
      <c r="A744" s="5" t="s">
        <v>2937</v>
      </c>
      <c r="B744" s="5" t="s">
        <v>2937</v>
      </c>
      <c r="C744" s="4">
        <v>162</v>
      </c>
      <c r="D744" s="6" t="e">
        <f t="shared" si="10"/>
        <v>#VALUE!</v>
      </c>
      <c r="E744" s="6" t="s">
        <v>3695</v>
      </c>
      <c r="F744" s="7">
        <v>288</v>
      </c>
      <c r="G744" s="6" t="s">
        <v>17</v>
      </c>
      <c r="H744" s="8" t="s">
        <v>3696</v>
      </c>
      <c r="I744" s="9" t="s">
        <v>3697</v>
      </c>
      <c r="J744" s="10" t="s">
        <v>3698</v>
      </c>
      <c r="K744" s="9" t="s">
        <v>3699</v>
      </c>
      <c r="L744" s="9" t="s">
        <v>3700</v>
      </c>
      <c r="M744" s="9" t="s">
        <v>3701</v>
      </c>
      <c r="N744" s="9" t="s">
        <v>3694</v>
      </c>
      <c r="O744" s="6">
        <f t="shared" si="14"/>
        <v>578</v>
      </c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2.75" x14ac:dyDescent="0.2">
      <c r="A745" s="5" t="s">
        <v>2937</v>
      </c>
      <c r="B745" s="5" t="s">
        <v>2937</v>
      </c>
      <c r="C745" s="4">
        <v>163</v>
      </c>
      <c r="D745" s="6" t="e">
        <f t="shared" si="10"/>
        <v>#VALUE!</v>
      </c>
      <c r="E745" s="6" t="s">
        <v>3702</v>
      </c>
      <c r="F745" s="7">
        <v>288</v>
      </c>
      <c r="G745" s="6" t="s">
        <v>28</v>
      </c>
      <c r="H745" s="8" t="s">
        <v>3703</v>
      </c>
      <c r="I745" s="10" t="s">
        <v>3704</v>
      </c>
      <c r="J745" s="9" t="s">
        <v>3705</v>
      </c>
      <c r="K745" s="9" t="s">
        <v>3706</v>
      </c>
      <c r="L745" s="9" t="s">
        <v>3707</v>
      </c>
      <c r="M745" s="9" t="s">
        <v>3708</v>
      </c>
      <c r="N745" s="9" t="s">
        <v>3694</v>
      </c>
      <c r="O745" s="6">
        <f t="shared" si="14"/>
        <v>1156</v>
      </c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2.75" x14ac:dyDescent="0.2">
      <c r="A746" s="5" t="s">
        <v>2937</v>
      </c>
      <c r="B746" s="5" t="s">
        <v>2937</v>
      </c>
      <c r="C746" s="4">
        <v>164</v>
      </c>
      <c r="D746" s="6" t="e">
        <f t="shared" si="10"/>
        <v>#VALUE!</v>
      </c>
      <c r="E746" s="6" t="s">
        <v>3495</v>
      </c>
      <c r="F746" s="7">
        <v>289</v>
      </c>
      <c r="G746" s="6" t="s">
        <v>28</v>
      </c>
      <c r="H746" s="8" t="s">
        <v>3709</v>
      </c>
      <c r="I746" s="10" t="s">
        <v>3710</v>
      </c>
      <c r="J746" s="9" t="s">
        <v>3711</v>
      </c>
      <c r="K746" s="9" t="s">
        <v>3712</v>
      </c>
      <c r="L746" s="9" t="s">
        <v>3713</v>
      </c>
      <c r="M746" s="9" t="s">
        <v>3714</v>
      </c>
      <c r="N746" s="9" t="s">
        <v>3715</v>
      </c>
      <c r="O746" s="6">
        <f t="shared" si="14"/>
        <v>1160</v>
      </c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2.75" x14ac:dyDescent="0.2">
      <c r="A747" s="5" t="s">
        <v>2937</v>
      </c>
      <c r="B747" s="5" t="s">
        <v>2937</v>
      </c>
      <c r="C747" s="4">
        <v>165</v>
      </c>
      <c r="D747" s="6" t="e">
        <f t="shared" si="10"/>
        <v>#VALUE!</v>
      </c>
      <c r="E747" s="6" t="s">
        <v>3716</v>
      </c>
      <c r="F747" s="7">
        <v>290</v>
      </c>
      <c r="G747" s="6" t="s">
        <v>17</v>
      </c>
      <c r="H747" s="8" t="s">
        <v>3717</v>
      </c>
      <c r="I747" s="9" t="s">
        <v>3718</v>
      </c>
      <c r="J747" s="10" t="s">
        <v>3719</v>
      </c>
      <c r="K747" s="9" t="s">
        <v>3720</v>
      </c>
      <c r="L747" s="9" t="s">
        <v>3721</v>
      </c>
      <c r="M747" s="9" t="s">
        <v>3722</v>
      </c>
      <c r="N747" s="9" t="s">
        <v>3723</v>
      </c>
      <c r="O747" s="6">
        <f t="shared" si="14"/>
        <v>582</v>
      </c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2.75" x14ac:dyDescent="0.2">
      <c r="A748" s="5" t="s">
        <v>2937</v>
      </c>
      <c r="B748" s="5" t="s">
        <v>2937</v>
      </c>
      <c r="C748" s="4">
        <v>166</v>
      </c>
      <c r="D748" s="6" t="e">
        <f t="shared" si="10"/>
        <v>#VALUE!</v>
      </c>
      <c r="E748" s="6" t="s">
        <v>3724</v>
      </c>
      <c r="F748" s="7">
        <v>290</v>
      </c>
      <c r="G748" s="6" t="s">
        <v>21</v>
      </c>
      <c r="H748" s="11" t="s">
        <v>3725</v>
      </c>
      <c r="I748" s="9" t="s">
        <v>3726</v>
      </c>
      <c r="J748" s="9" t="s">
        <v>3727</v>
      </c>
      <c r="K748" s="9" t="s">
        <v>3728</v>
      </c>
      <c r="L748" s="9" t="s">
        <v>3729</v>
      </c>
      <c r="M748" s="9" t="s">
        <v>3730</v>
      </c>
      <c r="N748" s="9" t="s">
        <v>3723</v>
      </c>
      <c r="O748" s="6">
        <f t="shared" si="14"/>
        <v>1455</v>
      </c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2.75" x14ac:dyDescent="0.2">
      <c r="A749" s="5" t="s">
        <v>2937</v>
      </c>
      <c r="B749" s="5" t="s">
        <v>2937</v>
      </c>
      <c r="C749" s="4">
        <v>167</v>
      </c>
      <c r="D749" s="6" t="e">
        <f t="shared" si="10"/>
        <v>#VALUE!</v>
      </c>
      <c r="E749" s="6" t="s">
        <v>3731</v>
      </c>
      <c r="F749" s="7">
        <v>290</v>
      </c>
      <c r="G749" s="6" t="s">
        <v>17</v>
      </c>
      <c r="H749" s="8" t="s">
        <v>3732</v>
      </c>
      <c r="I749" s="9" t="s">
        <v>3733</v>
      </c>
      <c r="J749" s="10" t="s">
        <v>3734</v>
      </c>
      <c r="K749" s="9" t="s">
        <v>3735</v>
      </c>
      <c r="L749" s="9" t="s">
        <v>3736</v>
      </c>
      <c r="M749" s="9" t="s">
        <v>3737</v>
      </c>
      <c r="N749" s="9" t="s">
        <v>3723</v>
      </c>
      <c r="O749" s="6">
        <f t="shared" si="14"/>
        <v>582</v>
      </c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2.75" x14ac:dyDescent="0.2">
      <c r="A750" s="5" t="s">
        <v>2937</v>
      </c>
      <c r="B750" s="5" t="s">
        <v>2937</v>
      </c>
      <c r="C750" s="4">
        <v>168</v>
      </c>
      <c r="D750" s="6" t="e">
        <f t="shared" si="10"/>
        <v>#VALUE!</v>
      </c>
      <c r="E750" s="6" t="s">
        <v>3738</v>
      </c>
      <c r="F750" s="7">
        <v>291</v>
      </c>
      <c r="G750" s="6" t="s">
        <v>21</v>
      </c>
      <c r="H750" s="11" t="s">
        <v>3739</v>
      </c>
      <c r="I750" s="9" t="s">
        <v>3740</v>
      </c>
      <c r="J750" s="9" t="s">
        <v>3741</v>
      </c>
      <c r="K750" s="9" t="s">
        <v>3742</v>
      </c>
      <c r="L750" s="9" t="s">
        <v>3743</v>
      </c>
      <c r="M750" s="9" t="s">
        <v>3744</v>
      </c>
      <c r="N750" s="9" t="s">
        <v>3745</v>
      </c>
      <c r="O750" s="6">
        <f t="shared" si="14"/>
        <v>1460</v>
      </c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2.75" x14ac:dyDescent="0.2">
      <c r="A751" s="5" t="s">
        <v>2937</v>
      </c>
      <c r="B751" s="5" t="s">
        <v>2937</v>
      </c>
      <c r="C751" s="4">
        <v>169</v>
      </c>
      <c r="D751" s="6" t="e">
        <f t="shared" si="10"/>
        <v>#VALUE!</v>
      </c>
      <c r="E751" s="6" t="s">
        <v>3746</v>
      </c>
      <c r="F751" s="7">
        <v>292</v>
      </c>
      <c r="G751" s="6" t="s">
        <v>28</v>
      </c>
      <c r="H751" s="8" t="s">
        <v>3747</v>
      </c>
      <c r="I751" s="10" t="s">
        <v>3748</v>
      </c>
      <c r="J751" s="9" t="s">
        <v>221</v>
      </c>
      <c r="K751" s="9" t="s">
        <v>3749</v>
      </c>
      <c r="L751" s="9" t="s">
        <v>325</v>
      </c>
      <c r="M751" s="9" t="s">
        <v>3750</v>
      </c>
      <c r="N751" s="9" t="s">
        <v>3751</v>
      </c>
      <c r="O751" s="6">
        <f t="shared" si="14"/>
        <v>1172</v>
      </c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2.75" x14ac:dyDescent="0.2">
      <c r="A752" s="5" t="s">
        <v>2937</v>
      </c>
      <c r="B752" s="5" t="s">
        <v>2937</v>
      </c>
      <c r="C752" s="4">
        <v>170</v>
      </c>
      <c r="D752" s="6" t="e">
        <f t="shared" si="10"/>
        <v>#VALUE!</v>
      </c>
      <c r="E752" s="6" t="s">
        <v>3752</v>
      </c>
      <c r="F752" s="7">
        <v>292</v>
      </c>
      <c r="G752" s="6" t="s">
        <v>21</v>
      </c>
      <c r="H752" s="11" t="s">
        <v>3753</v>
      </c>
      <c r="I752" s="9" t="s">
        <v>3754</v>
      </c>
      <c r="J752" s="9" t="s">
        <v>3755</v>
      </c>
      <c r="K752" s="9" t="s">
        <v>3756</v>
      </c>
      <c r="L752" s="9" t="s">
        <v>3757</v>
      </c>
      <c r="M752" s="9" t="s">
        <v>3758</v>
      </c>
      <c r="N752" s="9" t="s">
        <v>3751</v>
      </c>
      <c r="O752" s="6">
        <f t="shared" si="14"/>
        <v>1465.000078009205</v>
      </c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2.75" x14ac:dyDescent="0.2">
      <c r="A753" s="5" t="s">
        <v>2937</v>
      </c>
      <c r="B753" s="5" t="s">
        <v>2937</v>
      </c>
      <c r="C753" s="4">
        <v>171</v>
      </c>
      <c r="D753" s="6" t="e">
        <f t="shared" si="10"/>
        <v>#VALUE!</v>
      </c>
      <c r="E753" s="6" t="s">
        <v>3759</v>
      </c>
      <c r="F753" s="7">
        <v>292</v>
      </c>
      <c r="G753" s="6" t="s">
        <v>21</v>
      </c>
      <c r="H753" s="11" t="s">
        <v>3760</v>
      </c>
      <c r="I753" s="9" t="s">
        <v>3761</v>
      </c>
      <c r="J753" s="9" t="s">
        <v>3762</v>
      </c>
      <c r="K753" s="9" t="s">
        <v>3763</v>
      </c>
      <c r="L753" s="9" t="s">
        <v>3764</v>
      </c>
      <c r="M753" s="9" t="s">
        <v>3765</v>
      </c>
      <c r="N753" s="9" t="s">
        <v>3751</v>
      </c>
      <c r="O753" s="6">
        <f t="shared" si="14"/>
        <v>1465.0000775494377</v>
      </c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2.75" x14ac:dyDescent="0.2">
      <c r="A754" s="5" t="s">
        <v>2937</v>
      </c>
      <c r="B754" s="5" t="s">
        <v>2937</v>
      </c>
      <c r="C754" s="4">
        <v>172</v>
      </c>
      <c r="D754" s="6" t="e">
        <f t="shared" si="10"/>
        <v>#VALUE!</v>
      </c>
      <c r="E754" s="6" t="s">
        <v>2970</v>
      </c>
      <c r="F754" s="7">
        <v>293</v>
      </c>
      <c r="G754" s="6" t="s">
        <v>21</v>
      </c>
      <c r="H754" s="11" t="s">
        <v>3766</v>
      </c>
      <c r="I754" s="9" t="s">
        <v>3767</v>
      </c>
      <c r="J754" s="9" t="s">
        <v>3768</v>
      </c>
      <c r="K754" s="9" t="s">
        <v>3769</v>
      </c>
      <c r="L754" s="9" t="s">
        <v>3770</v>
      </c>
      <c r="M754" s="9" t="s">
        <v>3771</v>
      </c>
      <c r="N754" s="9" t="s">
        <v>3772</v>
      </c>
      <c r="O754" s="6">
        <f t="shared" si="14"/>
        <v>1470</v>
      </c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2.75" x14ac:dyDescent="0.2">
      <c r="A755" s="5" t="s">
        <v>2937</v>
      </c>
      <c r="B755" s="5" t="s">
        <v>2937</v>
      </c>
      <c r="C755" s="4">
        <v>173</v>
      </c>
      <c r="D755" s="6" t="e">
        <f t="shared" si="10"/>
        <v>#VALUE!</v>
      </c>
      <c r="E755" s="6" t="s">
        <v>3773</v>
      </c>
      <c r="F755" s="7">
        <v>294</v>
      </c>
      <c r="G755" s="6" t="s">
        <v>21</v>
      </c>
      <c r="H755" s="11" t="s">
        <v>3774</v>
      </c>
      <c r="I755" s="9" t="s">
        <v>3775</v>
      </c>
      <c r="J755" s="9" t="s">
        <v>3776</v>
      </c>
      <c r="K755" s="9" t="s">
        <v>3777</v>
      </c>
      <c r="L755" s="9" t="s">
        <v>3778</v>
      </c>
      <c r="M755" s="9" t="s">
        <v>3779</v>
      </c>
      <c r="N755" s="9" t="s">
        <v>3780</v>
      </c>
      <c r="O755" s="6">
        <f t="shared" si="14"/>
        <v>1474.9999239138706</v>
      </c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2.75" x14ac:dyDescent="0.2">
      <c r="A756" s="5" t="s">
        <v>2937</v>
      </c>
      <c r="B756" s="5" t="s">
        <v>2937</v>
      </c>
      <c r="C756" s="4">
        <v>174</v>
      </c>
      <c r="D756" s="6" t="e">
        <f t="shared" si="10"/>
        <v>#VALUE!</v>
      </c>
      <c r="E756" s="6" t="s">
        <v>3781</v>
      </c>
      <c r="F756" s="7">
        <v>294</v>
      </c>
      <c r="G756" s="6" t="s">
        <v>28</v>
      </c>
      <c r="H756" s="8" t="s">
        <v>1526</v>
      </c>
      <c r="I756" s="10" t="s">
        <v>3782</v>
      </c>
      <c r="J756" s="9" t="s">
        <v>3783</v>
      </c>
      <c r="K756" s="9" t="s">
        <v>3784</v>
      </c>
      <c r="L756" s="9" t="s">
        <v>3785</v>
      </c>
      <c r="M756" s="9" t="s">
        <v>3786</v>
      </c>
      <c r="N756" s="9" t="s">
        <v>3780</v>
      </c>
      <c r="O756" s="6">
        <f t="shared" si="14"/>
        <v>1180</v>
      </c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2.75" x14ac:dyDescent="0.2">
      <c r="A757" s="5" t="s">
        <v>2937</v>
      </c>
      <c r="B757" s="5" t="s">
        <v>2937</v>
      </c>
      <c r="C757" s="4">
        <v>175</v>
      </c>
      <c r="D757" s="6" t="e">
        <f t="shared" si="10"/>
        <v>#VALUE!</v>
      </c>
      <c r="E757" s="6" t="s">
        <v>3032</v>
      </c>
      <c r="F757" s="7">
        <v>294</v>
      </c>
      <c r="G757" s="6" t="s">
        <v>28</v>
      </c>
      <c r="H757" s="8" t="s">
        <v>256</v>
      </c>
      <c r="I757" s="10" t="s">
        <v>3787</v>
      </c>
      <c r="J757" s="9" t="s">
        <v>3788</v>
      </c>
      <c r="K757" s="9" t="s">
        <v>3789</v>
      </c>
      <c r="L757" s="9" t="s">
        <v>3790</v>
      </c>
      <c r="M757" s="9" t="s">
        <v>3791</v>
      </c>
      <c r="N757" s="9" t="s">
        <v>3780</v>
      </c>
      <c r="O757" s="6">
        <f t="shared" si="14"/>
        <v>1180</v>
      </c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2.75" x14ac:dyDescent="0.2">
      <c r="A758" s="5" t="s">
        <v>2937</v>
      </c>
      <c r="B758" s="5" t="s">
        <v>2937</v>
      </c>
      <c r="C758" s="4">
        <v>176</v>
      </c>
      <c r="D758" s="6" t="e">
        <f t="shared" si="10"/>
        <v>#VALUE!</v>
      </c>
      <c r="E758" s="6" t="s">
        <v>3792</v>
      </c>
      <c r="F758" s="7">
        <v>295</v>
      </c>
      <c r="G758" s="6" t="s">
        <v>28</v>
      </c>
      <c r="H758" s="8" t="s">
        <v>3793</v>
      </c>
      <c r="I758" s="10" t="s">
        <v>3794</v>
      </c>
      <c r="J758" s="9" t="s">
        <v>3795</v>
      </c>
      <c r="K758" s="9" t="s">
        <v>3796</v>
      </c>
      <c r="L758" s="9" t="s">
        <v>3797</v>
      </c>
      <c r="M758" s="9" t="s">
        <v>3798</v>
      </c>
      <c r="N758" s="9" t="s">
        <v>3799</v>
      </c>
      <c r="O758" s="6">
        <f t="shared" si="14"/>
        <v>1184</v>
      </c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2.75" x14ac:dyDescent="0.2">
      <c r="A759" s="5" t="s">
        <v>2937</v>
      </c>
      <c r="B759" s="5" t="s">
        <v>2937</v>
      </c>
      <c r="C759" s="4">
        <v>177</v>
      </c>
      <c r="D759" s="6" t="e">
        <f t="shared" si="10"/>
        <v>#VALUE!</v>
      </c>
      <c r="E759" s="6" t="s">
        <v>3800</v>
      </c>
      <c r="F759" s="7">
        <v>296</v>
      </c>
      <c r="G759" s="6" t="s">
        <v>28</v>
      </c>
      <c r="H759" s="8" t="s">
        <v>3801</v>
      </c>
      <c r="I759" s="10" t="s">
        <v>3802</v>
      </c>
      <c r="J759" s="9" t="s">
        <v>3803</v>
      </c>
      <c r="K759" s="9" t="s">
        <v>3804</v>
      </c>
      <c r="L759" s="9" t="s">
        <v>3805</v>
      </c>
      <c r="M759" s="9" t="s">
        <v>3806</v>
      </c>
      <c r="N759" s="9" t="s">
        <v>3807</v>
      </c>
      <c r="O759" s="6">
        <f t="shared" si="14"/>
        <v>1188</v>
      </c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2.75" x14ac:dyDescent="0.2">
      <c r="A760" s="5" t="s">
        <v>2937</v>
      </c>
      <c r="B760" s="5" t="s">
        <v>2937</v>
      </c>
      <c r="C760" s="4">
        <v>178</v>
      </c>
      <c r="D760" s="6" t="e">
        <f t="shared" si="10"/>
        <v>#VALUE!</v>
      </c>
      <c r="E760" s="6" t="s">
        <v>3808</v>
      </c>
      <c r="F760" s="7">
        <v>296</v>
      </c>
      <c r="G760" s="6" t="s">
        <v>17</v>
      </c>
      <c r="H760" s="8" t="s">
        <v>2274</v>
      </c>
      <c r="I760" s="9" t="s">
        <v>3809</v>
      </c>
      <c r="J760" s="10" t="s">
        <v>3810</v>
      </c>
      <c r="K760" s="9" t="s">
        <v>3811</v>
      </c>
      <c r="L760" s="9" t="s">
        <v>3812</v>
      </c>
      <c r="M760" s="9" t="s">
        <v>3813</v>
      </c>
      <c r="N760" s="9" t="s">
        <v>3807</v>
      </c>
      <c r="O760" s="6">
        <f t="shared" si="14"/>
        <v>594</v>
      </c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2.75" x14ac:dyDescent="0.2">
      <c r="A761" s="5" t="s">
        <v>2937</v>
      </c>
      <c r="B761" s="5" t="s">
        <v>2937</v>
      </c>
      <c r="C761" s="4">
        <v>179</v>
      </c>
      <c r="D761" s="6" t="e">
        <f t="shared" si="10"/>
        <v>#VALUE!</v>
      </c>
      <c r="E761" s="6" t="s">
        <v>3814</v>
      </c>
      <c r="F761" s="7">
        <v>296</v>
      </c>
      <c r="G761" s="6" t="s">
        <v>21</v>
      </c>
      <c r="H761" s="11" t="s">
        <v>3815</v>
      </c>
      <c r="I761" s="9" t="s">
        <v>3816</v>
      </c>
      <c r="J761" s="9" t="s">
        <v>3817</v>
      </c>
      <c r="K761" s="9" t="s">
        <v>3818</v>
      </c>
      <c r="L761" s="9" t="s">
        <v>2013</v>
      </c>
      <c r="M761" s="9" t="s">
        <v>3819</v>
      </c>
      <c r="N761" s="9" t="s">
        <v>3807</v>
      </c>
      <c r="O761" s="6">
        <f t="shared" si="14"/>
        <v>1485</v>
      </c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2.75" x14ac:dyDescent="0.2">
      <c r="A762" s="5" t="s">
        <v>2937</v>
      </c>
      <c r="B762" s="5" t="s">
        <v>2937</v>
      </c>
      <c r="C762" s="4">
        <v>180</v>
      </c>
      <c r="D762" s="6" t="e">
        <f t="shared" si="10"/>
        <v>#VALUE!</v>
      </c>
      <c r="E762" s="6" t="s">
        <v>3820</v>
      </c>
      <c r="F762" s="7">
        <v>297</v>
      </c>
      <c r="G762" s="6" t="s">
        <v>21</v>
      </c>
      <c r="H762" s="11" t="s">
        <v>3821</v>
      </c>
      <c r="I762" s="9" t="s">
        <v>3822</v>
      </c>
      <c r="J762" s="9" t="s">
        <v>3785</v>
      </c>
      <c r="K762" s="9" t="s">
        <v>3823</v>
      </c>
      <c r="L762" s="9" t="s">
        <v>3824</v>
      </c>
      <c r="M762" s="9" t="s">
        <v>3825</v>
      </c>
      <c r="N762" s="9" t="s">
        <v>3826</v>
      </c>
      <c r="O762" s="6">
        <f t="shared" si="14"/>
        <v>1490</v>
      </c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2.75" x14ac:dyDescent="0.2">
      <c r="A763" s="5" t="s">
        <v>2937</v>
      </c>
      <c r="B763" s="5" t="s">
        <v>2937</v>
      </c>
      <c r="C763" s="4">
        <v>181</v>
      </c>
      <c r="D763" s="6" t="e">
        <f t="shared" si="10"/>
        <v>#VALUE!</v>
      </c>
      <c r="E763" s="6" t="s">
        <v>3100</v>
      </c>
      <c r="F763" s="7">
        <v>298</v>
      </c>
      <c r="G763" s="6" t="s">
        <v>28</v>
      </c>
      <c r="H763" s="8" t="s">
        <v>3827</v>
      </c>
      <c r="I763" s="10" t="s">
        <v>3828</v>
      </c>
      <c r="J763" s="9" t="s">
        <v>3829</v>
      </c>
      <c r="K763" s="9" t="s">
        <v>3830</v>
      </c>
      <c r="L763" s="9" t="s">
        <v>3831</v>
      </c>
      <c r="M763" s="9" t="s">
        <v>3832</v>
      </c>
      <c r="N763" s="9" t="s">
        <v>3833</v>
      </c>
      <c r="O763" s="6">
        <f t="shared" si="14"/>
        <v>1196</v>
      </c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2.75" x14ac:dyDescent="0.2">
      <c r="A764" s="5" t="s">
        <v>2937</v>
      </c>
      <c r="B764" s="5" t="s">
        <v>2937</v>
      </c>
      <c r="C764" s="4">
        <v>182</v>
      </c>
      <c r="D764" s="6" t="e">
        <f t="shared" si="10"/>
        <v>#VALUE!</v>
      </c>
      <c r="E764" s="6" t="s">
        <v>3834</v>
      </c>
      <c r="F764" s="7">
        <v>298</v>
      </c>
      <c r="G764" s="6" t="s">
        <v>21</v>
      </c>
      <c r="H764" s="11" t="s">
        <v>3835</v>
      </c>
      <c r="I764" s="9" t="s">
        <v>3812</v>
      </c>
      <c r="J764" s="9" t="s">
        <v>372</v>
      </c>
      <c r="K764" s="9" t="s">
        <v>3836</v>
      </c>
      <c r="L764" s="9" t="s">
        <v>2052</v>
      </c>
      <c r="M764" s="9" t="s">
        <v>3837</v>
      </c>
      <c r="N764" s="9" t="s">
        <v>3833</v>
      </c>
      <c r="O764" s="6">
        <f t="shared" si="14"/>
        <v>1495</v>
      </c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2.75" x14ac:dyDescent="0.2">
      <c r="A765" s="5" t="s">
        <v>2937</v>
      </c>
      <c r="B765" s="5" t="s">
        <v>2937</v>
      </c>
      <c r="C765" s="4">
        <v>183</v>
      </c>
      <c r="D765" s="6" t="e">
        <f t="shared" si="10"/>
        <v>#VALUE!</v>
      </c>
      <c r="E765" s="6" t="s">
        <v>1432</v>
      </c>
      <c r="F765" s="7">
        <v>298</v>
      </c>
      <c r="G765" s="6" t="s">
        <v>28</v>
      </c>
      <c r="H765" s="8" t="s">
        <v>732</v>
      </c>
      <c r="I765" s="10" t="s">
        <v>3838</v>
      </c>
      <c r="J765" s="9" t="s">
        <v>3839</v>
      </c>
      <c r="K765" s="9" t="s">
        <v>3840</v>
      </c>
      <c r="L765" s="9" t="s">
        <v>3841</v>
      </c>
      <c r="M765" s="9" t="s">
        <v>3842</v>
      </c>
      <c r="N765" s="9" t="s">
        <v>3833</v>
      </c>
      <c r="O765" s="6">
        <f t="shared" si="14"/>
        <v>1196</v>
      </c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2.75" x14ac:dyDescent="0.2">
      <c r="A766" s="5" t="s">
        <v>2937</v>
      </c>
      <c r="B766" s="5" t="s">
        <v>2937</v>
      </c>
      <c r="C766" s="4">
        <v>184</v>
      </c>
      <c r="D766" s="6" t="e">
        <f t="shared" si="10"/>
        <v>#VALUE!</v>
      </c>
      <c r="E766" s="6" t="s">
        <v>3015</v>
      </c>
      <c r="F766" s="7">
        <v>299</v>
      </c>
      <c r="G766" s="6" t="s">
        <v>28</v>
      </c>
      <c r="H766" s="8" t="s">
        <v>3843</v>
      </c>
      <c r="I766" s="10" t="s">
        <v>3844</v>
      </c>
      <c r="J766" s="9" t="s">
        <v>2136</v>
      </c>
      <c r="K766" s="9" t="s">
        <v>3845</v>
      </c>
      <c r="L766" s="9" t="s">
        <v>3846</v>
      </c>
      <c r="M766" s="9" t="s">
        <v>3847</v>
      </c>
      <c r="N766" s="9" t="s">
        <v>3848</v>
      </c>
      <c r="O766" s="6">
        <f t="shared" si="14"/>
        <v>1200</v>
      </c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2.75" x14ac:dyDescent="0.2">
      <c r="A767" s="5" t="s">
        <v>2937</v>
      </c>
      <c r="B767" s="5" t="s">
        <v>2937</v>
      </c>
      <c r="C767" s="4">
        <v>185</v>
      </c>
      <c r="D767" s="6" t="e">
        <f t="shared" ref="D767:D1021" si="15">CONCATENATE(A767:C767)</f>
        <v>#VALUE!</v>
      </c>
      <c r="E767" s="6" t="s">
        <v>3814</v>
      </c>
      <c r="F767" s="7">
        <v>300</v>
      </c>
      <c r="G767" s="6" t="s">
        <v>21</v>
      </c>
      <c r="H767" s="11" t="s">
        <v>3849</v>
      </c>
      <c r="I767" s="9" t="s">
        <v>3850</v>
      </c>
      <c r="J767" s="9" t="s">
        <v>3851</v>
      </c>
      <c r="K767" s="9" t="s">
        <v>3852</v>
      </c>
      <c r="L767" s="9" t="s">
        <v>3853</v>
      </c>
      <c r="M767" s="9" t="s">
        <v>3854</v>
      </c>
      <c r="N767" s="9" t="s">
        <v>3855</v>
      </c>
      <c r="O767" s="6">
        <f t="shared" si="14"/>
        <v>1504.9999303863558</v>
      </c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2.75" x14ac:dyDescent="0.2">
      <c r="A768" s="5" t="s">
        <v>2937</v>
      </c>
      <c r="B768" s="5" t="s">
        <v>2937</v>
      </c>
      <c r="C768" s="4">
        <v>186</v>
      </c>
      <c r="D768" s="6" t="e">
        <f t="shared" si="15"/>
        <v>#VALUE!</v>
      </c>
      <c r="E768" s="6" t="s">
        <v>172</v>
      </c>
      <c r="F768" s="7">
        <v>300</v>
      </c>
      <c r="G768" s="6" t="s">
        <v>21</v>
      </c>
      <c r="H768" s="11" t="s">
        <v>3856</v>
      </c>
      <c r="I768" s="9" t="s">
        <v>2282</v>
      </c>
      <c r="J768" s="9" t="s">
        <v>3857</v>
      </c>
      <c r="K768" s="9" t="s">
        <v>3858</v>
      </c>
      <c r="L768" s="9" t="s">
        <v>3859</v>
      </c>
      <c r="M768" s="9" t="s">
        <v>3860</v>
      </c>
      <c r="N768" s="9" t="s">
        <v>3855</v>
      </c>
      <c r="O768" s="6">
        <f t="shared" si="14"/>
        <v>1505.000069237693</v>
      </c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2.75" x14ac:dyDescent="0.2">
      <c r="A769" s="5" t="s">
        <v>2937</v>
      </c>
      <c r="B769" s="5" t="s">
        <v>2937</v>
      </c>
      <c r="C769" s="4">
        <v>187</v>
      </c>
      <c r="D769" s="6" t="e">
        <f t="shared" si="15"/>
        <v>#VALUE!</v>
      </c>
      <c r="E769" s="6" t="s">
        <v>188</v>
      </c>
      <c r="F769" s="7">
        <v>300</v>
      </c>
      <c r="G769" s="6" t="s">
        <v>21</v>
      </c>
      <c r="H769" s="11" t="s">
        <v>3861</v>
      </c>
      <c r="I769" s="9" t="s">
        <v>3862</v>
      </c>
      <c r="J769" s="9" t="s">
        <v>3863</v>
      </c>
      <c r="K769" s="9" t="s">
        <v>3864</v>
      </c>
      <c r="L769" s="9" t="s">
        <v>1554</v>
      </c>
      <c r="M769" s="9" t="s">
        <v>3865</v>
      </c>
      <c r="N769" s="9" t="s">
        <v>3855</v>
      </c>
      <c r="O769" s="6">
        <f t="shared" si="14"/>
        <v>1505</v>
      </c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2.75" x14ac:dyDescent="0.2">
      <c r="A770" s="5" t="s">
        <v>2937</v>
      </c>
      <c r="B770" s="5" t="s">
        <v>2937</v>
      </c>
      <c r="C770" s="4">
        <v>188</v>
      </c>
      <c r="D770" s="6" t="e">
        <f t="shared" si="15"/>
        <v>#VALUE!</v>
      </c>
      <c r="E770" s="6" t="s">
        <v>3738</v>
      </c>
      <c r="F770" s="7">
        <v>301</v>
      </c>
      <c r="G770" s="6" t="s">
        <v>28</v>
      </c>
      <c r="H770" s="8" t="s">
        <v>3866</v>
      </c>
      <c r="I770" s="10" t="s">
        <v>3867</v>
      </c>
      <c r="J770" s="9" t="s">
        <v>3868</v>
      </c>
      <c r="K770" s="9" t="s">
        <v>3869</v>
      </c>
      <c r="L770" s="9" t="s">
        <v>3870</v>
      </c>
      <c r="M770" s="9" t="s">
        <v>3871</v>
      </c>
      <c r="N770" s="9" t="s">
        <v>3872</v>
      </c>
      <c r="O770" s="6">
        <f t="shared" si="14"/>
        <v>1208</v>
      </c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2.75" x14ac:dyDescent="0.2">
      <c r="A771" s="5" t="s">
        <v>2937</v>
      </c>
      <c r="B771" s="5" t="s">
        <v>2937</v>
      </c>
      <c r="C771" s="4">
        <v>189</v>
      </c>
      <c r="D771" s="6" t="e">
        <f t="shared" si="15"/>
        <v>#VALUE!</v>
      </c>
      <c r="E771" s="6" t="s">
        <v>3873</v>
      </c>
      <c r="F771" s="7">
        <v>301</v>
      </c>
      <c r="G771" s="6" t="s">
        <v>28</v>
      </c>
      <c r="H771" s="8" t="s">
        <v>3874</v>
      </c>
      <c r="I771" s="10" t="s">
        <v>3875</v>
      </c>
      <c r="J771" s="9" t="s">
        <v>3876</v>
      </c>
      <c r="K771" s="9" t="s">
        <v>3877</v>
      </c>
      <c r="L771" s="9" t="s">
        <v>3878</v>
      </c>
      <c r="M771" s="9" t="s">
        <v>3879</v>
      </c>
      <c r="N771" s="9" t="s">
        <v>3872</v>
      </c>
      <c r="O771" s="6">
        <f t="shared" ref="O771:O834" si="16">M771/K771</f>
        <v>1208</v>
      </c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2.75" x14ac:dyDescent="0.2">
      <c r="A772" s="5" t="s">
        <v>2937</v>
      </c>
      <c r="B772" s="5" t="s">
        <v>2937</v>
      </c>
      <c r="C772" s="4">
        <v>190</v>
      </c>
      <c r="D772" s="6" t="e">
        <f t="shared" si="15"/>
        <v>#VALUE!</v>
      </c>
      <c r="E772" s="6" t="s">
        <v>2998</v>
      </c>
      <c r="F772" s="7">
        <v>301</v>
      </c>
      <c r="G772" s="6" t="s">
        <v>17</v>
      </c>
      <c r="H772" s="8" t="s">
        <v>3880</v>
      </c>
      <c r="I772" s="9" t="s">
        <v>3881</v>
      </c>
      <c r="J772" s="10" t="s">
        <v>3882</v>
      </c>
      <c r="K772" s="9" t="s">
        <v>3883</v>
      </c>
      <c r="L772" s="9" t="s">
        <v>3003</v>
      </c>
      <c r="M772" s="9" t="s">
        <v>3884</v>
      </c>
      <c r="N772" s="9" t="s">
        <v>3872</v>
      </c>
      <c r="O772" s="6">
        <f t="shared" si="16"/>
        <v>604</v>
      </c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2.75" x14ac:dyDescent="0.2">
      <c r="A773" s="5" t="s">
        <v>2937</v>
      </c>
      <c r="B773" s="5" t="s">
        <v>2937</v>
      </c>
      <c r="C773" s="4">
        <v>191</v>
      </c>
      <c r="D773" s="6" t="e">
        <f t="shared" si="15"/>
        <v>#VALUE!</v>
      </c>
      <c r="E773" s="6" t="s">
        <v>20</v>
      </c>
      <c r="F773" s="7">
        <v>302</v>
      </c>
      <c r="G773" s="6" t="s">
        <v>21</v>
      </c>
      <c r="H773" s="11" t="s">
        <v>3885</v>
      </c>
      <c r="I773" s="9" t="s">
        <v>3886</v>
      </c>
      <c r="J773" s="9" t="s">
        <v>3887</v>
      </c>
      <c r="K773" s="9" t="s">
        <v>3888</v>
      </c>
      <c r="L773" s="9" t="s">
        <v>2118</v>
      </c>
      <c r="M773" s="9" t="s">
        <v>3889</v>
      </c>
      <c r="N773" s="9" t="s">
        <v>3890</v>
      </c>
      <c r="O773" s="6">
        <f t="shared" si="16"/>
        <v>1515.0000669478477</v>
      </c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2.75" x14ac:dyDescent="0.2">
      <c r="A774" s="5" t="s">
        <v>2937</v>
      </c>
      <c r="B774" s="5" t="s">
        <v>2937</v>
      </c>
      <c r="C774" s="4">
        <v>192</v>
      </c>
      <c r="D774" s="6" t="e">
        <f t="shared" si="15"/>
        <v>#VALUE!</v>
      </c>
      <c r="E774" s="6" t="s">
        <v>3891</v>
      </c>
      <c r="F774" s="7">
        <v>302</v>
      </c>
      <c r="G774" s="6" t="s">
        <v>21</v>
      </c>
      <c r="H774" s="11" t="s">
        <v>841</v>
      </c>
      <c r="I774" s="9" t="s">
        <v>3892</v>
      </c>
      <c r="J774" s="9" t="s">
        <v>3893</v>
      </c>
      <c r="K774" s="9" t="s">
        <v>3894</v>
      </c>
      <c r="L774" s="9" t="s">
        <v>2978</v>
      </c>
      <c r="M774" s="9" t="s">
        <v>3895</v>
      </c>
      <c r="N774" s="9" t="s">
        <v>3890</v>
      </c>
      <c r="O774" s="6">
        <f t="shared" si="16"/>
        <v>1514.9999333999333</v>
      </c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2.75" x14ac:dyDescent="0.2">
      <c r="A775" s="5" t="s">
        <v>2937</v>
      </c>
      <c r="B775" s="5" t="s">
        <v>2937</v>
      </c>
      <c r="C775" s="4">
        <v>193</v>
      </c>
      <c r="D775" s="6" t="e">
        <f t="shared" si="15"/>
        <v>#VALUE!</v>
      </c>
      <c r="E775" s="6" t="s">
        <v>3896</v>
      </c>
      <c r="F775" s="7">
        <v>302</v>
      </c>
      <c r="G775" s="6" t="s">
        <v>17</v>
      </c>
      <c r="H775" s="8" t="s">
        <v>3897</v>
      </c>
      <c r="I775" s="9" t="s">
        <v>3592</v>
      </c>
      <c r="J775" s="10" t="s">
        <v>3898</v>
      </c>
      <c r="K775" s="9" t="s">
        <v>3899</v>
      </c>
      <c r="L775" s="9" t="s">
        <v>3900</v>
      </c>
      <c r="M775" s="9" t="s">
        <v>3901</v>
      </c>
      <c r="N775" s="9" t="s">
        <v>3890</v>
      </c>
      <c r="O775" s="6">
        <f t="shared" si="16"/>
        <v>606</v>
      </c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2.75" x14ac:dyDescent="0.2">
      <c r="A776" s="5" t="s">
        <v>2937</v>
      </c>
      <c r="B776" s="5" t="s">
        <v>2937</v>
      </c>
      <c r="C776" s="4">
        <v>194</v>
      </c>
      <c r="D776" s="6" t="e">
        <f t="shared" si="15"/>
        <v>#VALUE!</v>
      </c>
      <c r="E776" s="6" t="s">
        <v>3902</v>
      </c>
      <c r="F776" s="7">
        <v>303</v>
      </c>
      <c r="G776" s="6" t="s">
        <v>28</v>
      </c>
      <c r="H776" s="8" t="s">
        <v>3903</v>
      </c>
      <c r="I776" s="10" t="s">
        <v>2478</v>
      </c>
      <c r="J776" s="9" t="s">
        <v>3904</v>
      </c>
      <c r="K776" s="9" t="s">
        <v>3905</v>
      </c>
      <c r="L776" s="9" t="s">
        <v>3906</v>
      </c>
      <c r="M776" s="9" t="s">
        <v>3907</v>
      </c>
      <c r="N776" s="9" t="s">
        <v>3908</v>
      </c>
      <c r="O776" s="6">
        <f t="shared" si="16"/>
        <v>1216</v>
      </c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2.75" x14ac:dyDescent="0.2">
      <c r="A777" s="5" t="s">
        <v>2937</v>
      </c>
      <c r="B777" s="5" t="s">
        <v>2937</v>
      </c>
      <c r="C777" s="4">
        <v>195</v>
      </c>
      <c r="D777" s="6" t="e">
        <f t="shared" si="15"/>
        <v>#VALUE!</v>
      </c>
      <c r="E777" s="6" t="s">
        <v>3488</v>
      </c>
      <c r="F777" s="7">
        <v>303</v>
      </c>
      <c r="G777" s="6" t="s">
        <v>17</v>
      </c>
      <c r="H777" s="8" t="s">
        <v>3909</v>
      </c>
      <c r="I777" s="9" t="s">
        <v>3910</v>
      </c>
      <c r="J777" s="10" t="s">
        <v>3911</v>
      </c>
      <c r="K777" s="9" t="s">
        <v>3912</v>
      </c>
      <c r="L777" s="9" t="s">
        <v>3913</v>
      </c>
      <c r="M777" s="9" t="s">
        <v>3914</v>
      </c>
      <c r="N777" s="9" t="s">
        <v>3908</v>
      </c>
      <c r="O777" s="6">
        <f t="shared" si="16"/>
        <v>608</v>
      </c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2.75" x14ac:dyDescent="0.2">
      <c r="A778" s="5" t="s">
        <v>2937</v>
      </c>
      <c r="B778" s="5" t="s">
        <v>2937</v>
      </c>
      <c r="C778" s="4">
        <v>196</v>
      </c>
      <c r="D778" s="6" t="e">
        <f t="shared" si="15"/>
        <v>#VALUE!</v>
      </c>
      <c r="E778" s="6" t="s">
        <v>3915</v>
      </c>
      <c r="F778" s="7">
        <v>303</v>
      </c>
      <c r="G778" s="6" t="s">
        <v>21</v>
      </c>
      <c r="H778" s="11" t="s">
        <v>3916</v>
      </c>
      <c r="I778" s="9" t="s">
        <v>3917</v>
      </c>
      <c r="J778" s="9" t="s">
        <v>3918</v>
      </c>
      <c r="K778" s="9" t="s">
        <v>3919</v>
      </c>
      <c r="L778" s="9" t="s">
        <v>2135</v>
      </c>
      <c r="M778" s="9" t="s">
        <v>3920</v>
      </c>
      <c r="N778" s="9" t="s">
        <v>3908</v>
      </c>
      <c r="O778" s="6">
        <f t="shared" si="16"/>
        <v>1520</v>
      </c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2.75" x14ac:dyDescent="0.2">
      <c r="A779" s="5" t="s">
        <v>2937</v>
      </c>
      <c r="B779" s="5" t="s">
        <v>2937</v>
      </c>
      <c r="C779" s="4">
        <v>197</v>
      </c>
      <c r="D779" s="6" t="e">
        <f t="shared" si="15"/>
        <v>#VALUE!</v>
      </c>
      <c r="E779" s="6" t="s">
        <v>3921</v>
      </c>
      <c r="F779" s="7">
        <v>304</v>
      </c>
      <c r="G779" s="6" t="s">
        <v>17</v>
      </c>
      <c r="H779" s="8" t="s">
        <v>3910</v>
      </c>
      <c r="I779" s="9" t="s">
        <v>3922</v>
      </c>
      <c r="J779" s="10" t="s">
        <v>3923</v>
      </c>
      <c r="K779" s="9" t="s">
        <v>3924</v>
      </c>
      <c r="L779" s="9" t="s">
        <v>3925</v>
      </c>
      <c r="M779" s="9" t="s">
        <v>3926</v>
      </c>
      <c r="N779" s="9" t="s">
        <v>3927</v>
      </c>
      <c r="O779" s="6">
        <f t="shared" si="16"/>
        <v>610</v>
      </c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2.75" x14ac:dyDescent="0.2">
      <c r="A780" s="5" t="s">
        <v>2937</v>
      </c>
      <c r="B780" s="5" t="s">
        <v>2937</v>
      </c>
      <c r="C780" s="4">
        <v>198</v>
      </c>
      <c r="D780" s="6" t="e">
        <f t="shared" si="15"/>
        <v>#VALUE!</v>
      </c>
      <c r="E780" s="6" t="s">
        <v>3482</v>
      </c>
      <c r="F780" s="7">
        <v>304</v>
      </c>
      <c r="G780" s="6" t="s">
        <v>21</v>
      </c>
      <c r="H780" s="11" t="s">
        <v>3928</v>
      </c>
      <c r="I780" s="9" t="s">
        <v>3929</v>
      </c>
      <c r="J780" s="9" t="s">
        <v>3930</v>
      </c>
      <c r="K780" s="9" t="s">
        <v>3931</v>
      </c>
      <c r="L780" s="9" t="s">
        <v>3932</v>
      </c>
      <c r="M780" s="9" t="s">
        <v>3933</v>
      </c>
      <c r="N780" s="9" t="s">
        <v>3927</v>
      </c>
      <c r="O780" s="6">
        <f t="shared" si="16"/>
        <v>1525.0000641231163</v>
      </c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2.75" x14ac:dyDescent="0.2">
      <c r="A781" s="5" t="s">
        <v>2937</v>
      </c>
      <c r="B781" s="5" t="s">
        <v>2937</v>
      </c>
      <c r="C781" s="4">
        <v>199</v>
      </c>
      <c r="D781" s="6" t="e">
        <f t="shared" si="15"/>
        <v>#VALUE!</v>
      </c>
      <c r="E781" s="6" t="s">
        <v>46</v>
      </c>
      <c r="F781" s="7">
        <v>304</v>
      </c>
      <c r="G781" s="6" t="s">
        <v>17</v>
      </c>
      <c r="H781" s="8" t="s">
        <v>3934</v>
      </c>
      <c r="I781" s="9" t="s">
        <v>3935</v>
      </c>
      <c r="J781" s="10" t="s">
        <v>3936</v>
      </c>
      <c r="K781" s="9" t="s">
        <v>3937</v>
      </c>
      <c r="L781" s="9" t="s">
        <v>3938</v>
      </c>
      <c r="M781" s="9" t="s">
        <v>3939</v>
      </c>
      <c r="N781" s="9" t="s">
        <v>3927</v>
      </c>
      <c r="O781" s="6">
        <f t="shared" si="16"/>
        <v>610</v>
      </c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2.75" x14ac:dyDescent="0.2">
      <c r="A782" s="5" t="s">
        <v>2937</v>
      </c>
      <c r="B782" s="5" t="s">
        <v>2937</v>
      </c>
      <c r="C782" s="4">
        <v>200</v>
      </c>
      <c r="D782" s="6" t="e">
        <f t="shared" si="15"/>
        <v>#VALUE!</v>
      </c>
      <c r="E782" s="6" t="s">
        <v>3940</v>
      </c>
      <c r="F782" s="7">
        <v>305</v>
      </c>
      <c r="G782" s="6" t="s">
        <v>21</v>
      </c>
      <c r="H782" s="11" t="s">
        <v>2352</v>
      </c>
      <c r="I782" s="9" t="s">
        <v>3941</v>
      </c>
      <c r="J782" s="9" t="s">
        <v>3096</v>
      </c>
      <c r="K782" s="9" t="s">
        <v>3942</v>
      </c>
      <c r="L782" s="9" t="s">
        <v>3943</v>
      </c>
      <c r="M782" s="9" t="s">
        <v>3944</v>
      </c>
      <c r="N782" s="9" t="s">
        <v>3945</v>
      </c>
      <c r="O782" s="6">
        <f t="shared" si="16"/>
        <v>1530</v>
      </c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2.75" x14ac:dyDescent="0.2">
      <c r="A783" s="5" t="s">
        <v>2937</v>
      </c>
      <c r="B783" s="5" t="s">
        <v>2937</v>
      </c>
      <c r="C783" s="4">
        <v>201</v>
      </c>
      <c r="D783" s="6" t="e">
        <f t="shared" si="15"/>
        <v>#VALUE!</v>
      </c>
      <c r="E783" s="6" t="s">
        <v>3946</v>
      </c>
      <c r="F783" s="7">
        <v>305</v>
      </c>
      <c r="G783" s="6" t="s">
        <v>21</v>
      </c>
      <c r="H783" s="11" t="s">
        <v>3947</v>
      </c>
      <c r="I783" s="9" t="s">
        <v>1641</v>
      </c>
      <c r="J783" s="9" t="s">
        <v>3948</v>
      </c>
      <c r="K783" s="9" t="s">
        <v>3949</v>
      </c>
      <c r="L783" s="9" t="s">
        <v>3950</v>
      </c>
      <c r="M783" s="9" t="s">
        <v>3951</v>
      </c>
      <c r="N783" s="9" t="s">
        <v>3945</v>
      </c>
      <c r="O783" s="6">
        <f t="shared" si="16"/>
        <v>1530</v>
      </c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2.75" x14ac:dyDescent="0.2">
      <c r="A784" s="5" t="s">
        <v>2937</v>
      </c>
      <c r="B784" s="5" t="s">
        <v>2937</v>
      </c>
      <c r="C784" s="4">
        <v>202</v>
      </c>
      <c r="D784" s="6" t="e">
        <f t="shared" si="15"/>
        <v>#VALUE!</v>
      </c>
      <c r="E784" s="6" t="s">
        <v>3083</v>
      </c>
      <c r="F784" s="7">
        <v>305</v>
      </c>
      <c r="G784" s="6" t="s">
        <v>17</v>
      </c>
      <c r="H784" s="8" t="s">
        <v>3952</v>
      </c>
      <c r="I784" s="9" t="s">
        <v>3953</v>
      </c>
      <c r="J784" s="10" t="s">
        <v>976</v>
      </c>
      <c r="K784" s="9" t="s">
        <v>3954</v>
      </c>
      <c r="L784" s="9" t="s">
        <v>3955</v>
      </c>
      <c r="M784" s="9" t="s">
        <v>3956</v>
      </c>
      <c r="N784" s="9" t="s">
        <v>3945</v>
      </c>
      <c r="O784" s="6">
        <f t="shared" si="16"/>
        <v>612</v>
      </c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2.75" x14ac:dyDescent="0.2">
      <c r="A785" s="5" t="s">
        <v>2937</v>
      </c>
      <c r="B785" s="5" t="s">
        <v>2937</v>
      </c>
      <c r="C785" s="4">
        <v>203</v>
      </c>
      <c r="D785" s="6" t="e">
        <f t="shared" si="15"/>
        <v>#VALUE!</v>
      </c>
      <c r="E785" s="6" t="s">
        <v>53</v>
      </c>
      <c r="F785" s="7">
        <v>306</v>
      </c>
      <c r="G785" s="6" t="s">
        <v>17</v>
      </c>
      <c r="H785" s="8" t="s">
        <v>3957</v>
      </c>
      <c r="I785" s="9" t="s">
        <v>3671</v>
      </c>
      <c r="J785" s="10" t="s">
        <v>3958</v>
      </c>
      <c r="K785" s="9" t="s">
        <v>3959</v>
      </c>
      <c r="L785" s="9" t="s">
        <v>3960</v>
      </c>
      <c r="M785" s="9" t="s">
        <v>3961</v>
      </c>
      <c r="N785" s="9" t="s">
        <v>3962</v>
      </c>
      <c r="O785" s="6">
        <f t="shared" si="16"/>
        <v>614</v>
      </c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2.75" x14ac:dyDescent="0.2">
      <c r="A786" s="5" t="s">
        <v>2937</v>
      </c>
      <c r="B786" s="5" t="s">
        <v>2937</v>
      </c>
      <c r="C786" s="4">
        <v>204</v>
      </c>
      <c r="D786" s="6" t="e">
        <f t="shared" si="15"/>
        <v>#VALUE!</v>
      </c>
      <c r="E786" s="6" t="s">
        <v>3963</v>
      </c>
      <c r="F786" s="7">
        <v>306</v>
      </c>
      <c r="G786" s="6" t="s">
        <v>21</v>
      </c>
      <c r="H786" s="11" t="s">
        <v>3964</v>
      </c>
      <c r="I786" s="9" t="s">
        <v>3965</v>
      </c>
      <c r="J786" s="9" t="s">
        <v>3966</v>
      </c>
      <c r="K786" s="9" t="s">
        <v>3967</v>
      </c>
      <c r="L786" s="9" t="s">
        <v>3968</v>
      </c>
      <c r="M786" s="9" t="s">
        <v>3969</v>
      </c>
      <c r="N786" s="9" t="s">
        <v>3962</v>
      </c>
      <c r="O786" s="6">
        <f t="shared" si="16"/>
        <v>1535.0000618008776</v>
      </c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2.75" x14ac:dyDescent="0.2">
      <c r="A787" s="5" t="s">
        <v>2937</v>
      </c>
      <c r="B787" s="5" t="s">
        <v>2937</v>
      </c>
      <c r="C787" s="4">
        <v>205</v>
      </c>
      <c r="D787" s="6" t="e">
        <f t="shared" si="15"/>
        <v>#VALUE!</v>
      </c>
      <c r="E787" s="6" t="s">
        <v>506</v>
      </c>
      <c r="F787" s="7">
        <v>306</v>
      </c>
      <c r="G787" s="6" t="s">
        <v>21</v>
      </c>
      <c r="H787" s="11" t="s">
        <v>3970</v>
      </c>
      <c r="I787" s="9" t="s">
        <v>3971</v>
      </c>
      <c r="J787" s="9" t="s">
        <v>3972</v>
      </c>
      <c r="K787" s="9" t="s">
        <v>3973</v>
      </c>
      <c r="L787" s="9" t="s">
        <v>3974</v>
      </c>
      <c r="M787" s="9" t="s">
        <v>3975</v>
      </c>
      <c r="N787" s="9" t="s">
        <v>3962</v>
      </c>
      <c r="O787" s="6">
        <f t="shared" si="16"/>
        <v>1535</v>
      </c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2.75" x14ac:dyDescent="0.2">
      <c r="A788" s="5" t="s">
        <v>2937</v>
      </c>
      <c r="B788" s="5" t="s">
        <v>2937</v>
      </c>
      <c r="C788" s="4">
        <v>206</v>
      </c>
      <c r="D788" s="6" t="e">
        <f t="shared" si="15"/>
        <v>#VALUE!</v>
      </c>
      <c r="E788" s="6" t="s">
        <v>3976</v>
      </c>
      <c r="F788" s="7">
        <v>307</v>
      </c>
      <c r="G788" s="6" t="s">
        <v>21</v>
      </c>
      <c r="H788" s="11" t="s">
        <v>3977</v>
      </c>
      <c r="I788" s="9" t="s">
        <v>3978</v>
      </c>
      <c r="J788" s="9" t="s">
        <v>3979</v>
      </c>
      <c r="K788" s="9" t="s">
        <v>3980</v>
      </c>
      <c r="L788" s="9" t="s">
        <v>331</v>
      </c>
      <c r="M788" s="9" t="s">
        <v>3981</v>
      </c>
      <c r="N788" s="9" t="s">
        <v>3982</v>
      </c>
      <c r="O788" s="6">
        <f t="shared" si="16"/>
        <v>1540</v>
      </c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2.75" x14ac:dyDescent="0.2">
      <c r="A789" s="5" t="s">
        <v>2937</v>
      </c>
      <c r="B789" s="5" t="s">
        <v>2937</v>
      </c>
      <c r="C789" s="4">
        <v>207</v>
      </c>
      <c r="D789" s="6" t="e">
        <f t="shared" si="15"/>
        <v>#VALUE!</v>
      </c>
      <c r="E789" s="6" t="s">
        <v>3983</v>
      </c>
      <c r="F789" s="7">
        <v>307</v>
      </c>
      <c r="G789" s="6" t="s">
        <v>28</v>
      </c>
      <c r="H789" s="8" t="s">
        <v>1569</v>
      </c>
      <c r="I789" s="10" t="s">
        <v>3984</v>
      </c>
      <c r="J789" s="9" t="s">
        <v>3985</v>
      </c>
      <c r="K789" s="9" t="s">
        <v>3986</v>
      </c>
      <c r="L789" s="9" t="s">
        <v>3987</v>
      </c>
      <c r="M789" s="9" t="s">
        <v>3988</v>
      </c>
      <c r="N789" s="9" t="s">
        <v>3982</v>
      </c>
      <c r="O789" s="6">
        <f t="shared" si="16"/>
        <v>1232</v>
      </c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2.75" x14ac:dyDescent="0.2">
      <c r="A790" s="5" t="s">
        <v>2937</v>
      </c>
      <c r="B790" s="5" t="s">
        <v>2937</v>
      </c>
      <c r="C790" s="4">
        <v>208</v>
      </c>
      <c r="D790" s="6" t="e">
        <f t="shared" si="15"/>
        <v>#VALUE!</v>
      </c>
      <c r="E790" s="6" t="s">
        <v>3989</v>
      </c>
      <c r="F790" s="7">
        <v>307</v>
      </c>
      <c r="G790" s="6" t="s">
        <v>21</v>
      </c>
      <c r="H790" s="11" t="s">
        <v>3990</v>
      </c>
      <c r="I790" s="9" t="s">
        <v>3991</v>
      </c>
      <c r="J790" s="9" t="s">
        <v>3992</v>
      </c>
      <c r="K790" s="9" t="s">
        <v>3993</v>
      </c>
      <c r="L790" s="9" t="s">
        <v>709</v>
      </c>
      <c r="M790" s="9" t="s">
        <v>3994</v>
      </c>
      <c r="N790" s="9" t="s">
        <v>3982</v>
      </c>
      <c r="O790" s="6">
        <f t="shared" si="16"/>
        <v>1540</v>
      </c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2.75" x14ac:dyDescent="0.2">
      <c r="A791" s="5" t="s">
        <v>2937</v>
      </c>
      <c r="B791" s="5" t="s">
        <v>2937</v>
      </c>
      <c r="C791" s="4">
        <v>209</v>
      </c>
      <c r="D791" s="6" t="e">
        <f t="shared" si="15"/>
        <v>#VALUE!</v>
      </c>
      <c r="E791" s="6" t="s">
        <v>3385</v>
      </c>
      <c r="F791" s="7">
        <v>308</v>
      </c>
      <c r="G791" s="6" t="s">
        <v>21</v>
      </c>
      <c r="H791" s="11" t="s">
        <v>745</v>
      </c>
      <c r="I791" s="9" t="s">
        <v>3995</v>
      </c>
      <c r="J791" s="9" t="s">
        <v>3996</v>
      </c>
      <c r="K791" s="9" t="s">
        <v>3997</v>
      </c>
      <c r="L791" s="9" t="s">
        <v>3998</v>
      </c>
      <c r="M791" s="9" t="s">
        <v>3999</v>
      </c>
      <c r="N791" s="9" t="s">
        <v>4000</v>
      </c>
      <c r="O791" s="6">
        <f t="shared" si="16"/>
        <v>1545</v>
      </c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2.75" x14ac:dyDescent="0.2">
      <c r="A792" s="5" t="s">
        <v>2937</v>
      </c>
      <c r="B792" s="5" t="s">
        <v>2937</v>
      </c>
      <c r="C792" s="4">
        <v>210</v>
      </c>
      <c r="D792" s="6" t="e">
        <f t="shared" si="15"/>
        <v>#VALUE!</v>
      </c>
      <c r="E792" s="6" t="s">
        <v>3792</v>
      </c>
      <c r="F792" s="7">
        <v>308</v>
      </c>
      <c r="G792" s="6" t="s">
        <v>17</v>
      </c>
      <c r="H792" s="8" t="s">
        <v>4001</v>
      </c>
      <c r="I792" s="9" t="s">
        <v>2258</v>
      </c>
      <c r="J792" s="10" t="s">
        <v>4002</v>
      </c>
      <c r="K792" s="9" t="s">
        <v>1115</v>
      </c>
      <c r="L792" s="9" t="s">
        <v>4003</v>
      </c>
      <c r="M792" s="9" t="s">
        <v>4004</v>
      </c>
      <c r="N792" s="9" t="s">
        <v>4000</v>
      </c>
      <c r="O792" s="6">
        <f t="shared" si="16"/>
        <v>618</v>
      </c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2.75" x14ac:dyDescent="0.2">
      <c r="A793" s="5" t="s">
        <v>2937</v>
      </c>
      <c r="B793" s="5" t="s">
        <v>2937</v>
      </c>
      <c r="C793" s="4">
        <v>211</v>
      </c>
      <c r="D793" s="6" t="e">
        <f t="shared" si="15"/>
        <v>#VALUE!</v>
      </c>
      <c r="E793" s="6" t="s">
        <v>4005</v>
      </c>
      <c r="F793" s="7">
        <v>308</v>
      </c>
      <c r="G793" s="6" t="s">
        <v>28</v>
      </c>
      <c r="H793" s="8" t="s">
        <v>4006</v>
      </c>
      <c r="I793" s="10" t="s">
        <v>4007</v>
      </c>
      <c r="J793" s="9" t="s">
        <v>4008</v>
      </c>
      <c r="K793" s="9" t="s">
        <v>4009</v>
      </c>
      <c r="L793" s="9" t="s">
        <v>4010</v>
      </c>
      <c r="M793" s="9" t="s">
        <v>4011</v>
      </c>
      <c r="N793" s="9" t="s">
        <v>4000</v>
      </c>
      <c r="O793" s="6">
        <f t="shared" si="16"/>
        <v>1236</v>
      </c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2.75" x14ac:dyDescent="0.2">
      <c r="A794" s="5" t="s">
        <v>2937</v>
      </c>
      <c r="B794" s="5" t="s">
        <v>2937</v>
      </c>
      <c r="C794" s="4">
        <v>212</v>
      </c>
      <c r="D794" s="6" t="e">
        <f t="shared" si="15"/>
        <v>#VALUE!</v>
      </c>
      <c r="E794" s="6" t="s">
        <v>4012</v>
      </c>
      <c r="F794" s="7">
        <v>309</v>
      </c>
      <c r="G794" s="6" t="s">
        <v>17</v>
      </c>
      <c r="H794" s="8" t="s">
        <v>4013</v>
      </c>
      <c r="I794" s="9" t="s">
        <v>4014</v>
      </c>
      <c r="J794" s="10" t="s">
        <v>4015</v>
      </c>
      <c r="K794" s="9" t="s">
        <v>4016</v>
      </c>
      <c r="L794" s="9" t="s">
        <v>4017</v>
      </c>
      <c r="M794" s="9" t="s">
        <v>4018</v>
      </c>
      <c r="N794" s="9" t="s">
        <v>4019</v>
      </c>
      <c r="O794" s="6">
        <f t="shared" si="16"/>
        <v>620</v>
      </c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2.75" x14ac:dyDescent="0.2">
      <c r="A795" s="5" t="s">
        <v>2937</v>
      </c>
      <c r="B795" s="5" t="s">
        <v>2937</v>
      </c>
      <c r="C795" s="4">
        <v>213</v>
      </c>
      <c r="D795" s="6" t="e">
        <f t="shared" si="15"/>
        <v>#VALUE!</v>
      </c>
      <c r="E795" s="6" t="s">
        <v>306</v>
      </c>
      <c r="F795" s="7">
        <v>309</v>
      </c>
      <c r="G795" s="6" t="s">
        <v>17</v>
      </c>
      <c r="H795" s="8" t="s">
        <v>4020</v>
      </c>
      <c r="I795" s="9" t="s">
        <v>4021</v>
      </c>
      <c r="J795" s="10" t="s">
        <v>4022</v>
      </c>
      <c r="K795" s="9" t="s">
        <v>4023</v>
      </c>
      <c r="L795" s="9" t="s">
        <v>4024</v>
      </c>
      <c r="M795" s="9" t="s">
        <v>4025</v>
      </c>
      <c r="N795" s="9" t="s">
        <v>4019</v>
      </c>
      <c r="O795" s="6">
        <f t="shared" si="16"/>
        <v>620</v>
      </c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2.75" x14ac:dyDescent="0.2">
      <c r="A796" s="5" t="s">
        <v>2937</v>
      </c>
      <c r="B796" s="5" t="s">
        <v>2937</v>
      </c>
      <c r="C796" s="4">
        <v>214</v>
      </c>
      <c r="D796" s="6" t="e">
        <f t="shared" si="15"/>
        <v>#VALUE!</v>
      </c>
      <c r="E796" s="6" t="s">
        <v>407</v>
      </c>
      <c r="F796" s="7">
        <v>309</v>
      </c>
      <c r="G796" s="6" t="s">
        <v>28</v>
      </c>
      <c r="H796" s="8" t="s">
        <v>4026</v>
      </c>
      <c r="I796" s="10" t="s">
        <v>4027</v>
      </c>
      <c r="J796" s="9" t="s">
        <v>1179</v>
      </c>
      <c r="K796" s="9" t="s">
        <v>4028</v>
      </c>
      <c r="L796" s="9" t="s">
        <v>4029</v>
      </c>
      <c r="M796" s="9" t="s">
        <v>4030</v>
      </c>
      <c r="N796" s="9" t="s">
        <v>4019</v>
      </c>
      <c r="O796" s="6">
        <f t="shared" si="16"/>
        <v>1240</v>
      </c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2.75" x14ac:dyDescent="0.2">
      <c r="A797" s="5" t="s">
        <v>2937</v>
      </c>
      <c r="B797" s="5" t="s">
        <v>2937</v>
      </c>
      <c r="C797" s="4">
        <v>215</v>
      </c>
      <c r="D797" s="6" t="e">
        <f t="shared" si="15"/>
        <v>#VALUE!</v>
      </c>
      <c r="E797" s="6" t="s">
        <v>4031</v>
      </c>
      <c r="F797" s="7">
        <v>310</v>
      </c>
      <c r="G797" s="6" t="s">
        <v>28</v>
      </c>
      <c r="H797" s="8" t="s">
        <v>4032</v>
      </c>
      <c r="I797" s="10" t="s">
        <v>4033</v>
      </c>
      <c r="J797" s="9" t="s">
        <v>4034</v>
      </c>
      <c r="K797" s="9" t="s">
        <v>4035</v>
      </c>
      <c r="L797" s="9" t="s">
        <v>4036</v>
      </c>
      <c r="M797" s="9" t="s">
        <v>4037</v>
      </c>
      <c r="N797" s="9" t="s">
        <v>4038</v>
      </c>
      <c r="O797" s="6">
        <f t="shared" si="16"/>
        <v>1244</v>
      </c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2.75" x14ac:dyDescent="0.2">
      <c r="A798" s="5" t="s">
        <v>2937</v>
      </c>
      <c r="B798" s="5" t="s">
        <v>2937</v>
      </c>
      <c r="C798" s="4">
        <v>216</v>
      </c>
      <c r="D798" s="6" t="e">
        <f t="shared" si="15"/>
        <v>#VALUE!</v>
      </c>
      <c r="E798" s="6" t="s">
        <v>4039</v>
      </c>
      <c r="F798" s="7">
        <v>310</v>
      </c>
      <c r="G798" s="6" t="s">
        <v>17</v>
      </c>
      <c r="H798" s="8" t="s">
        <v>275</v>
      </c>
      <c r="I798" s="9" t="s">
        <v>4040</v>
      </c>
      <c r="J798" s="10" t="s">
        <v>4041</v>
      </c>
      <c r="K798" s="9" t="s">
        <v>4042</v>
      </c>
      <c r="L798" s="9" t="s">
        <v>4043</v>
      </c>
      <c r="M798" s="9" t="s">
        <v>4044</v>
      </c>
      <c r="N798" s="9" t="s">
        <v>4038</v>
      </c>
      <c r="O798" s="6">
        <f t="shared" si="16"/>
        <v>622</v>
      </c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2.75" x14ac:dyDescent="0.2">
      <c r="A799" s="5" t="s">
        <v>2937</v>
      </c>
      <c r="B799" s="5" t="s">
        <v>2937</v>
      </c>
      <c r="C799" s="4">
        <v>217</v>
      </c>
      <c r="D799" s="6" t="e">
        <f t="shared" si="15"/>
        <v>#VALUE!</v>
      </c>
      <c r="E799" s="6" t="s">
        <v>4045</v>
      </c>
      <c r="F799" s="7">
        <v>310</v>
      </c>
      <c r="G799" s="6" t="s">
        <v>21</v>
      </c>
      <c r="H799" s="11" t="s">
        <v>4046</v>
      </c>
      <c r="I799" s="9" t="s">
        <v>4047</v>
      </c>
      <c r="J799" s="9" t="s">
        <v>4048</v>
      </c>
      <c r="K799" s="9" t="s">
        <v>4049</v>
      </c>
      <c r="L799" s="9" t="s">
        <v>981</v>
      </c>
      <c r="M799" s="9" t="s">
        <v>4050</v>
      </c>
      <c r="N799" s="9" t="s">
        <v>4038</v>
      </c>
      <c r="O799" s="6">
        <f t="shared" si="16"/>
        <v>1554.9999427098253</v>
      </c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2.75" x14ac:dyDescent="0.2">
      <c r="A800" s="5" t="s">
        <v>2937</v>
      </c>
      <c r="B800" s="5" t="s">
        <v>2937</v>
      </c>
      <c r="C800" s="4">
        <v>218</v>
      </c>
      <c r="D800" s="6" t="e">
        <f t="shared" si="15"/>
        <v>#VALUE!</v>
      </c>
      <c r="E800" s="6" t="s">
        <v>3517</v>
      </c>
      <c r="F800" s="7">
        <v>311</v>
      </c>
      <c r="G800" s="6" t="s">
        <v>21</v>
      </c>
      <c r="H800" s="11" t="s">
        <v>4051</v>
      </c>
      <c r="I800" s="9" t="s">
        <v>4052</v>
      </c>
      <c r="J800" s="9" t="s">
        <v>4053</v>
      </c>
      <c r="K800" s="9" t="s">
        <v>4054</v>
      </c>
      <c r="L800" s="9" t="s">
        <v>4055</v>
      </c>
      <c r="M800" s="9" t="s">
        <v>4056</v>
      </c>
      <c r="N800" s="9" t="s">
        <v>4057</v>
      </c>
      <c r="O800" s="6">
        <f t="shared" si="16"/>
        <v>1560</v>
      </c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2.75" x14ac:dyDescent="0.2">
      <c r="A801" s="5" t="s">
        <v>2937</v>
      </c>
      <c r="B801" s="5" t="s">
        <v>2937</v>
      </c>
      <c r="C801" s="4">
        <v>219</v>
      </c>
      <c r="D801" s="6" t="e">
        <f t="shared" si="15"/>
        <v>#VALUE!</v>
      </c>
      <c r="E801" s="6" t="s">
        <v>4058</v>
      </c>
      <c r="F801" s="7">
        <v>311</v>
      </c>
      <c r="G801" s="6" t="s">
        <v>17</v>
      </c>
      <c r="H801" s="8" t="s">
        <v>3741</v>
      </c>
      <c r="I801" s="9" t="s">
        <v>4059</v>
      </c>
      <c r="J801" s="10" t="s">
        <v>4060</v>
      </c>
      <c r="K801" s="9" t="s">
        <v>4046</v>
      </c>
      <c r="L801" s="9" t="s">
        <v>4061</v>
      </c>
      <c r="M801" s="9" t="s">
        <v>4062</v>
      </c>
      <c r="N801" s="9" t="s">
        <v>4057</v>
      </c>
      <c r="O801" s="6">
        <f t="shared" si="16"/>
        <v>624</v>
      </c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2.75" x14ac:dyDescent="0.2">
      <c r="A802" s="5" t="s">
        <v>2937</v>
      </c>
      <c r="B802" s="5" t="s">
        <v>2937</v>
      </c>
      <c r="C802" s="4">
        <v>220</v>
      </c>
      <c r="D802" s="6" t="e">
        <f t="shared" si="15"/>
        <v>#VALUE!</v>
      </c>
      <c r="E802" s="6" t="s">
        <v>4063</v>
      </c>
      <c r="F802" s="7">
        <v>311</v>
      </c>
      <c r="G802" s="6" t="s">
        <v>21</v>
      </c>
      <c r="H802" s="11" t="s">
        <v>4064</v>
      </c>
      <c r="I802" s="9" t="s">
        <v>4065</v>
      </c>
      <c r="J802" s="9" t="s">
        <v>4066</v>
      </c>
      <c r="K802" s="9" t="s">
        <v>4067</v>
      </c>
      <c r="L802" s="9" t="s">
        <v>4068</v>
      </c>
      <c r="M802" s="9" t="s">
        <v>4069</v>
      </c>
      <c r="N802" s="9" t="s">
        <v>4057</v>
      </c>
      <c r="O802" s="6">
        <f t="shared" si="16"/>
        <v>1560</v>
      </c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2.75" x14ac:dyDescent="0.2">
      <c r="A803" s="5" t="s">
        <v>2937</v>
      </c>
      <c r="B803" s="5" t="s">
        <v>2937</v>
      </c>
      <c r="C803" s="4">
        <v>221</v>
      </c>
      <c r="D803" s="6" t="e">
        <f t="shared" si="15"/>
        <v>#VALUE!</v>
      </c>
      <c r="E803" s="6" t="s">
        <v>3108</v>
      </c>
      <c r="F803" s="7">
        <v>312</v>
      </c>
      <c r="G803" s="6" t="s">
        <v>28</v>
      </c>
      <c r="H803" s="8" t="s">
        <v>4070</v>
      </c>
      <c r="I803" s="10" t="s">
        <v>4071</v>
      </c>
      <c r="J803" s="9" t="s">
        <v>2305</v>
      </c>
      <c r="K803" s="9" t="s">
        <v>4072</v>
      </c>
      <c r="L803" s="9" t="s">
        <v>459</v>
      </c>
      <c r="M803" s="9" t="s">
        <v>4073</v>
      </c>
      <c r="N803" s="9" t="s">
        <v>4074</v>
      </c>
      <c r="O803" s="6">
        <f t="shared" si="16"/>
        <v>1252</v>
      </c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2.75" x14ac:dyDescent="0.2">
      <c r="A804" s="5" t="s">
        <v>2937</v>
      </c>
      <c r="B804" s="5" t="s">
        <v>2937</v>
      </c>
      <c r="C804" s="4">
        <v>222</v>
      </c>
      <c r="D804" s="6" t="e">
        <f t="shared" si="15"/>
        <v>#VALUE!</v>
      </c>
      <c r="E804" s="6" t="s">
        <v>3050</v>
      </c>
      <c r="F804" s="7">
        <v>312</v>
      </c>
      <c r="G804" s="6" t="s">
        <v>17</v>
      </c>
      <c r="H804" s="8" t="s">
        <v>4075</v>
      </c>
      <c r="I804" s="9" t="s">
        <v>4076</v>
      </c>
      <c r="J804" s="10" t="s">
        <v>4077</v>
      </c>
      <c r="K804" s="9" t="s">
        <v>4078</v>
      </c>
      <c r="L804" s="9" t="s">
        <v>4079</v>
      </c>
      <c r="M804" s="9" t="s">
        <v>4080</v>
      </c>
      <c r="N804" s="9" t="s">
        <v>4074</v>
      </c>
      <c r="O804" s="6">
        <f t="shared" si="16"/>
        <v>626</v>
      </c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2.75" x14ac:dyDescent="0.2">
      <c r="A805" s="5" t="s">
        <v>2937</v>
      </c>
      <c r="B805" s="5" t="s">
        <v>2937</v>
      </c>
      <c r="C805" s="4">
        <v>223</v>
      </c>
      <c r="D805" s="6" t="e">
        <f t="shared" si="15"/>
        <v>#VALUE!</v>
      </c>
      <c r="E805" s="6" t="s">
        <v>4081</v>
      </c>
      <c r="F805" s="7">
        <v>312</v>
      </c>
      <c r="G805" s="6" t="s">
        <v>21</v>
      </c>
      <c r="H805" s="11" t="s">
        <v>4082</v>
      </c>
      <c r="I805" s="9" t="s">
        <v>4083</v>
      </c>
      <c r="J805" s="9" t="s">
        <v>4084</v>
      </c>
      <c r="K805" s="9" t="s">
        <v>4085</v>
      </c>
      <c r="L805" s="9" t="s">
        <v>1578</v>
      </c>
      <c r="M805" s="9" t="s">
        <v>4086</v>
      </c>
      <c r="N805" s="9" t="s">
        <v>4074</v>
      </c>
      <c r="O805" s="6">
        <f t="shared" si="16"/>
        <v>1565</v>
      </c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2.75" x14ac:dyDescent="0.2">
      <c r="A806" s="5" t="s">
        <v>2937</v>
      </c>
      <c r="B806" s="5" t="s">
        <v>2937</v>
      </c>
      <c r="C806" s="4">
        <v>224</v>
      </c>
      <c r="D806" s="6" t="e">
        <f t="shared" si="15"/>
        <v>#VALUE!</v>
      </c>
      <c r="E806" s="6" t="s">
        <v>2970</v>
      </c>
      <c r="F806" s="7">
        <v>313</v>
      </c>
      <c r="G806" s="6" t="s">
        <v>17</v>
      </c>
      <c r="H806" s="8" t="s">
        <v>4087</v>
      </c>
      <c r="I806" s="9" t="s">
        <v>4088</v>
      </c>
      <c r="J806" s="10" t="s">
        <v>4089</v>
      </c>
      <c r="K806" s="9" t="s">
        <v>4090</v>
      </c>
      <c r="L806" s="9" t="s">
        <v>4091</v>
      </c>
      <c r="M806" s="9" t="s">
        <v>4092</v>
      </c>
      <c r="N806" s="9" t="s">
        <v>4093</v>
      </c>
      <c r="O806" s="6">
        <f t="shared" si="16"/>
        <v>628</v>
      </c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2.75" x14ac:dyDescent="0.2">
      <c r="A807" s="5" t="s">
        <v>2937</v>
      </c>
      <c r="B807" s="5" t="s">
        <v>2937</v>
      </c>
      <c r="C807" s="4">
        <v>225</v>
      </c>
      <c r="D807" s="6" t="e">
        <f t="shared" si="15"/>
        <v>#VALUE!</v>
      </c>
      <c r="E807" s="6" t="s">
        <v>4094</v>
      </c>
      <c r="F807" s="7">
        <v>313</v>
      </c>
      <c r="G807" s="6" t="s">
        <v>21</v>
      </c>
      <c r="H807" s="11" t="s">
        <v>4095</v>
      </c>
      <c r="I807" s="9" t="s">
        <v>4096</v>
      </c>
      <c r="J807" s="9" t="s">
        <v>4097</v>
      </c>
      <c r="K807" s="9" t="s">
        <v>4098</v>
      </c>
      <c r="L807" s="9" t="s">
        <v>974</v>
      </c>
      <c r="M807" s="9" t="s">
        <v>4099</v>
      </c>
      <c r="N807" s="9" t="s">
        <v>4093</v>
      </c>
      <c r="O807" s="6">
        <f t="shared" si="16"/>
        <v>1570</v>
      </c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2.75" x14ac:dyDescent="0.2">
      <c r="A808" s="5" t="s">
        <v>2937</v>
      </c>
      <c r="B808" s="5" t="s">
        <v>2937</v>
      </c>
      <c r="C808" s="4">
        <v>226</v>
      </c>
      <c r="D808" s="6" t="e">
        <f t="shared" si="15"/>
        <v>#VALUE!</v>
      </c>
      <c r="E808" s="6" t="s">
        <v>3989</v>
      </c>
      <c r="F808" s="7">
        <v>313</v>
      </c>
      <c r="G808" s="6" t="s">
        <v>21</v>
      </c>
      <c r="H808" s="11" t="s">
        <v>4100</v>
      </c>
      <c r="I808" s="9" t="s">
        <v>4101</v>
      </c>
      <c r="J808" s="9" t="s">
        <v>4102</v>
      </c>
      <c r="K808" s="9" t="s">
        <v>4103</v>
      </c>
      <c r="L808" s="9" t="s">
        <v>4104</v>
      </c>
      <c r="M808" s="9" t="s">
        <v>4105</v>
      </c>
      <c r="N808" s="9" t="s">
        <v>4093</v>
      </c>
      <c r="O808" s="6">
        <f t="shared" si="16"/>
        <v>1570</v>
      </c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2.75" x14ac:dyDescent="0.2">
      <c r="A809" s="5" t="s">
        <v>2937</v>
      </c>
      <c r="B809" s="5" t="s">
        <v>2937</v>
      </c>
      <c r="C809" s="4">
        <v>227</v>
      </c>
      <c r="D809" s="6" t="e">
        <f t="shared" si="15"/>
        <v>#VALUE!</v>
      </c>
      <c r="E809" s="6" t="s">
        <v>3808</v>
      </c>
      <c r="F809" s="7">
        <v>314</v>
      </c>
      <c r="G809" s="6" t="s">
        <v>21</v>
      </c>
      <c r="H809" s="11" t="s">
        <v>4106</v>
      </c>
      <c r="I809" s="9" t="s">
        <v>4107</v>
      </c>
      <c r="J809" s="9" t="s">
        <v>4108</v>
      </c>
      <c r="K809" s="9" t="s">
        <v>4109</v>
      </c>
      <c r="L809" s="9" t="s">
        <v>4110</v>
      </c>
      <c r="M809" s="9" t="s">
        <v>4111</v>
      </c>
      <c r="N809" s="9" t="s">
        <v>4112</v>
      </c>
      <c r="O809" s="6">
        <f t="shared" si="16"/>
        <v>1575.0000540160968</v>
      </c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2.75" x14ac:dyDescent="0.2">
      <c r="A810" s="5" t="s">
        <v>2937</v>
      </c>
      <c r="B810" s="5" t="s">
        <v>2937</v>
      </c>
      <c r="C810" s="4">
        <v>228</v>
      </c>
      <c r="D810" s="6" t="e">
        <f t="shared" si="15"/>
        <v>#VALUE!</v>
      </c>
      <c r="E810" s="6" t="s">
        <v>3600</v>
      </c>
      <c r="F810" s="7">
        <v>314</v>
      </c>
      <c r="G810" s="6" t="s">
        <v>21</v>
      </c>
      <c r="H810" s="11" t="s">
        <v>4113</v>
      </c>
      <c r="I810" s="9" t="s">
        <v>4114</v>
      </c>
      <c r="J810" s="9" t="s">
        <v>432</v>
      </c>
      <c r="K810" s="9" t="s">
        <v>4115</v>
      </c>
      <c r="L810" s="9" t="s">
        <v>4116</v>
      </c>
      <c r="M810" s="9" t="s">
        <v>4117</v>
      </c>
      <c r="N810" s="9" t="s">
        <v>4112</v>
      </c>
      <c r="O810" s="6">
        <f t="shared" si="16"/>
        <v>1575</v>
      </c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2.75" x14ac:dyDescent="0.2">
      <c r="A811" s="5" t="s">
        <v>2937</v>
      </c>
      <c r="B811" s="5" t="s">
        <v>2937</v>
      </c>
      <c r="C811" s="4">
        <v>229</v>
      </c>
      <c r="D811" s="6" t="e">
        <f t="shared" si="15"/>
        <v>#VALUE!</v>
      </c>
      <c r="E811" s="6" t="s">
        <v>3160</v>
      </c>
      <c r="F811" s="7">
        <v>314</v>
      </c>
      <c r="G811" s="6" t="s">
        <v>17</v>
      </c>
      <c r="H811" s="8" t="s">
        <v>4118</v>
      </c>
      <c r="I811" s="9" t="s">
        <v>4119</v>
      </c>
      <c r="J811" s="10" t="s">
        <v>4120</v>
      </c>
      <c r="K811" s="9" t="s">
        <v>4121</v>
      </c>
      <c r="L811" s="9" t="s">
        <v>4122</v>
      </c>
      <c r="M811" s="9" t="s">
        <v>4123</v>
      </c>
      <c r="N811" s="9" t="s">
        <v>4112</v>
      </c>
      <c r="O811" s="6">
        <f t="shared" si="16"/>
        <v>630</v>
      </c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2.75" x14ac:dyDescent="0.2">
      <c r="A812" s="5" t="s">
        <v>2937</v>
      </c>
      <c r="B812" s="5" t="s">
        <v>2937</v>
      </c>
      <c r="C812" s="4">
        <v>230</v>
      </c>
      <c r="D812" s="6" t="e">
        <f t="shared" si="15"/>
        <v>#VALUE!</v>
      </c>
      <c r="E812" s="6" t="s">
        <v>2974</v>
      </c>
      <c r="F812" s="7">
        <v>315</v>
      </c>
      <c r="G812" s="6" t="s">
        <v>21</v>
      </c>
      <c r="H812" s="11" t="s">
        <v>4124</v>
      </c>
      <c r="I812" s="9" t="s">
        <v>4125</v>
      </c>
      <c r="J812" s="9" t="s">
        <v>4126</v>
      </c>
      <c r="K812" s="9" t="s">
        <v>4127</v>
      </c>
      <c r="L812" s="9" t="s">
        <v>4128</v>
      </c>
      <c r="M812" s="9" t="s">
        <v>4129</v>
      </c>
      <c r="N812" s="9" t="s">
        <v>4130</v>
      </c>
      <c r="O812" s="6">
        <f t="shared" si="16"/>
        <v>1580</v>
      </c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2.75" x14ac:dyDescent="0.2">
      <c r="A813" s="5" t="s">
        <v>2937</v>
      </c>
      <c r="B813" s="5" t="s">
        <v>2937</v>
      </c>
      <c r="C813" s="4">
        <v>231</v>
      </c>
      <c r="D813" s="6" t="e">
        <f t="shared" si="15"/>
        <v>#VALUE!</v>
      </c>
      <c r="E813" s="6" t="s">
        <v>4131</v>
      </c>
      <c r="F813" s="7">
        <v>315</v>
      </c>
      <c r="G813" s="6" t="s">
        <v>21</v>
      </c>
      <c r="H813" s="11" t="s">
        <v>4132</v>
      </c>
      <c r="I813" s="9" t="s">
        <v>4133</v>
      </c>
      <c r="J813" s="9" t="s">
        <v>2750</v>
      </c>
      <c r="K813" s="9" t="s">
        <v>4134</v>
      </c>
      <c r="L813" s="9" t="s">
        <v>4135</v>
      </c>
      <c r="M813" s="9" t="s">
        <v>4136</v>
      </c>
      <c r="N813" s="9" t="s">
        <v>4130</v>
      </c>
      <c r="O813" s="6">
        <f t="shared" si="16"/>
        <v>1580</v>
      </c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2.75" x14ac:dyDescent="0.2">
      <c r="A814" s="5" t="s">
        <v>2937</v>
      </c>
      <c r="B814" s="5" t="s">
        <v>2937</v>
      </c>
      <c r="C814" s="4">
        <v>232</v>
      </c>
      <c r="D814" s="6" t="e">
        <f t="shared" si="15"/>
        <v>#VALUE!</v>
      </c>
      <c r="E814" s="6" t="s">
        <v>34</v>
      </c>
      <c r="F814" s="7">
        <v>315</v>
      </c>
      <c r="G814" s="6" t="s">
        <v>28</v>
      </c>
      <c r="H814" s="8" t="s">
        <v>4137</v>
      </c>
      <c r="I814" s="10" t="s">
        <v>4138</v>
      </c>
      <c r="J814" s="9" t="s">
        <v>4139</v>
      </c>
      <c r="K814" s="9" t="s">
        <v>4140</v>
      </c>
      <c r="L814" s="9" t="s">
        <v>4141</v>
      </c>
      <c r="M814" s="9" t="s">
        <v>4142</v>
      </c>
      <c r="N814" s="9" t="s">
        <v>4130</v>
      </c>
      <c r="O814" s="6">
        <f t="shared" si="16"/>
        <v>1264</v>
      </c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2.75" x14ac:dyDescent="0.2">
      <c r="A815" s="5" t="s">
        <v>2937</v>
      </c>
      <c r="B815" s="5" t="s">
        <v>2937</v>
      </c>
      <c r="C815" s="4">
        <v>233</v>
      </c>
      <c r="D815" s="6" t="e">
        <f t="shared" si="15"/>
        <v>#VALUE!</v>
      </c>
      <c r="E815" s="6" t="s">
        <v>3246</v>
      </c>
      <c r="F815" s="7">
        <v>316</v>
      </c>
      <c r="G815" s="6" t="s">
        <v>21</v>
      </c>
      <c r="H815" s="11" t="s">
        <v>4143</v>
      </c>
      <c r="I815" s="9" t="s">
        <v>4144</v>
      </c>
      <c r="J815" s="9" t="s">
        <v>4145</v>
      </c>
      <c r="K815" s="9" t="s">
        <v>4146</v>
      </c>
      <c r="L815" s="9" t="s">
        <v>4147</v>
      </c>
      <c r="M815" s="9" t="s">
        <v>4148</v>
      </c>
      <c r="N815" s="9" t="s">
        <v>4149</v>
      </c>
      <c r="O815" s="6">
        <f t="shared" si="16"/>
        <v>1585</v>
      </c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2.75" x14ac:dyDescent="0.2">
      <c r="A816" s="5" t="s">
        <v>2937</v>
      </c>
      <c r="B816" s="5" t="s">
        <v>2937</v>
      </c>
      <c r="C816" s="4">
        <v>234</v>
      </c>
      <c r="D816" s="6" t="e">
        <f t="shared" si="15"/>
        <v>#VALUE!</v>
      </c>
      <c r="E816" s="6" t="s">
        <v>3296</v>
      </c>
      <c r="F816" s="7">
        <v>316</v>
      </c>
      <c r="G816" s="6" t="s">
        <v>17</v>
      </c>
      <c r="H816" s="8" t="s">
        <v>1573</v>
      </c>
      <c r="I816" s="9" t="s">
        <v>4150</v>
      </c>
      <c r="J816" s="10" t="s">
        <v>4151</v>
      </c>
      <c r="K816" s="9" t="s">
        <v>4152</v>
      </c>
      <c r="L816" s="9" t="s">
        <v>4153</v>
      </c>
      <c r="M816" s="9" t="s">
        <v>4154</v>
      </c>
      <c r="N816" s="9" t="s">
        <v>4149</v>
      </c>
      <c r="O816" s="6">
        <f t="shared" si="16"/>
        <v>634</v>
      </c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2.75" x14ac:dyDescent="0.2">
      <c r="A817" s="5" t="s">
        <v>2937</v>
      </c>
      <c r="B817" s="5" t="s">
        <v>2937</v>
      </c>
      <c r="C817" s="4">
        <v>235</v>
      </c>
      <c r="D817" s="6" t="e">
        <f t="shared" si="15"/>
        <v>#VALUE!</v>
      </c>
      <c r="E817" s="6" t="s">
        <v>3296</v>
      </c>
      <c r="F817" s="7">
        <v>316</v>
      </c>
      <c r="G817" s="6" t="s">
        <v>28</v>
      </c>
      <c r="H817" s="8" t="s">
        <v>4155</v>
      </c>
      <c r="I817" s="10" t="s">
        <v>4156</v>
      </c>
      <c r="J817" s="9" t="s">
        <v>3816</v>
      </c>
      <c r="K817" s="9" t="s">
        <v>4157</v>
      </c>
      <c r="L817" s="9" t="s">
        <v>4158</v>
      </c>
      <c r="M817" s="9" t="s">
        <v>4159</v>
      </c>
      <c r="N817" s="9" t="s">
        <v>4149</v>
      </c>
      <c r="O817" s="6">
        <f t="shared" si="16"/>
        <v>1268</v>
      </c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2.75" x14ac:dyDescent="0.2">
      <c r="A818" s="5" t="s">
        <v>2937</v>
      </c>
      <c r="B818" s="5" t="s">
        <v>2937</v>
      </c>
      <c r="C818" s="4">
        <v>236</v>
      </c>
      <c r="D818" s="6" t="e">
        <f t="shared" si="15"/>
        <v>#VALUE!</v>
      </c>
      <c r="E818" s="6" t="s">
        <v>3205</v>
      </c>
      <c r="F818" s="7">
        <v>316</v>
      </c>
      <c r="G818" s="6" t="s">
        <v>21</v>
      </c>
      <c r="H818" s="11" t="s">
        <v>4160</v>
      </c>
      <c r="I818" s="9" t="s">
        <v>4161</v>
      </c>
      <c r="J818" s="9" t="s">
        <v>4162</v>
      </c>
      <c r="K818" s="9" t="s">
        <v>4163</v>
      </c>
      <c r="L818" s="9" t="s">
        <v>4164</v>
      </c>
      <c r="M818" s="9" t="s">
        <v>4165</v>
      </c>
      <c r="N818" s="9" t="s">
        <v>4149</v>
      </c>
      <c r="O818" s="6">
        <f t="shared" si="16"/>
        <v>1585</v>
      </c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2.75" x14ac:dyDescent="0.2">
      <c r="A819" s="5" t="s">
        <v>2937</v>
      </c>
      <c r="B819" s="5" t="s">
        <v>2937</v>
      </c>
      <c r="C819" s="4">
        <v>237</v>
      </c>
      <c r="D819" s="6" t="e">
        <f t="shared" si="15"/>
        <v>#VALUE!</v>
      </c>
      <c r="E819" s="6" t="s">
        <v>4166</v>
      </c>
      <c r="F819" s="7">
        <v>317</v>
      </c>
      <c r="G819" s="6" t="s">
        <v>28</v>
      </c>
      <c r="H819" s="8" t="s">
        <v>4167</v>
      </c>
      <c r="I819" s="10" t="s">
        <v>4168</v>
      </c>
      <c r="J819" s="9" t="s">
        <v>4169</v>
      </c>
      <c r="K819" s="9" t="s">
        <v>4170</v>
      </c>
      <c r="L819" s="9" t="s">
        <v>4171</v>
      </c>
      <c r="M819" s="9" t="s">
        <v>4172</v>
      </c>
      <c r="N819" s="9" t="s">
        <v>4173</v>
      </c>
      <c r="O819" s="6">
        <f t="shared" si="16"/>
        <v>1272</v>
      </c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2.75" x14ac:dyDescent="0.2">
      <c r="A820" s="5" t="s">
        <v>2937</v>
      </c>
      <c r="B820" s="5" t="s">
        <v>2937</v>
      </c>
      <c r="C820" s="4">
        <v>238</v>
      </c>
      <c r="D820" s="6" t="e">
        <f t="shared" si="15"/>
        <v>#VALUE!</v>
      </c>
      <c r="E820" s="6" t="s">
        <v>3144</v>
      </c>
      <c r="F820" s="7">
        <v>317</v>
      </c>
      <c r="G820" s="6" t="s">
        <v>21</v>
      </c>
      <c r="H820" s="11" t="s">
        <v>4174</v>
      </c>
      <c r="I820" s="9" t="s">
        <v>4175</v>
      </c>
      <c r="J820" s="9" t="s">
        <v>4176</v>
      </c>
      <c r="K820" s="9" t="s">
        <v>4177</v>
      </c>
      <c r="L820" s="9" t="s">
        <v>4178</v>
      </c>
      <c r="M820" s="9" t="s">
        <v>4179</v>
      </c>
      <c r="N820" s="9" t="s">
        <v>4173</v>
      </c>
      <c r="O820" s="6">
        <f t="shared" si="16"/>
        <v>1590</v>
      </c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2.75" x14ac:dyDescent="0.2">
      <c r="A821" s="5" t="s">
        <v>2937</v>
      </c>
      <c r="B821" s="5" t="s">
        <v>2937</v>
      </c>
      <c r="C821" s="4">
        <v>239</v>
      </c>
      <c r="D821" s="6" t="e">
        <f t="shared" si="15"/>
        <v>#VALUE!</v>
      </c>
      <c r="E821" s="6" t="s">
        <v>721</v>
      </c>
      <c r="F821" s="7">
        <v>317</v>
      </c>
      <c r="G821" s="6" t="s">
        <v>17</v>
      </c>
      <c r="H821" s="8" t="s">
        <v>4180</v>
      </c>
      <c r="I821" s="9" t="s">
        <v>4181</v>
      </c>
      <c r="J821" s="10" t="s">
        <v>4182</v>
      </c>
      <c r="K821" s="9" t="s">
        <v>4183</v>
      </c>
      <c r="L821" s="9" t="s">
        <v>4184</v>
      </c>
      <c r="M821" s="9" t="s">
        <v>4185</v>
      </c>
      <c r="N821" s="9" t="s">
        <v>4173</v>
      </c>
      <c r="O821" s="6">
        <f t="shared" si="16"/>
        <v>636</v>
      </c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2.75" x14ac:dyDescent="0.2">
      <c r="A822" s="5" t="s">
        <v>2937</v>
      </c>
      <c r="B822" s="5" t="s">
        <v>2937</v>
      </c>
      <c r="C822" s="4">
        <v>240</v>
      </c>
      <c r="D822" s="6" t="e">
        <f t="shared" si="15"/>
        <v>#VALUE!</v>
      </c>
      <c r="E822" s="6" t="s">
        <v>251</v>
      </c>
      <c r="F822" s="7">
        <v>318</v>
      </c>
      <c r="G822" s="6" t="s">
        <v>28</v>
      </c>
      <c r="H822" s="8" t="s">
        <v>4186</v>
      </c>
      <c r="I822" s="10" t="s">
        <v>4187</v>
      </c>
      <c r="J822" s="9" t="s">
        <v>364</v>
      </c>
      <c r="K822" s="9" t="s">
        <v>4188</v>
      </c>
      <c r="L822" s="9" t="s">
        <v>4189</v>
      </c>
      <c r="M822" s="9" t="s">
        <v>4190</v>
      </c>
      <c r="N822" s="9" t="s">
        <v>4191</v>
      </c>
      <c r="O822" s="6">
        <f t="shared" si="16"/>
        <v>1276</v>
      </c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2.75" x14ac:dyDescent="0.2">
      <c r="A823" s="5" t="s">
        <v>2937</v>
      </c>
      <c r="B823" s="5" t="s">
        <v>2937</v>
      </c>
      <c r="C823" s="4">
        <v>241</v>
      </c>
      <c r="D823" s="6" t="e">
        <f t="shared" si="15"/>
        <v>#VALUE!</v>
      </c>
      <c r="E823" s="6" t="s">
        <v>3501</v>
      </c>
      <c r="F823" s="7">
        <v>318</v>
      </c>
      <c r="G823" s="6" t="s">
        <v>28</v>
      </c>
      <c r="H823" s="8" t="s">
        <v>380</v>
      </c>
      <c r="I823" s="10" t="s">
        <v>4192</v>
      </c>
      <c r="J823" s="9" t="s">
        <v>4193</v>
      </c>
      <c r="K823" s="9" t="s">
        <v>4194</v>
      </c>
      <c r="L823" s="9" t="s">
        <v>4195</v>
      </c>
      <c r="M823" s="9" t="s">
        <v>4196</v>
      </c>
      <c r="N823" s="9" t="s">
        <v>4191</v>
      </c>
      <c r="O823" s="6">
        <f t="shared" si="16"/>
        <v>1276</v>
      </c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2.75" x14ac:dyDescent="0.2">
      <c r="A824" s="5" t="s">
        <v>2937</v>
      </c>
      <c r="B824" s="5" t="s">
        <v>2937</v>
      </c>
      <c r="C824" s="4">
        <v>242</v>
      </c>
      <c r="D824" s="6" t="e">
        <f t="shared" si="15"/>
        <v>#VALUE!</v>
      </c>
      <c r="E824" s="6" t="s">
        <v>4197</v>
      </c>
      <c r="F824" s="7">
        <v>318</v>
      </c>
      <c r="G824" s="6" t="s">
        <v>28</v>
      </c>
      <c r="H824" s="8" t="s">
        <v>4198</v>
      </c>
      <c r="I824" s="10" t="s">
        <v>4199</v>
      </c>
      <c r="J824" s="9" t="s">
        <v>4200</v>
      </c>
      <c r="K824" s="9" t="s">
        <v>4201</v>
      </c>
      <c r="L824" s="9" t="s">
        <v>4202</v>
      </c>
      <c r="M824" s="9" t="s">
        <v>4203</v>
      </c>
      <c r="N824" s="9" t="s">
        <v>4191</v>
      </c>
      <c r="O824" s="6">
        <f t="shared" si="16"/>
        <v>1276</v>
      </c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2.75" x14ac:dyDescent="0.2">
      <c r="A825" s="5" t="s">
        <v>2937</v>
      </c>
      <c r="B825" s="5" t="s">
        <v>2937</v>
      </c>
      <c r="C825" s="4">
        <v>243</v>
      </c>
      <c r="D825" s="6" t="e">
        <f t="shared" si="15"/>
        <v>#VALUE!</v>
      </c>
      <c r="E825" s="6" t="s">
        <v>3687</v>
      </c>
      <c r="F825" s="7">
        <v>319</v>
      </c>
      <c r="G825" s="6" t="s">
        <v>28</v>
      </c>
      <c r="H825" s="8" t="s">
        <v>3831</v>
      </c>
      <c r="I825" s="10" t="s">
        <v>4204</v>
      </c>
      <c r="J825" s="9" t="s">
        <v>4205</v>
      </c>
      <c r="K825" s="9" t="s">
        <v>4206</v>
      </c>
      <c r="L825" s="9" t="s">
        <v>4207</v>
      </c>
      <c r="M825" s="9" t="s">
        <v>4208</v>
      </c>
      <c r="N825" s="9" t="s">
        <v>4209</v>
      </c>
      <c r="O825" s="6">
        <f t="shared" si="16"/>
        <v>1280</v>
      </c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2.75" x14ac:dyDescent="0.2">
      <c r="A826" s="5" t="s">
        <v>2937</v>
      </c>
      <c r="B826" s="5" t="s">
        <v>2937</v>
      </c>
      <c r="C826" s="4">
        <v>244</v>
      </c>
      <c r="D826" s="6" t="e">
        <f t="shared" si="15"/>
        <v>#VALUE!</v>
      </c>
      <c r="E826" s="6" t="s">
        <v>4210</v>
      </c>
      <c r="F826" s="7">
        <v>319</v>
      </c>
      <c r="G826" s="6" t="s">
        <v>17</v>
      </c>
      <c r="H826" s="8" t="s">
        <v>4211</v>
      </c>
      <c r="I826" s="9" t="s">
        <v>4212</v>
      </c>
      <c r="J826" s="10" t="s">
        <v>4213</v>
      </c>
      <c r="K826" s="9" t="s">
        <v>4214</v>
      </c>
      <c r="L826" s="9" t="s">
        <v>4215</v>
      </c>
      <c r="M826" s="9" t="s">
        <v>4216</v>
      </c>
      <c r="N826" s="9" t="s">
        <v>4209</v>
      </c>
      <c r="O826" s="6">
        <f t="shared" si="16"/>
        <v>640</v>
      </c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2.75" x14ac:dyDescent="0.2">
      <c r="A827" s="5" t="s">
        <v>2937</v>
      </c>
      <c r="B827" s="5" t="s">
        <v>2937</v>
      </c>
      <c r="C827" s="4">
        <v>245</v>
      </c>
      <c r="D827" s="6" t="e">
        <f t="shared" si="15"/>
        <v>#VALUE!</v>
      </c>
      <c r="E827" s="6" t="s">
        <v>4217</v>
      </c>
      <c r="F827" s="7">
        <v>319</v>
      </c>
      <c r="G827" s="6" t="s">
        <v>21</v>
      </c>
      <c r="H827" s="11" t="s">
        <v>4218</v>
      </c>
      <c r="I827" s="9" t="s">
        <v>4219</v>
      </c>
      <c r="J827" s="9" t="s">
        <v>918</v>
      </c>
      <c r="K827" s="9" t="s">
        <v>4220</v>
      </c>
      <c r="L827" s="9" t="s">
        <v>4221</v>
      </c>
      <c r="M827" s="9" t="s">
        <v>4222</v>
      </c>
      <c r="N827" s="9" t="s">
        <v>4209</v>
      </c>
      <c r="O827" s="6">
        <f t="shared" si="16"/>
        <v>1600</v>
      </c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2.75" x14ac:dyDescent="0.2">
      <c r="A828" s="5" t="s">
        <v>2937</v>
      </c>
      <c r="B828" s="5" t="s">
        <v>2937</v>
      </c>
      <c r="C828" s="4">
        <v>246</v>
      </c>
      <c r="D828" s="6" t="e">
        <f t="shared" si="15"/>
        <v>#VALUE!</v>
      </c>
      <c r="E828" s="6" t="s">
        <v>4223</v>
      </c>
      <c r="F828" s="7">
        <v>320</v>
      </c>
      <c r="G828" s="6" t="s">
        <v>21</v>
      </c>
      <c r="H828" s="11" t="s">
        <v>4224</v>
      </c>
      <c r="I828" s="9" t="s">
        <v>4225</v>
      </c>
      <c r="J828" s="9" t="s">
        <v>4226</v>
      </c>
      <c r="K828" s="9" t="s">
        <v>4227</v>
      </c>
      <c r="L828" s="9" t="s">
        <v>4228</v>
      </c>
      <c r="M828" s="9" t="s">
        <v>4229</v>
      </c>
      <c r="N828" s="9" t="s">
        <v>4230</v>
      </c>
      <c r="O828" s="6">
        <f t="shared" si="16"/>
        <v>1605.0000488400487</v>
      </c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2.75" x14ac:dyDescent="0.2">
      <c r="A829" s="5" t="s">
        <v>2937</v>
      </c>
      <c r="B829" s="5" t="s">
        <v>2937</v>
      </c>
      <c r="C829" s="4">
        <v>247</v>
      </c>
      <c r="D829" s="6" t="e">
        <f t="shared" si="15"/>
        <v>#VALUE!</v>
      </c>
      <c r="E829" s="6" t="s">
        <v>3820</v>
      </c>
      <c r="F829" s="7">
        <v>320</v>
      </c>
      <c r="G829" s="6" t="s">
        <v>17</v>
      </c>
      <c r="H829" s="8" t="s">
        <v>4231</v>
      </c>
      <c r="I829" s="9" t="s">
        <v>4232</v>
      </c>
      <c r="J829" s="10" t="s">
        <v>4233</v>
      </c>
      <c r="K829" s="9" t="s">
        <v>4234</v>
      </c>
      <c r="L829" s="9" t="s">
        <v>4235</v>
      </c>
      <c r="M829" s="9" t="s">
        <v>4236</v>
      </c>
      <c r="N829" s="9" t="s">
        <v>4230</v>
      </c>
      <c r="O829" s="6">
        <f t="shared" si="16"/>
        <v>642</v>
      </c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2.75" x14ac:dyDescent="0.2">
      <c r="A830" s="5" t="s">
        <v>2937</v>
      </c>
      <c r="B830" s="5" t="s">
        <v>2937</v>
      </c>
      <c r="C830" s="4">
        <v>248</v>
      </c>
      <c r="D830" s="6" t="e">
        <f t="shared" si="15"/>
        <v>#VALUE!</v>
      </c>
      <c r="E830" s="6" t="s">
        <v>4237</v>
      </c>
      <c r="F830" s="7">
        <v>320</v>
      </c>
      <c r="G830" s="6" t="s">
        <v>28</v>
      </c>
      <c r="H830" s="8" t="s">
        <v>3887</v>
      </c>
      <c r="I830" s="10" t="s">
        <v>4238</v>
      </c>
      <c r="J830" s="9" t="s">
        <v>853</v>
      </c>
      <c r="K830" s="9" t="s">
        <v>4239</v>
      </c>
      <c r="L830" s="9" t="s">
        <v>4240</v>
      </c>
      <c r="M830" s="9" t="s">
        <v>4241</v>
      </c>
      <c r="N830" s="9" t="s">
        <v>4230</v>
      </c>
      <c r="O830" s="6">
        <f t="shared" si="16"/>
        <v>1284</v>
      </c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2.75" x14ac:dyDescent="0.2">
      <c r="A831" s="5" t="s">
        <v>2937</v>
      </c>
      <c r="B831" s="5" t="s">
        <v>2937</v>
      </c>
      <c r="C831" s="4">
        <v>249</v>
      </c>
      <c r="D831" s="6" t="e">
        <f t="shared" si="15"/>
        <v>#VALUE!</v>
      </c>
      <c r="E831" s="6" t="s">
        <v>3184</v>
      </c>
      <c r="F831" s="7">
        <v>321</v>
      </c>
      <c r="G831" s="6" t="s">
        <v>21</v>
      </c>
      <c r="H831" s="11" t="s">
        <v>4242</v>
      </c>
      <c r="I831" s="9" t="s">
        <v>4243</v>
      </c>
      <c r="J831" s="9" t="s">
        <v>4244</v>
      </c>
      <c r="K831" s="9" t="s">
        <v>4245</v>
      </c>
      <c r="L831" s="9" t="s">
        <v>318</v>
      </c>
      <c r="M831" s="9" t="s">
        <v>4246</v>
      </c>
      <c r="N831" s="9" t="s">
        <v>4247</v>
      </c>
      <c r="O831" s="6">
        <f t="shared" si="16"/>
        <v>1610</v>
      </c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2.75" x14ac:dyDescent="0.2">
      <c r="A832" s="5" t="s">
        <v>2937</v>
      </c>
      <c r="B832" s="5" t="s">
        <v>2937</v>
      </c>
      <c r="C832" s="4">
        <v>250</v>
      </c>
      <c r="D832" s="6" t="e">
        <f t="shared" si="15"/>
        <v>#VALUE!</v>
      </c>
      <c r="E832" s="6" t="s">
        <v>4248</v>
      </c>
      <c r="F832" s="7">
        <v>321</v>
      </c>
      <c r="G832" s="6" t="s">
        <v>17</v>
      </c>
      <c r="H832" s="8" t="s">
        <v>4249</v>
      </c>
      <c r="I832" s="9" t="s">
        <v>4250</v>
      </c>
      <c r="J832" s="10" t="s">
        <v>4251</v>
      </c>
      <c r="K832" s="9" t="s">
        <v>4252</v>
      </c>
      <c r="L832" s="9" t="s">
        <v>4253</v>
      </c>
      <c r="M832" s="9" t="s">
        <v>4254</v>
      </c>
      <c r="N832" s="9" t="s">
        <v>4247</v>
      </c>
      <c r="O832" s="6">
        <f t="shared" si="16"/>
        <v>644</v>
      </c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2.75" x14ac:dyDescent="0.2">
      <c r="A833" s="5" t="s">
        <v>2937</v>
      </c>
      <c r="B833" s="5" t="s">
        <v>2937</v>
      </c>
      <c r="C833" s="4">
        <v>251</v>
      </c>
      <c r="D833" s="6" t="e">
        <f t="shared" si="15"/>
        <v>#VALUE!</v>
      </c>
      <c r="E833" s="6" t="s">
        <v>3071</v>
      </c>
      <c r="F833" s="7">
        <v>321</v>
      </c>
      <c r="G833" s="6" t="s">
        <v>21</v>
      </c>
      <c r="H833" s="11" t="s">
        <v>4255</v>
      </c>
      <c r="I833" s="9" t="s">
        <v>4256</v>
      </c>
      <c r="J833" s="9" t="s">
        <v>3377</v>
      </c>
      <c r="K833" s="9" t="s">
        <v>4257</v>
      </c>
      <c r="L833" s="9" t="s">
        <v>4258</v>
      </c>
      <c r="M833" s="9" t="s">
        <v>4259</v>
      </c>
      <c r="N833" s="9" t="s">
        <v>4247</v>
      </c>
      <c r="O833" s="6">
        <f t="shared" si="16"/>
        <v>1610</v>
      </c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2.75" x14ac:dyDescent="0.2">
      <c r="A834" s="5" t="s">
        <v>2937</v>
      </c>
      <c r="B834" s="5" t="s">
        <v>2937</v>
      </c>
      <c r="C834" s="4">
        <v>252</v>
      </c>
      <c r="D834" s="6" t="e">
        <f t="shared" si="15"/>
        <v>#VALUE!</v>
      </c>
      <c r="E834" s="6" t="s">
        <v>4260</v>
      </c>
      <c r="F834" s="7">
        <v>322</v>
      </c>
      <c r="G834" s="6" t="s">
        <v>28</v>
      </c>
      <c r="H834" s="8" t="s">
        <v>4261</v>
      </c>
      <c r="I834" s="10" t="s">
        <v>4262</v>
      </c>
      <c r="J834" s="9" t="s">
        <v>4263</v>
      </c>
      <c r="K834" s="9" t="s">
        <v>4264</v>
      </c>
      <c r="L834" s="9" t="s">
        <v>1305</v>
      </c>
      <c r="M834" s="9" t="s">
        <v>4265</v>
      </c>
      <c r="N834" s="9" t="s">
        <v>4266</v>
      </c>
      <c r="O834" s="6">
        <f t="shared" si="16"/>
        <v>1292</v>
      </c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2.75" x14ac:dyDescent="0.2">
      <c r="A835" s="5" t="s">
        <v>2937</v>
      </c>
      <c r="B835" s="5" t="s">
        <v>2937</v>
      </c>
      <c r="C835" s="4">
        <v>253</v>
      </c>
      <c r="D835" s="6" t="e">
        <f t="shared" si="15"/>
        <v>#VALUE!</v>
      </c>
      <c r="E835" s="6" t="s">
        <v>3418</v>
      </c>
      <c r="F835" s="7">
        <v>322</v>
      </c>
      <c r="G835" s="6" t="s">
        <v>28</v>
      </c>
      <c r="H835" s="8" t="s">
        <v>4267</v>
      </c>
      <c r="I835" s="10" t="s">
        <v>3949</v>
      </c>
      <c r="J835" s="9" t="s">
        <v>4268</v>
      </c>
      <c r="K835" s="9" t="s">
        <v>4269</v>
      </c>
      <c r="L835" s="9" t="s">
        <v>4270</v>
      </c>
      <c r="M835" s="9" t="s">
        <v>4271</v>
      </c>
      <c r="N835" s="9" t="s">
        <v>4266</v>
      </c>
      <c r="O835" s="6">
        <f t="shared" ref="O835:O898" si="17">M835/K835</f>
        <v>1292</v>
      </c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2.75" x14ac:dyDescent="0.2">
      <c r="A836" s="5" t="s">
        <v>2937</v>
      </c>
      <c r="B836" s="5" t="s">
        <v>2937</v>
      </c>
      <c r="C836" s="4">
        <v>254</v>
      </c>
      <c r="D836" s="6" t="e">
        <f t="shared" si="15"/>
        <v>#VALUE!</v>
      </c>
      <c r="E836" s="6" t="s">
        <v>4272</v>
      </c>
      <c r="F836" s="7">
        <v>322</v>
      </c>
      <c r="G836" s="6" t="s">
        <v>28</v>
      </c>
      <c r="H836" s="8" t="s">
        <v>4273</v>
      </c>
      <c r="I836" s="10" t="s">
        <v>4274</v>
      </c>
      <c r="J836" s="9" t="s">
        <v>4275</v>
      </c>
      <c r="K836" s="9" t="s">
        <v>4276</v>
      </c>
      <c r="L836" s="9" t="s">
        <v>4277</v>
      </c>
      <c r="M836" s="9" t="s">
        <v>4278</v>
      </c>
      <c r="N836" s="9" t="s">
        <v>4266</v>
      </c>
      <c r="O836" s="6">
        <f t="shared" si="17"/>
        <v>1292</v>
      </c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2.75" x14ac:dyDescent="0.2">
      <c r="A837" s="5" t="s">
        <v>2937</v>
      </c>
      <c r="B837" s="5" t="s">
        <v>2937</v>
      </c>
      <c r="C837" s="4">
        <v>255</v>
      </c>
      <c r="D837" s="6" t="e">
        <f t="shared" si="15"/>
        <v>#VALUE!</v>
      </c>
      <c r="E837" s="6" t="s">
        <v>3147</v>
      </c>
      <c r="F837" s="7">
        <v>323</v>
      </c>
      <c r="G837" s="6" t="s">
        <v>21</v>
      </c>
      <c r="H837" s="11" t="s">
        <v>4279</v>
      </c>
      <c r="I837" s="9" t="s">
        <v>4280</v>
      </c>
      <c r="J837" s="9" t="s">
        <v>4281</v>
      </c>
      <c r="K837" s="9" t="s">
        <v>4282</v>
      </c>
      <c r="L837" s="9" t="s">
        <v>4283</v>
      </c>
      <c r="M837" s="9" t="s">
        <v>4284</v>
      </c>
      <c r="N837" s="9" t="s">
        <v>4285</v>
      </c>
      <c r="O837" s="6">
        <f t="shared" si="17"/>
        <v>1620</v>
      </c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2.75" x14ac:dyDescent="0.2">
      <c r="A838" s="5" t="s">
        <v>2937</v>
      </c>
      <c r="B838" s="5" t="s">
        <v>2937</v>
      </c>
      <c r="C838" s="4">
        <v>256</v>
      </c>
      <c r="D838" s="6" t="e">
        <f t="shared" si="15"/>
        <v>#VALUE!</v>
      </c>
      <c r="E838" s="6" t="s">
        <v>3630</v>
      </c>
      <c r="F838" s="7">
        <v>323</v>
      </c>
      <c r="G838" s="6" t="s">
        <v>28</v>
      </c>
      <c r="H838" s="8" t="s">
        <v>4286</v>
      </c>
      <c r="I838" s="10" t="s">
        <v>4287</v>
      </c>
      <c r="J838" s="9" t="s">
        <v>4288</v>
      </c>
      <c r="K838" s="9" t="s">
        <v>4289</v>
      </c>
      <c r="L838" s="9" t="s">
        <v>1866</v>
      </c>
      <c r="M838" s="9" t="s">
        <v>4290</v>
      </c>
      <c r="N838" s="9" t="s">
        <v>4285</v>
      </c>
      <c r="O838" s="6">
        <f t="shared" si="17"/>
        <v>1296</v>
      </c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2.75" x14ac:dyDescent="0.2">
      <c r="A839" s="5" t="s">
        <v>2937</v>
      </c>
      <c r="B839" s="5" t="s">
        <v>2937</v>
      </c>
      <c r="C839" s="4">
        <v>257</v>
      </c>
      <c r="D839" s="6" t="e">
        <f t="shared" si="15"/>
        <v>#VALUE!</v>
      </c>
      <c r="E839" s="6" t="s">
        <v>2945</v>
      </c>
      <c r="F839" s="7">
        <v>323</v>
      </c>
      <c r="G839" s="6" t="s">
        <v>21</v>
      </c>
      <c r="H839" s="11" t="s">
        <v>4291</v>
      </c>
      <c r="I839" s="9" t="s">
        <v>4292</v>
      </c>
      <c r="J839" s="9" t="s">
        <v>4293</v>
      </c>
      <c r="K839" s="9" t="s">
        <v>4294</v>
      </c>
      <c r="L839" s="9" t="s">
        <v>4295</v>
      </c>
      <c r="M839" s="9" t="s">
        <v>4296</v>
      </c>
      <c r="N839" s="9" t="s">
        <v>4285</v>
      </c>
      <c r="O839" s="6">
        <f t="shared" si="17"/>
        <v>1620</v>
      </c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2.75" x14ac:dyDescent="0.2">
      <c r="A840" s="5" t="s">
        <v>2937</v>
      </c>
      <c r="B840" s="5" t="s">
        <v>2937</v>
      </c>
      <c r="C840" s="4">
        <v>258</v>
      </c>
      <c r="D840" s="6" t="e">
        <f t="shared" si="15"/>
        <v>#VALUE!</v>
      </c>
      <c r="E840" s="6" t="s">
        <v>3510</v>
      </c>
      <c r="F840" s="7">
        <v>324</v>
      </c>
      <c r="G840" s="6" t="s">
        <v>28</v>
      </c>
      <c r="H840" s="8" t="s">
        <v>4297</v>
      </c>
      <c r="I840" s="10" t="s">
        <v>4298</v>
      </c>
      <c r="J840" s="9" t="s">
        <v>4299</v>
      </c>
      <c r="K840" s="9" t="s">
        <v>4300</v>
      </c>
      <c r="L840" s="9" t="s">
        <v>4301</v>
      </c>
      <c r="M840" s="9" t="s">
        <v>4302</v>
      </c>
      <c r="N840" s="9" t="s">
        <v>4303</v>
      </c>
      <c r="O840" s="6">
        <f t="shared" si="17"/>
        <v>1300</v>
      </c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2.75" x14ac:dyDescent="0.2">
      <c r="A841" s="5" t="s">
        <v>2937</v>
      </c>
      <c r="B841" s="5" t="s">
        <v>2937</v>
      </c>
      <c r="C841" s="4">
        <v>259</v>
      </c>
      <c r="D841" s="6" t="e">
        <f t="shared" si="15"/>
        <v>#VALUE!</v>
      </c>
      <c r="E841" s="6" t="s">
        <v>4304</v>
      </c>
      <c r="F841" s="7">
        <v>324</v>
      </c>
      <c r="G841" s="6" t="s">
        <v>17</v>
      </c>
      <c r="H841" s="8" t="s">
        <v>4305</v>
      </c>
      <c r="I841" s="9" t="s">
        <v>4306</v>
      </c>
      <c r="J841" s="10" t="s">
        <v>4307</v>
      </c>
      <c r="K841" s="9" t="s">
        <v>4308</v>
      </c>
      <c r="L841" s="9" t="s">
        <v>762</v>
      </c>
      <c r="M841" s="9" t="s">
        <v>4309</v>
      </c>
      <c r="N841" s="9" t="s">
        <v>4303</v>
      </c>
      <c r="O841" s="6">
        <f t="shared" si="17"/>
        <v>650</v>
      </c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2.75" x14ac:dyDescent="0.2">
      <c r="A842" s="5" t="s">
        <v>2937</v>
      </c>
      <c r="B842" s="5" t="s">
        <v>2937</v>
      </c>
      <c r="C842" s="4">
        <v>260</v>
      </c>
      <c r="D842" s="6" t="e">
        <f t="shared" si="15"/>
        <v>#VALUE!</v>
      </c>
      <c r="E842" s="6" t="s">
        <v>2977</v>
      </c>
      <c r="F842" s="7">
        <v>324</v>
      </c>
      <c r="G842" s="6" t="s">
        <v>21</v>
      </c>
      <c r="H842" s="11" t="s">
        <v>4310</v>
      </c>
      <c r="I842" s="9" t="s">
        <v>4311</v>
      </c>
      <c r="J842" s="9" t="s">
        <v>4312</v>
      </c>
      <c r="K842" s="9" t="s">
        <v>4313</v>
      </c>
      <c r="L842" s="9" t="s">
        <v>734</v>
      </c>
      <c r="M842" s="9" t="s">
        <v>4314</v>
      </c>
      <c r="N842" s="9" t="s">
        <v>4303</v>
      </c>
      <c r="O842" s="6">
        <f t="shared" si="17"/>
        <v>1624.9999088007296</v>
      </c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2.75" x14ac:dyDescent="0.2">
      <c r="A843" s="5" t="s">
        <v>2937</v>
      </c>
      <c r="B843" s="5" t="s">
        <v>2937</v>
      </c>
      <c r="C843" s="4">
        <v>261</v>
      </c>
      <c r="D843" s="6" t="e">
        <f t="shared" si="15"/>
        <v>#VALUE!</v>
      </c>
      <c r="E843" s="6" t="s">
        <v>85</v>
      </c>
      <c r="F843" s="7">
        <v>325</v>
      </c>
      <c r="G843" s="6" t="s">
        <v>21</v>
      </c>
      <c r="H843" s="11" t="s">
        <v>4315</v>
      </c>
      <c r="I843" s="9" t="s">
        <v>4316</v>
      </c>
      <c r="J843" s="9" t="s">
        <v>3397</v>
      </c>
      <c r="K843" s="9" t="s">
        <v>4317</v>
      </c>
      <c r="L843" s="9" t="s">
        <v>4318</v>
      </c>
      <c r="M843" s="9" t="s">
        <v>4319</v>
      </c>
      <c r="N843" s="9" t="s">
        <v>4320</v>
      </c>
      <c r="O843" s="6">
        <f t="shared" si="17"/>
        <v>1630.0000905428042</v>
      </c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2.75" x14ac:dyDescent="0.2">
      <c r="A844" s="5" t="s">
        <v>2937</v>
      </c>
      <c r="B844" s="5" t="s">
        <v>2937</v>
      </c>
      <c r="C844" s="4">
        <v>262</v>
      </c>
      <c r="D844" s="6" t="e">
        <f t="shared" si="15"/>
        <v>#VALUE!</v>
      </c>
      <c r="E844" s="6" t="s">
        <v>91</v>
      </c>
      <c r="F844" s="7">
        <v>325</v>
      </c>
      <c r="G844" s="6" t="s">
        <v>21</v>
      </c>
      <c r="H844" s="11" t="s">
        <v>4321</v>
      </c>
      <c r="I844" s="9" t="s">
        <v>4322</v>
      </c>
      <c r="J844" s="9" t="s">
        <v>4323</v>
      </c>
      <c r="K844" s="9" t="s">
        <v>4324</v>
      </c>
      <c r="L844" s="9" t="s">
        <v>4325</v>
      </c>
      <c r="M844" s="9" t="s">
        <v>4326</v>
      </c>
      <c r="N844" s="9" t="s">
        <v>4320</v>
      </c>
      <c r="O844" s="6">
        <f t="shared" si="17"/>
        <v>1630.0000901997926</v>
      </c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2.75" x14ac:dyDescent="0.2">
      <c r="A845" s="5" t="s">
        <v>2937</v>
      </c>
      <c r="B845" s="5" t="s">
        <v>2937</v>
      </c>
      <c r="C845" s="4">
        <v>263</v>
      </c>
      <c r="D845" s="6" t="e">
        <f t="shared" si="15"/>
        <v>#VALUE!</v>
      </c>
      <c r="E845" s="6" t="s">
        <v>3501</v>
      </c>
      <c r="F845" s="7">
        <v>325</v>
      </c>
      <c r="G845" s="6" t="s">
        <v>28</v>
      </c>
      <c r="H845" s="8" t="s">
        <v>4327</v>
      </c>
      <c r="I845" s="10" t="s">
        <v>4328</v>
      </c>
      <c r="J845" s="9" t="s">
        <v>4329</v>
      </c>
      <c r="K845" s="9" t="s">
        <v>4330</v>
      </c>
      <c r="L845" s="9" t="s">
        <v>4331</v>
      </c>
      <c r="M845" s="9" t="s">
        <v>4332</v>
      </c>
      <c r="N845" s="9" t="s">
        <v>4320</v>
      </c>
      <c r="O845" s="6">
        <f t="shared" si="17"/>
        <v>1304</v>
      </c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2.75" x14ac:dyDescent="0.2">
      <c r="A846" s="5" t="s">
        <v>2937</v>
      </c>
      <c r="B846" s="5" t="s">
        <v>2937</v>
      </c>
      <c r="C846" s="4">
        <v>264</v>
      </c>
      <c r="D846" s="6" t="e">
        <f t="shared" si="15"/>
        <v>#VALUE!</v>
      </c>
      <c r="E846" s="6" t="s">
        <v>3702</v>
      </c>
      <c r="F846" s="7">
        <v>326</v>
      </c>
      <c r="G846" s="6" t="s">
        <v>21</v>
      </c>
      <c r="H846" s="11" t="s">
        <v>4333</v>
      </c>
      <c r="I846" s="9" t="s">
        <v>4334</v>
      </c>
      <c r="J846" s="9" t="s">
        <v>4335</v>
      </c>
      <c r="K846" s="9" t="s">
        <v>4336</v>
      </c>
      <c r="L846" s="9" t="s">
        <v>4337</v>
      </c>
      <c r="M846" s="9" t="s">
        <v>4338</v>
      </c>
      <c r="N846" s="9" t="s">
        <v>4339</v>
      </c>
      <c r="O846" s="6">
        <f t="shared" si="17"/>
        <v>1634.9999107700544</v>
      </c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2.75" x14ac:dyDescent="0.2">
      <c r="A847" s="5" t="s">
        <v>2937</v>
      </c>
      <c r="B847" s="5" t="s">
        <v>2937</v>
      </c>
      <c r="C847" s="4">
        <v>265</v>
      </c>
      <c r="D847" s="6" t="e">
        <f t="shared" si="15"/>
        <v>#VALUE!</v>
      </c>
      <c r="E847" s="6" t="s">
        <v>3108</v>
      </c>
      <c r="F847" s="7">
        <v>326</v>
      </c>
      <c r="G847" s="6" t="s">
        <v>28</v>
      </c>
      <c r="H847" s="8" t="s">
        <v>393</v>
      </c>
      <c r="I847" s="10" t="s">
        <v>4340</v>
      </c>
      <c r="J847" s="9" t="s">
        <v>4341</v>
      </c>
      <c r="K847" s="9" t="s">
        <v>4342</v>
      </c>
      <c r="L847" s="9" t="s">
        <v>1904</v>
      </c>
      <c r="M847" s="9" t="s">
        <v>4343</v>
      </c>
      <c r="N847" s="9" t="s">
        <v>4339</v>
      </c>
      <c r="O847" s="6">
        <f t="shared" si="17"/>
        <v>1308</v>
      </c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2.75" x14ac:dyDescent="0.2">
      <c r="A848" s="5" t="s">
        <v>2937</v>
      </c>
      <c r="B848" s="5" t="s">
        <v>2937</v>
      </c>
      <c r="C848" s="4">
        <v>266</v>
      </c>
      <c r="D848" s="6" t="e">
        <f t="shared" si="15"/>
        <v>#VALUE!</v>
      </c>
      <c r="E848" s="6" t="s">
        <v>4344</v>
      </c>
      <c r="F848" s="7">
        <v>326</v>
      </c>
      <c r="G848" s="6" t="s">
        <v>21</v>
      </c>
      <c r="H848" s="11" t="s">
        <v>4342</v>
      </c>
      <c r="I848" s="9" t="s">
        <v>4345</v>
      </c>
      <c r="J848" s="9" t="s">
        <v>4346</v>
      </c>
      <c r="K848" s="9" t="s">
        <v>4347</v>
      </c>
      <c r="L848" s="9" t="s">
        <v>4348</v>
      </c>
      <c r="M848" s="9" t="s">
        <v>4349</v>
      </c>
      <c r="N848" s="9" t="s">
        <v>4339</v>
      </c>
      <c r="O848" s="6">
        <f t="shared" si="17"/>
        <v>1635</v>
      </c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2.75" x14ac:dyDescent="0.2">
      <c r="A849" s="5" t="s">
        <v>2937</v>
      </c>
      <c r="B849" s="5" t="s">
        <v>2937</v>
      </c>
      <c r="C849" s="4">
        <v>267</v>
      </c>
      <c r="D849" s="6" t="e">
        <f t="shared" si="15"/>
        <v>#VALUE!</v>
      </c>
      <c r="E849" s="6" t="s">
        <v>4350</v>
      </c>
      <c r="F849" s="7">
        <v>327</v>
      </c>
      <c r="G849" s="6" t="s">
        <v>21</v>
      </c>
      <c r="H849" s="11" t="s">
        <v>4351</v>
      </c>
      <c r="I849" s="9" t="s">
        <v>4352</v>
      </c>
      <c r="J849" s="9" t="s">
        <v>888</v>
      </c>
      <c r="K849" s="9" t="s">
        <v>4353</v>
      </c>
      <c r="L849" s="9" t="s">
        <v>4354</v>
      </c>
      <c r="M849" s="9" t="s">
        <v>4355</v>
      </c>
      <c r="N849" s="9" t="s">
        <v>4356</v>
      </c>
      <c r="O849" s="6">
        <f t="shared" si="17"/>
        <v>1640</v>
      </c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2.75" x14ac:dyDescent="0.2">
      <c r="A850" s="5" t="s">
        <v>2937</v>
      </c>
      <c r="B850" s="5" t="s">
        <v>2937</v>
      </c>
      <c r="C850" s="4">
        <v>268</v>
      </c>
      <c r="D850" s="6" t="e">
        <f t="shared" si="15"/>
        <v>#VALUE!</v>
      </c>
      <c r="E850" s="6" t="s">
        <v>4357</v>
      </c>
      <c r="F850" s="7">
        <v>327</v>
      </c>
      <c r="G850" s="6" t="s">
        <v>21</v>
      </c>
      <c r="H850" s="11" t="s">
        <v>4358</v>
      </c>
      <c r="I850" s="9" t="s">
        <v>4359</v>
      </c>
      <c r="J850" s="9" t="s">
        <v>4360</v>
      </c>
      <c r="K850" s="9" t="s">
        <v>4361</v>
      </c>
      <c r="L850" s="9" t="s">
        <v>4362</v>
      </c>
      <c r="M850" s="9" t="s">
        <v>4363</v>
      </c>
      <c r="N850" s="9" t="s">
        <v>4356</v>
      </c>
      <c r="O850" s="6">
        <f t="shared" si="17"/>
        <v>1640</v>
      </c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2.75" x14ac:dyDescent="0.2">
      <c r="A851" s="5" t="s">
        <v>2937</v>
      </c>
      <c r="B851" s="5" t="s">
        <v>2937</v>
      </c>
      <c r="C851" s="4">
        <v>269</v>
      </c>
      <c r="D851" s="6" t="e">
        <f t="shared" si="15"/>
        <v>#VALUE!</v>
      </c>
      <c r="E851" s="6" t="s">
        <v>4364</v>
      </c>
      <c r="F851" s="7">
        <v>327</v>
      </c>
      <c r="G851" s="6" t="s">
        <v>28</v>
      </c>
      <c r="H851" s="8" t="s">
        <v>4365</v>
      </c>
      <c r="I851" s="10" t="s">
        <v>4366</v>
      </c>
      <c r="J851" s="9" t="s">
        <v>4367</v>
      </c>
      <c r="K851" s="9" t="s">
        <v>4368</v>
      </c>
      <c r="L851" s="9" t="s">
        <v>4369</v>
      </c>
      <c r="M851" s="9" t="s">
        <v>4370</v>
      </c>
      <c r="N851" s="9" t="s">
        <v>4356</v>
      </c>
      <c r="O851" s="6">
        <f t="shared" si="17"/>
        <v>1312</v>
      </c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2.75" x14ac:dyDescent="0.2">
      <c r="A852" s="5" t="s">
        <v>2937</v>
      </c>
      <c r="B852" s="5" t="s">
        <v>2937</v>
      </c>
      <c r="C852" s="4">
        <v>270</v>
      </c>
      <c r="D852" s="6" t="e">
        <f t="shared" si="15"/>
        <v>#VALUE!</v>
      </c>
      <c r="E852" s="6" t="s">
        <v>2945</v>
      </c>
      <c r="F852" s="7">
        <v>328</v>
      </c>
      <c r="G852" s="6" t="s">
        <v>21</v>
      </c>
      <c r="H852" s="11" t="s">
        <v>4371</v>
      </c>
      <c r="I852" s="9" t="s">
        <v>4372</v>
      </c>
      <c r="J852" s="9" t="s">
        <v>4373</v>
      </c>
      <c r="K852" s="9" t="s">
        <v>4374</v>
      </c>
      <c r="L852" s="9" t="s">
        <v>4375</v>
      </c>
      <c r="M852" s="9" t="s">
        <v>4376</v>
      </c>
      <c r="N852" s="9" t="s">
        <v>4377</v>
      </c>
      <c r="O852" s="6">
        <f t="shared" si="17"/>
        <v>1644.9999566668112</v>
      </c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2.75" x14ac:dyDescent="0.2">
      <c r="A853" s="5" t="s">
        <v>2937</v>
      </c>
      <c r="B853" s="5" t="s">
        <v>2937</v>
      </c>
      <c r="C853" s="4">
        <v>271</v>
      </c>
      <c r="D853" s="6" t="e">
        <f t="shared" si="15"/>
        <v>#VALUE!</v>
      </c>
      <c r="E853" s="6" t="s">
        <v>4378</v>
      </c>
      <c r="F853" s="7">
        <v>328</v>
      </c>
      <c r="G853" s="6" t="s">
        <v>21</v>
      </c>
      <c r="H853" s="11" t="s">
        <v>4379</v>
      </c>
      <c r="I853" s="9" t="s">
        <v>1904</v>
      </c>
      <c r="J853" s="9" t="s">
        <v>4380</v>
      </c>
      <c r="K853" s="9" t="s">
        <v>4381</v>
      </c>
      <c r="L853" s="9" t="s">
        <v>4382</v>
      </c>
      <c r="M853" s="9" t="s">
        <v>4383</v>
      </c>
      <c r="N853" s="9" t="s">
        <v>4377</v>
      </c>
      <c r="O853" s="6">
        <f t="shared" si="17"/>
        <v>1644.9999136516708</v>
      </c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2.75" x14ac:dyDescent="0.2">
      <c r="A854" s="5" t="s">
        <v>2937</v>
      </c>
      <c r="B854" s="5" t="s">
        <v>2937</v>
      </c>
      <c r="C854" s="4">
        <v>272</v>
      </c>
      <c r="D854" s="6" t="e">
        <f t="shared" si="15"/>
        <v>#VALUE!</v>
      </c>
      <c r="E854" s="6" t="s">
        <v>4384</v>
      </c>
      <c r="F854" s="7">
        <v>328</v>
      </c>
      <c r="G854" s="6" t="s">
        <v>21</v>
      </c>
      <c r="H854" s="11" t="s">
        <v>4385</v>
      </c>
      <c r="I854" s="9" t="s">
        <v>4386</v>
      </c>
      <c r="J854" s="9" t="s">
        <v>4387</v>
      </c>
      <c r="K854" s="9" t="s">
        <v>4388</v>
      </c>
      <c r="L854" s="9" t="s">
        <v>4389</v>
      </c>
      <c r="M854" s="9" t="s">
        <v>4390</v>
      </c>
      <c r="N854" s="9" t="s">
        <v>4377</v>
      </c>
      <c r="O854" s="6">
        <f t="shared" si="17"/>
        <v>1645</v>
      </c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2.75" x14ac:dyDescent="0.2">
      <c r="A855" s="5" t="s">
        <v>2937</v>
      </c>
      <c r="B855" s="5" t="s">
        <v>2937</v>
      </c>
      <c r="C855" s="4">
        <v>273</v>
      </c>
      <c r="D855" s="6" t="e">
        <f t="shared" si="15"/>
        <v>#VALUE!</v>
      </c>
      <c r="E855" s="6" t="s">
        <v>4391</v>
      </c>
      <c r="F855" s="7">
        <v>329</v>
      </c>
      <c r="G855" s="6" t="s">
        <v>28</v>
      </c>
      <c r="H855" s="8" t="s">
        <v>4392</v>
      </c>
      <c r="I855" s="10" t="s">
        <v>4393</v>
      </c>
      <c r="J855" s="9" t="s">
        <v>4394</v>
      </c>
      <c r="K855" s="9" t="s">
        <v>4395</v>
      </c>
      <c r="L855" s="9" t="s">
        <v>4396</v>
      </c>
      <c r="M855" s="9" t="s">
        <v>4397</v>
      </c>
      <c r="N855" s="9" t="s">
        <v>4398</v>
      </c>
      <c r="O855" s="6">
        <f t="shared" si="17"/>
        <v>1320</v>
      </c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2.75" x14ac:dyDescent="0.2">
      <c r="A856" s="5" t="s">
        <v>2937</v>
      </c>
      <c r="B856" s="5" t="s">
        <v>2937</v>
      </c>
      <c r="C856" s="4">
        <v>274</v>
      </c>
      <c r="D856" s="6" t="e">
        <f t="shared" si="15"/>
        <v>#VALUE!</v>
      </c>
      <c r="E856" s="6" t="s">
        <v>4399</v>
      </c>
      <c r="F856" s="7">
        <v>329</v>
      </c>
      <c r="G856" s="6" t="s">
        <v>28</v>
      </c>
      <c r="H856" s="8" t="s">
        <v>4400</v>
      </c>
      <c r="I856" s="10" t="s">
        <v>4401</v>
      </c>
      <c r="J856" s="9" t="s">
        <v>4402</v>
      </c>
      <c r="K856" s="9" t="s">
        <v>4403</v>
      </c>
      <c r="L856" s="9" t="s">
        <v>4404</v>
      </c>
      <c r="M856" s="9" t="s">
        <v>4405</v>
      </c>
      <c r="N856" s="9" t="s">
        <v>4398</v>
      </c>
      <c r="O856" s="6">
        <f t="shared" si="17"/>
        <v>1320</v>
      </c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2.75" x14ac:dyDescent="0.2">
      <c r="A857" s="5" t="s">
        <v>2937</v>
      </c>
      <c r="B857" s="5" t="s">
        <v>2937</v>
      </c>
      <c r="C857" s="4">
        <v>275</v>
      </c>
      <c r="D857" s="6" t="e">
        <f t="shared" si="15"/>
        <v>#VALUE!</v>
      </c>
      <c r="E857" s="6" t="s">
        <v>4406</v>
      </c>
      <c r="F857" s="7">
        <v>329</v>
      </c>
      <c r="G857" s="6" t="s">
        <v>21</v>
      </c>
      <c r="H857" s="11" t="s">
        <v>4407</v>
      </c>
      <c r="I857" s="9" t="s">
        <v>4408</v>
      </c>
      <c r="J857" s="9" t="s">
        <v>4409</v>
      </c>
      <c r="K857" s="9" t="s">
        <v>4410</v>
      </c>
      <c r="L857" s="9" t="s">
        <v>4411</v>
      </c>
      <c r="M857" s="9" t="s">
        <v>4412</v>
      </c>
      <c r="N857" s="9" t="s">
        <v>4398</v>
      </c>
      <c r="O857" s="6">
        <f t="shared" si="17"/>
        <v>1650.0000848212392</v>
      </c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2.75" x14ac:dyDescent="0.2">
      <c r="A858" s="5" t="s">
        <v>2937</v>
      </c>
      <c r="B858" s="5" t="s">
        <v>2937</v>
      </c>
      <c r="C858" s="4">
        <v>276</v>
      </c>
      <c r="D858" s="6" t="e">
        <f t="shared" si="15"/>
        <v>#VALUE!</v>
      </c>
      <c r="E858" s="6" t="s">
        <v>3296</v>
      </c>
      <c r="F858" s="7">
        <v>330</v>
      </c>
      <c r="G858" s="6" t="s">
        <v>17</v>
      </c>
      <c r="H858" s="8" t="s">
        <v>4413</v>
      </c>
      <c r="I858" s="9" t="s">
        <v>4414</v>
      </c>
      <c r="J858" s="10" t="s">
        <v>4415</v>
      </c>
      <c r="K858" s="9" t="s">
        <v>4416</v>
      </c>
      <c r="L858" s="9" t="s">
        <v>4417</v>
      </c>
      <c r="M858" s="9" t="s">
        <v>4418</v>
      </c>
      <c r="N858" s="9" t="s">
        <v>4419</v>
      </c>
      <c r="O858" s="6">
        <f t="shared" si="17"/>
        <v>662</v>
      </c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2.75" x14ac:dyDescent="0.2">
      <c r="A859" s="5" t="s">
        <v>2937</v>
      </c>
      <c r="B859" s="5" t="s">
        <v>2937</v>
      </c>
      <c r="C859" s="4">
        <v>277</v>
      </c>
      <c r="D859" s="6" t="e">
        <f t="shared" si="15"/>
        <v>#VALUE!</v>
      </c>
      <c r="E859" s="6" t="s">
        <v>4420</v>
      </c>
      <c r="F859" s="7">
        <v>330</v>
      </c>
      <c r="G859" s="6" t="s">
        <v>17</v>
      </c>
      <c r="H859" s="8" t="s">
        <v>4421</v>
      </c>
      <c r="I859" s="9" t="s">
        <v>4422</v>
      </c>
      <c r="J859" s="10" t="s">
        <v>1158</v>
      </c>
      <c r="K859" s="9" t="s">
        <v>4423</v>
      </c>
      <c r="L859" s="9" t="s">
        <v>1955</v>
      </c>
      <c r="M859" s="9" t="s">
        <v>4424</v>
      </c>
      <c r="N859" s="9" t="s">
        <v>4419</v>
      </c>
      <c r="O859" s="6">
        <f t="shared" si="17"/>
        <v>662</v>
      </c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2.75" x14ac:dyDescent="0.2">
      <c r="A860" s="5" t="s">
        <v>2937</v>
      </c>
      <c r="B860" s="5" t="s">
        <v>2937</v>
      </c>
      <c r="C860" s="4">
        <v>278</v>
      </c>
      <c r="D860" s="6" t="e">
        <f t="shared" si="15"/>
        <v>#VALUE!</v>
      </c>
      <c r="E860" s="6" t="s">
        <v>349</v>
      </c>
      <c r="F860" s="7">
        <v>330</v>
      </c>
      <c r="G860" s="6" t="s">
        <v>28</v>
      </c>
      <c r="H860" s="8" t="s">
        <v>4425</v>
      </c>
      <c r="I860" s="10" t="s">
        <v>4426</v>
      </c>
      <c r="J860" s="9" t="s">
        <v>4427</v>
      </c>
      <c r="K860" s="9" t="s">
        <v>4428</v>
      </c>
      <c r="L860" s="9" t="s">
        <v>4429</v>
      </c>
      <c r="M860" s="9" t="s">
        <v>4430</v>
      </c>
      <c r="N860" s="9" t="s">
        <v>4419</v>
      </c>
      <c r="O860" s="6">
        <f t="shared" si="17"/>
        <v>1324</v>
      </c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2.75" x14ac:dyDescent="0.2">
      <c r="A861" s="5" t="s">
        <v>2937</v>
      </c>
      <c r="B861" s="5" t="s">
        <v>2937</v>
      </c>
      <c r="C861" s="4">
        <v>279</v>
      </c>
      <c r="D861" s="6" t="e">
        <f t="shared" si="15"/>
        <v>#VALUE!</v>
      </c>
      <c r="E861" s="6" t="s">
        <v>4431</v>
      </c>
      <c r="F861" s="7">
        <v>331</v>
      </c>
      <c r="G861" s="6" t="s">
        <v>28</v>
      </c>
      <c r="H861" s="8" t="s">
        <v>4432</v>
      </c>
      <c r="I861" s="10" t="s">
        <v>4433</v>
      </c>
      <c r="J861" s="9" t="s">
        <v>4434</v>
      </c>
      <c r="K861" s="9" t="s">
        <v>4435</v>
      </c>
      <c r="L861" s="9" t="s">
        <v>4436</v>
      </c>
      <c r="M861" s="9" t="s">
        <v>4437</v>
      </c>
      <c r="N861" s="9" t="s">
        <v>4438</v>
      </c>
      <c r="O861" s="6">
        <f t="shared" si="17"/>
        <v>1328</v>
      </c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2.75" x14ac:dyDescent="0.2">
      <c r="A862" s="5" t="s">
        <v>2937</v>
      </c>
      <c r="B862" s="5" t="s">
        <v>2937</v>
      </c>
      <c r="C862" s="4">
        <v>280</v>
      </c>
      <c r="D862" s="6" t="e">
        <f t="shared" si="15"/>
        <v>#VALUE!</v>
      </c>
      <c r="E862" s="6" t="s">
        <v>274</v>
      </c>
      <c r="F862" s="7">
        <v>331</v>
      </c>
      <c r="G862" s="6" t="s">
        <v>28</v>
      </c>
      <c r="H862" s="8" t="s">
        <v>4439</v>
      </c>
      <c r="I862" s="10" t="s">
        <v>4440</v>
      </c>
      <c r="J862" s="9" t="s">
        <v>4441</v>
      </c>
      <c r="K862" s="9" t="s">
        <v>4442</v>
      </c>
      <c r="L862" s="9" t="s">
        <v>4443</v>
      </c>
      <c r="M862" s="9" t="s">
        <v>4444</v>
      </c>
      <c r="N862" s="9" t="s">
        <v>4438</v>
      </c>
      <c r="O862" s="6">
        <f t="shared" si="17"/>
        <v>1328</v>
      </c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2.75" x14ac:dyDescent="0.2">
      <c r="A863" s="5" t="s">
        <v>2937</v>
      </c>
      <c r="B863" s="5" t="s">
        <v>2937</v>
      </c>
      <c r="C863" s="4">
        <v>281</v>
      </c>
      <c r="D863" s="6" t="e">
        <f t="shared" si="15"/>
        <v>#VALUE!</v>
      </c>
      <c r="E863" s="6" t="s">
        <v>4445</v>
      </c>
      <c r="F863" s="7">
        <v>331</v>
      </c>
      <c r="G863" s="6" t="s">
        <v>21</v>
      </c>
      <c r="H863" s="11" t="s">
        <v>4446</v>
      </c>
      <c r="I863" s="9" t="s">
        <v>4447</v>
      </c>
      <c r="J863" s="9" t="s">
        <v>4448</v>
      </c>
      <c r="K863" s="9" t="s">
        <v>4449</v>
      </c>
      <c r="L863" s="9" t="s">
        <v>4450</v>
      </c>
      <c r="M863" s="9" t="s">
        <v>4451</v>
      </c>
      <c r="N863" s="9" t="s">
        <v>4438</v>
      </c>
      <c r="O863" s="6">
        <f t="shared" si="17"/>
        <v>1660</v>
      </c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2.75" x14ac:dyDescent="0.2">
      <c r="A864" s="5" t="s">
        <v>2937</v>
      </c>
      <c r="B864" s="5" t="s">
        <v>2937</v>
      </c>
      <c r="C864" s="4">
        <v>282</v>
      </c>
      <c r="D864" s="6" t="e">
        <f t="shared" si="15"/>
        <v>#VALUE!</v>
      </c>
      <c r="E864" s="6" t="s">
        <v>4452</v>
      </c>
      <c r="F864" s="7">
        <v>332</v>
      </c>
      <c r="G864" s="6" t="s">
        <v>21</v>
      </c>
      <c r="H864" s="11" t="s">
        <v>4453</v>
      </c>
      <c r="I864" s="9" t="s">
        <v>4454</v>
      </c>
      <c r="J864" s="9" t="s">
        <v>4455</v>
      </c>
      <c r="K864" s="9" t="s">
        <v>4456</v>
      </c>
      <c r="L864" s="9" t="s">
        <v>4457</v>
      </c>
      <c r="M864" s="9" t="s">
        <v>4458</v>
      </c>
      <c r="N864" s="9" t="s">
        <v>4459</v>
      </c>
      <c r="O864" s="6">
        <f t="shared" si="17"/>
        <v>1664.9999590449277</v>
      </c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2.75" x14ac:dyDescent="0.2">
      <c r="A865" s="5" t="s">
        <v>2937</v>
      </c>
      <c r="B865" s="5" t="s">
        <v>2937</v>
      </c>
      <c r="C865" s="4">
        <v>283</v>
      </c>
      <c r="D865" s="6" t="e">
        <f t="shared" si="15"/>
        <v>#VALUE!</v>
      </c>
      <c r="E865" s="6" t="s">
        <v>4460</v>
      </c>
      <c r="F865" s="7">
        <v>332</v>
      </c>
      <c r="G865" s="6" t="s">
        <v>17</v>
      </c>
      <c r="H865" s="8" t="s">
        <v>4461</v>
      </c>
      <c r="I865" s="9" t="s">
        <v>4462</v>
      </c>
      <c r="J865" s="10" t="s">
        <v>4463</v>
      </c>
      <c r="K865" s="9" t="s">
        <v>4464</v>
      </c>
      <c r="L865" s="9" t="s">
        <v>4465</v>
      </c>
      <c r="M865" s="9" t="s">
        <v>4466</v>
      </c>
      <c r="N865" s="9" t="s">
        <v>4459</v>
      </c>
      <c r="O865" s="6">
        <f t="shared" si="17"/>
        <v>666</v>
      </c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2.75" x14ac:dyDescent="0.2">
      <c r="A866" s="5" t="s">
        <v>2937</v>
      </c>
      <c r="B866" s="5" t="s">
        <v>2937</v>
      </c>
      <c r="C866" s="4">
        <v>284</v>
      </c>
      <c r="D866" s="6" t="e">
        <f t="shared" si="15"/>
        <v>#VALUE!</v>
      </c>
      <c r="E866" s="6" t="s">
        <v>4467</v>
      </c>
      <c r="F866" s="7">
        <v>332</v>
      </c>
      <c r="G866" s="6" t="s">
        <v>17</v>
      </c>
      <c r="H866" s="8" t="s">
        <v>4468</v>
      </c>
      <c r="I866" s="9" t="s">
        <v>4469</v>
      </c>
      <c r="J866" s="10" t="s">
        <v>4470</v>
      </c>
      <c r="K866" s="9" t="s">
        <v>4471</v>
      </c>
      <c r="L866" s="9" t="s">
        <v>4472</v>
      </c>
      <c r="M866" s="9" t="s">
        <v>4473</v>
      </c>
      <c r="N866" s="9" t="s">
        <v>4459</v>
      </c>
      <c r="O866" s="6">
        <f t="shared" si="17"/>
        <v>666</v>
      </c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2.75" x14ac:dyDescent="0.2">
      <c r="A867" s="5" t="s">
        <v>2937</v>
      </c>
      <c r="B867" s="5" t="s">
        <v>2937</v>
      </c>
      <c r="C867" s="4">
        <v>285</v>
      </c>
      <c r="D867" s="6" t="e">
        <f t="shared" si="15"/>
        <v>#VALUE!</v>
      </c>
      <c r="E867" s="6" t="s">
        <v>3196</v>
      </c>
      <c r="F867" s="7">
        <v>333</v>
      </c>
      <c r="G867" s="6" t="s">
        <v>17</v>
      </c>
      <c r="H867" s="8" t="s">
        <v>4474</v>
      </c>
      <c r="I867" s="9" t="s">
        <v>444</v>
      </c>
      <c r="J867" s="10" t="s">
        <v>4475</v>
      </c>
      <c r="K867" s="9" t="s">
        <v>4476</v>
      </c>
      <c r="L867" s="9" t="s">
        <v>4477</v>
      </c>
      <c r="M867" s="9" t="s">
        <v>4478</v>
      </c>
      <c r="N867" s="9" t="s">
        <v>4479</v>
      </c>
      <c r="O867" s="6">
        <f t="shared" si="17"/>
        <v>668</v>
      </c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2.75" x14ac:dyDescent="0.2">
      <c r="A868" s="5" t="s">
        <v>2937</v>
      </c>
      <c r="B868" s="5" t="s">
        <v>2937</v>
      </c>
      <c r="C868" s="4">
        <v>286</v>
      </c>
      <c r="D868" s="6" t="e">
        <f t="shared" si="15"/>
        <v>#VALUE!</v>
      </c>
      <c r="E868" s="6" t="s">
        <v>3915</v>
      </c>
      <c r="F868" s="7">
        <v>333</v>
      </c>
      <c r="G868" s="6" t="s">
        <v>21</v>
      </c>
      <c r="H868" s="11" t="s">
        <v>4480</v>
      </c>
      <c r="I868" s="9" t="s">
        <v>2463</v>
      </c>
      <c r="J868" s="9" t="s">
        <v>4481</v>
      </c>
      <c r="K868" s="9" t="s">
        <v>4482</v>
      </c>
      <c r="L868" s="9" t="s">
        <v>4483</v>
      </c>
      <c r="M868" s="9" t="s">
        <v>4484</v>
      </c>
      <c r="N868" s="9" t="s">
        <v>4479</v>
      </c>
      <c r="O868" s="6">
        <f t="shared" si="17"/>
        <v>1670</v>
      </c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2.75" x14ac:dyDescent="0.2">
      <c r="A869" s="5" t="s">
        <v>2937</v>
      </c>
      <c r="B869" s="5" t="s">
        <v>2937</v>
      </c>
      <c r="C869" s="4">
        <v>287</v>
      </c>
      <c r="D869" s="6" t="e">
        <f t="shared" si="15"/>
        <v>#VALUE!</v>
      </c>
      <c r="E869" s="6" t="s">
        <v>4485</v>
      </c>
      <c r="F869" s="7">
        <v>333</v>
      </c>
      <c r="G869" s="6" t="s">
        <v>21</v>
      </c>
      <c r="H869" s="11" t="s">
        <v>4486</v>
      </c>
      <c r="I869" s="9" t="s">
        <v>4487</v>
      </c>
      <c r="J869" s="9" t="s">
        <v>4488</v>
      </c>
      <c r="K869" s="9" t="s">
        <v>4489</v>
      </c>
      <c r="L869" s="9" t="s">
        <v>4490</v>
      </c>
      <c r="M869" s="9" t="s">
        <v>4491</v>
      </c>
      <c r="N869" s="9" t="s">
        <v>4479</v>
      </c>
      <c r="O869" s="6">
        <f t="shared" si="17"/>
        <v>1669.9999197785889</v>
      </c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2.75" x14ac:dyDescent="0.2">
      <c r="A870" s="5" t="s">
        <v>2937</v>
      </c>
      <c r="B870" s="5" t="s">
        <v>2937</v>
      </c>
      <c r="C870" s="4">
        <v>288</v>
      </c>
      <c r="D870" s="6" t="e">
        <f t="shared" si="15"/>
        <v>#VALUE!</v>
      </c>
      <c r="E870" s="6" t="s">
        <v>4350</v>
      </c>
      <c r="F870" s="7">
        <v>334</v>
      </c>
      <c r="G870" s="6" t="s">
        <v>28</v>
      </c>
      <c r="H870" s="8" t="s">
        <v>4492</v>
      </c>
      <c r="I870" s="10" t="s">
        <v>4493</v>
      </c>
      <c r="J870" s="9" t="s">
        <v>4494</v>
      </c>
      <c r="K870" s="9" t="s">
        <v>4495</v>
      </c>
      <c r="L870" s="9" t="s">
        <v>4496</v>
      </c>
      <c r="M870" s="9" t="s">
        <v>4497</v>
      </c>
      <c r="N870" s="9" t="s">
        <v>4498</v>
      </c>
      <c r="O870" s="6">
        <f t="shared" si="17"/>
        <v>1340</v>
      </c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2.75" x14ac:dyDescent="0.2">
      <c r="A871" s="5" t="s">
        <v>2937</v>
      </c>
      <c r="B871" s="5" t="s">
        <v>2937</v>
      </c>
      <c r="C871" s="4">
        <v>289</v>
      </c>
      <c r="D871" s="6" t="e">
        <f t="shared" si="15"/>
        <v>#VALUE!</v>
      </c>
      <c r="E871" s="6" t="s">
        <v>241</v>
      </c>
      <c r="F871" s="7">
        <v>334</v>
      </c>
      <c r="G871" s="6" t="s">
        <v>21</v>
      </c>
      <c r="H871" s="11" t="s">
        <v>4499</v>
      </c>
      <c r="I871" s="9" t="s">
        <v>4500</v>
      </c>
      <c r="J871" s="9" t="s">
        <v>559</v>
      </c>
      <c r="K871" s="9" t="s">
        <v>4501</v>
      </c>
      <c r="L871" s="9" t="s">
        <v>4502</v>
      </c>
      <c r="M871" s="9" t="s">
        <v>4503</v>
      </c>
      <c r="N871" s="9" t="s">
        <v>4498</v>
      </c>
      <c r="O871" s="6">
        <f t="shared" si="17"/>
        <v>1674.9999602906723</v>
      </c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2.75" x14ac:dyDescent="0.2">
      <c r="A872" s="5" t="s">
        <v>2937</v>
      </c>
      <c r="B872" s="5" t="s">
        <v>2937</v>
      </c>
      <c r="C872" s="4">
        <v>290</v>
      </c>
      <c r="D872" s="6" t="e">
        <f t="shared" si="15"/>
        <v>#VALUE!</v>
      </c>
      <c r="E872" s="6" t="s">
        <v>3792</v>
      </c>
      <c r="F872" s="7">
        <v>334</v>
      </c>
      <c r="G872" s="6" t="s">
        <v>21</v>
      </c>
      <c r="H872" s="11" t="s">
        <v>4504</v>
      </c>
      <c r="I872" s="9" t="s">
        <v>4505</v>
      </c>
      <c r="J872" s="9" t="s">
        <v>3480</v>
      </c>
      <c r="K872" s="9" t="s">
        <v>4506</v>
      </c>
      <c r="L872" s="9" t="s">
        <v>1675</v>
      </c>
      <c r="M872" s="9" t="s">
        <v>4507</v>
      </c>
      <c r="N872" s="9" t="s">
        <v>4498</v>
      </c>
      <c r="O872" s="6">
        <f t="shared" si="17"/>
        <v>1674.9999208547686</v>
      </c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2.75" x14ac:dyDescent="0.2">
      <c r="A873" s="5" t="s">
        <v>2937</v>
      </c>
      <c r="B873" s="5" t="s">
        <v>2937</v>
      </c>
      <c r="C873" s="4">
        <v>291</v>
      </c>
      <c r="D873" s="6" t="e">
        <f t="shared" si="15"/>
        <v>#VALUE!</v>
      </c>
      <c r="E873" s="6" t="s">
        <v>3406</v>
      </c>
      <c r="F873" s="7">
        <v>335</v>
      </c>
      <c r="G873" s="6" t="s">
        <v>17</v>
      </c>
      <c r="H873" s="8" t="s">
        <v>4508</v>
      </c>
      <c r="I873" s="9" t="s">
        <v>4509</v>
      </c>
      <c r="J873" s="10" t="s">
        <v>4510</v>
      </c>
      <c r="K873" s="9" t="s">
        <v>4511</v>
      </c>
      <c r="L873" s="9" t="s">
        <v>4512</v>
      </c>
      <c r="M873" s="9" t="s">
        <v>4513</v>
      </c>
      <c r="N873" s="9" t="s">
        <v>4514</v>
      </c>
      <c r="O873" s="6">
        <f t="shared" si="17"/>
        <v>672</v>
      </c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2.75" x14ac:dyDescent="0.2">
      <c r="A874" s="5" t="s">
        <v>2937</v>
      </c>
      <c r="B874" s="5" t="s">
        <v>2937</v>
      </c>
      <c r="C874" s="4">
        <v>292</v>
      </c>
      <c r="D874" s="6" t="e">
        <f t="shared" si="15"/>
        <v>#VALUE!</v>
      </c>
      <c r="E874" s="6" t="s">
        <v>192</v>
      </c>
      <c r="F874" s="7">
        <v>335</v>
      </c>
      <c r="G874" s="6" t="s">
        <v>17</v>
      </c>
      <c r="H874" s="8" t="s">
        <v>4515</v>
      </c>
      <c r="I874" s="9" t="s">
        <v>4516</v>
      </c>
      <c r="J874" s="10" t="s">
        <v>4517</v>
      </c>
      <c r="K874" s="9" t="s">
        <v>4518</v>
      </c>
      <c r="L874" s="9" t="s">
        <v>4519</v>
      </c>
      <c r="M874" s="9" t="s">
        <v>4520</v>
      </c>
      <c r="N874" s="9" t="s">
        <v>4514</v>
      </c>
      <c r="O874" s="6">
        <f t="shared" si="17"/>
        <v>672</v>
      </c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2.75" x14ac:dyDescent="0.2">
      <c r="A875" s="5" t="s">
        <v>2937</v>
      </c>
      <c r="B875" s="5" t="s">
        <v>2937</v>
      </c>
      <c r="C875" s="4">
        <v>293</v>
      </c>
      <c r="D875" s="6" t="e">
        <f t="shared" si="15"/>
        <v>#VALUE!</v>
      </c>
      <c r="E875" s="6" t="s">
        <v>4521</v>
      </c>
      <c r="F875" s="7">
        <v>335</v>
      </c>
      <c r="G875" s="6" t="s">
        <v>17</v>
      </c>
      <c r="H875" s="8" t="s">
        <v>4097</v>
      </c>
      <c r="I875" s="9" t="s">
        <v>1729</v>
      </c>
      <c r="J875" s="10" t="s">
        <v>4522</v>
      </c>
      <c r="K875" s="9" t="s">
        <v>4523</v>
      </c>
      <c r="L875" s="9" t="s">
        <v>4524</v>
      </c>
      <c r="M875" s="9" t="s">
        <v>4525</v>
      </c>
      <c r="N875" s="9" t="s">
        <v>4514</v>
      </c>
      <c r="O875" s="6">
        <f t="shared" si="17"/>
        <v>672</v>
      </c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2.75" x14ac:dyDescent="0.2">
      <c r="A876" s="5" t="s">
        <v>2937</v>
      </c>
      <c r="B876" s="5" t="s">
        <v>2937</v>
      </c>
      <c r="C876" s="4">
        <v>294</v>
      </c>
      <c r="D876" s="6" t="e">
        <f t="shared" si="15"/>
        <v>#VALUE!</v>
      </c>
      <c r="E876" s="6" t="s">
        <v>4526</v>
      </c>
      <c r="F876" s="7">
        <v>336</v>
      </c>
      <c r="G876" s="6" t="s">
        <v>28</v>
      </c>
      <c r="H876" s="8" t="s">
        <v>3314</v>
      </c>
      <c r="I876" s="10" t="s">
        <v>4527</v>
      </c>
      <c r="J876" s="9" t="s">
        <v>4528</v>
      </c>
      <c r="K876" s="9" t="s">
        <v>4529</v>
      </c>
      <c r="L876" s="9" t="s">
        <v>4530</v>
      </c>
      <c r="M876" s="9" t="s">
        <v>4531</v>
      </c>
      <c r="N876" s="9" t="s">
        <v>4532</v>
      </c>
      <c r="O876" s="6">
        <f t="shared" si="17"/>
        <v>1348</v>
      </c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2.75" x14ac:dyDescent="0.2">
      <c r="A877" s="5" t="s">
        <v>2937</v>
      </c>
      <c r="B877" s="5" t="s">
        <v>2937</v>
      </c>
      <c r="C877" s="4">
        <v>295</v>
      </c>
      <c r="D877" s="6" t="e">
        <f t="shared" si="15"/>
        <v>#VALUE!</v>
      </c>
      <c r="E877" s="6" t="s">
        <v>4533</v>
      </c>
      <c r="F877" s="7">
        <v>336</v>
      </c>
      <c r="G877" s="6" t="s">
        <v>17</v>
      </c>
      <c r="H877" s="8" t="s">
        <v>4534</v>
      </c>
      <c r="I877" s="9" t="s">
        <v>4535</v>
      </c>
      <c r="J877" s="10" t="s">
        <v>4536</v>
      </c>
      <c r="K877" s="9" t="s">
        <v>4537</v>
      </c>
      <c r="L877" s="9" t="s">
        <v>4538</v>
      </c>
      <c r="M877" s="9" t="s">
        <v>4539</v>
      </c>
      <c r="N877" s="9" t="s">
        <v>4532</v>
      </c>
      <c r="O877" s="6">
        <f t="shared" si="17"/>
        <v>674</v>
      </c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2.75" x14ac:dyDescent="0.2">
      <c r="A878" s="5" t="s">
        <v>2937</v>
      </c>
      <c r="B878" s="5" t="s">
        <v>2937</v>
      </c>
      <c r="C878" s="4">
        <v>296</v>
      </c>
      <c r="D878" s="6" t="e">
        <f t="shared" si="15"/>
        <v>#VALUE!</v>
      </c>
      <c r="E878" s="6" t="s">
        <v>4540</v>
      </c>
      <c r="F878" s="7">
        <v>336</v>
      </c>
      <c r="G878" s="6" t="s">
        <v>17</v>
      </c>
      <c r="H878" s="8" t="s">
        <v>4541</v>
      </c>
      <c r="I878" s="9" t="s">
        <v>4542</v>
      </c>
      <c r="J878" s="10" t="s">
        <v>4543</v>
      </c>
      <c r="K878" s="9" t="s">
        <v>4544</v>
      </c>
      <c r="L878" s="9" t="s">
        <v>4545</v>
      </c>
      <c r="M878" s="9" t="s">
        <v>4546</v>
      </c>
      <c r="N878" s="9" t="s">
        <v>4532</v>
      </c>
      <c r="O878" s="6">
        <f t="shared" si="17"/>
        <v>674</v>
      </c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2.75" x14ac:dyDescent="0.2">
      <c r="A879" s="5" t="s">
        <v>2937</v>
      </c>
      <c r="B879" s="5" t="s">
        <v>2937</v>
      </c>
      <c r="C879" s="4">
        <v>297</v>
      </c>
      <c r="D879" s="6" t="e">
        <f t="shared" si="15"/>
        <v>#VALUE!</v>
      </c>
      <c r="E879" s="6" t="s">
        <v>4547</v>
      </c>
      <c r="F879" s="7">
        <v>337</v>
      </c>
      <c r="G879" s="6" t="s">
        <v>21</v>
      </c>
      <c r="H879" s="11" t="s">
        <v>4548</v>
      </c>
      <c r="I879" s="9" t="s">
        <v>4549</v>
      </c>
      <c r="J879" s="9" t="s">
        <v>4550</v>
      </c>
      <c r="K879" s="9" t="s">
        <v>4551</v>
      </c>
      <c r="L879" s="9" t="s">
        <v>4552</v>
      </c>
      <c r="M879" s="9" t="s">
        <v>4553</v>
      </c>
      <c r="N879" s="9" t="s">
        <v>4554</v>
      </c>
      <c r="O879" s="6">
        <f t="shared" si="17"/>
        <v>1690</v>
      </c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2.75" x14ac:dyDescent="0.2">
      <c r="A880" s="5" t="s">
        <v>2937</v>
      </c>
      <c r="B880" s="5" t="s">
        <v>2937</v>
      </c>
      <c r="C880" s="4">
        <v>298</v>
      </c>
      <c r="D880" s="6" t="e">
        <f t="shared" si="15"/>
        <v>#VALUE!</v>
      </c>
      <c r="E880" s="6" t="s">
        <v>4555</v>
      </c>
      <c r="F880" s="7">
        <v>337</v>
      </c>
      <c r="G880" s="6" t="s">
        <v>28</v>
      </c>
      <c r="H880" s="8" t="s">
        <v>4556</v>
      </c>
      <c r="I880" s="10" t="s">
        <v>4557</v>
      </c>
      <c r="J880" s="9" t="s">
        <v>4558</v>
      </c>
      <c r="K880" s="9" t="s">
        <v>4559</v>
      </c>
      <c r="L880" s="9" t="s">
        <v>4560</v>
      </c>
      <c r="M880" s="9" t="s">
        <v>4561</v>
      </c>
      <c r="N880" s="9" t="s">
        <v>4554</v>
      </c>
      <c r="O880" s="6">
        <f t="shared" si="17"/>
        <v>1352</v>
      </c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2.75" x14ac:dyDescent="0.2">
      <c r="A881" s="5" t="s">
        <v>2937</v>
      </c>
      <c r="B881" s="5" t="s">
        <v>2937</v>
      </c>
      <c r="C881" s="4">
        <v>299</v>
      </c>
      <c r="D881" s="6" t="e">
        <f t="shared" si="15"/>
        <v>#VALUE!</v>
      </c>
      <c r="E881" s="6" t="s">
        <v>3430</v>
      </c>
      <c r="F881" s="7">
        <v>337</v>
      </c>
      <c r="G881" s="6" t="s">
        <v>28</v>
      </c>
      <c r="H881" s="8" t="s">
        <v>4562</v>
      </c>
      <c r="I881" s="10" t="s">
        <v>4563</v>
      </c>
      <c r="J881" s="9" t="s">
        <v>4564</v>
      </c>
      <c r="K881" s="9" t="s">
        <v>4565</v>
      </c>
      <c r="L881" s="9" t="s">
        <v>4566</v>
      </c>
      <c r="M881" s="9" t="s">
        <v>4567</v>
      </c>
      <c r="N881" s="9" t="s">
        <v>4554</v>
      </c>
      <c r="O881" s="6">
        <f t="shared" si="17"/>
        <v>1352</v>
      </c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2.75" x14ac:dyDescent="0.2">
      <c r="A882" s="5" t="s">
        <v>2937</v>
      </c>
      <c r="B882" s="5" t="s">
        <v>2937</v>
      </c>
      <c r="C882" s="4">
        <v>300</v>
      </c>
      <c r="D882" s="6" t="e">
        <f t="shared" si="15"/>
        <v>#VALUE!</v>
      </c>
      <c r="E882" s="6" t="s">
        <v>4568</v>
      </c>
      <c r="F882" s="7">
        <v>338</v>
      </c>
      <c r="G882" s="6" t="s">
        <v>21</v>
      </c>
      <c r="H882" s="11" t="s">
        <v>4569</v>
      </c>
      <c r="I882" s="9" t="s">
        <v>4570</v>
      </c>
      <c r="J882" s="9" t="s">
        <v>4571</v>
      </c>
      <c r="K882" s="9" t="s">
        <v>4572</v>
      </c>
      <c r="L882" s="9" t="s">
        <v>4573</v>
      </c>
      <c r="M882" s="9" t="s">
        <v>4574</v>
      </c>
      <c r="N882" s="9" t="s">
        <v>4575</v>
      </c>
      <c r="O882" s="6">
        <f t="shared" si="17"/>
        <v>1694.9999622342234</v>
      </c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2.75" x14ac:dyDescent="0.2">
      <c r="A883" s="5" t="s">
        <v>2937</v>
      </c>
      <c r="B883" s="5" t="s">
        <v>2937</v>
      </c>
      <c r="C883" s="4">
        <v>301</v>
      </c>
      <c r="D883" s="6" t="e">
        <f t="shared" si="15"/>
        <v>#VALUE!</v>
      </c>
      <c r="E883" s="6" t="s">
        <v>3105</v>
      </c>
      <c r="F883" s="7">
        <v>338</v>
      </c>
      <c r="G883" s="6" t="s">
        <v>28</v>
      </c>
      <c r="H883" s="8" t="s">
        <v>4576</v>
      </c>
      <c r="I883" s="10" t="s">
        <v>4577</v>
      </c>
      <c r="J883" s="9" t="s">
        <v>1758</v>
      </c>
      <c r="K883" s="9" t="s">
        <v>4578</v>
      </c>
      <c r="L883" s="9" t="s">
        <v>4579</v>
      </c>
      <c r="M883" s="9" t="s">
        <v>4580</v>
      </c>
      <c r="N883" s="9" t="s">
        <v>4575</v>
      </c>
      <c r="O883" s="6">
        <f t="shared" si="17"/>
        <v>1356</v>
      </c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2.75" x14ac:dyDescent="0.2">
      <c r="A884" s="5" t="s">
        <v>2937</v>
      </c>
      <c r="B884" s="5" t="s">
        <v>2937</v>
      </c>
      <c r="C884" s="4">
        <v>302</v>
      </c>
      <c r="D884" s="6" t="e">
        <f t="shared" si="15"/>
        <v>#VALUE!</v>
      </c>
      <c r="E884" s="6" t="s">
        <v>3105</v>
      </c>
      <c r="F884" s="7">
        <v>338</v>
      </c>
      <c r="G884" s="6" t="s">
        <v>17</v>
      </c>
      <c r="H884" s="8" t="s">
        <v>4581</v>
      </c>
      <c r="I884" s="9" t="s">
        <v>4582</v>
      </c>
      <c r="J884" s="10" t="s">
        <v>4583</v>
      </c>
      <c r="K884" s="9" t="s">
        <v>4584</v>
      </c>
      <c r="L884" s="9" t="s">
        <v>4585</v>
      </c>
      <c r="M884" s="9" t="s">
        <v>4586</v>
      </c>
      <c r="N884" s="9" t="s">
        <v>4575</v>
      </c>
      <c r="O884" s="6">
        <f t="shared" si="17"/>
        <v>678</v>
      </c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2.75" x14ac:dyDescent="0.2">
      <c r="A885" s="5" t="s">
        <v>2937</v>
      </c>
      <c r="B885" s="5" t="s">
        <v>2937</v>
      </c>
      <c r="C885" s="4">
        <v>303</v>
      </c>
      <c r="D885" s="6" t="e">
        <f t="shared" si="15"/>
        <v>#VALUE!</v>
      </c>
      <c r="E885" s="6" t="s">
        <v>4039</v>
      </c>
      <c r="F885" s="7">
        <v>339</v>
      </c>
      <c r="G885" s="6" t="s">
        <v>21</v>
      </c>
      <c r="H885" s="11" t="s">
        <v>4587</v>
      </c>
      <c r="I885" s="9" t="s">
        <v>4588</v>
      </c>
      <c r="J885" s="9" t="s">
        <v>4589</v>
      </c>
      <c r="K885" s="9" t="s">
        <v>4590</v>
      </c>
      <c r="L885" s="9" t="s">
        <v>4066</v>
      </c>
      <c r="M885" s="9" t="s">
        <v>4591</v>
      </c>
      <c r="N885" s="9" t="s">
        <v>4592</v>
      </c>
      <c r="O885" s="6">
        <f t="shared" si="17"/>
        <v>1700</v>
      </c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2.75" x14ac:dyDescent="0.2">
      <c r="A886" s="5" t="s">
        <v>2937</v>
      </c>
      <c r="B886" s="5" t="s">
        <v>2937</v>
      </c>
      <c r="C886" s="4">
        <v>304</v>
      </c>
      <c r="D886" s="6" t="e">
        <f t="shared" si="15"/>
        <v>#VALUE!</v>
      </c>
      <c r="E886" s="6" t="s">
        <v>2992</v>
      </c>
      <c r="F886" s="7">
        <v>339</v>
      </c>
      <c r="G886" s="6" t="s">
        <v>28</v>
      </c>
      <c r="H886" s="8" t="s">
        <v>4593</v>
      </c>
      <c r="I886" s="10" t="s">
        <v>4594</v>
      </c>
      <c r="J886" s="9" t="s">
        <v>4595</v>
      </c>
      <c r="K886" s="9" t="s">
        <v>4596</v>
      </c>
      <c r="L886" s="9" t="s">
        <v>4597</v>
      </c>
      <c r="M886" s="9" t="s">
        <v>4598</v>
      </c>
      <c r="N886" s="9" t="s">
        <v>4592</v>
      </c>
      <c r="O886" s="6">
        <f t="shared" si="17"/>
        <v>1360</v>
      </c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2.75" x14ac:dyDescent="0.2">
      <c r="A887" s="5" t="s">
        <v>2937</v>
      </c>
      <c r="B887" s="5" t="s">
        <v>2937</v>
      </c>
      <c r="C887" s="4">
        <v>305</v>
      </c>
      <c r="D887" s="6" t="e">
        <f t="shared" si="15"/>
        <v>#VALUE!</v>
      </c>
      <c r="E887" s="6" t="s">
        <v>4599</v>
      </c>
      <c r="F887" s="7">
        <v>339</v>
      </c>
      <c r="G887" s="6" t="s">
        <v>17</v>
      </c>
      <c r="H887" s="8" t="s">
        <v>4600</v>
      </c>
      <c r="I887" s="9" t="s">
        <v>4601</v>
      </c>
      <c r="J887" s="10" t="s">
        <v>4602</v>
      </c>
      <c r="K887" s="9" t="s">
        <v>4603</v>
      </c>
      <c r="L887" s="9" t="s">
        <v>4604</v>
      </c>
      <c r="M887" s="9" t="s">
        <v>4605</v>
      </c>
      <c r="N887" s="9" t="s">
        <v>4592</v>
      </c>
      <c r="O887" s="6">
        <f t="shared" si="17"/>
        <v>680</v>
      </c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2.75" x14ac:dyDescent="0.2">
      <c r="A888" s="5" t="s">
        <v>2937</v>
      </c>
      <c r="B888" s="5" t="s">
        <v>2937</v>
      </c>
      <c r="C888" s="4">
        <v>306</v>
      </c>
      <c r="D888" s="6" t="e">
        <f t="shared" si="15"/>
        <v>#VALUE!</v>
      </c>
      <c r="E888" s="6" t="s">
        <v>4606</v>
      </c>
      <c r="F888" s="7">
        <v>340</v>
      </c>
      <c r="G888" s="6" t="s">
        <v>17</v>
      </c>
      <c r="H888" s="8" t="s">
        <v>4607</v>
      </c>
      <c r="I888" s="9" t="s">
        <v>4608</v>
      </c>
      <c r="J888" s="10" t="s">
        <v>2602</v>
      </c>
      <c r="K888" s="9" t="s">
        <v>4609</v>
      </c>
      <c r="L888" s="9" t="s">
        <v>4610</v>
      </c>
      <c r="M888" s="9" t="s">
        <v>4611</v>
      </c>
      <c r="N888" s="9" t="s">
        <v>4612</v>
      </c>
      <c r="O888" s="6">
        <f t="shared" si="17"/>
        <v>682</v>
      </c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2.75" x14ac:dyDescent="0.2">
      <c r="A889" s="5" t="s">
        <v>2937</v>
      </c>
      <c r="B889" s="5" t="s">
        <v>2937</v>
      </c>
      <c r="C889" s="4">
        <v>307</v>
      </c>
      <c r="D889" s="6" t="e">
        <f t="shared" si="15"/>
        <v>#VALUE!</v>
      </c>
      <c r="E889" s="6" t="s">
        <v>4613</v>
      </c>
      <c r="F889" s="7">
        <v>340</v>
      </c>
      <c r="G889" s="6" t="s">
        <v>21</v>
      </c>
      <c r="H889" s="11" t="s">
        <v>4614</v>
      </c>
      <c r="I889" s="9" t="s">
        <v>4615</v>
      </c>
      <c r="J889" s="9" t="s">
        <v>2036</v>
      </c>
      <c r="K889" s="9" t="s">
        <v>4616</v>
      </c>
      <c r="L889" s="9" t="s">
        <v>4617</v>
      </c>
      <c r="M889" s="9" t="s">
        <v>4618</v>
      </c>
      <c r="N889" s="9" t="s">
        <v>4612</v>
      </c>
      <c r="O889" s="6">
        <f t="shared" si="17"/>
        <v>1705.0000366743682</v>
      </c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2.75" x14ac:dyDescent="0.2">
      <c r="A890" s="5" t="s">
        <v>2937</v>
      </c>
      <c r="B890" s="5" t="s">
        <v>2937</v>
      </c>
      <c r="C890" s="4">
        <v>308</v>
      </c>
      <c r="D890" s="6" t="e">
        <f t="shared" si="15"/>
        <v>#VALUE!</v>
      </c>
      <c r="E890" s="6" t="s">
        <v>3488</v>
      </c>
      <c r="F890" s="7">
        <v>340</v>
      </c>
      <c r="G890" s="6" t="s">
        <v>21</v>
      </c>
      <c r="H890" s="11" t="s">
        <v>4619</v>
      </c>
      <c r="I890" s="9" t="s">
        <v>4585</v>
      </c>
      <c r="J890" s="9" t="s">
        <v>4620</v>
      </c>
      <c r="K890" s="9" t="s">
        <v>4621</v>
      </c>
      <c r="L890" s="9" t="s">
        <v>4622</v>
      </c>
      <c r="M890" s="9" t="s">
        <v>4623</v>
      </c>
      <c r="N890" s="9" t="s">
        <v>4612</v>
      </c>
      <c r="O890" s="6">
        <f t="shared" si="17"/>
        <v>1704.9999634462843</v>
      </c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2.75" x14ac:dyDescent="0.2">
      <c r="A891" s="5" t="s">
        <v>2937</v>
      </c>
      <c r="B891" s="5" t="s">
        <v>2937</v>
      </c>
      <c r="C891" s="4">
        <v>309</v>
      </c>
      <c r="D891" s="6" t="e">
        <f t="shared" si="15"/>
        <v>#VALUE!</v>
      </c>
      <c r="E891" s="6" t="s">
        <v>4624</v>
      </c>
      <c r="F891" s="7">
        <v>341</v>
      </c>
      <c r="G891" s="6" t="s">
        <v>28</v>
      </c>
      <c r="H891" s="8" t="s">
        <v>4625</v>
      </c>
      <c r="I891" s="10" t="s">
        <v>4626</v>
      </c>
      <c r="J891" s="9" t="s">
        <v>4627</v>
      </c>
      <c r="K891" s="9" t="s">
        <v>4628</v>
      </c>
      <c r="L891" s="9" t="s">
        <v>4629</v>
      </c>
      <c r="M891" s="9" t="s">
        <v>4630</v>
      </c>
      <c r="N891" s="9" t="s">
        <v>4631</v>
      </c>
      <c r="O891" s="6">
        <f t="shared" si="17"/>
        <v>1368</v>
      </c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2.75" x14ac:dyDescent="0.2">
      <c r="A892" s="5" t="s">
        <v>2937</v>
      </c>
      <c r="B892" s="5" t="s">
        <v>2937</v>
      </c>
      <c r="C892" s="4">
        <v>310</v>
      </c>
      <c r="D892" s="6" t="e">
        <f t="shared" si="15"/>
        <v>#VALUE!</v>
      </c>
      <c r="E892" s="6" t="s">
        <v>564</v>
      </c>
      <c r="F892" s="7">
        <v>341</v>
      </c>
      <c r="G892" s="6" t="s">
        <v>21</v>
      </c>
      <c r="H892" s="11" t="s">
        <v>4632</v>
      </c>
      <c r="I892" s="9" t="s">
        <v>4633</v>
      </c>
      <c r="J892" s="9" t="s">
        <v>4579</v>
      </c>
      <c r="K892" s="9" t="s">
        <v>4634</v>
      </c>
      <c r="L892" s="9" t="s">
        <v>4635</v>
      </c>
      <c r="M892" s="9" t="s">
        <v>4636</v>
      </c>
      <c r="N892" s="9" t="s">
        <v>4631</v>
      </c>
      <c r="O892" s="6">
        <f t="shared" si="17"/>
        <v>1709.9999275860821</v>
      </c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2.75" x14ac:dyDescent="0.2">
      <c r="A893" s="5" t="s">
        <v>2937</v>
      </c>
      <c r="B893" s="5" t="s">
        <v>2937</v>
      </c>
      <c r="C893" s="4">
        <v>311</v>
      </c>
      <c r="D893" s="6" t="e">
        <f t="shared" si="15"/>
        <v>#VALUE!</v>
      </c>
      <c r="E893" s="6" t="s">
        <v>4637</v>
      </c>
      <c r="F893" s="7">
        <v>341</v>
      </c>
      <c r="G893" s="6" t="s">
        <v>28</v>
      </c>
      <c r="H893" s="8" t="s">
        <v>3356</v>
      </c>
      <c r="I893" s="10" t="s">
        <v>4638</v>
      </c>
      <c r="J893" s="9" t="s">
        <v>4639</v>
      </c>
      <c r="K893" s="9" t="s">
        <v>4640</v>
      </c>
      <c r="L893" s="9" t="s">
        <v>4641</v>
      </c>
      <c r="M893" s="9" t="s">
        <v>4642</v>
      </c>
      <c r="N893" s="9" t="s">
        <v>4631</v>
      </c>
      <c r="O893" s="6">
        <f t="shared" si="17"/>
        <v>1368</v>
      </c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2.75" x14ac:dyDescent="0.2">
      <c r="A894" s="5" t="s">
        <v>2937</v>
      </c>
      <c r="B894" s="5" t="s">
        <v>2937</v>
      </c>
      <c r="C894" s="4">
        <v>312</v>
      </c>
      <c r="D894" s="6" t="e">
        <f t="shared" si="15"/>
        <v>#VALUE!</v>
      </c>
      <c r="E894" s="6" t="s">
        <v>311</v>
      </c>
      <c r="F894" s="7">
        <v>341</v>
      </c>
      <c r="G894" s="6" t="s">
        <v>28</v>
      </c>
      <c r="H894" s="8" t="s">
        <v>4643</v>
      </c>
      <c r="I894" s="10" t="s">
        <v>4644</v>
      </c>
      <c r="J894" s="9" t="s">
        <v>4645</v>
      </c>
      <c r="K894" s="9" t="s">
        <v>4646</v>
      </c>
      <c r="L894" s="9" t="s">
        <v>4647</v>
      </c>
      <c r="M894" s="9" t="s">
        <v>4648</v>
      </c>
      <c r="N894" s="9" t="s">
        <v>4631</v>
      </c>
      <c r="O894" s="6">
        <f t="shared" si="17"/>
        <v>1368</v>
      </c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2.75" x14ac:dyDescent="0.2">
      <c r="A895" s="5" t="s">
        <v>2937</v>
      </c>
      <c r="B895" s="5" t="s">
        <v>2937</v>
      </c>
      <c r="C895" s="4">
        <v>313</v>
      </c>
      <c r="D895" s="6" t="e">
        <f t="shared" si="15"/>
        <v>#VALUE!</v>
      </c>
      <c r="E895" s="6" t="s">
        <v>3050</v>
      </c>
      <c r="F895" s="7">
        <v>342</v>
      </c>
      <c r="G895" s="6" t="s">
        <v>21</v>
      </c>
      <c r="H895" s="11" t="s">
        <v>4649</v>
      </c>
      <c r="I895" s="9" t="s">
        <v>4650</v>
      </c>
      <c r="J895" s="9" t="s">
        <v>4651</v>
      </c>
      <c r="K895" s="9" t="s">
        <v>4652</v>
      </c>
      <c r="L895" s="9" t="s">
        <v>4653</v>
      </c>
      <c r="M895" s="9" t="s">
        <v>4654</v>
      </c>
      <c r="N895" s="9" t="s">
        <v>4655</v>
      </c>
      <c r="O895" s="6">
        <f t="shared" si="17"/>
        <v>1714.999964253798</v>
      </c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2.75" x14ac:dyDescent="0.2">
      <c r="A896" s="5" t="s">
        <v>2937</v>
      </c>
      <c r="B896" s="5" t="s">
        <v>2937</v>
      </c>
      <c r="C896" s="4">
        <v>314</v>
      </c>
      <c r="D896" s="6" t="e">
        <f t="shared" si="15"/>
        <v>#VALUE!</v>
      </c>
      <c r="E896" s="6" t="s">
        <v>4656</v>
      </c>
      <c r="F896" s="7">
        <v>342</v>
      </c>
      <c r="G896" s="6" t="s">
        <v>21</v>
      </c>
      <c r="H896" s="11" t="s">
        <v>4657</v>
      </c>
      <c r="I896" s="9" t="s">
        <v>4658</v>
      </c>
      <c r="J896" s="9" t="s">
        <v>1511</v>
      </c>
      <c r="K896" s="9" t="s">
        <v>4659</v>
      </c>
      <c r="L896" s="9" t="s">
        <v>4660</v>
      </c>
      <c r="M896" s="9" t="s">
        <v>4661</v>
      </c>
      <c r="N896" s="9" t="s">
        <v>4655</v>
      </c>
      <c r="O896" s="6">
        <f t="shared" si="17"/>
        <v>1715</v>
      </c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2.75" x14ac:dyDescent="0.2">
      <c r="A897" s="5" t="s">
        <v>2937</v>
      </c>
      <c r="B897" s="5" t="s">
        <v>2937</v>
      </c>
      <c r="C897" s="4">
        <v>315</v>
      </c>
      <c r="D897" s="6" t="e">
        <f t="shared" si="15"/>
        <v>#VALUE!</v>
      </c>
      <c r="E897" s="6" t="s">
        <v>4662</v>
      </c>
      <c r="F897" s="7">
        <v>342</v>
      </c>
      <c r="G897" s="6" t="s">
        <v>28</v>
      </c>
      <c r="H897" s="8" t="s">
        <v>3348</v>
      </c>
      <c r="I897" s="10" t="s">
        <v>4663</v>
      </c>
      <c r="J897" s="9" t="s">
        <v>488</v>
      </c>
      <c r="K897" s="9" t="s">
        <v>4664</v>
      </c>
      <c r="L897" s="9" t="s">
        <v>4665</v>
      </c>
      <c r="M897" s="9" t="s">
        <v>4666</v>
      </c>
      <c r="N897" s="9" t="s">
        <v>4655</v>
      </c>
      <c r="O897" s="6">
        <f t="shared" si="17"/>
        <v>1372</v>
      </c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2.75" x14ac:dyDescent="0.2">
      <c r="A898" s="5" t="s">
        <v>2937</v>
      </c>
      <c r="B898" s="5" t="s">
        <v>2937</v>
      </c>
      <c r="C898" s="4">
        <v>316</v>
      </c>
      <c r="D898" s="6" t="e">
        <f t="shared" si="15"/>
        <v>#VALUE!</v>
      </c>
      <c r="E898" s="6" t="s">
        <v>3010</v>
      </c>
      <c r="F898" s="7">
        <v>342</v>
      </c>
      <c r="G898" s="6" t="s">
        <v>21</v>
      </c>
      <c r="H898" s="11" t="s">
        <v>4667</v>
      </c>
      <c r="I898" s="9" t="s">
        <v>4668</v>
      </c>
      <c r="J898" s="9" t="s">
        <v>4669</v>
      </c>
      <c r="K898" s="9" t="s">
        <v>4670</v>
      </c>
      <c r="L898" s="9" t="s">
        <v>459</v>
      </c>
      <c r="M898" s="9" t="s">
        <v>4671</v>
      </c>
      <c r="N898" s="9" t="s">
        <v>4655</v>
      </c>
      <c r="O898" s="6">
        <f t="shared" si="17"/>
        <v>1714.9999645929965</v>
      </c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2.75" x14ac:dyDescent="0.2">
      <c r="A899" s="5" t="s">
        <v>2937</v>
      </c>
      <c r="B899" s="5" t="s">
        <v>2937</v>
      </c>
      <c r="C899" s="4">
        <v>317</v>
      </c>
      <c r="D899" s="6" t="e">
        <f t="shared" si="15"/>
        <v>#VALUE!</v>
      </c>
      <c r="E899" s="6" t="s">
        <v>4272</v>
      </c>
      <c r="F899" s="7">
        <v>343</v>
      </c>
      <c r="G899" s="6" t="s">
        <v>21</v>
      </c>
      <c r="H899" s="11" t="s">
        <v>4672</v>
      </c>
      <c r="I899" s="9" t="s">
        <v>4673</v>
      </c>
      <c r="J899" s="9" t="s">
        <v>4674</v>
      </c>
      <c r="K899" s="9" t="s">
        <v>4675</v>
      </c>
      <c r="L899" s="9" t="s">
        <v>1735</v>
      </c>
      <c r="M899" s="9" t="s">
        <v>4676</v>
      </c>
      <c r="N899" s="9" t="s">
        <v>4677</v>
      </c>
      <c r="O899" s="6">
        <f t="shared" ref="O899:O962" si="18">M899/K899</f>
        <v>1720</v>
      </c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2.75" x14ac:dyDescent="0.2">
      <c r="A900" s="5" t="s">
        <v>2937</v>
      </c>
      <c r="B900" s="5" t="s">
        <v>2937</v>
      </c>
      <c r="C900" s="4">
        <v>318</v>
      </c>
      <c r="D900" s="6" t="e">
        <f t="shared" si="15"/>
        <v>#VALUE!</v>
      </c>
      <c r="E900" s="6" t="s">
        <v>4678</v>
      </c>
      <c r="F900" s="7">
        <v>343</v>
      </c>
      <c r="G900" s="6" t="s">
        <v>21</v>
      </c>
      <c r="H900" s="11" t="s">
        <v>4679</v>
      </c>
      <c r="I900" s="9" t="s">
        <v>4680</v>
      </c>
      <c r="J900" s="9" t="s">
        <v>3545</v>
      </c>
      <c r="K900" s="9" t="s">
        <v>4681</v>
      </c>
      <c r="L900" s="9" t="s">
        <v>4682</v>
      </c>
      <c r="M900" s="9" t="s">
        <v>4683</v>
      </c>
      <c r="N900" s="9" t="s">
        <v>4677</v>
      </c>
      <c r="O900" s="6">
        <f t="shared" si="18"/>
        <v>1720</v>
      </c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2.75" x14ac:dyDescent="0.2">
      <c r="A901" s="5" t="s">
        <v>2937</v>
      </c>
      <c r="B901" s="5" t="s">
        <v>2937</v>
      </c>
      <c r="C901" s="4">
        <v>319</v>
      </c>
      <c r="D901" s="6" t="e">
        <f t="shared" si="15"/>
        <v>#VALUE!</v>
      </c>
      <c r="E901" s="6" t="s">
        <v>3268</v>
      </c>
      <c r="F901" s="7">
        <v>343</v>
      </c>
      <c r="G901" s="6" t="s">
        <v>28</v>
      </c>
      <c r="H901" s="8" t="s">
        <v>4684</v>
      </c>
      <c r="I901" s="10" t="s">
        <v>4685</v>
      </c>
      <c r="J901" s="9" t="s">
        <v>4686</v>
      </c>
      <c r="K901" s="9" t="s">
        <v>4687</v>
      </c>
      <c r="L901" s="9" t="s">
        <v>4688</v>
      </c>
      <c r="M901" s="9" t="s">
        <v>4689</v>
      </c>
      <c r="N901" s="9" t="s">
        <v>4677</v>
      </c>
      <c r="O901" s="6">
        <f t="shared" si="18"/>
        <v>1376</v>
      </c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2.75" x14ac:dyDescent="0.2">
      <c r="A902" s="5" t="s">
        <v>2937</v>
      </c>
      <c r="B902" s="5" t="s">
        <v>2937</v>
      </c>
      <c r="C902" s="4">
        <v>320</v>
      </c>
      <c r="D902" s="6" t="e">
        <f t="shared" si="15"/>
        <v>#VALUE!</v>
      </c>
      <c r="E902" s="6" t="s">
        <v>4690</v>
      </c>
      <c r="F902" s="7">
        <v>343</v>
      </c>
      <c r="G902" s="6" t="s">
        <v>17</v>
      </c>
      <c r="H902" s="8" t="s">
        <v>4691</v>
      </c>
      <c r="I902" s="9" t="s">
        <v>4692</v>
      </c>
      <c r="J902" s="10" t="s">
        <v>4693</v>
      </c>
      <c r="K902" s="9" t="s">
        <v>4694</v>
      </c>
      <c r="L902" s="9" t="s">
        <v>4695</v>
      </c>
      <c r="M902" s="9" t="s">
        <v>4696</v>
      </c>
      <c r="N902" s="9" t="s">
        <v>4677</v>
      </c>
      <c r="O902" s="6">
        <f t="shared" si="18"/>
        <v>688</v>
      </c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2.75" x14ac:dyDescent="0.2">
      <c r="A903" s="5" t="s">
        <v>2937</v>
      </c>
      <c r="B903" s="5" t="s">
        <v>2937</v>
      </c>
      <c r="C903" s="4">
        <v>321</v>
      </c>
      <c r="D903" s="6" t="e">
        <f t="shared" si="15"/>
        <v>#VALUE!</v>
      </c>
      <c r="E903" s="6" t="s">
        <v>4521</v>
      </c>
      <c r="F903" s="7">
        <v>344</v>
      </c>
      <c r="G903" s="6" t="s">
        <v>17</v>
      </c>
      <c r="H903" s="8" t="s">
        <v>4697</v>
      </c>
      <c r="I903" s="9" t="s">
        <v>4698</v>
      </c>
      <c r="J903" s="10" t="s">
        <v>4699</v>
      </c>
      <c r="K903" s="9" t="s">
        <v>4700</v>
      </c>
      <c r="L903" s="9" t="s">
        <v>4701</v>
      </c>
      <c r="M903" s="9" t="s">
        <v>4702</v>
      </c>
      <c r="N903" s="9" t="s">
        <v>4703</v>
      </c>
      <c r="O903" s="6">
        <f t="shared" si="18"/>
        <v>690</v>
      </c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2.75" x14ac:dyDescent="0.2">
      <c r="A904" s="5" t="s">
        <v>2937</v>
      </c>
      <c r="B904" s="5" t="s">
        <v>2937</v>
      </c>
      <c r="C904" s="4">
        <v>322</v>
      </c>
      <c r="D904" s="6" t="e">
        <f t="shared" si="15"/>
        <v>#VALUE!</v>
      </c>
      <c r="E904" s="6" t="s">
        <v>4704</v>
      </c>
      <c r="F904" s="7">
        <v>344</v>
      </c>
      <c r="G904" s="6" t="s">
        <v>28</v>
      </c>
      <c r="H904" s="8" t="s">
        <v>4705</v>
      </c>
      <c r="I904" s="10" t="s">
        <v>4706</v>
      </c>
      <c r="J904" s="9" t="s">
        <v>4707</v>
      </c>
      <c r="K904" s="9" t="s">
        <v>4708</v>
      </c>
      <c r="L904" s="9" t="s">
        <v>4709</v>
      </c>
      <c r="M904" s="9" t="s">
        <v>4710</v>
      </c>
      <c r="N904" s="9" t="s">
        <v>4703</v>
      </c>
      <c r="O904" s="6">
        <f t="shared" si="18"/>
        <v>1380</v>
      </c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2.75" x14ac:dyDescent="0.2">
      <c r="A905" s="5" t="s">
        <v>2937</v>
      </c>
      <c r="B905" s="5" t="s">
        <v>2937</v>
      </c>
      <c r="C905" s="4">
        <v>323</v>
      </c>
      <c r="D905" s="6" t="e">
        <f t="shared" si="15"/>
        <v>#VALUE!</v>
      </c>
      <c r="E905" s="6" t="s">
        <v>4711</v>
      </c>
      <c r="F905" s="7">
        <v>344</v>
      </c>
      <c r="G905" s="6" t="s">
        <v>17</v>
      </c>
      <c r="H905" s="8" t="s">
        <v>4712</v>
      </c>
      <c r="I905" s="9" t="s">
        <v>4713</v>
      </c>
      <c r="J905" s="10" t="s">
        <v>4714</v>
      </c>
      <c r="K905" s="9" t="s">
        <v>4715</v>
      </c>
      <c r="L905" s="9" t="s">
        <v>4716</v>
      </c>
      <c r="M905" s="9" t="s">
        <v>4717</v>
      </c>
      <c r="N905" s="9" t="s">
        <v>4703</v>
      </c>
      <c r="O905" s="6">
        <f t="shared" si="18"/>
        <v>690</v>
      </c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2.75" x14ac:dyDescent="0.2">
      <c r="A906" s="5" t="s">
        <v>2937</v>
      </c>
      <c r="B906" s="5" t="s">
        <v>2937</v>
      </c>
      <c r="C906" s="4">
        <v>324</v>
      </c>
      <c r="D906" s="6" t="e">
        <f t="shared" si="15"/>
        <v>#VALUE!</v>
      </c>
      <c r="E906" s="6" t="s">
        <v>4613</v>
      </c>
      <c r="F906" s="7">
        <v>344</v>
      </c>
      <c r="G906" s="6" t="s">
        <v>28</v>
      </c>
      <c r="H906" s="8" t="s">
        <v>4718</v>
      </c>
      <c r="I906" s="10" t="s">
        <v>4719</v>
      </c>
      <c r="J906" s="9" t="s">
        <v>4720</v>
      </c>
      <c r="K906" s="9" t="s">
        <v>4721</v>
      </c>
      <c r="L906" s="9" t="s">
        <v>4722</v>
      </c>
      <c r="M906" s="9" t="s">
        <v>4723</v>
      </c>
      <c r="N906" s="9" t="s">
        <v>4703</v>
      </c>
      <c r="O906" s="6">
        <f t="shared" si="18"/>
        <v>1380</v>
      </c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2.75" x14ac:dyDescent="0.2">
      <c r="A907" s="5" t="s">
        <v>2937</v>
      </c>
      <c r="B907" s="5" t="s">
        <v>2937</v>
      </c>
      <c r="C907" s="4">
        <v>325</v>
      </c>
      <c r="D907" s="6" t="e">
        <f t="shared" si="15"/>
        <v>#VALUE!</v>
      </c>
      <c r="E907" s="6" t="s">
        <v>572</v>
      </c>
      <c r="F907" s="7">
        <v>345</v>
      </c>
      <c r="G907" s="6" t="s">
        <v>17</v>
      </c>
      <c r="H907" s="8" t="s">
        <v>4724</v>
      </c>
      <c r="I907" s="9" t="s">
        <v>4725</v>
      </c>
      <c r="J907" s="10" t="s">
        <v>4726</v>
      </c>
      <c r="K907" s="9" t="s">
        <v>4727</v>
      </c>
      <c r="L907" s="9" t="s">
        <v>4728</v>
      </c>
      <c r="M907" s="9" t="s">
        <v>4729</v>
      </c>
      <c r="N907" s="9" t="s">
        <v>4730</v>
      </c>
      <c r="O907" s="6">
        <f t="shared" si="18"/>
        <v>692</v>
      </c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2.75" x14ac:dyDescent="0.2">
      <c r="A908" s="5" t="s">
        <v>2937</v>
      </c>
      <c r="B908" s="5" t="s">
        <v>2937</v>
      </c>
      <c r="C908" s="4">
        <v>326</v>
      </c>
      <c r="D908" s="6" t="e">
        <f t="shared" si="15"/>
        <v>#VALUE!</v>
      </c>
      <c r="E908" s="6" t="s">
        <v>4731</v>
      </c>
      <c r="F908" s="7">
        <v>345</v>
      </c>
      <c r="G908" s="6" t="s">
        <v>21</v>
      </c>
      <c r="H908" s="11" t="s">
        <v>4732</v>
      </c>
      <c r="I908" s="9" t="s">
        <v>4733</v>
      </c>
      <c r="J908" s="9" t="s">
        <v>4734</v>
      </c>
      <c r="K908" s="9" t="s">
        <v>4735</v>
      </c>
      <c r="L908" s="9" t="s">
        <v>4736</v>
      </c>
      <c r="M908" s="9" t="s">
        <v>4737</v>
      </c>
      <c r="N908" s="9" t="s">
        <v>4730</v>
      </c>
      <c r="O908" s="6">
        <f t="shared" si="18"/>
        <v>1730.0000680017681</v>
      </c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2.75" x14ac:dyDescent="0.2">
      <c r="A909" s="5" t="s">
        <v>2937</v>
      </c>
      <c r="B909" s="5" t="s">
        <v>2937</v>
      </c>
      <c r="C909" s="4">
        <v>327</v>
      </c>
      <c r="D909" s="6" t="e">
        <f t="shared" si="15"/>
        <v>#VALUE!</v>
      </c>
      <c r="E909" s="6" t="s">
        <v>4738</v>
      </c>
      <c r="F909" s="7">
        <v>345</v>
      </c>
      <c r="G909" s="6" t="s">
        <v>17</v>
      </c>
      <c r="H909" s="8" t="s">
        <v>2302</v>
      </c>
      <c r="I909" s="9" t="s">
        <v>4739</v>
      </c>
      <c r="J909" s="10" t="s">
        <v>4740</v>
      </c>
      <c r="K909" s="9" t="s">
        <v>4741</v>
      </c>
      <c r="L909" s="9" t="s">
        <v>4742</v>
      </c>
      <c r="M909" s="9" t="s">
        <v>4743</v>
      </c>
      <c r="N909" s="9" t="s">
        <v>4730</v>
      </c>
      <c r="O909" s="6">
        <f t="shared" si="18"/>
        <v>692</v>
      </c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2.75" x14ac:dyDescent="0.2">
      <c r="A910" s="5" t="s">
        <v>2937</v>
      </c>
      <c r="B910" s="5" t="s">
        <v>2937</v>
      </c>
      <c r="C910" s="4">
        <v>328</v>
      </c>
      <c r="D910" s="6" t="e">
        <f t="shared" si="15"/>
        <v>#VALUE!</v>
      </c>
      <c r="E910" s="6" t="s">
        <v>4744</v>
      </c>
      <c r="F910" s="7">
        <v>345</v>
      </c>
      <c r="G910" s="6" t="s">
        <v>21</v>
      </c>
      <c r="H910" s="11" t="s">
        <v>4745</v>
      </c>
      <c r="I910" s="9" t="s">
        <v>4746</v>
      </c>
      <c r="J910" s="9" t="s">
        <v>4747</v>
      </c>
      <c r="K910" s="9" t="s">
        <v>4748</v>
      </c>
      <c r="L910" s="9" t="s">
        <v>4749</v>
      </c>
      <c r="M910" s="9" t="s">
        <v>4750</v>
      </c>
      <c r="N910" s="9" t="s">
        <v>4730</v>
      </c>
      <c r="O910" s="6">
        <f t="shared" si="18"/>
        <v>1730.0000675881181</v>
      </c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2.75" x14ac:dyDescent="0.2">
      <c r="A911" s="5" t="s">
        <v>2937</v>
      </c>
      <c r="B911" s="5" t="s">
        <v>2937</v>
      </c>
      <c r="C911" s="4">
        <v>329</v>
      </c>
      <c r="D911" s="6" t="e">
        <f t="shared" si="15"/>
        <v>#VALUE!</v>
      </c>
      <c r="E911" s="6" t="s">
        <v>4751</v>
      </c>
      <c r="F911" s="7">
        <v>346</v>
      </c>
      <c r="G911" s="6" t="s">
        <v>17</v>
      </c>
      <c r="H911" s="8" t="s">
        <v>4752</v>
      </c>
      <c r="I911" s="9" t="s">
        <v>4753</v>
      </c>
      <c r="J911" s="10" t="s">
        <v>4754</v>
      </c>
      <c r="K911" s="9" t="s">
        <v>4755</v>
      </c>
      <c r="L911" s="9" t="s">
        <v>4756</v>
      </c>
      <c r="M911" s="9" t="s">
        <v>4757</v>
      </c>
      <c r="N911" s="9" t="s">
        <v>4758</v>
      </c>
      <c r="O911" s="6">
        <f t="shared" si="18"/>
        <v>694</v>
      </c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2.75" x14ac:dyDescent="0.2">
      <c r="A912" s="5" t="s">
        <v>2937</v>
      </c>
      <c r="B912" s="5" t="s">
        <v>2937</v>
      </c>
      <c r="C912" s="4">
        <v>330</v>
      </c>
      <c r="D912" s="6" t="e">
        <f t="shared" si="15"/>
        <v>#VALUE!</v>
      </c>
      <c r="E912" s="6" t="s">
        <v>4759</v>
      </c>
      <c r="F912" s="7">
        <v>346</v>
      </c>
      <c r="G912" s="6" t="s">
        <v>28</v>
      </c>
      <c r="H912" s="8" t="s">
        <v>4760</v>
      </c>
      <c r="I912" s="10" t="s">
        <v>4761</v>
      </c>
      <c r="J912" s="9" t="s">
        <v>4762</v>
      </c>
      <c r="K912" s="9" t="s">
        <v>4763</v>
      </c>
      <c r="L912" s="9" t="s">
        <v>4764</v>
      </c>
      <c r="M912" s="9" t="s">
        <v>4765</v>
      </c>
      <c r="N912" s="9" t="s">
        <v>4758</v>
      </c>
      <c r="O912" s="6">
        <f t="shared" si="18"/>
        <v>1388</v>
      </c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2.75" x14ac:dyDescent="0.2">
      <c r="A913" s="5" t="s">
        <v>2937</v>
      </c>
      <c r="B913" s="5" t="s">
        <v>2937</v>
      </c>
      <c r="C913" s="4">
        <v>331</v>
      </c>
      <c r="D913" s="6" t="e">
        <f t="shared" si="15"/>
        <v>#VALUE!</v>
      </c>
      <c r="E913" s="6" t="s">
        <v>3792</v>
      </c>
      <c r="F913" s="7">
        <v>346</v>
      </c>
      <c r="G913" s="6" t="s">
        <v>21</v>
      </c>
      <c r="H913" s="11" t="s">
        <v>4766</v>
      </c>
      <c r="I913" s="9" t="s">
        <v>4722</v>
      </c>
      <c r="J913" s="9" t="s">
        <v>4767</v>
      </c>
      <c r="K913" s="9" t="s">
        <v>4768</v>
      </c>
      <c r="L913" s="9" t="s">
        <v>4769</v>
      </c>
      <c r="M913" s="9" t="s">
        <v>4770</v>
      </c>
      <c r="N913" s="9" t="s">
        <v>4758</v>
      </c>
      <c r="O913" s="6">
        <f t="shared" si="18"/>
        <v>1735</v>
      </c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2.75" x14ac:dyDescent="0.2">
      <c r="A914" s="5" t="s">
        <v>2937</v>
      </c>
      <c r="B914" s="5" t="s">
        <v>2937</v>
      </c>
      <c r="C914" s="4">
        <v>332</v>
      </c>
      <c r="D914" s="6" t="e">
        <f t="shared" si="15"/>
        <v>#VALUE!</v>
      </c>
      <c r="E914" s="6" t="s">
        <v>760</v>
      </c>
      <c r="F914" s="7">
        <v>346</v>
      </c>
      <c r="G914" s="6" t="s">
        <v>21</v>
      </c>
      <c r="H914" s="11" t="s">
        <v>4771</v>
      </c>
      <c r="I914" s="9" t="s">
        <v>4772</v>
      </c>
      <c r="J914" s="9" t="s">
        <v>4773</v>
      </c>
      <c r="K914" s="9" t="s">
        <v>4774</v>
      </c>
      <c r="L914" s="9" t="s">
        <v>4775</v>
      </c>
      <c r="M914" s="9" t="s">
        <v>4776</v>
      </c>
      <c r="N914" s="9" t="s">
        <v>4758</v>
      </c>
      <c r="O914" s="6">
        <f t="shared" si="18"/>
        <v>1734.9999667143761</v>
      </c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2.75" x14ac:dyDescent="0.2">
      <c r="A915" s="5" t="s">
        <v>2937</v>
      </c>
      <c r="B915" s="5" t="s">
        <v>2937</v>
      </c>
      <c r="C915" s="4">
        <v>333</v>
      </c>
      <c r="D915" s="6" t="e">
        <f t="shared" si="15"/>
        <v>#VALUE!</v>
      </c>
      <c r="E915" s="6" t="s">
        <v>4777</v>
      </c>
      <c r="F915" s="7">
        <v>347</v>
      </c>
      <c r="G915" s="6" t="s">
        <v>21</v>
      </c>
      <c r="H915" s="11" t="s">
        <v>4778</v>
      </c>
      <c r="I915" s="9" t="s">
        <v>4779</v>
      </c>
      <c r="J915" s="9" t="s">
        <v>4780</v>
      </c>
      <c r="K915" s="9" t="s">
        <v>4781</v>
      </c>
      <c r="L915" s="9" t="s">
        <v>4782</v>
      </c>
      <c r="M915" s="9" t="s">
        <v>4783</v>
      </c>
      <c r="N915" s="9" t="s">
        <v>4784</v>
      </c>
      <c r="O915" s="6">
        <f t="shared" si="18"/>
        <v>1740</v>
      </c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2.75" x14ac:dyDescent="0.2">
      <c r="A916" s="5" t="s">
        <v>2937</v>
      </c>
      <c r="B916" s="5" t="s">
        <v>2937</v>
      </c>
      <c r="C916" s="4">
        <v>334</v>
      </c>
      <c r="D916" s="6" t="e">
        <f t="shared" si="15"/>
        <v>#VALUE!</v>
      </c>
      <c r="E916" s="6" t="s">
        <v>4785</v>
      </c>
      <c r="F916" s="7">
        <v>347</v>
      </c>
      <c r="G916" s="6" t="s">
        <v>28</v>
      </c>
      <c r="H916" s="8" t="s">
        <v>4786</v>
      </c>
      <c r="I916" s="10" t="s">
        <v>4787</v>
      </c>
      <c r="J916" s="9" t="s">
        <v>4788</v>
      </c>
      <c r="K916" s="9" t="s">
        <v>4789</v>
      </c>
      <c r="L916" s="9" t="s">
        <v>4790</v>
      </c>
      <c r="M916" s="9" t="s">
        <v>4791</v>
      </c>
      <c r="N916" s="9" t="s">
        <v>4784</v>
      </c>
      <c r="O916" s="6">
        <f t="shared" si="18"/>
        <v>1392</v>
      </c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2.75" x14ac:dyDescent="0.2">
      <c r="A917" s="5" t="s">
        <v>2937</v>
      </c>
      <c r="B917" s="5" t="s">
        <v>2937</v>
      </c>
      <c r="C917" s="4">
        <v>335</v>
      </c>
      <c r="D917" s="6" t="e">
        <f t="shared" si="15"/>
        <v>#VALUE!</v>
      </c>
      <c r="E917" s="6" t="s">
        <v>4637</v>
      </c>
      <c r="F917" s="7">
        <v>347</v>
      </c>
      <c r="G917" s="6" t="s">
        <v>17</v>
      </c>
      <c r="H917" s="8" t="s">
        <v>4792</v>
      </c>
      <c r="I917" s="9" t="s">
        <v>3387</v>
      </c>
      <c r="J917" s="10" t="s">
        <v>4793</v>
      </c>
      <c r="K917" s="9" t="s">
        <v>4794</v>
      </c>
      <c r="L917" s="9" t="s">
        <v>4795</v>
      </c>
      <c r="M917" s="9" t="s">
        <v>4796</v>
      </c>
      <c r="N917" s="9" t="s">
        <v>4784</v>
      </c>
      <c r="O917" s="6">
        <f t="shared" si="18"/>
        <v>696</v>
      </c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2.75" x14ac:dyDescent="0.2">
      <c r="A918" s="5" t="s">
        <v>2937</v>
      </c>
      <c r="B918" s="5" t="s">
        <v>2937</v>
      </c>
      <c r="C918" s="4">
        <v>336</v>
      </c>
      <c r="D918" s="6" t="e">
        <f t="shared" si="15"/>
        <v>#VALUE!</v>
      </c>
      <c r="E918" s="6" t="s">
        <v>172</v>
      </c>
      <c r="F918" s="7">
        <v>347</v>
      </c>
      <c r="G918" s="6" t="s">
        <v>28</v>
      </c>
      <c r="H918" s="8" t="s">
        <v>4797</v>
      </c>
      <c r="I918" s="10" t="s">
        <v>4798</v>
      </c>
      <c r="J918" s="9" t="s">
        <v>4786</v>
      </c>
      <c r="K918" s="9" t="s">
        <v>4799</v>
      </c>
      <c r="L918" s="9" t="s">
        <v>4800</v>
      </c>
      <c r="M918" s="9" t="s">
        <v>4801</v>
      </c>
      <c r="N918" s="9" t="s">
        <v>4784</v>
      </c>
      <c r="O918" s="6">
        <f t="shared" si="18"/>
        <v>1392</v>
      </c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2.75" x14ac:dyDescent="0.2">
      <c r="A919" s="5" t="s">
        <v>2937</v>
      </c>
      <c r="B919" s="5" t="s">
        <v>2937</v>
      </c>
      <c r="C919" s="4">
        <v>337</v>
      </c>
      <c r="D919" s="6" t="e">
        <f t="shared" si="15"/>
        <v>#VALUE!</v>
      </c>
      <c r="E919" s="6" t="s">
        <v>354</v>
      </c>
      <c r="F919" s="7">
        <v>348</v>
      </c>
      <c r="G919" s="6" t="s">
        <v>21</v>
      </c>
      <c r="H919" s="11" t="s">
        <v>4802</v>
      </c>
      <c r="I919" s="9" t="s">
        <v>3427</v>
      </c>
      <c r="J919" s="9" t="s">
        <v>4803</v>
      </c>
      <c r="K919" s="9" t="s">
        <v>4804</v>
      </c>
      <c r="L919" s="9" t="s">
        <v>4805</v>
      </c>
      <c r="M919" s="9" t="s">
        <v>4806</v>
      </c>
      <c r="N919" s="9" t="s">
        <v>4807</v>
      </c>
      <c r="O919" s="6">
        <f t="shared" si="18"/>
        <v>1745.0000651763019</v>
      </c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2.75" x14ac:dyDescent="0.2">
      <c r="A920" s="5" t="s">
        <v>2937</v>
      </c>
      <c r="B920" s="5" t="s">
        <v>2937</v>
      </c>
      <c r="C920" s="4">
        <v>338</v>
      </c>
      <c r="D920" s="6" t="e">
        <f t="shared" si="15"/>
        <v>#VALUE!</v>
      </c>
      <c r="E920" s="6" t="s">
        <v>463</v>
      </c>
      <c r="F920" s="7">
        <v>348</v>
      </c>
      <c r="G920" s="6" t="s">
        <v>28</v>
      </c>
      <c r="H920" s="8" t="s">
        <v>4808</v>
      </c>
      <c r="I920" s="10" t="s">
        <v>4809</v>
      </c>
      <c r="J920" s="9" t="s">
        <v>4810</v>
      </c>
      <c r="K920" s="9" t="s">
        <v>4811</v>
      </c>
      <c r="L920" s="9" t="s">
        <v>4812</v>
      </c>
      <c r="M920" s="9" t="s">
        <v>4813</v>
      </c>
      <c r="N920" s="9" t="s">
        <v>4807</v>
      </c>
      <c r="O920" s="6">
        <f t="shared" si="18"/>
        <v>1396</v>
      </c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2.75" x14ac:dyDescent="0.2">
      <c r="A921" s="5" t="s">
        <v>2937</v>
      </c>
      <c r="B921" s="5" t="s">
        <v>2937</v>
      </c>
      <c r="C921" s="4">
        <v>339</v>
      </c>
      <c r="D921" s="6" t="e">
        <f t="shared" si="15"/>
        <v>#VALUE!</v>
      </c>
      <c r="E921" s="6" t="s">
        <v>4814</v>
      </c>
      <c r="F921" s="7">
        <v>348</v>
      </c>
      <c r="G921" s="6" t="s">
        <v>28</v>
      </c>
      <c r="H921" s="8" t="s">
        <v>4815</v>
      </c>
      <c r="I921" s="10" t="s">
        <v>4816</v>
      </c>
      <c r="J921" s="9" t="s">
        <v>4277</v>
      </c>
      <c r="K921" s="9" t="s">
        <v>4817</v>
      </c>
      <c r="L921" s="9" t="s">
        <v>4818</v>
      </c>
      <c r="M921" s="9" t="s">
        <v>4819</v>
      </c>
      <c r="N921" s="9" t="s">
        <v>4807</v>
      </c>
      <c r="O921" s="6">
        <f t="shared" si="18"/>
        <v>1396</v>
      </c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2.75" x14ac:dyDescent="0.2">
      <c r="A922" s="5" t="s">
        <v>2937</v>
      </c>
      <c r="B922" s="5" t="s">
        <v>2937</v>
      </c>
      <c r="C922" s="4">
        <v>340</v>
      </c>
      <c r="D922" s="6" t="e">
        <f t="shared" si="15"/>
        <v>#VALUE!</v>
      </c>
      <c r="E922" s="6" t="s">
        <v>4820</v>
      </c>
      <c r="F922" s="7">
        <v>348</v>
      </c>
      <c r="G922" s="6" t="s">
        <v>17</v>
      </c>
      <c r="H922" s="8" t="s">
        <v>4810</v>
      </c>
      <c r="I922" s="9" t="s">
        <v>4821</v>
      </c>
      <c r="J922" s="10" t="s">
        <v>4822</v>
      </c>
      <c r="K922" s="9" t="s">
        <v>2424</v>
      </c>
      <c r="L922" s="9" t="s">
        <v>4823</v>
      </c>
      <c r="M922" s="9" t="s">
        <v>4824</v>
      </c>
      <c r="N922" s="9" t="s">
        <v>4807</v>
      </c>
      <c r="O922" s="6">
        <f t="shared" si="18"/>
        <v>698</v>
      </c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2.75" x14ac:dyDescent="0.2">
      <c r="A923" s="5" t="s">
        <v>2937</v>
      </c>
      <c r="B923" s="5" t="s">
        <v>2937</v>
      </c>
      <c r="C923" s="4">
        <v>341</v>
      </c>
      <c r="D923" s="6" t="e">
        <f t="shared" si="15"/>
        <v>#VALUE!</v>
      </c>
      <c r="E923" s="6" t="s">
        <v>3834</v>
      </c>
      <c r="F923" s="7">
        <v>349</v>
      </c>
      <c r="G923" s="6" t="s">
        <v>21</v>
      </c>
      <c r="H923" s="11" t="s">
        <v>4825</v>
      </c>
      <c r="I923" s="9" t="s">
        <v>4826</v>
      </c>
      <c r="J923" s="9" t="s">
        <v>4827</v>
      </c>
      <c r="K923" s="9" t="s">
        <v>4828</v>
      </c>
      <c r="L923" s="9" t="s">
        <v>4829</v>
      </c>
      <c r="M923" s="9" t="s">
        <v>4830</v>
      </c>
      <c r="N923" s="9" t="s">
        <v>4831</v>
      </c>
      <c r="O923" s="6">
        <f t="shared" si="18"/>
        <v>1749.9999357801112</v>
      </c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2.75" x14ac:dyDescent="0.2">
      <c r="A924" s="5" t="s">
        <v>2937</v>
      </c>
      <c r="B924" s="5" t="s">
        <v>2937</v>
      </c>
      <c r="C924" s="4">
        <v>342</v>
      </c>
      <c r="D924" s="6" t="e">
        <f t="shared" si="15"/>
        <v>#VALUE!</v>
      </c>
      <c r="E924" s="6" t="s">
        <v>225</v>
      </c>
      <c r="F924" s="7">
        <v>349</v>
      </c>
      <c r="G924" s="6" t="s">
        <v>28</v>
      </c>
      <c r="H924" s="8" t="s">
        <v>4832</v>
      </c>
      <c r="I924" s="10" t="s">
        <v>4833</v>
      </c>
      <c r="J924" s="9" t="s">
        <v>4834</v>
      </c>
      <c r="K924" s="9" t="s">
        <v>4835</v>
      </c>
      <c r="L924" s="9" t="s">
        <v>4836</v>
      </c>
      <c r="M924" s="9" t="s">
        <v>4837</v>
      </c>
      <c r="N924" s="9" t="s">
        <v>4831</v>
      </c>
      <c r="O924" s="6">
        <f t="shared" si="18"/>
        <v>1400</v>
      </c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2.75" x14ac:dyDescent="0.2">
      <c r="A925" s="5" t="s">
        <v>2937</v>
      </c>
      <c r="B925" s="5" t="s">
        <v>2937</v>
      </c>
      <c r="C925" s="4">
        <v>343</v>
      </c>
      <c r="D925" s="6" t="e">
        <f t="shared" si="15"/>
        <v>#VALUE!</v>
      </c>
      <c r="E925" s="6" t="s">
        <v>4838</v>
      </c>
      <c r="F925" s="7">
        <v>349</v>
      </c>
      <c r="G925" s="6" t="s">
        <v>21</v>
      </c>
      <c r="H925" s="11" t="s">
        <v>4839</v>
      </c>
      <c r="I925" s="9" t="s">
        <v>2175</v>
      </c>
      <c r="J925" s="9" t="s">
        <v>4840</v>
      </c>
      <c r="K925" s="9" t="s">
        <v>4841</v>
      </c>
      <c r="L925" s="9" t="s">
        <v>4842</v>
      </c>
      <c r="M925" s="9" t="s">
        <v>4843</v>
      </c>
      <c r="N925" s="9" t="s">
        <v>4831</v>
      </c>
      <c r="O925" s="6">
        <f t="shared" si="18"/>
        <v>1750</v>
      </c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2.75" x14ac:dyDescent="0.2">
      <c r="A926" s="5" t="s">
        <v>2937</v>
      </c>
      <c r="B926" s="5" t="s">
        <v>2937</v>
      </c>
      <c r="C926" s="4">
        <v>344</v>
      </c>
      <c r="D926" s="6" t="e">
        <f t="shared" si="15"/>
        <v>#VALUE!</v>
      </c>
      <c r="E926" s="6" t="s">
        <v>752</v>
      </c>
      <c r="F926" s="7">
        <v>349</v>
      </c>
      <c r="G926" s="6" t="s">
        <v>17</v>
      </c>
      <c r="H926" s="8" t="s">
        <v>4834</v>
      </c>
      <c r="I926" s="9" t="s">
        <v>762</v>
      </c>
      <c r="J926" s="10" t="s">
        <v>4844</v>
      </c>
      <c r="K926" s="9" t="s">
        <v>4845</v>
      </c>
      <c r="L926" s="9" t="s">
        <v>4846</v>
      </c>
      <c r="M926" s="9" t="s">
        <v>4847</v>
      </c>
      <c r="N926" s="9" t="s">
        <v>4831</v>
      </c>
      <c r="O926" s="6">
        <f t="shared" si="18"/>
        <v>700</v>
      </c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2.75" x14ac:dyDescent="0.2">
      <c r="A927" s="5" t="s">
        <v>2937</v>
      </c>
      <c r="B927" s="5" t="s">
        <v>2937</v>
      </c>
      <c r="C927" s="4">
        <v>345</v>
      </c>
      <c r="D927" s="6" t="e">
        <f t="shared" si="15"/>
        <v>#VALUE!</v>
      </c>
      <c r="E927" s="6" t="s">
        <v>4848</v>
      </c>
      <c r="F927" s="7">
        <v>350</v>
      </c>
      <c r="G927" s="6" t="s">
        <v>28</v>
      </c>
      <c r="H927" s="8" t="s">
        <v>4360</v>
      </c>
      <c r="I927" s="10" t="s">
        <v>4849</v>
      </c>
      <c r="J927" s="9" t="s">
        <v>762</v>
      </c>
      <c r="K927" s="9" t="s">
        <v>4850</v>
      </c>
      <c r="L927" s="9" t="s">
        <v>4851</v>
      </c>
      <c r="M927" s="9" t="s">
        <v>4852</v>
      </c>
      <c r="N927" s="9" t="s">
        <v>4853</v>
      </c>
      <c r="O927" s="6">
        <f t="shared" si="18"/>
        <v>1404</v>
      </c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2.75" x14ac:dyDescent="0.2">
      <c r="A928" s="5" t="s">
        <v>2937</v>
      </c>
      <c r="B928" s="5" t="s">
        <v>2937</v>
      </c>
      <c r="C928" s="4">
        <v>346</v>
      </c>
      <c r="D928" s="6" t="e">
        <f t="shared" si="15"/>
        <v>#VALUE!</v>
      </c>
      <c r="E928" s="6" t="s">
        <v>70</v>
      </c>
      <c r="F928" s="7">
        <v>350</v>
      </c>
      <c r="G928" s="6" t="s">
        <v>21</v>
      </c>
      <c r="H928" s="11" t="s">
        <v>4854</v>
      </c>
      <c r="I928" s="9" t="s">
        <v>4855</v>
      </c>
      <c r="J928" s="9" t="s">
        <v>4856</v>
      </c>
      <c r="K928" s="9" t="s">
        <v>4857</v>
      </c>
      <c r="L928" s="9" t="s">
        <v>4858</v>
      </c>
      <c r="M928" s="9" t="s">
        <v>4859</v>
      </c>
      <c r="N928" s="9" t="s">
        <v>4853</v>
      </c>
      <c r="O928" s="6">
        <f t="shared" si="18"/>
        <v>1755.0000315487271</v>
      </c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2.75" x14ac:dyDescent="0.2">
      <c r="A929" s="5" t="s">
        <v>2937</v>
      </c>
      <c r="B929" s="5" t="s">
        <v>2937</v>
      </c>
      <c r="C929" s="4">
        <v>347</v>
      </c>
      <c r="D929" s="6" t="e">
        <f t="shared" si="15"/>
        <v>#VALUE!</v>
      </c>
      <c r="E929" s="6" t="s">
        <v>4860</v>
      </c>
      <c r="F929" s="7">
        <v>350</v>
      </c>
      <c r="G929" s="6" t="s">
        <v>17</v>
      </c>
      <c r="H929" s="8" t="s">
        <v>4861</v>
      </c>
      <c r="I929" s="9" t="s">
        <v>4862</v>
      </c>
      <c r="J929" s="10" t="s">
        <v>4863</v>
      </c>
      <c r="K929" s="9" t="s">
        <v>4864</v>
      </c>
      <c r="L929" s="9" t="s">
        <v>4865</v>
      </c>
      <c r="M929" s="9" t="s">
        <v>4866</v>
      </c>
      <c r="N929" s="9" t="s">
        <v>4853</v>
      </c>
      <c r="O929" s="6">
        <f t="shared" si="18"/>
        <v>702</v>
      </c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2.75" x14ac:dyDescent="0.2">
      <c r="A930" s="5" t="s">
        <v>2937</v>
      </c>
      <c r="B930" s="5" t="s">
        <v>2937</v>
      </c>
      <c r="C930" s="4">
        <v>348</v>
      </c>
      <c r="D930" s="6" t="e">
        <f t="shared" si="15"/>
        <v>#VALUE!</v>
      </c>
      <c r="E930" s="6" t="s">
        <v>4223</v>
      </c>
      <c r="F930" s="7">
        <v>350</v>
      </c>
      <c r="G930" s="6" t="s">
        <v>21</v>
      </c>
      <c r="H930" s="11" t="s">
        <v>4867</v>
      </c>
      <c r="I930" s="9" t="s">
        <v>4868</v>
      </c>
      <c r="J930" s="9" t="s">
        <v>4869</v>
      </c>
      <c r="K930" s="9" t="s">
        <v>4870</v>
      </c>
      <c r="L930" s="9" t="s">
        <v>4871</v>
      </c>
      <c r="M930" s="9" t="s">
        <v>4872</v>
      </c>
      <c r="N930" s="9" t="s">
        <v>4853</v>
      </c>
      <c r="O930" s="6">
        <f t="shared" si="18"/>
        <v>1755.0000313666446</v>
      </c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2.75" x14ac:dyDescent="0.2">
      <c r="A931" s="5" t="s">
        <v>2937</v>
      </c>
      <c r="B931" s="5" t="s">
        <v>2937</v>
      </c>
      <c r="C931" s="4">
        <v>349</v>
      </c>
      <c r="D931" s="6" t="e">
        <f t="shared" si="15"/>
        <v>#VALUE!</v>
      </c>
      <c r="E931" s="6" t="s">
        <v>4873</v>
      </c>
      <c r="F931" s="7">
        <v>351</v>
      </c>
      <c r="G931" s="6" t="s">
        <v>28</v>
      </c>
      <c r="H931" s="8" t="s">
        <v>4874</v>
      </c>
      <c r="I931" s="10" t="s">
        <v>4875</v>
      </c>
      <c r="J931" s="9" t="s">
        <v>4876</v>
      </c>
      <c r="K931" s="9" t="s">
        <v>4877</v>
      </c>
      <c r="L931" s="9" t="s">
        <v>4878</v>
      </c>
      <c r="M931" s="9" t="s">
        <v>4879</v>
      </c>
      <c r="N931" s="9" t="s">
        <v>4880</v>
      </c>
      <c r="O931" s="6">
        <f t="shared" si="18"/>
        <v>1408</v>
      </c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2.75" x14ac:dyDescent="0.2">
      <c r="A932" s="5" t="s">
        <v>2937</v>
      </c>
      <c r="B932" s="5" t="s">
        <v>2937</v>
      </c>
      <c r="C932" s="4">
        <v>350</v>
      </c>
      <c r="D932" s="6" t="e">
        <f t="shared" si="15"/>
        <v>#VALUE!</v>
      </c>
      <c r="E932" s="6" t="s">
        <v>4881</v>
      </c>
      <c r="F932" s="7">
        <v>351</v>
      </c>
      <c r="G932" s="6" t="s">
        <v>17</v>
      </c>
      <c r="H932" s="8" t="s">
        <v>4882</v>
      </c>
      <c r="I932" s="9" t="s">
        <v>4883</v>
      </c>
      <c r="J932" s="10" t="s">
        <v>4884</v>
      </c>
      <c r="K932" s="9" t="s">
        <v>4885</v>
      </c>
      <c r="L932" s="9" t="s">
        <v>3704</v>
      </c>
      <c r="M932" s="9" t="s">
        <v>4886</v>
      </c>
      <c r="N932" s="9" t="s">
        <v>4880</v>
      </c>
      <c r="O932" s="6">
        <f t="shared" si="18"/>
        <v>704</v>
      </c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2.75" x14ac:dyDescent="0.2">
      <c r="A933" s="5" t="s">
        <v>2937</v>
      </c>
      <c r="B933" s="5" t="s">
        <v>2937</v>
      </c>
      <c r="C933" s="4">
        <v>351</v>
      </c>
      <c r="D933" s="6" t="e">
        <f t="shared" si="15"/>
        <v>#VALUE!</v>
      </c>
      <c r="E933" s="6" t="s">
        <v>4357</v>
      </c>
      <c r="F933" s="7">
        <v>351</v>
      </c>
      <c r="G933" s="6" t="s">
        <v>21</v>
      </c>
      <c r="H933" s="11" t="s">
        <v>4887</v>
      </c>
      <c r="I933" s="9" t="s">
        <v>4888</v>
      </c>
      <c r="J933" s="9" t="s">
        <v>4889</v>
      </c>
      <c r="K933" s="9" t="s">
        <v>4890</v>
      </c>
      <c r="L933" s="9" t="s">
        <v>4891</v>
      </c>
      <c r="M933" s="9" t="s">
        <v>4892</v>
      </c>
      <c r="N933" s="9" t="s">
        <v>4880</v>
      </c>
      <c r="O933" s="6">
        <f t="shared" si="18"/>
        <v>1760</v>
      </c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2.75" x14ac:dyDescent="0.2">
      <c r="A934" s="5" t="s">
        <v>2937</v>
      </c>
      <c r="B934" s="5" t="s">
        <v>2937</v>
      </c>
      <c r="C934" s="4">
        <v>352</v>
      </c>
      <c r="D934" s="6" t="e">
        <f t="shared" si="15"/>
        <v>#VALUE!</v>
      </c>
      <c r="E934" s="6" t="s">
        <v>3174</v>
      </c>
      <c r="F934" s="7">
        <v>351</v>
      </c>
      <c r="G934" s="6" t="s">
        <v>21</v>
      </c>
      <c r="H934" s="11" t="s">
        <v>4893</v>
      </c>
      <c r="I934" s="9" t="s">
        <v>4894</v>
      </c>
      <c r="J934" s="9" t="s">
        <v>4895</v>
      </c>
      <c r="K934" s="9" t="s">
        <v>4896</v>
      </c>
      <c r="L934" s="9" t="s">
        <v>4335</v>
      </c>
      <c r="M934" s="9" t="s">
        <v>4897</v>
      </c>
      <c r="N934" s="9" t="s">
        <v>4880</v>
      </c>
      <c r="O934" s="6">
        <f t="shared" si="18"/>
        <v>1760</v>
      </c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2.75" x14ac:dyDescent="0.2">
      <c r="A935" s="5" t="s">
        <v>2937</v>
      </c>
      <c r="B935" s="5" t="s">
        <v>2937</v>
      </c>
      <c r="C935" s="4">
        <v>353</v>
      </c>
      <c r="D935" s="6" t="e">
        <f t="shared" si="15"/>
        <v>#VALUE!</v>
      </c>
      <c r="E935" s="6" t="s">
        <v>4690</v>
      </c>
      <c r="F935" s="7">
        <v>352</v>
      </c>
      <c r="G935" s="6" t="s">
        <v>28</v>
      </c>
      <c r="H935" s="8" t="s">
        <v>4898</v>
      </c>
      <c r="I935" s="10" t="s">
        <v>4899</v>
      </c>
      <c r="J935" s="9" t="s">
        <v>4900</v>
      </c>
      <c r="K935" s="9" t="s">
        <v>4901</v>
      </c>
      <c r="L935" s="9" t="s">
        <v>4902</v>
      </c>
      <c r="M935" s="9" t="s">
        <v>4903</v>
      </c>
      <c r="N935" s="9" t="s">
        <v>4904</v>
      </c>
      <c r="O935" s="6">
        <f t="shared" si="18"/>
        <v>1412</v>
      </c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2.75" x14ac:dyDescent="0.2">
      <c r="A936" s="5" t="s">
        <v>2937</v>
      </c>
      <c r="B936" s="5" t="s">
        <v>2937</v>
      </c>
      <c r="C936" s="4">
        <v>354</v>
      </c>
      <c r="D936" s="6" t="e">
        <f t="shared" si="15"/>
        <v>#VALUE!</v>
      </c>
      <c r="E936" s="6" t="s">
        <v>4905</v>
      </c>
      <c r="F936" s="7">
        <v>352</v>
      </c>
      <c r="G936" s="6" t="s">
        <v>21</v>
      </c>
      <c r="H936" s="11" t="s">
        <v>4906</v>
      </c>
      <c r="I936" s="9" t="s">
        <v>4907</v>
      </c>
      <c r="J936" s="9" t="s">
        <v>4908</v>
      </c>
      <c r="K936" s="9" t="s">
        <v>4909</v>
      </c>
      <c r="L936" s="9" t="s">
        <v>4910</v>
      </c>
      <c r="M936" s="9" t="s">
        <v>4911</v>
      </c>
      <c r="N936" s="9" t="s">
        <v>4904</v>
      </c>
      <c r="O936" s="6">
        <f t="shared" si="18"/>
        <v>1765.0000577267217</v>
      </c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2.75" x14ac:dyDescent="0.2">
      <c r="A937" s="5" t="s">
        <v>2937</v>
      </c>
      <c r="B937" s="5" t="s">
        <v>2937</v>
      </c>
      <c r="C937" s="4">
        <v>355</v>
      </c>
      <c r="D937" s="6" t="e">
        <f t="shared" si="15"/>
        <v>#VALUE!</v>
      </c>
      <c r="E937" s="6" t="s">
        <v>3123</v>
      </c>
      <c r="F937" s="7">
        <v>352</v>
      </c>
      <c r="G937" s="6" t="s">
        <v>21</v>
      </c>
      <c r="H937" s="11" t="s">
        <v>4912</v>
      </c>
      <c r="I937" s="9" t="s">
        <v>1216</v>
      </c>
      <c r="J937" s="9" t="s">
        <v>4913</v>
      </c>
      <c r="K937" s="9" t="s">
        <v>4914</v>
      </c>
      <c r="L937" s="9" t="s">
        <v>4915</v>
      </c>
      <c r="M937" s="9" t="s">
        <v>4916</v>
      </c>
      <c r="N937" s="9" t="s">
        <v>4904</v>
      </c>
      <c r="O937" s="6">
        <f t="shared" si="18"/>
        <v>1764.9999712188803</v>
      </c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2.75" x14ac:dyDescent="0.2">
      <c r="A938" s="5" t="s">
        <v>2937</v>
      </c>
      <c r="B938" s="5" t="s">
        <v>2937</v>
      </c>
      <c r="C938" s="4">
        <v>356</v>
      </c>
      <c r="D938" s="6" t="e">
        <f t="shared" si="15"/>
        <v>#VALUE!</v>
      </c>
      <c r="E938" s="6" t="s">
        <v>4917</v>
      </c>
      <c r="F938" s="7">
        <v>352</v>
      </c>
      <c r="G938" s="6" t="s">
        <v>28</v>
      </c>
      <c r="H938" s="8" t="s">
        <v>4918</v>
      </c>
      <c r="I938" s="10" t="s">
        <v>4919</v>
      </c>
      <c r="J938" s="9" t="s">
        <v>4920</v>
      </c>
      <c r="K938" s="9" t="s">
        <v>4921</v>
      </c>
      <c r="L938" s="9" t="s">
        <v>4922</v>
      </c>
      <c r="M938" s="9" t="s">
        <v>4923</v>
      </c>
      <c r="N938" s="9" t="s">
        <v>4904</v>
      </c>
      <c r="O938" s="6">
        <f t="shared" si="18"/>
        <v>1412</v>
      </c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2.75" x14ac:dyDescent="0.2">
      <c r="A939" s="5" t="s">
        <v>2937</v>
      </c>
      <c r="B939" s="5" t="s">
        <v>2937</v>
      </c>
      <c r="C939" s="4">
        <v>357</v>
      </c>
      <c r="D939" s="6" t="e">
        <f t="shared" si="15"/>
        <v>#VALUE!</v>
      </c>
      <c r="E939" s="6" t="s">
        <v>4738</v>
      </c>
      <c r="F939" s="7">
        <v>353</v>
      </c>
      <c r="G939" s="6" t="s">
        <v>17</v>
      </c>
      <c r="H939" s="8" t="s">
        <v>4924</v>
      </c>
      <c r="I939" s="9" t="s">
        <v>4925</v>
      </c>
      <c r="J939" s="10" t="s">
        <v>4926</v>
      </c>
      <c r="K939" s="9" t="s">
        <v>4927</v>
      </c>
      <c r="L939" s="9" t="s">
        <v>4928</v>
      </c>
      <c r="M939" s="9" t="s">
        <v>4929</v>
      </c>
      <c r="N939" s="9" t="s">
        <v>4930</v>
      </c>
      <c r="O939" s="6">
        <f t="shared" si="18"/>
        <v>708</v>
      </c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2.75" x14ac:dyDescent="0.2">
      <c r="A940" s="5" t="s">
        <v>2937</v>
      </c>
      <c r="B940" s="5" t="s">
        <v>2937</v>
      </c>
      <c r="C940" s="4">
        <v>358</v>
      </c>
      <c r="D940" s="6" t="e">
        <f t="shared" si="15"/>
        <v>#VALUE!</v>
      </c>
      <c r="E940" s="6" t="s">
        <v>4931</v>
      </c>
      <c r="F940" s="7">
        <v>353</v>
      </c>
      <c r="G940" s="6" t="s">
        <v>21</v>
      </c>
      <c r="H940" s="11" t="s">
        <v>4932</v>
      </c>
      <c r="I940" s="9" t="s">
        <v>4933</v>
      </c>
      <c r="J940" s="9" t="s">
        <v>4934</v>
      </c>
      <c r="K940" s="9" t="s">
        <v>4935</v>
      </c>
      <c r="L940" s="9" t="s">
        <v>4936</v>
      </c>
      <c r="M940" s="9" t="s">
        <v>4937</v>
      </c>
      <c r="N940" s="9" t="s">
        <v>4930</v>
      </c>
      <c r="O940" s="6">
        <f t="shared" si="18"/>
        <v>1770</v>
      </c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2.75" x14ac:dyDescent="0.2">
      <c r="A941" s="5" t="s">
        <v>2937</v>
      </c>
      <c r="B941" s="5" t="s">
        <v>2937</v>
      </c>
      <c r="C941" s="4">
        <v>359</v>
      </c>
      <c r="D941" s="6" t="e">
        <f t="shared" si="15"/>
        <v>#VALUE!</v>
      </c>
      <c r="E941" s="6" t="s">
        <v>3346</v>
      </c>
      <c r="F941" s="7">
        <v>353</v>
      </c>
      <c r="G941" s="6" t="s">
        <v>28</v>
      </c>
      <c r="H941" s="8" t="s">
        <v>4938</v>
      </c>
      <c r="I941" s="10" t="s">
        <v>4939</v>
      </c>
      <c r="J941" s="9" t="s">
        <v>3480</v>
      </c>
      <c r="K941" s="9" t="s">
        <v>4940</v>
      </c>
      <c r="L941" s="9" t="s">
        <v>4941</v>
      </c>
      <c r="M941" s="9" t="s">
        <v>4942</v>
      </c>
      <c r="N941" s="9" t="s">
        <v>4930</v>
      </c>
      <c r="O941" s="6">
        <f t="shared" si="18"/>
        <v>1416</v>
      </c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2.75" x14ac:dyDescent="0.2">
      <c r="A942" s="5" t="s">
        <v>2937</v>
      </c>
      <c r="B942" s="5" t="s">
        <v>2937</v>
      </c>
      <c r="C942" s="4">
        <v>360</v>
      </c>
      <c r="D942" s="6" t="e">
        <f t="shared" si="15"/>
        <v>#VALUE!</v>
      </c>
      <c r="E942" s="6" t="s">
        <v>3113</v>
      </c>
      <c r="F942" s="7">
        <v>353</v>
      </c>
      <c r="G942" s="6" t="s">
        <v>21</v>
      </c>
      <c r="H942" s="11" t="s">
        <v>4943</v>
      </c>
      <c r="I942" s="9" t="s">
        <v>4944</v>
      </c>
      <c r="J942" s="9" t="s">
        <v>4945</v>
      </c>
      <c r="K942" s="9" t="s">
        <v>4946</v>
      </c>
      <c r="L942" s="9" t="s">
        <v>4947</v>
      </c>
      <c r="M942" s="9" t="s">
        <v>4948</v>
      </c>
      <c r="N942" s="9" t="s">
        <v>4930</v>
      </c>
      <c r="O942" s="6">
        <f t="shared" si="18"/>
        <v>1770.000056569085</v>
      </c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2.75" x14ac:dyDescent="0.2">
      <c r="A943" s="5" t="s">
        <v>2937</v>
      </c>
      <c r="B943" s="5" t="s">
        <v>2937</v>
      </c>
      <c r="C943" s="4">
        <v>361</v>
      </c>
      <c r="D943" s="6" t="e">
        <f t="shared" si="15"/>
        <v>#VALUE!</v>
      </c>
      <c r="E943" s="6" t="s">
        <v>4949</v>
      </c>
      <c r="F943" s="7">
        <v>354</v>
      </c>
      <c r="G943" s="6" t="s">
        <v>21</v>
      </c>
      <c r="H943" s="11" t="s">
        <v>4950</v>
      </c>
      <c r="I943" s="9" t="s">
        <v>4951</v>
      </c>
      <c r="J943" s="9" t="s">
        <v>3698</v>
      </c>
      <c r="K943" s="9" t="s">
        <v>4952</v>
      </c>
      <c r="L943" s="9" t="s">
        <v>4953</v>
      </c>
      <c r="M943" s="9" t="s">
        <v>4954</v>
      </c>
      <c r="N943" s="9" t="s">
        <v>4955</v>
      </c>
      <c r="O943" s="6">
        <f t="shared" si="18"/>
        <v>1775.0000562271578</v>
      </c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2.75" x14ac:dyDescent="0.2">
      <c r="A944" s="5" t="s">
        <v>2937</v>
      </c>
      <c r="B944" s="5" t="s">
        <v>2937</v>
      </c>
      <c r="C944" s="4">
        <v>362</v>
      </c>
      <c r="D944" s="6" t="e">
        <f t="shared" si="15"/>
        <v>#VALUE!</v>
      </c>
      <c r="E944" s="6" t="s">
        <v>3716</v>
      </c>
      <c r="F944" s="7">
        <v>354</v>
      </c>
      <c r="G944" s="6" t="s">
        <v>17</v>
      </c>
      <c r="H944" s="8" t="s">
        <v>4956</v>
      </c>
      <c r="I944" s="9" t="s">
        <v>4957</v>
      </c>
      <c r="J944" s="10" t="s">
        <v>4958</v>
      </c>
      <c r="K944" s="9" t="s">
        <v>4959</v>
      </c>
      <c r="L944" s="9" t="s">
        <v>4960</v>
      </c>
      <c r="M944" s="9" t="s">
        <v>4961</v>
      </c>
      <c r="N944" s="9" t="s">
        <v>4955</v>
      </c>
      <c r="O944" s="6">
        <f t="shared" si="18"/>
        <v>710</v>
      </c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2.75" x14ac:dyDescent="0.2">
      <c r="A945" s="5" t="s">
        <v>2937</v>
      </c>
      <c r="B945" s="5" t="s">
        <v>2937</v>
      </c>
      <c r="C945" s="4">
        <v>363</v>
      </c>
      <c r="D945" s="6" t="e">
        <f t="shared" si="15"/>
        <v>#VALUE!</v>
      </c>
      <c r="E945" s="6" t="s">
        <v>85</v>
      </c>
      <c r="F945" s="7">
        <v>354</v>
      </c>
      <c r="G945" s="6" t="s">
        <v>21</v>
      </c>
      <c r="H945" s="11" t="s">
        <v>4962</v>
      </c>
      <c r="I945" s="9" t="s">
        <v>4963</v>
      </c>
      <c r="J945" s="9" t="s">
        <v>4964</v>
      </c>
      <c r="K945" s="9" t="s">
        <v>4965</v>
      </c>
      <c r="L945" s="9" t="s">
        <v>4966</v>
      </c>
      <c r="M945" s="9" t="s">
        <v>4967</v>
      </c>
      <c r="N945" s="9" t="s">
        <v>4955</v>
      </c>
      <c r="O945" s="6">
        <f t="shared" si="18"/>
        <v>1774.999972041267</v>
      </c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2.75" x14ac:dyDescent="0.2">
      <c r="A946" s="5" t="s">
        <v>2937</v>
      </c>
      <c r="B946" s="5" t="s">
        <v>2937</v>
      </c>
      <c r="C946" s="4">
        <v>364</v>
      </c>
      <c r="D946" s="6" t="e">
        <f t="shared" si="15"/>
        <v>#VALUE!</v>
      </c>
      <c r="E946" s="6" t="s">
        <v>4968</v>
      </c>
      <c r="F946" s="7">
        <v>354</v>
      </c>
      <c r="G946" s="6" t="s">
        <v>21</v>
      </c>
      <c r="H946" s="11" t="s">
        <v>4969</v>
      </c>
      <c r="I946" s="9" t="s">
        <v>4970</v>
      </c>
      <c r="J946" s="9" t="s">
        <v>4971</v>
      </c>
      <c r="K946" s="9" t="s">
        <v>4972</v>
      </c>
      <c r="L946" s="9" t="s">
        <v>4973</v>
      </c>
      <c r="M946" s="9" t="s">
        <v>4974</v>
      </c>
      <c r="N946" s="9" t="s">
        <v>4955</v>
      </c>
      <c r="O946" s="6">
        <f t="shared" si="18"/>
        <v>1775.0000557631183</v>
      </c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2.75" x14ac:dyDescent="0.2">
      <c r="A947" s="5" t="s">
        <v>2937</v>
      </c>
      <c r="B947" s="5" t="s">
        <v>2937</v>
      </c>
      <c r="C947" s="4">
        <v>365</v>
      </c>
      <c r="D947" s="6" t="e">
        <f t="shared" si="15"/>
        <v>#VALUE!</v>
      </c>
      <c r="E947" s="6" t="s">
        <v>3477</v>
      </c>
      <c r="F947" s="7">
        <v>355</v>
      </c>
      <c r="G947" s="6" t="s">
        <v>17</v>
      </c>
      <c r="H947" s="8" t="s">
        <v>4975</v>
      </c>
      <c r="I947" s="9" t="s">
        <v>4976</v>
      </c>
      <c r="J947" s="10" t="s">
        <v>4977</v>
      </c>
      <c r="K947" s="9" t="s">
        <v>4978</v>
      </c>
      <c r="L947" s="9" t="s">
        <v>4979</v>
      </c>
      <c r="M947" s="9" t="s">
        <v>4980</v>
      </c>
      <c r="N947" s="9" t="s">
        <v>4981</v>
      </c>
      <c r="O947" s="6">
        <f t="shared" si="18"/>
        <v>712</v>
      </c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2.75" x14ac:dyDescent="0.2">
      <c r="A948" s="5" t="s">
        <v>2937</v>
      </c>
      <c r="B948" s="5" t="s">
        <v>2937</v>
      </c>
      <c r="C948" s="4">
        <v>366</v>
      </c>
      <c r="D948" s="6" t="e">
        <f t="shared" si="15"/>
        <v>#VALUE!</v>
      </c>
      <c r="E948" s="6" t="s">
        <v>192</v>
      </c>
      <c r="F948" s="7">
        <v>355</v>
      </c>
      <c r="G948" s="6" t="s">
        <v>17</v>
      </c>
      <c r="H948" s="8" t="s">
        <v>4982</v>
      </c>
      <c r="I948" s="9" t="s">
        <v>4983</v>
      </c>
      <c r="J948" s="10" t="s">
        <v>4984</v>
      </c>
      <c r="K948" s="9" t="s">
        <v>4985</v>
      </c>
      <c r="L948" s="9" t="s">
        <v>4986</v>
      </c>
      <c r="M948" s="9" t="s">
        <v>4987</v>
      </c>
      <c r="N948" s="9" t="s">
        <v>4981</v>
      </c>
      <c r="O948" s="6">
        <f t="shared" si="18"/>
        <v>712</v>
      </c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2.75" x14ac:dyDescent="0.2">
      <c r="A949" s="5" t="s">
        <v>2937</v>
      </c>
      <c r="B949" s="5" t="s">
        <v>2937</v>
      </c>
      <c r="C949" s="4">
        <v>367</v>
      </c>
      <c r="D949" s="6" t="e">
        <f t="shared" si="15"/>
        <v>#VALUE!</v>
      </c>
      <c r="E949" s="6" t="s">
        <v>4988</v>
      </c>
      <c r="F949" s="7">
        <v>355</v>
      </c>
      <c r="G949" s="6" t="s">
        <v>28</v>
      </c>
      <c r="H949" s="8" t="s">
        <v>4989</v>
      </c>
      <c r="I949" s="10" t="s">
        <v>4990</v>
      </c>
      <c r="J949" s="9" t="s">
        <v>2019</v>
      </c>
      <c r="K949" s="9" t="s">
        <v>4991</v>
      </c>
      <c r="L949" s="9" t="s">
        <v>4992</v>
      </c>
      <c r="M949" s="9" t="s">
        <v>4993</v>
      </c>
      <c r="N949" s="9" t="s">
        <v>4981</v>
      </c>
      <c r="O949" s="6">
        <f t="shared" si="18"/>
        <v>1424</v>
      </c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2.75" x14ac:dyDescent="0.2">
      <c r="A950" s="5" t="s">
        <v>2937</v>
      </c>
      <c r="B950" s="5" t="s">
        <v>2937</v>
      </c>
      <c r="C950" s="4">
        <v>368</v>
      </c>
      <c r="D950" s="6" t="e">
        <f t="shared" si="15"/>
        <v>#VALUE!</v>
      </c>
      <c r="E950" s="6" t="s">
        <v>3147</v>
      </c>
      <c r="F950" s="7">
        <v>355</v>
      </c>
      <c r="G950" s="6" t="s">
        <v>17</v>
      </c>
      <c r="H950" s="8" t="s">
        <v>4994</v>
      </c>
      <c r="I950" s="9" t="s">
        <v>4995</v>
      </c>
      <c r="J950" s="10" t="s">
        <v>4996</v>
      </c>
      <c r="K950" s="9" t="s">
        <v>4997</v>
      </c>
      <c r="L950" s="9" t="s">
        <v>4998</v>
      </c>
      <c r="M950" s="9" t="s">
        <v>4999</v>
      </c>
      <c r="N950" s="9" t="s">
        <v>4981</v>
      </c>
      <c r="O950" s="6">
        <f t="shared" si="18"/>
        <v>712</v>
      </c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2.75" x14ac:dyDescent="0.2">
      <c r="A951" s="5" t="s">
        <v>2937</v>
      </c>
      <c r="B951" s="5" t="s">
        <v>2937</v>
      </c>
      <c r="C951" s="4">
        <v>369</v>
      </c>
      <c r="D951" s="6" t="e">
        <f t="shared" si="15"/>
        <v>#VALUE!</v>
      </c>
      <c r="E951" s="6" t="s">
        <v>4304</v>
      </c>
      <c r="F951" s="7">
        <v>356</v>
      </c>
      <c r="G951" s="6" t="s">
        <v>28</v>
      </c>
      <c r="H951" s="8" t="s">
        <v>5000</v>
      </c>
      <c r="I951" s="10" t="s">
        <v>5001</v>
      </c>
      <c r="J951" s="9" t="s">
        <v>5002</v>
      </c>
      <c r="K951" s="9" t="s">
        <v>5003</v>
      </c>
      <c r="L951" s="9" t="s">
        <v>5004</v>
      </c>
      <c r="M951" s="9" t="s">
        <v>5005</v>
      </c>
      <c r="N951" s="9" t="s">
        <v>5006</v>
      </c>
      <c r="O951" s="6">
        <f t="shared" si="18"/>
        <v>1428</v>
      </c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2.75" x14ac:dyDescent="0.2">
      <c r="A952" s="5" t="s">
        <v>2937</v>
      </c>
      <c r="B952" s="5" t="s">
        <v>2937</v>
      </c>
      <c r="C952" s="4">
        <v>370</v>
      </c>
      <c r="D952" s="6" t="e">
        <f t="shared" si="15"/>
        <v>#VALUE!</v>
      </c>
      <c r="E952" s="6" t="s">
        <v>4210</v>
      </c>
      <c r="F952" s="7">
        <v>356</v>
      </c>
      <c r="G952" s="6" t="s">
        <v>21</v>
      </c>
      <c r="H952" s="11" t="s">
        <v>5007</v>
      </c>
      <c r="I952" s="9" t="s">
        <v>5008</v>
      </c>
      <c r="J952" s="9" t="s">
        <v>5009</v>
      </c>
      <c r="K952" s="9" t="s">
        <v>5010</v>
      </c>
      <c r="L952" s="9" t="s">
        <v>5011</v>
      </c>
      <c r="M952" s="9" t="s">
        <v>5012</v>
      </c>
      <c r="N952" s="9" t="s">
        <v>5006</v>
      </c>
      <c r="O952" s="6">
        <f t="shared" si="18"/>
        <v>1784.9999455129951</v>
      </c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2.75" x14ac:dyDescent="0.2">
      <c r="A953" s="5" t="s">
        <v>2937</v>
      </c>
      <c r="B953" s="5" t="s">
        <v>2937</v>
      </c>
      <c r="C953" s="4">
        <v>371</v>
      </c>
      <c r="D953" s="6" t="e">
        <f t="shared" si="15"/>
        <v>#VALUE!</v>
      </c>
      <c r="E953" s="6" t="s">
        <v>3006</v>
      </c>
      <c r="F953" s="7">
        <v>356</v>
      </c>
      <c r="G953" s="6" t="s">
        <v>21</v>
      </c>
      <c r="H953" s="11" t="s">
        <v>5013</v>
      </c>
      <c r="I953" s="9" t="s">
        <v>5014</v>
      </c>
      <c r="J953" s="9" t="s">
        <v>5015</v>
      </c>
      <c r="K953" s="9" t="s">
        <v>5016</v>
      </c>
      <c r="L953" s="9" t="s">
        <v>3228</v>
      </c>
      <c r="M953" s="9" t="s">
        <v>5017</v>
      </c>
      <c r="N953" s="9" t="s">
        <v>5006</v>
      </c>
      <c r="O953" s="6">
        <f t="shared" si="18"/>
        <v>1784.9999728297785</v>
      </c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2.75" x14ac:dyDescent="0.2">
      <c r="A954" s="5" t="s">
        <v>2937</v>
      </c>
      <c r="B954" s="5" t="s">
        <v>2937</v>
      </c>
      <c r="C954" s="4">
        <v>372</v>
      </c>
      <c r="D954" s="6" t="e">
        <f t="shared" si="15"/>
        <v>#VALUE!</v>
      </c>
      <c r="E954" s="6" t="s">
        <v>3393</v>
      </c>
      <c r="F954" s="7">
        <v>356</v>
      </c>
      <c r="G954" s="6" t="s">
        <v>17</v>
      </c>
      <c r="H954" s="8" t="s">
        <v>5018</v>
      </c>
      <c r="I954" s="9" t="s">
        <v>5019</v>
      </c>
      <c r="J954" s="10" t="s">
        <v>5020</v>
      </c>
      <c r="K954" s="9" t="s">
        <v>5021</v>
      </c>
      <c r="L954" s="9" t="s">
        <v>5022</v>
      </c>
      <c r="M954" s="9" t="s">
        <v>5023</v>
      </c>
      <c r="N954" s="9" t="s">
        <v>5006</v>
      </c>
      <c r="O954" s="6">
        <f t="shared" si="18"/>
        <v>714</v>
      </c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2.75" x14ac:dyDescent="0.2">
      <c r="A955" s="5" t="s">
        <v>2937</v>
      </c>
      <c r="B955" s="5" t="s">
        <v>2937</v>
      </c>
      <c r="C955" s="4">
        <v>373</v>
      </c>
      <c r="D955" s="6" t="e">
        <f t="shared" si="15"/>
        <v>#VALUE!</v>
      </c>
      <c r="E955" s="6" t="s">
        <v>5024</v>
      </c>
      <c r="F955" s="7">
        <v>357</v>
      </c>
      <c r="G955" s="6" t="s">
        <v>21</v>
      </c>
      <c r="H955" s="11" t="s">
        <v>4978</v>
      </c>
      <c r="I955" s="9" t="s">
        <v>5025</v>
      </c>
      <c r="J955" s="9" t="s">
        <v>5026</v>
      </c>
      <c r="K955" s="9" t="s">
        <v>5027</v>
      </c>
      <c r="L955" s="9" t="s">
        <v>5028</v>
      </c>
      <c r="M955" s="9" t="s">
        <v>5029</v>
      </c>
      <c r="N955" s="9" t="s">
        <v>5030</v>
      </c>
      <c r="O955" s="6">
        <f t="shared" si="18"/>
        <v>1790</v>
      </c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2.75" x14ac:dyDescent="0.2">
      <c r="A956" s="5" t="s">
        <v>2937</v>
      </c>
      <c r="B956" s="5" t="s">
        <v>2937</v>
      </c>
      <c r="C956" s="4">
        <v>374</v>
      </c>
      <c r="D956" s="6" t="e">
        <f t="shared" si="15"/>
        <v>#VALUE!</v>
      </c>
      <c r="E956" s="6" t="s">
        <v>3792</v>
      </c>
      <c r="F956" s="7">
        <v>357</v>
      </c>
      <c r="G956" s="6" t="s">
        <v>21</v>
      </c>
      <c r="H956" s="11" t="s">
        <v>5031</v>
      </c>
      <c r="I956" s="9" t="s">
        <v>2754</v>
      </c>
      <c r="J956" s="9" t="s">
        <v>5032</v>
      </c>
      <c r="K956" s="9" t="s">
        <v>5033</v>
      </c>
      <c r="L956" s="9" t="s">
        <v>5034</v>
      </c>
      <c r="M956" s="9" t="s">
        <v>5035</v>
      </c>
      <c r="N956" s="9" t="s">
        <v>5030</v>
      </c>
      <c r="O956" s="6">
        <f t="shared" si="18"/>
        <v>1790</v>
      </c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2.75" x14ac:dyDescent="0.2">
      <c r="A957" s="5" t="s">
        <v>2937</v>
      </c>
      <c r="B957" s="5" t="s">
        <v>2937</v>
      </c>
      <c r="C957" s="4">
        <v>375</v>
      </c>
      <c r="D957" s="6" t="e">
        <f t="shared" si="15"/>
        <v>#VALUE!</v>
      </c>
      <c r="E957" s="6" t="s">
        <v>514</v>
      </c>
      <c r="F957" s="7">
        <v>357</v>
      </c>
      <c r="G957" s="6" t="s">
        <v>21</v>
      </c>
      <c r="H957" s="11" t="s">
        <v>5036</v>
      </c>
      <c r="I957" s="9" t="s">
        <v>5037</v>
      </c>
      <c r="J957" s="9" t="s">
        <v>5038</v>
      </c>
      <c r="K957" s="9" t="s">
        <v>5039</v>
      </c>
      <c r="L957" s="9" t="s">
        <v>5040</v>
      </c>
      <c r="M957" s="9" t="s">
        <v>5041</v>
      </c>
      <c r="N957" s="9" t="s">
        <v>5030</v>
      </c>
      <c r="O957" s="6">
        <f t="shared" si="18"/>
        <v>1.7899967852550365</v>
      </c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2.75" x14ac:dyDescent="0.2">
      <c r="A958" s="5" t="s">
        <v>2937</v>
      </c>
      <c r="B958" s="5" t="s">
        <v>2937</v>
      </c>
      <c r="C958" s="4">
        <v>376</v>
      </c>
      <c r="D958" s="6" t="e">
        <f t="shared" si="15"/>
        <v>#VALUE!</v>
      </c>
      <c r="E958" s="6" t="s">
        <v>3792</v>
      </c>
      <c r="F958" s="7">
        <v>357</v>
      </c>
      <c r="G958" s="6" t="s">
        <v>28</v>
      </c>
      <c r="H958" s="8" t="s">
        <v>5042</v>
      </c>
      <c r="I958" s="10" t="s">
        <v>5043</v>
      </c>
      <c r="J958" s="9" t="s">
        <v>5044</v>
      </c>
      <c r="K958" s="9" t="s">
        <v>5045</v>
      </c>
      <c r="L958" s="9" t="s">
        <v>5046</v>
      </c>
      <c r="M958" s="9" t="s">
        <v>5047</v>
      </c>
      <c r="N958" s="9" t="s">
        <v>5030</v>
      </c>
      <c r="O958" s="6">
        <f t="shared" si="18"/>
        <v>1432</v>
      </c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2.75" x14ac:dyDescent="0.2">
      <c r="A959" s="5" t="s">
        <v>2937</v>
      </c>
      <c r="B959" s="5" t="s">
        <v>2937</v>
      </c>
      <c r="C959" s="4">
        <v>377</v>
      </c>
      <c r="D959" s="6" t="e">
        <f t="shared" si="15"/>
        <v>#VALUE!</v>
      </c>
      <c r="E959" s="6" t="s">
        <v>5048</v>
      </c>
      <c r="F959" s="7">
        <v>358</v>
      </c>
      <c r="G959" s="6" t="s">
        <v>28</v>
      </c>
      <c r="H959" s="8" t="s">
        <v>5049</v>
      </c>
      <c r="I959" s="10" t="s">
        <v>5050</v>
      </c>
      <c r="J959" s="9" t="s">
        <v>5051</v>
      </c>
      <c r="K959" s="9" t="s">
        <v>5052</v>
      </c>
      <c r="L959" s="9" t="s">
        <v>5053</v>
      </c>
      <c r="M959" s="9" t="s">
        <v>5054</v>
      </c>
      <c r="N959" s="9" t="s">
        <v>5055</v>
      </c>
      <c r="O959" s="6">
        <f t="shared" si="18"/>
        <v>1436</v>
      </c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2.75" x14ac:dyDescent="0.2">
      <c r="A960" s="5" t="s">
        <v>2937</v>
      </c>
      <c r="B960" s="5" t="s">
        <v>2937</v>
      </c>
      <c r="C960" s="4">
        <v>378</v>
      </c>
      <c r="D960" s="6" t="e">
        <f t="shared" si="15"/>
        <v>#VALUE!</v>
      </c>
      <c r="E960" s="6" t="s">
        <v>3963</v>
      </c>
      <c r="F960" s="7">
        <v>358</v>
      </c>
      <c r="G960" s="6" t="s">
        <v>17</v>
      </c>
      <c r="H960" s="8" t="s">
        <v>5056</v>
      </c>
      <c r="I960" s="9" t="s">
        <v>5057</v>
      </c>
      <c r="J960" s="10" t="s">
        <v>5058</v>
      </c>
      <c r="K960" s="9" t="s">
        <v>5059</v>
      </c>
      <c r="L960" s="9" t="s">
        <v>5060</v>
      </c>
      <c r="M960" s="9" t="s">
        <v>5061</v>
      </c>
      <c r="N960" s="9" t="s">
        <v>5062</v>
      </c>
      <c r="O960" s="6">
        <f t="shared" si="18"/>
        <v>718</v>
      </c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2.75" x14ac:dyDescent="0.2">
      <c r="A961" s="5" t="s">
        <v>2937</v>
      </c>
      <c r="B961" s="5" t="s">
        <v>2937</v>
      </c>
      <c r="C961" s="4">
        <v>379</v>
      </c>
      <c r="D961" s="6" t="e">
        <f t="shared" si="15"/>
        <v>#VALUE!</v>
      </c>
      <c r="E961" s="6" t="s">
        <v>5063</v>
      </c>
      <c r="F961" s="7">
        <v>358</v>
      </c>
      <c r="G961" s="6" t="s">
        <v>21</v>
      </c>
      <c r="H961" s="11" t="s">
        <v>5064</v>
      </c>
      <c r="I961" s="9" t="s">
        <v>5065</v>
      </c>
      <c r="J961" s="9" t="s">
        <v>5066</v>
      </c>
      <c r="K961" s="9" t="s">
        <v>5067</v>
      </c>
      <c r="L961" s="9" t="s">
        <v>5068</v>
      </c>
      <c r="M961" s="9" t="s">
        <v>5069</v>
      </c>
      <c r="N961" s="9" t="s">
        <v>5055</v>
      </c>
      <c r="O961" s="6">
        <f t="shared" si="18"/>
        <v>1795.0000264179853</v>
      </c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2.75" x14ac:dyDescent="0.2">
      <c r="A962" s="5" t="s">
        <v>2937</v>
      </c>
      <c r="B962" s="5" t="s">
        <v>2937</v>
      </c>
      <c r="C962" s="4">
        <v>380</v>
      </c>
      <c r="D962" s="6" t="e">
        <f t="shared" si="15"/>
        <v>#VALUE!</v>
      </c>
      <c r="E962" s="6" t="s">
        <v>5063</v>
      </c>
      <c r="F962" s="7">
        <v>358</v>
      </c>
      <c r="G962" s="6" t="s">
        <v>21</v>
      </c>
      <c r="H962" s="11" t="s">
        <v>5070</v>
      </c>
      <c r="I962" s="9" t="s">
        <v>5071</v>
      </c>
      <c r="J962" s="9" t="s">
        <v>5072</v>
      </c>
      <c r="K962" s="9" t="s">
        <v>5073</v>
      </c>
      <c r="L962" s="9" t="s">
        <v>5074</v>
      </c>
      <c r="M962" s="9" t="s">
        <v>5075</v>
      </c>
      <c r="N962" s="9" t="s">
        <v>5055</v>
      </c>
      <c r="O962" s="6">
        <f t="shared" si="18"/>
        <v>1794.9999209548653</v>
      </c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2.75" x14ac:dyDescent="0.2">
      <c r="A963" s="5" t="s">
        <v>2937</v>
      </c>
      <c r="B963" s="5" t="s">
        <v>2937</v>
      </c>
      <c r="C963" s="4">
        <v>381</v>
      </c>
      <c r="D963" s="6" t="e">
        <f t="shared" si="15"/>
        <v>#VALUE!</v>
      </c>
      <c r="E963" s="6" t="s">
        <v>5063</v>
      </c>
      <c r="F963" s="7">
        <v>359</v>
      </c>
      <c r="G963" s="6" t="s">
        <v>21</v>
      </c>
      <c r="H963" s="11" t="s">
        <v>5076</v>
      </c>
      <c r="I963" s="9" t="s">
        <v>5077</v>
      </c>
      <c r="J963" s="9" t="s">
        <v>5078</v>
      </c>
      <c r="K963" s="9" t="s">
        <v>5079</v>
      </c>
      <c r="L963" s="9" t="s">
        <v>5080</v>
      </c>
      <c r="M963" s="9" t="s">
        <v>5081</v>
      </c>
      <c r="N963" s="9" t="s">
        <v>5082</v>
      </c>
      <c r="O963" s="6">
        <f t="shared" ref="O963:O1026" si="19">M963/K963</f>
        <v>1800</v>
      </c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2.75" x14ac:dyDescent="0.2">
      <c r="A964" s="5" t="s">
        <v>2937</v>
      </c>
      <c r="B964" s="5" t="s">
        <v>2937</v>
      </c>
      <c r="C964" s="4">
        <v>382</v>
      </c>
      <c r="D964" s="6" t="e">
        <f t="shared" si="15"/>
        <v>#VALUE!</v>
      </c>
      <c r="E964" s="6" t="s">
        <v>5063</v>
      </c>
      <c r="F964" s="7">
        <v>359</v>
      </c>
      <c r="G964" s="6" t="s">
        <v>21</v>
      </c>
      <c r="H964" s="11" t="s">
        <v>5083</v>
      </c>
      <c r="I964" s="9" t="s">
        <v>5084</v>
      </c>
      <c r="J964" s="9" t="s">
        <v>5085</v>
      </c>
      <c r="K964" s="9" t="s">
        <v>5086</v>
      </c>
      <c r="L964" s="9" t="s">
        <v>4898</v>
      </c>
      <c r="M964" s="9" t="s">
        <v>5087</v>
      </c>
      <c r="N964" s="9" t="s">
        <v>5082</v>
      </c>
      <c r="O964" s="6">
        <f t="shared" si="19"/>
        <v>1800</v>
      </c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2.75" x14ac:dyDescent="0.2">
      <c r="A965" s="5" t="s">
        <v>2937</v>
      </c>
      <c r="B965" s="5" t="s">
        <v>2937</v>
      </c>
      <c r="C965" s="4">
        <v>383</v>
      </c>
      <c r="D965" s="6" t="e">
        <f t="shared" si="15"/>
        <v>#VALUE!</v>
      </c>
      <c r="E965" s="6" t="s">
        <v>5063</v>
      </c>
      <c r="F965" s="7">
        <v>359</v>
      </c>
      <c r="G965" s="6" t="s">
        <v>21</v>
      </c>
      <c r="H965" s="11" t="s">
        <v>5088</v>
      </c>
      <c r="I965" s="9" t="s">
        <v>5089</v>
      </c>
      <c r="J965" s="9" t="s">
        <v>5090</v>
      </c>
      <c r="K965" s="9" t="s">
        <v>5091</v>
      </c>
      <c r="L965" s="9" t="s">
        <v>4920</v>
      </c>
      <c r="M965" s="9" t="s">
        <v>5092</v>
      </c>
      <c r="N965" s="9" t="s">
        <v>5082</v>
      </c>
      <c r="O965" s="6">
        <f t="shared" si="19"/>
        <v>1800</v>
      </c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2.75" x14ac:dyDescent="0.2">
      <c r="A966" s="5" t="s">
        <v>2937</v>
      </c>
      <c r="B966" s="5" t="s">
        <v>2937</v>
      </c>
      <c r="C966" s="4">
        <v>384</v>
      </c>
      <c r="D966" s="6" t="e">
        <f t="shared" si="15"/>
        <v>#VALUE!</v>
      </c>
      <c r="E966" s="6" t="s">
        <v>5063</v>
      </c>
      <c r="F966" s="7">
        <v>359</v>
      </c>
      <c r="G966" s="6" t="s">
        <v>21</v>
      </c>
      <c r="H966" s="11" t="s">
        <v>5093</v>
      </c>
      <c r="I966" s="9" t="s">
        <v>5094</v>
      </c>
      <c r="J966" s="9" t="s">
        <v>5095</v>
      </c>
      <c r="K966" s="9" t="s">
        <v>5096</v>
      </c>
      <c r="L966" s="9" t="s">
        <v>5097</v>
      </c>
      <c r="M966" s="9" t="s">
        <v>5098</v>
      </c>
      <c r="N966" s="9" t="s">
        <v>5082</v>
      </c>
      <c r="O966" s="6">
        <f t="shared" si="19"/>
        <v>1800</v>
      </c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2.75" x14ac:dyDescent="0.2">
      <c r="A967" s="5" t="s">
        <v>2937</v>
      </c>
      <c r="B967" s="5" t="s">
        <v>2937</v>
      </c>
      <c r="C967" s="4">
        <v>385</v>
      </c>
      <c r="D967" s="6" t="e">
        <f t="shared" si="15"/>
        <v>#VALUE!</v>
      </c>
      <c r="E967" s="6" t="s">
        <v>5063</v>
      </c>
      <c r="F967" s="7">
        <v>360</v>
      </c>
      <c r="G967" s="6" t="s">
        <v>21</v>
      </c>
      <c r="H967" s="11" t="s">
        <v>5099</v>
      </c>
      <c r="I967" s="9" t="s">
        <v>5100</v>
      </c>
      <c r="J967" s="9" t="s">
        <v>5101</v>
      </c>
      <c r="K967" s="9" t="s">
        <v>5102</v>
      </c>
      <c r="L967" s="9" t="s">
        <v>5103</v>
      </c>
      <c r="M967" s="9" t="s">
        <v>5104</v>
      </c>
      <c r="N967" s="9" t="s">
        <v>5105</v>
      </c>
      <c r="O967" s="6">
        <f t="shared" si="19"/>
        <v>1804.9999026195346</v>
      </c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2.75" x14ac:dyDescent="0.2">
      <c r="A968" s="5" t="s">
        <v>2937</v>
      </c>
      <c r="B968" s="5" t="s">
        <v>2937</v>
      </c>
      <c r="C968" s="4">
        <v>386</v>
      </c>
      <c r="D968" s="6" t="e">
        <f t="shared" si="15"/>
        <v>#VALUE!</v>
      </c>
      <c r="E968" s="6" t="s">
        <v>5063</v>
      </c>
      <c r="F968" s="7">
        <v>360</v>
      </c>
      <c r="G968" s="6" t="s">
        <v>21</v>
      </c>
      <c r="H968" s="11" t="s">
        <v>5106</v>
      </c>
      <c r="I968" s="9" t="s">
        <v>5107</v>
      </c>
      <c r="J968" s="9" t="s">
        <v>5108</v>
      </c>
      <c r="K968" s="9" t="s">
        <v>5109</v>
      </c>
      <c r="L968" s="9" t="s">
        <v>5110</v>
      </c>
      <c r="M968" s="9" t="s">
        <v>5111</v>
      </c>
      <c r="N968" s="9" t="s">
        <v>5105</v>
      </c>
      <c r="O968" s="6">
        <f t="shared" si="19"/>
        <v>1805.000048564907</v>
      </c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2.75" x14ac:dyDescent="0.2">
      <c r="A969" s="5" t="s">
        <v>2937</v>
      </c>
      <c r="B969" s="5" t="s">
        <v>2937</v>
      </c>
      <c r="C969" s="4">
        <v>387</v>
      </c>
      <c r="D969" s="6" t="e">
        <f t="shared" si="15"/>
        <v>#VALUE!</v>
      </c>
      <c r="E969" s="6" t="s">
        <v>2982</v>
      </c>
      <c r="F969" s="7">
        <v>360</v>
      </c>
      <c r="G969" s="6" t="s">
        <v>21</v>
      </c>
      <c r="H969" s="11" t="s">
        <v>5112</v>
      </c>
      <c r="I969" s="9" t="s">
        <v>5113</v>
      </c>
      <c r="J969" s="9" t="s">
        <v>5114</v>
      </c>
      <c r="K969" s="9" t="s">
        <v>5115</v>
      </c>
      <c r="L969" s="9" t="s">
        <v>5116</v>
      </c>
      <c r="M969" s="9" t="s">
        <v>5117</v>
      </c>
      <c r="N969" s="9" t="s">
        <v>5105</v>
      </c>
      <c r="O969" s="6">
        <f t="shared" si="19"/>
        <v>1805.0000726585774</v>
      </c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2.75" x14ac:dyDescent="0.2">
      <c r="A970" s="5" t="s">
        <v>2937</v>
      </c>
      <c r="B970" s="5" t="s">
        <v>2937</v>
      </c>
      <c r="C970" s="4">
        <v>388</v>
      </c>
      <c r="D970" s="6" t="e">
        <f t="shared" si="15"/>
        <v>#VALUE!</v>
      </c>
      <c r="E970" s="6" t="s">
        <v>85</v>
      </c>
      <c r="F970" s="7">
        <v>360</v>
      </c>
      <c r="G970" s="6" t="s">
        <v>21</v>
      </c>
      <c r="H970" s="11" t="s">
        <v>5118</v>
      </c>
      <c r="I970" s="9" t="s">
        <v>5119</v>
      </c>
      <c r="J970" s="9" t="s">
        <v>5120</v>
      </c>
      <c r="K970" s="9" t="s">
        <v>5121</v>
      </c>
      <c r="L970" s="9" t="s">
        <v>5122</v>
      </c>
      <c r="M970" s="9" t="s">
        <v>5123</v>
      </c>
      <c r="N970" s="9" t="s">
        <v>5105</v>
      </c>
      <c r="O970" s="6">
        <f t="shared" si="19"/>
        <v>1804.9999033723066</v>
      </c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2.75" x14ac:dyDescent="0.2">
      <c r="A971" s="5" t="s">
        <v>2937</v>
      </c>
      <c r="B971" s="5" t="s">
        <v>2937</v>
      </c>
      <c r="C971" s="4">
        <v>389</v>
      </c>
      <c r="D971" s="6" t="e">
        <f t="shared" si="15"/>
        <v>#VALUE!</v>
      </c>
      <c r="E971" s="6" t="s">
        <v>5124</v>
      </c>
      <c r="F971" s="7">
        <v>361</v>
      </c>
      <c r="G971" s="6" t="s">
        <v>21</v>
      </c>
      <c r="H971" s="11" t="s">
        <v>5125</v>
      </c>
      <c r="I971" s="9" t="s">
        <v>5126</v>
      </c>
      <c r="J971" s="9" t="s">
        <v>5127</v>
      </c>
      <c r="K971" s="9" t="s">
        <v>5128</v>
      </c>
      <c r="L971" s="9" t="s">
        <v>5129</v>
      </c>
      <c r="M971" s="9" t="s">
        <v>5130</v>
      </c>
      <c r="N971" s="9" t="s">
        <v>5131</v>
      </c>
      <c r="O971" s="6">
        <f t="shared" si="19"/>
        <v>1810</v>
      </c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2.75" x14ac:dyDescent="0.2">
      <c r="A972" s="5" t="s">
        <v>2937</v>
      </c>
      <c r="B972" s="5" t="s">
        <v>2937</v>
      </c>
      <c r="C972" s="4">
        <v>390</v>
      </c>
      <c r="D972" s="6" t="e">
        <f t="shared" si="15"/>
        <v>#VALUE!</v>
      </c>
      <c r="E972" s="6" t="s">
        <v>5132</v>
      </c>
      <c r="F972" s="7">
        <v>361</v>
      </c>
      <c r="G972" s="6" t="s">
        <v>21</v>
      </c>
      <c r="H972" s="11" t="s">
        <v>5133</v>
      </c>
      <c r="I972" s="9" t="s">
        <v>5134</v>
      </c>
      <c r="J972" s="9" t="s">
        <v>5135</v>
      </c>
      <c r="K972" s="9" t="s">
        <v>5136</v>
      </c>
      <c r="L972" s="9" t="s">
        <v>5137</v>
      </c>
      <c r="M972" s="9" t="s">
        <v>5138</v>
      </c>
      <c r="N972" s="9" t="s">
        <v>5131</v>
      </c>
      <c r="O972" s="6">
        <f t="shared" si="19"/>
        <v>1809.9999491676197</v>
      </c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2.75" x14ac:dyDescent="0.2">
      <c r="A973" s="5" t="s">
        <v>2937</v>
      </c>
      <c r="B973" s="5" t="s">
        <v>2937</v>
      </c>
      <c r="C973" s="4">
        <v>391</v>
      </c>
      <c r="D973" s="6" t="e">
        <f t="shared" si="15"/>
        <v>#VALUE!</v>
      </c>
      <c r="E973" s="6" t="s">
        <v>180</v>
      </c>
      <c r="F973" s="7">
        <v>361</v>
      </c>
      <c r="G973" s="6" t="s">
        <v>17</v>
      </c>
      <c r="H973" s="8" t="s">
        <v>5139</v>
      </c>
      <c r="I973" s="9" t="s">
        <v>5140</v>
      </c>
      <c r="J973" s="10" t="s">
        <v>5141</v>
      </c>
      <c r="K973" s="9" t="s">
        <v>5142</v>
      </c>
      <c r="L973" s="9" t="s">
        <v>5143</v>
      </c>
      <c r="M973" s="9" t="s">
        <v>5144</v>
      </c>
      <c r="N973" s="9" t="s">
        <v>5131</v>
      </c>
      <c r="O973" s="6">
        <f t="shared" si="19"/>
        <v>724</v>
      </c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2.75" x14ac:dyDescent="0.2">
      <c r="A974" s="5" t="s">
        <v>2937</v>
      </c>
      <c r="B974" s="5" t="s">
        <v>2937</v>
      </c>
      <c r="C974" s="4">
        <v>392</v>
      </c>
      <c r="D974" s="6" t="e">
        <f t="shared" si="15"/>
        <v>#VALUE!</v>
      </c>
      <c r="E974" s="6" t="s">
        <v>2977</v>
      </c>
      <c r="F974" s="7">
        <v>361</v>
      </c>
      <c r="G974" s="6" t="s">
        <v>21</v>
      </c>
      <c r="H974" s="11" t="s">
        <v>5145</v>
      </c>
      <c r="I974" s="9" t="s">
        <v>5146</v>
      </c>
      <c r="J974" s="9" t="s">
        <v>5147</v>
      </c>
      <c r="K974" s="9" t="s">
        <v>5148</v>
      </c>
      <c r="L974" s="9" t="s">
        <v>5149</v>
      </c>
      <c r="M974" s="9" t="s">
        <v>5150</v>
      </c>
      <c r="N974" s="9" t="s">
        <v>5131</v>
      </c>
      <c r="O974" s="6">
        <f t="shared" si="19"/>
        <v>1809.9998988519699</v>
      </c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2.75" x14ac:dyDescent="0.2">
      <c r="A975" s="5" t="s">
        <v>2937</v>
      </c>
      <c r="B975" s="5" t="s">
        <v>2937</v>
      </c>
      <c r="C975" s="4">
        <v>393</v>
      </c>
      <c r="D975" s="6" t="e">
        <f t="shared" si="15"/>
        <v>#VALUE!</v>
      </c>
      <c r="E975" s="6" t="s">
        <v>5151</v>
      </c>
      <c r="F975" s="7">
        <v>362</v>
      </c>
      <c r="G975" s="6" t="s">
        <v>21</v>
      </c>
      <c r="H975" s="11" t="s">
        <v>5152</v>
      </c>
      <c r="I975" s="9" t="s">
        <v>5153</v>
      </c>
      <c r="J975" s="9" t="s">
        <v>5154</v>
      </c>
      <c r="K975" s="9" t="s">
        <v>5155</v>
      </c>
      <c r="L975" s="9" t="s">
        <v>5156</v>
      </c>
      <c r="M975" s="9" t="s">
        <v>5157</v>
      </c>
      <c r="N975" s="9" t="s">
        <v>5158</v>
      </c>
      <c r="O975" s="6">
        <f t="shared" si="19"/>
        <v>1815.0000754166772</v>
      </c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2.75" x14ac:dyDescent="0.2">
      <c r="A976" s="5" t="s">
        <v>2937</v>
      </c>
      <c r="B976" s="5" t="s">
        <v>2937</v>
      </c>
      <c r="C976" s="4">
        <v>394</v>
      </c>
      <c r="D976" s="6" t="e">
        <f t="shared" si="15"/>
        <v>#VALUE!</v>
      </c>
      <c r="E976" s="6" t="s">
        <v>4350</v>
      </c>
      <c r="F976" s="7">
        <v>362</v>
      </c>
      <c r="G976" s="6" t="s">
        <v>21</v>
      </c>
      <c r="H976" s="11" t="s">
        <v>5159</v>
      </c>
      <c r="I976" s="9" t="s">
        <v>5160</v>
      </c>
      <c r="J976" s="9" t="s">
        <v>5161</v>
      </c>
      <c r="K976" s="9" t="s">
        <v>5162</v>
      </c>
      <c r="L976" s="9" t="s">
        <v>5163</v>
      </c>
      <c r="M976" s="9" t="s">
        <v>5164</v>
      </c>
      <c r="N976" s="9" t="s">
        <v>5158</v>
      </c>
      <c r="O976" s="6">
        <f t="shared" si="19"/>
        <v>1815.000025074597</v>
      </c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2.75" x14ac:dyDescent="0.2">
      <c r="A977" s="5" t="s">
        <v>2937</v>
      </c>
      <c r="B977" s="5" t="s">
        <v>2937</v>
      </c>
      <c r="C977" s="4">
        <v>395</v>
      </c>
      <c r="D977" s="6" t="e">
        <f t="shared" si="15"/>
        <v>#VALUE!</v>
      </c>
      <c r="E977" s="6" t="s">
        <v>5165</v>
      </c>
      <c r="F977" s="7">
        <v>362</v>
      </c>
      <c r="G977" s="6" t="s">
        <v>21</v>
      </c>
      <c r="H977" s="11" t="s">
        <v>5166</v>
      </c>
      <c r="I977" s="9" t="s">
        <v>5167</v>
      </c>
      <c r="J977" s="9" t="s">
        <v>5168</v>
      </c>
      <c r="K977" s="9" t="s">
        <v>5169</v>
      </c>
      <c r="L977" s="9" t="s">
        <v>5170</v>
      </c>
      <c r="M977" s="9" t="s">
        <v>5171</v>
      </c>
      <c r="N977" s="9" t="s">
        <v>5158</v>
      </c>
      <c r="O977" s="6">
        <f t="shared" si="19"/>
        <v>1814.9999499774899</v>
      </c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2.75" x14ac:dyDescent="0.2">
      <c r="A978" s="5" t="s">
        <v>2937</v>
      </c>
      <c r="B978" s="5" t="s">
        <v>2937</v>
      </c>
      <c r="C978" s="4">
        <v>396</v>
      </c>
      <c r="D978" s="6" t="e">
        <f t="shared" si="15"/>
        <v>#VALUE!</v>
      </c>
      <c r="E978" s="6" t="s">
        <v>3702</v>
      </c>
      <c r="F978" s="7">
        <v>362</v>
      </c>
      <c r="G978" s="6" t="s">
        <v>17</v>
      </c>
      <c r="H978" s="8" t="s">
        <v>5172</v>
      </c>
      <c r="I978" s="9" t="s">
        <v>5173</v>
      </c>
      <c r="J978" s="10" t="s">
        <v>5174</v>
      </c>
      <c r="K978" s="9" t="s">
        <v>5175</v>
      </c>
      <c r="L978" s="9" t="s">
        <v>5176</v>
      </c>
      <c r="M978" s="9" t="s">
        <v>5177</v>
      </c>
      <c r="N978" s="9" t="s">
        <v>5158</v>
      </c>
      <c r="O978" s="6">
        <f t="shared" si="19"/>
        <v>726</v>
      </c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2.75" x14ac:dyDescent="0.2">
      <c r="A979" s="5" t="s">
        <v>2937</v>
      </c>
      <c r="B979" s="5" t="s">
        <v>2937</v>
      </c>
      <c r="C979" s="4">
        <v>397</v>
      </c>
      <c r="D979" s="6" t="e">
        <f t="shared" si="15"/>
        <v>#VALUE!</v>
      </c>
      <c r="E979" s="6" t="s">
        <v>5178</v>
      </c>
      <c r="F979" s="7">
        <v>363</v>
      </c>
      <c r="G979" s="6" t="s">
        <v>17</v>
      </c>
      <c r="H979" s="8" t="s">
        <v>5179</v>
      </c>
      <c r="I979" s="9" t="s">
        <v>5180</v>
      </c>
      <c r="J979" s="10" t="s">
        <v>5181</v>
      </c>
      <c r="K979" s="9" t="s">
        <v>5182</v>
      </c>
      <c r="L979" s="9" t="s">
        <v>5183</v>
      </c>
      <c r="M979" s="9" t="s">
        <v>5184</v>
      </c>
      <c r="N979" s="9" t="s">
        <v>5185</v>
      </c>
      <c r="O979" s="6">
        <f t="shared" si="19"/>
        <v>728</v>
      </c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2.75" x14ac:dyDescent="0.2">
      <c r="A980" s="5" t="s">
        <v>2937</v>
      </c>
      <c r="B980" s="5" t="s">
        <v>2937</v>
      </c>
      <c r="C980" s="4">
        <v>398</v>
      </c>
      <c r="D980" s="6" t="e">
        <f t="shared" si="15"/>
        <v>#VALUE!</v>
      </c>
      <c r="E980" s="6" t="s">
        <v>522</v>
      </c>
      <c r="F980" s="7">
        <v>363</v>
      </c>
      <c r="G980" s="6" t="s">
        <v>21</v>
      </c>
      <c r="H980" s="11" t="s">
        <v>5186</v>
      </c>
      <c r="I980" s="9" t="s">
        <v>5187</v>
      </c>
      <c r="J980" s="9" t="s">
        <v>5188</v>
      </c>
      <c r="K980" s="9" t="s">
        <v>5189</v>
      </c>
      <c r="L980" s="9" t="s">
        <v>5190</v>
      </c>
      <c r="M980" s="9" t="s">
        <v>5191</v>
      </c>
      <c r="N980" s="9" t="s">
        <v>5185</v>
      </c>
      <c r="O980" s="6">
        <f t="shared" si="19"/>
        <v>1820</v>
      </c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2.75" x14ac:dyDescent="0.2">
      <c r="A981" s="5" t="s">
        <v>2937</v>
      </c>
      <c r="B981" s="5" t="s">
        <v>2937</v>
      </c>
      <c r="C981" s="4">
        <v>399</v>
      </c>
      <c r="D981" s="6" t="e">
        <f t="shared" si="15"/>
        <v>#VALUE!</v>
      </c>
      <c r="E981" s="6" t="s">
        <v>5192</v>
      </c>
      <c r="F981" s="7">
        <v>363</v>
      </c>
      <c r="G981" s="6" t="s">
        <v>21</v>
      </c>
      <c r="H981" s="11" t="s">
        <v>5193</v>
      </c>
      <c r="I981" s="9" t="s">
        <v>5194</v>
      </c>
      <c r="J981" s="9" t="s">
        <v>5195</v>
      </c>
      <c r="K981" s="9" t="s">
        <v>5196</v>
      </c>
      <c r="L981" s="9" t="s">
        <v>5197</v>
      </c>
      <c r="M981" s="9" t="s">
        <v>5198</v>
      </c>
      <c r="N981" s="9" t="s">
        <v>5185</v>
      </c>
      <c r="O981" s="6">
        <f t="shared" si="19"/>
        <v>1820.0000987142469</v>
      </c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2.75" x14ac:dyDescent="0.2">
      <c r="A982" s="5" t="s">
        <v>2937</v>
      </c>
      <c r="B982" s="5" t="s">
        <v>2937</v>
      </c>
      <c r="C982" s="4">
        <v>400</v>
      </c>
      <c r="D982" s="6" t="e">
        <f t="shared" si="15"/>
        <v>#VALUE!</v>
      </c>
      <c r="E982" s="6" t="s">
        <v>5199</v>
      </c>
      <c r="F982" s="7">
        <v>363</v>
      </c>
      <c r="G982" s="6" t="s">
        <v>17</v>
      </c>
      <c r="H982" s="8" t="s">
        <v>5200</v>
      </c>
      <c r="I982" s="9" t="s">
        <v>2116</v>
      </c>
      <c r="J982" s="10" t="s">
        <v>5201</v>
      </c>
      <c r="K982" s="9" t="s">
        <v>5202</v>
      </c>
      <c r="L982" s="9" t="s">
        <v>5203</v>
      </c>
      <c r="M982" s="9" t="s">
        <v>5204</v>
      </c>
      <c r="N982" s="9" t="s">
        <v>5185</v>
      </c>
      <c r="O982" s="6">
        <f t="shared" si="19"/>
        <v>728</v>
      </c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2.75" x14ac:dyDescent="0.2">
      <c r="A983" s="5" t="s">
        <v>2937</v>
      </c>
      <c r="B983" s="5" t="s">
        <v>2937</v>
      </c>
      <c r="C983" s="4">
        <v>401</v>
      </c>
      <c r="D983" s="6" t="e">
        <f t="shared" si="15"/>
        <v>#VALUE!</v>
      </c>
      <c r="E983" s="6" t="s">
        <v>3318</v>
      </c>
      <c r="F983" s="7">
        <v>364</v>
      </c>
      <c r="G983" s="6" t="s">
        <v>17</v>
      </c>
      <c r="H983" s="8" t="s">
        <v>5205</v>
      </c>
      <c r="I983" s="9" t="s">
        <v>5206</v>
      </c>
      <c r="J983" s="10" t="s">
        <v>5207</v>
      </c>
      <c r="K983" s="9" t="s">
        <v>5208</v>
      </c>
      <c r="L983" s="9" t="s">
        <v>5209</v>
      </c>
      <c r="M983" s="9" t="s">
        <v>5210</v>
      </c>
      <c r="N983" s="9" t="s">
        <v>5211</v>
      </c>
      <c r="O983" s="6">
        <f t="shared" si="19"/>
        <v>730</v>
      </c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2.75" x14ac:dyDescent="0.2">
      <c r="A984" s="5" t="s">
        <v>2937</v>
      </c>
      <c r="B984" s="5" t="s">
        <v>2937</v>
      </c>
      <c r="C984" s="4">
        <v>402</v>
      </c>
      <c r="D984" s="6" t="e">
        <f t="shared" si="15"/>
        <v>#VALUE!</v>
      </c>
      <c r="E984" s="6" t="s">
        <v>5212</v>
      </c>
      <c r="F984" s="7">
        <v>364</v>
      </c>
      <c r="G984" s="6" t="s">
        <v>17</v>
      </c>
      <c r="H984" s="8" t="s">
        <v>5213</v>
      </c>
      <c r="I984" s="9" t="s">
        <v>2111</v>
      </c>
      <c r="J984" s="10" t="s">
        <v>5214</v>
      </c>
      <c r="K984" s="9" t="s">
        <v>5215</v>
      </c>
      <c r="L984" s="9" t="s">
        <v>5216</v>
      </c>
      <c r="M984" s="9" t="s">
        <v>5217</v>
      </c>
      <c r="N984" s="9" t="s">
        <v>5211</v>
      </c>
      <c r="O984" s="6">
        <f t="shared" si="19"/>
        <v>730</v>
      </c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2.75" x14ac:dyDescent="0.2">
      <c r="A985" s="5" t="s">
        <v>2937</v>
      </c>
      <c r="B985" s="5" t="s">
        <v>2937</v>
      </c>
      <c r="C985" s="4">
        <v>403</v>
      </c>
      <c r="D985" s="6" t="e">
        <f t="shared" si="15"/>
        <v>#VALUE!</v>
      </c>
      <c r="E985" s="6" t="s">
        <v>5218</v>
      </c>
      <c r="F985" s="7">
        <v>364</v>
      </c>
      <c r="G985" s="6" t="s">
        <v>28</v>
      </c>
      <c r="H985" s="8" t="s">
        <v>5219</v>
      </c>
      <c r="I985" s="10" t="s">
        <v>5220</v>
      </c>
      <c r="J985" s="9" t="s">
        <v>5221</v>
      </c>
      <c r="K985" s="9" t="s">
        <v>5222</v>
      </c>
      <c r="L985" s="9" t="s">
        <v>5223</v>
      </c>
      <c r="M985" s="9" t="s">
        <v>5224</v>
      </c>
      <c r="N985" s="9" t="s">
        <v>5211</v>
      </c>
      <c r="O985" s="6">
        <f t="shared" si="19"/>
        <v>1460</v>
      </c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2.75" x14ac:dyDescent="0.2">
      <c r="A986" s="5" t="s">
        <v>2937</v>
      </c>
      <c r="B986" s="5" t="s">
        <v>2937</v>
      </c>
      <c r="C986" s="4">
        <v>404</v>
      </c>
      <c r="D986" s="6" t="e">
        <f t="shared" si="15"/>
        <v>#VALUE!</v>
      </c>
      <c r="E986" s="6" t="s">
        <v>5225</v>
      </c>
      <c r="F986" s="7">
        <v>364</v>
      </c>
      <c r="G986" s="6" t="s">
        <v>21</v>
      </c>
      <c r="H986" s="11" t="s">
        <v>5226</v>
      </c>
      <c r="I986" s="9" t="s">
        <v>5227</v>
      </c>
      <c r="J986" s="9" t="s">
        <v>5228</v>
      </c>
      <c r="K986" s="9" t="s">
        <v>5229</v>
      </c>
      <c r="L986" s="9" t="s">
        <v>5230</v>
      </c>
      <c r="M986" s="9" t="s">
        <v>5231</v>
      </c>
      <c r="N986" s="9" t="s">
        <v>5211</v>
      </c>
      <c r="O986" s="6">
        <f t="shared" si="19"/>
        <v>1825.0000971722864</v>
      </c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2.75" x14ac:dyDescent="0.2">
      <c r="A987" s="5" t="s">
        <v>2937</v>
      </c>
      <c r="B987" s="5" t="s">
        <v>2937</v>
      </c>
      <c r="C987" s="4">
        <v>405</v>
      </c>
      <c r="D987" s="6" t="e">
        <f t="shared" si="15"/>
        <v>#VALUE!</v>
      </c>
      <c r="E987" s="6" t="s">
        <v>5151</v>
      </c>
      <c r="F987" s="7">
        <v>365</v>
      </c>
      <c r="G987" s="6" t="s">
        <v>21</v>
      </c>
      <c r="H987" s="11" t="s">
        <v>5232</v>
      </c>
      <c r="I987" s="9" t="s">
        <v>5233</v>
      </c>
      <c r="J987" s="9" t="s">
        <v>5234</v>
      </c>
      <c r="K987" s="9" t="s">
        <v>5235</v>
      </c>
      <c r="L987" s="9" t="s">
        <v>5236</v>
      </c>
      <c r="M987" s="9" t="s">
        <v>5237</v>
      </c>
      <c r="N987" s="9" t="s">
        <v>5238</v>
      </c>
      <c r="O987" s="6">
        <f t="shared" si="19"/>
        <v>1829.9999117036775</v>
      </c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2.75" x14ac:dyDescent="0.2">
      <c r="A988" s="5" t="s">
        <v>2937</v>
      </c>
      <c r="B988" s="5" t="s">
        <v>2937</v>
      </c>
      <c r="C988" s="4">
        <v>406</v>
      </c>
      <c r="D988" s="6" t="e">
        <f t="shared" si="15"/>
        <v>#VALUE!</v>
      </c>
      <c r="E988" s="6" t="s">
        <v>5132</v>
      </c>
      <c r="F988" s="7">
        <v>365</v>
      </c>
      <c r="G988" s="6" t="s">
        <v>21</v>
      </c>
      <c r="H988" s="11" t="s">
        <v>5239</v>
      </c>
      <c r="I988" s="9" t="s">
        <v>5240</v>
      </c>
      <c r="J988" s="9" t="s">
        <v>5241</v>
      </c>
      <c r="K988" s="9" t="s">
        <v>5242</v>
      </c>
      <c r="L988" s="9" t="s">
        <v>5243</v>
      </c>
      <c r="M988" s="9" t="s">
        <v>5244</v>
      </c>
      <c r="N988" s="9" t="s">
        <v>5238</v>
      </c>
      <c r="O988" s="6">
        <f t="shared" si="19"/>
        <v>1829.999911921434</v>
      </c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2.75" x14ac:dyDescent="0.2">
      <c r="A989" s="5" t="s">
        <v>2937</v>
      </c>
      <c r="B989" s="5" t="s">
        <v>2937</v>
      </c>
      <c r="C989" s="4">
        <v>407</v>
      </c>
      <c r="D989" s="6" t="e">
        <f t="shared" si="15"/>
        <v>#VALUE!</v>
      </c>
      <c r="E989" s="6" t="s">
        <v>3424</v>
      </c>
      <c r="F989" s="7">
        <v>365</v>
      </c>
      <c r="G989" s="6" t="s">
        <v>28</v>
      </c>
      <c r="H989" s="8" t="s">
        <v>5245</v>
      </c>
      <c r="I989" s="10" t="s">
        <v>5246</v>
      </c>
      <c r="J989" s="9" t="s">
        <v>5247</v>
      </c>
      <c r="K989" s="9" t="s">
        <v>5248</v>
      </c>
      <c r="L989" s="9" t="s">
        <v>5249</v>
      </c>
      <c r="M989" s="9" t="s">
        <v>5250</v>
      </c>
      <c r="N989" s="9" t="s">
        <v>5238</v>
      </c>
      <c r="O989" s="6">
        <f t="shared" si="19"/>
        <v>1464</v>
      </c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2.75" x14ac:dyDescent="0.2">
      <c r="A990" s="5" t="s">
        <v>2937</v>
      </c>
      <c r="B990" s="5" t="s">
        <v>2937</v>
      </c>
      <c r="C990" s="4">
        <v>408</v>
      </c>
      <c r="D990" s="6" t="e">
        <f t="shared" si="15"/>
        <v>#VALUE!</v>
      </c>
      <c r="E990" s="6" t="s">
        <v>5251</v>
      </c>
      <c r="F990" s="7">
        <v>365</v>
      </c>
      <c r="G990" s="6" t="s">
        <v>17</v>
      </c>
      <c r="H990" s="8" t="s">
        <v>5252</v>
      </c>
      <c r="I990" s="9" t="s">
        <v>5253</v>
      </c>
      <c r="J990" s="10" t="s">
        <v>5254</v>
      </c>
      <c r="K990" s="9" t="s">
        <v>5255</v>
      </c>
      <c r="L990" s="9" t="s">
        <v>2565</v>
      </c>
      <c r="M990" s="9" t="s">
        <v>5256</v>
      </c>
      <c r="N990" s="9" t="s">
        <v>5238</v>
      </c>
      <c r="O990" s="6">
        <f t="shared" si="19"/>
        <v>732</v>
      </c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2.75" x14ac:dyDescent="0.2">
      <c r="A991" s="5" t="s">
        <v>2937</v>
      </c>
      <c r="B991" s="5" t="s">
        <v>2937</v>
      </c>
      <c r="C991" s="4">
        <v>409</v>
      </c>
      <c r="D991" s="6" t="e">
        <f t="shared" si="15"/>
        <v>#VALUE!</v>
      </c>
      <c r="E991" s="6" t="s">
        <v>3239</v>
      </c>
      <c r="F991" s="7">
        <v>366</v>
      </c>
      <c r="G991" s="6" t="s">
        <v>28</v>
      </c>
      <c r="H991" s="8" t="s">
        <v>5257</v>
      </c>
      <c r="I991" s="10" t="s">
        <v>5258</v>
      </c>
      <c r="J991" s="9" t="s">
        <v>5259</v>
      </c>
      <c r="K991" s="9" t="s">
        <v>5260</v>
      </c>
      <c r="L991" s="9" t="s">
        <v>5261</v>
      </c>
      <c r="M991" s="9" t="s">
        <v>5262</v>
      </c>
      <c r="N991" s="9" t="s">
        <v>5263</v>
      </c>
      <c r="O991" s="6">
        <f t="shared" si="19"/>
        <v>1468</v>
      </c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2.75" x14ac:dyDescent="0.2">
      <c r="A992" s="5" t="s">
        <v>2937</v>
      </c>
      <c r="B992" s="5" t="s">
        <v>2937</v>
      </c>
      <c r="C992" s="4">
        <v>410</v>
      </c>
      <c r="D992" s="6" t="e">
        <f t="shared" si="15"/>
        <v>#VALUE!</v>
      </c>
      <c r="E992" s="6" t="s">
        <v>3169</v>
      </c>
      <c r="F992" s="7">
        <v>366</v>
      </c>
      <c r="G992" s="6" t="s">
        <v>28</v>
      </c>
      <c r="H992" s="8" t="s">
        <v>5264</v>
      </c>
      <c r="I992" s="10" t="s">
        <v>5265</v>
      </c>
      <c r="J992" s="9" t="s">
        <v>5266</v>
      </c>
      <c r="K992" s="9" t="s">
        <v>5267</v>
      </c>
      <c r="L992" s="9" t="s">
        <v>740</v>
      </c>
      <c r="M992" s="9" t="s">
        <v>5268</v>
      </c>
      <c r="N992" s="9" t="s">
        <v>5263</v>
      </c>
      <c r="O992" s="6">
        <f t="shared" si="19"/>
        <v>1468</v>
      </c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2.75" x14ac:dyDescent="0.2">
      <c r="A993" s="5" t="s">
        <v>2937</v>
      </c>
      <c r="B993" s="5" t="s">
        <v>2937</v>
      </c>
      <c r="C993" s="4">
        <v>411</v>
      </c>
      <c r="D993" s="6" t="e">
        <f t="shared" si="15"/>
        <v>#VALUE!</v>
      </c>
      <c r="E993" s="6" t="s">
        <v>5269</v>
      </c>
      <c r="F993" s="7">
        <v>366</v>
      </c>
      <c r="G993" s="6" t="s">
        <v>17</v>
      </c>
      <c r="H993" s="8" t="s">
        <v>5270</v>
      </c>
      <c r="I993" s="9" t="s">
        <v>4772</v>
      </c>
      <c r="J993" s="10" t="s">
        <v>5271</v>
      </c>
      <c r="K993" s="9" t="s">
        <v>5272</v>
      </c>
      <c r="L993" s="9" t="s">
        <v>5273</v>
      </c>
      <c r="M993" s="9" t="s">
        <v>5274</v>
      </c>
      <c r="N993" s="9" t="s">
        <v>5263</v>
      </c>
      <c r="O993" s="6">
        <f t="shared" si="19"/>
        <v>734</v>
      </c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2.75" x14ac:dyDescent="0.2">
      <c r="A994" s="5" t="s">
        <v>2937</v>
      </c>
      <c r="B994" s="5" t="s">
        <v>2937</v>
      </c>
      <c r="C994" s="4">
        <v>412</v>
      </c>
      <c r="D994" s="6" t="e">
        <f t="shared" si="15"/>
        <v>#VALUE!</v>
      </c>
      <c r="E994" s="6" t="s">
        <v>5275</v>
      </c>
      <c r="F994" s="7">
        <v>366</v>
      </c>
      <c r="G994" s="6" t="s">
        <v>17</v>
      </c>
      <c r="H994" s="8" t="s">
        <v>5276</v>
      </c>
      <c r="I994" s="9" t="s">
        <v>5277</v>
      </c>
      <c r="J994" s="10" t="s">
        <v>5278</v>
      </c>
      <c r="K994" s="9" t="s">
        <v>5279</v>
      </c>
      <c r="L994" s="9" t="s">
        <v>5280</v>
      </c>
      <c r="M994" s="9" t="s">
        <v>5281</v>
      </c>
      <c r="N994" s="9" t="s">
        <v>5263</v>
      </c>
      <c r="O994" s="6">
        <f t="shared" si="19"/>
        <v>734</v>
      </c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2.75" x14ac:dyDescent="0.2">
      <c r="A995" s="5" t="s">
        <v>2937</v>
      </c>
      <c r="B995" s="5" t="s">
        <v>2937</v>
      </c>
      <c r="C995" s="4">
        <v>413</v>
      </c>
      <c r="D995" s="6" t="e">
        <f t="shared" si="15"/>
        <v>#VALUE!</v>
      </c>
      <c r="E995" s="6" t="s">
        <v>3495</v>
      </c>
      <c r="F995" s="7">
        <v>367</v>
      </c>
      <c r="G995" s="6" t="s">
        <v>28</v>
      </c>
      <c r="H995" s="8" t="s">
        <v>5282</v>
      </c>
      <c r="I995" s="10" t="s">
        <v>5283</v>
      </c>
      <c r="J995" s="9" t="s">
        <v>5284</v>
      </c>
      <c r="K995" s="9" t="s">
        <v>5285</v>
      </c>
      <c r="L995" s="9" t="s">
        <v>5286</v>
      </c>
      <c r="M995" s="9" t="s">
        <v>5287</v>
      </c>
      <c r="N995" s="9" t="s">
        <v>5288</v>
      </c>
      <c r="O995" s="6">
        <f t="shared" si="19"/>
        <v>1472</v>
      </c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2.75" x14ac:dyDescent="0.2">
      <c r="A996" s="5" t="s">
        <v>2937</v>
      </c>
      <c r="B996" s="5" t="s">
        <v>2937</v>
      </c>
      <c r="C996" s="4">
        <v>414</v>
      </c>
      <c r="D996" s="6" t="e">
        <f t="shared" si="15"/>
        <v>#VALUE!</v>
      </c>
      <c r="E996" s="6" t="s">
        <v>3144</v>
      </c>
      <c r="F996" s="7">
        <v>367</v>
      </c>
      <c r="G996" s="6" t="s">
        <v>21</v>
      </c>
      <c r="H996" s="11" t="s">
        <v>5271</v>
      </c>
      <c r="I996" s="9" t="s">
        <v>5289</v>
      </c>
      <c r="J996" s="9" t="s">
        <v>5290</v>
      </c>
      <c r="K996" s="9" t="s">
        <v>5291</v>
      </c>
      <c r="L996" s="9" t="s">
        <v>5292</v>
      </c>
      <c r="M996" s="9" t="s">
        <v>5293</v>
      </c>
      <c r="N996" s="9" t="s">
        <v>5288</v>
      </c>
      <c r="O996" s="6">
        <f t="shared" si="19"/>
        <v>1840</v>
      </c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2.75" x14ac:dyDescent="0.2">
      <c r="A997" s="5" t="s">
        <v>2937</v>
      </c>
      <c r="B997" s="5" t="s">
        <v>2937</v>
      </c>
      <c r="C997" s="4">
        <v>415</v>
      </c>
      <c r="D997" s="6" t="e">
        <f t="shared" si="15"/>
        <v>#VALUE!</v>
      </c>
      <c r="E997" s="6" t="s">
        <v>5294</v>
      </c>
      <c r="F997" s="7">
        <v>367</v>
      </c>
      <c r="G997" s="6" t="s">
        <v>21</v>
      </c>
      <c r="H997" s="11" t="s">
        <v>5295</v>
      </c>
      <c r="I997" s="9" t="s">
        <v>5296</v>
      </c>
      <c r="J997" s="9" t="s">
        <v>5297</v>
      </c>
      <c r="K997" s="9" t="s">
        <v>5298</v>
      </c>
      <c r="L997" s="9" t="s">
        <v>5299</v>
      </c>
      <c r="M997" s="9" t="s">
        <v>5300</v>
      </c>
      <c r="N997" s="9" t="s">
        <v>5288</v>
      </c>
      <c r="O997" s="6">
        <f t="shared" si="19"/>
        <v>1840</v>
      </c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2.75" x14ac:dyDescent="0.2">
      <c r="A998" s="5" t="s">
        <v>2937</v>
      </c>
      <c r="B998" s="5" t="s">
        <v>2937</v>
      </c>
      <c r="C998" s="4">
        <v>416</v>
      </c>
      <c r="D998" s="6" t="e">
        <f t="shared" si="15"/>
        <v>#VALUE!</v>
      </c>
      <c r="E998" s="6" t="s">
        <v>5301</v>
      </c>
      <c r="F998" s="7">
        <v>367</v>
      </c>
      <c r="G998" s="6" t="s">
        <v>17</v>
      </c>
      <c r="H998" s="8" t="s">
        <v>5302</v>
      </c>
      <c r="I998" s="9" t="s">
        <v>5303</v>
      </c>
      <c r="J998" s="10" t="s">
        <v>5304</v>
      </c>
      <c r="K998" s="9" t="s">
        <v>5305</v>
      </c>
      <c r="L998" s="9" t="s">
        <v>5306</v>
      </c>
      <c r="M998" s="9" t="s">
        <v>5307</v>
      </c>
      <c r="N998" s="9" t="s">
        <v>5288</v>
      </c>
      <c r="O998" s="6">
        <f t="shared" si="19"/>
        <v>736</v>
      </c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2.75" x14ac:dyDescent="0.2">
      <c r="A999" s="5" t="s">
        <v>2937</v>
      </c>
      <c r="B999" s="5" t="s">
        <v>2937</v>
      </c>
      <c r="C999" s="4">
        <v>417</v>
      </c>
      <c r="D999" s="6" t="e">
        <f t="shared" si="15"/>
        <v>#VALUE!</v>
      </c>
      <c r="E999" s="6" t="s">
        <v>5308</v>
      </c>
      <c r="F999" s="7">
        <v>368</v>
      </c>
      <c r="G999" s="6" t="s">
        <v>28</v>
      </c>
      <c r="H999" s="8" t="s">
        <v>5309</v>
      </c>
      <c r="I999" s="10" t="s">
        <v>5310</v>
      </c>
      <c r="J999" s="9" t="s">
        <v>2403</v>
      </c>
      <c r="K999" s="9" t="s">
        <v>5311</v>
      </c>
      <c r="L999" s="9" t="s">
        <v>5312</v>
      </c>
      <c r="M999" s="9" t="s">
        <v>5313</v>
      </c>
      <c r="N999" s="9" t="s">
        <v>5314</v>
      </c>
      <c r="O999" s="6">
        <f t="shared" si="19"/>
        <v>1476</v>
      </c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2.75" x14ac:dyDescent="0.2">
      <c r="A1000" s="5" t="s">
        <v>2937</v>
      </c>
      <c r="B1000" s="5" t="s">
        <v>2937</v>
      </c>
      <c r="C1000" s="4">
        <v>418</v>
      </c>
      <c r="D1000" s="6" t="e">
        <f t="shared" si="15"/>
        <v>#VALUE!</v>
      </c>
      <c r="E1000" s="6" t="s">
        <v>4210</v>
      </c>
      <c r="F1000" s="7">
        <v>368</v>
      </c>
      <c r="G1000" s="6" t="s">
        <v>17</v>
      </c>
      <c r="H1000" s="8" t="s">
        <v>5315</v>
      </c>
      <c r="I1000" s="9" t="s">
        <v>5316</v>
      </c>
      <c r="J1000" s="10" t="s">
        <v>5317</v>
      </c>
      <c r="K1000" s="9" t="s">
        <v>5318</v>
      </c>
      <c r="L1000" s="9" t="s">
        <v>5319</v>
      </c>
      <c r="M1000" s="9" t="s">
        <v>5320</v>
      </c>
      <c r="N1000" s="9" t="s">
        <v>5314</v>
      </c>
      <c r="O1000" s="6">
        <f t="shared" si="19"/>
        <v>738</v>
      </c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2.75" x14ac:dyDescent="0.2">
      <c r="A1001" s="5" t="s">
        <v>2937</v>
      </c>
      <c r="B1001" s="5" t="s">
        <v>2937</v>
      </c>
      <c r="C1001" s="4">
        <v>419</v>
      </c>
      <c r="D1001" s="6" t="e">
        <f t="shared" si="15"/>
        <v>#VALUE!</v>
      </c>
      <c r="E1001" s="6" t="s">
        <v>721</v>
      </c>
      <c r="F1001" s="7">
        <v>368</v>
      </c>
      <c r="G1001" s="6" t="s">
        <v>21</v>
      </c>
      <c r="H1001" s="11" t="s">
        <v>5321</v>
      </c>
      <c r="I1001" s="9" t="s">
        <v>5322</v>
      </c>
      <c r="J1001" s="9" t="s">
        <v>5323</v>
      </c>
      <c r="K1001" s="9" t="s">
        <v>5324</v>
      </c>
      <c r="L1001" s="9" t="s">
        <v>5325</v>
      </c>
      <c r="M1001" s="9" t="s">
        <v>5326</v>
      </c>
      <c r="N1001" s="9" t="s">
        <v>5314</v>
      </c>
      <c r="O1001" s="6">
        <f t="shared" si="19"/>
        <v>1844.9999075187275</v>
      </c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2.75" x14ac:dyDescent="0.2">
      <c r="A1002" s="5" t="s">
        <v>2937</v>
      </c>
      <c r="B1002" s="5" t="s">
        <v>2937</v>
      </c>
      <c r="C1002" s="4">
        <v>420</v>
      </c>
      <c r="D1002" s="6" t="e">
        <f t="shared" si="15"/>
        <v>#VALUE!</v>
      </c>
      <c r="E1002" s="6" t="s">
        <v>3040</v>
      </c>
      <c r="F1002" s="7">
        <v>368</v>
      </c>
      <c r="G1002" s="6" t="s">
        <v>17</v>
      </c>
      <c r="H1002" s="8" t="s">
        <v>1520</v>
      </c>
      <c r="I1002" s="9" t="s">
        <v>5327</v>
      </c>
      <c r="J1002" s="10" t="s">
        <v>5328</v>
      </c>
      <c r="K1002" s="9" t="s">
        <v>5329</v>
      </c>
      <c r="L1002" s="9" t="s">
        <v>5330</v>
      </c>
      <c r="M1002" s="9" t="s">
        <v>5331</v>
      </c>
      <c r="N1002" s="9" t="s">
        <v>5314</v>
      </c>
      <c r="O1002" s="6">
        <f t="shared" si="19"/>
        <v>738</v>
      </c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  <row r="1003" spans="1:27" ht="12.75" x14ac:dyDescent="0.2">
      <c r="A1003" s="5" t="s">
        <v>2937</v>
      </c>
      <c r="B1003" s="5" t="s">
        <v>2937</v>
      </c>
      <c r="C1003" s="4">
        <v>421</v>
      </c>
      <c r="D1003" s="6" t="e">
        <f t="shared" si="15"/>
        <v>#VALUE!</v>
      </c>
      <c r="E1003" s="6" t="s">
        <v>4399</v>
      </c>
      <c r="F1003" s="7">
        <v>369</v>
      </c>
      <c r="G1003" s="6" t="s">
        <v>28</v>
      </c>
      <c r="H1003" s="8" t="s">
        <v>5332</v>
      </c>
      <c r="I1003" s="10" t="s">
        <v>5333</v>
      </c>
      <c r="J1003" s="9" t="s">
        <v>2748</v>
      </c>
      <c r="K1003" s="9" t="s">
        <v>5334</v>
      </c>
      <c r="L1003" s="9" t="s">
        <v>5335</v>
      </c>
      <c r="M1003" s="9" t="s">
        <v>5336</v>
      </c>
      <c r="N1003" s="9" t="s">
        <v>5337</v>
      </c>
      <c r="O1003" s="6">
        <f t="shared" si="19"/>
        <v>1480</v>
      </c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</row>
    <row r="1004" spans="1:27" ht="12.75" x14ac:dyDescent="0.2">
      <c r="A1004" s="5" t="s">
        <v>2937</v>
      </c>
      <c r="B1004" s="5" t="s">
        <v>2937</v>
      </c>
      <c r="C1004" s="4">
        <v>422</v>
      </c>
      <c r="D1004" s="6" t="e">
        <f t="shared" si="15"/>
        <v>#VALUE!</v>
      </c>
      <c r="E1004" s="6" t="s">
        <v>5338</v>
      </c>
      <c r="F1004" s="7">
        <v>369</v>
      </c>
      <c r="G1004" s="6" t="s">
        <v>17</v>
      </c>
      <c r="H1004" s="8" t="s">
        <v>5339</v>
      </c>
      <c r="I1004" s="9" t="s">
        <v>5340</v>
      </c>
      <c r="J1004" s="10" t="s">
        <v>5341</v>
      </c>
      <c r="K1004" s="9" t="s">
        <v>5342</v>
      </c>
      <c r="L1004" s="9" t="s">
        <v>5343</v>
      </c>
      <c r="M1004" s="9" t="s">
        <v>5344</v>
      </c>
      <c r="N1004" s="9" t="s">
        <v>5337</v>
      </c>
      <c r="O1004" s="6">
        <f t="shared" si="19"/>
        <v>740</v>
      </c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</row>
    <row r="1005" spans="1:27" ht="12.75" x14ac:dyDescent="0.2">
      <c r="A1005" s="5" t="s">
        <v>2937</v>
      </c>
      <c r="B1005" s="5" t="s">
        <v>2937</v>
      </c>
      <c r="C1005" s="4">
        <v>423</v>
      </c>
      <c r="D1005" s="6" t="e">
        <f t="shared" si="15"/>
        <v>#VALUE!</v>
      </c>
      <c r="E1005" s="6" t="s">
        <v>31</v>
      </c>
      <c r="F1005" s="7">
        <v>369</v>
      </c>
      <c r="G1005" s="6" t="s">
        <v>21</v>
      </c>
      <c r="H1005" s="11" t="s">
        <v>5345</v>
      </c>
      <c r="I1005" s="9" t="s">
        <v>5346</v>
      </c>
      <c r="J1005" s="9" t="s">
        <v>5347</v>
      </c>
      <c r="K1005" s="9" t="s">
        <v>5348</v>
      </c>
      <c r="L1005" s="9" t="s">
        <v>5349</v>
      </c>
      <c r="M1005" s="9" t="s">
        <v>5350</v>
      </c>
      <c r="N1005" s="9" t="s">
        <v>5337</v>
      </c>
      <c r="O1005" s="6">
        <f t="shared" si="19"/>
        <v>1850.0000913116924</v>
      </c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</row>
    <row r="1006" spans="1:27" ht="12.75" x14ac:dyDescent="0.2">
      <c r="A1006" s="5" t="s">
        <v>2937</v>
      </c>
      <c r="B1006" s="5" t="s">
        <v>2937</v>
      </c>
      <c r="C1006" s="4">
        <v>424</v>
      </c>
      <c r="D1006" s="6" t="e">
        <f t="shared" si="15"/>
        <v>#VALUE!</v>
      </c>
      <c r="E1006" s="6" t="s">
        <v>5351</v>
      </c>
      <c r="F1006" s="7">
        <v>369</v>
      </c>
      <c r="G1006" s="6" t="s">
        <v>17</v>
      </c>
      <c r="H1006" s="8" t="s">
        <v>5352</v>
      </c>
      <c r="I1006" s="9" t="s">
        <v>800</v>
      </c>
      <c r="J1006" s="10" t="s">
        <v>5353</v>
      </c>
      <c r="K1006" s="9" t="s">
        <v>5354</v>
      </c>
      <c r="L1006" s="9" t="s">
        <v>5355</v>
      </c>
      <c r="M1006" s="9" t="s">
        <v>5356</v>
      </c>
      <c r="N1006" s="9" t="s">
        <v>5337</v>
      </c>
      <c r="O1006" s="6">
        <f t="shared" si="19"/>
        <v>740</v>
      </c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</row>
    <row r="1007" spans="1:27" ht="12.75" x14ac:dyDescent="0.2">
      <c r="A1007" s="5" t="s">
        <v>2937</v>
      </c>
      <c r="B1007" s="5" t="s">
        <v>2937</v>
      </c>
      <c r="C1007" s="4">
        <v>425</v>
      </c>
      <c r="D1007" s="6" t="e">
        <f t="shared" si="15"/>
        <v>#VALUE!</v>
      </c>
      <c r="E1007" s="6" t="s">
        <v>4540</v>
      </c>
      <c r="F1007" s="7">
        <v>370</v>
      </c>
      <c r="G1007" s="6" t="s">
        <v>17</v>
      </c>
      <c r="H1007" s="8" t="s">
        <v>5357</v>
      </c>
      <c r="I1007" s="9" t="s">
        <v>5358</v>
      </c>
      <c r="J1007" s="10" t="s">
        <v>5359</v>
      </c>
      <c r="K1007" s="9" t="s">
        <v>5027</v>
      </c>
      <c r="L1007" s="9" t="s">
        <v>5360</v>
      </c>
      <c r="M1007" s="9" t="s">
        <v>5361</v>
      </c>
      <c r="N1007" s="9" t="s">
        <v>5362</v>
      </c>
      <c r="O1007" s="6">
        <f t="shared" si="19"/>
        <v>742</v>
      </c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</row>
    <row r="1008" spans="1:27" ht="12.75" x14ac:dyDescent="0.2">
      <c r="A1008" s="5" t="s">
        <v>2937</v>
      </c>
      <c r="B1008" s="5" t="s">
        <v>2937</v>
      </c>
      <c r="C1008" s="4">
        <v>426</v>
      </c>
      <c r="D1008" s="6" t="e">
        <f t="shared" si="15"/>
        <v>#VALUE!</v>
      </c>
      <c r="E1008" s="6" t="s">
        <v>691</v>
      </c>
      <c r="F1008" s="7">
        <v>370</v>
      </c>
      <c r="G1008" s="6" t="s">
        <v>21</v>
      </c>
      <c r="H1008" s="11" t="s">
        <v>5363</v>
      </c>
      <c r="I1008" s="9" t="s">
        <v>5364</v>
      </c>
      <c r="J1008" s="9" t="s">
        <v>5365</v>
      </c>
      <c r="K1008" s="9" t="s">
        <v>5366</v>
      </c>
      <c r="L1008" s="9" t="s">
        <v>5367</v>
      </c>
      <c r="M1008" s="9" t="s">
        <v>5368</v>
      </c>
      <c r="N1008" s="9" t="s">
        <v>5362</v>
      </c>
      <c r="O1008" s="6">
        <f t="shared" si="19"/>
        <v>1854.9999399675826</v>
      </c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</row>
    <row r="1009" spans="1:27" ht="12.75" x14ac:dyDescent="0.2">
      <c r="A1009" s="5" t="s">
        <v>2937</v>
      </c>
      <c r="B1009" s="5" t="s">
        <v>2937</v>
      </c>
      <c r="C1009" s="4">
        <v>427</v>
      </c>
      <c r="D1009" s="6" t="e">
        <f t="shared" si="15"/>
        <v>#VALUE!</v>
      </c>
      <c r="E1009" s="6" t="s">
        <v>64</v>
      </c>
      <c r="F1009" s="7">
        <v>370</v>
      </c>
      <c r="G1009" s="6" t="s">
        <v>21</v>
      </c>
      <c r="H1009" s="11" t="s">
        <v>5369</v>
      </c>
      <c r="I1009" s="9" t="s">
        <v>5370</v>
      </c>
      <c r="J1009" s="9" t="s">
        <v>5371</v>
      </c>
      <c r="K1009" s="9" t="s">
        <v>5372</v>
      </c>
      <c r="L1009" s="9" t="s">
        <v>3626</v>
      </c>
      <c r="M1009" s="9" t="s">
        <v>5373</v>
      </c>
      <c r="N1009" s="9" t="s">
        <v>5362</v>
      </c>
      <c r="O1009" s="6">
        <f t="shared" si="19"/>
        <v>1855.0000199644633</v>
      </c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</row>
    <row r="1010" spans="1:27" ht="12.75" x14ac:dyDescent="0.2">
      <c r="A1010" s="5" t="s">
        <v>2937</v>
      </c>
      <c r="B1010" s="5" t="s">
        <v>2937</v>
      </c>
      <c r="C1010" s="4">
        <v>428</v>
      </c>
      <c r="D1010" s="6" t="e">
        <f t="shared" si="15"/>
        <v>#VALUE!</v>
      </c>
      <c r="E1010" s="6" t="s">
        <v>3976</v>
      </c>
      <c r="F1010" s="7">
        <v>370</v>
      </c>
      <c r="G1010" s="6" t="s">
        <v>21</v>
      </c>
      <c r="H1010" s="11" t="s">
        <v>5374</v>
      </c>
      <c r="I1010" s="9" t="s">
        <v>5375</v>
      </c>
      <c r="J1010" s="9" t="s">
        <v>5376</v>
      </c>
      <c r="K1010" s="9" t="s">
        <v>5377</v>
      </c>
      <c r="L1010" s="9" t="s">
        <v>5378</v>
      </c>
      <c r="M1010" s="9" t="s">
        <v>5379</v>
      </c>
      <c r="N1010" s="9" t="s">
        <v>5362</v>
      </c>
      <c r="O1010" s="6">
        <f t="shared" si="19"/>
        <v>1854.9999800824587</v>
      </c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</row>
    <row r="1011" spans="1:27" ht="12.75" x14ac:dyDescent="0.2">
      <c r="A1011" s="5" t="s">
        <v>2937</v>
      </c>
      <c r="B1011" s="5" t="s">
        <v>2937</v>
      </c>
      <c r="C1011" s="4">
        <v>429</v>
      </c>
      <c r="D1011" s="6" t="e">
        <f t="shared" si="15"/>
        <v>#VALUE!</v>
      </c>
      <c r="E1011" s="6" t="s">
        <v>3752</v>
      </c>
      <c r="F1011" s="7">
        <v>371</v>
      </c>
      <c r="G1011" s="6" t="s">
        <v>17</v>
      </c>
      <c r="H1011" s="8" t="s">
        <v>5380</v>
      </c>
      <c r="I1011" s="9" t="s">
        <v>5381</v>
      </c>
      <c r="J1011" s="10" t="s">
        <v>5382</v>
      </c>
      <c r="K1011" s="9" t="s">
        <v>5383</v>
      </c>
      <c r="L1011" s="9" t="s">
        <v>5384</v>
      </c>
      <c r="M1011" s="9" t="s">
        <v>5385</v>
      </c>
      <c r="N1011" s="9" t="s">
        <v>5386</v>
      </c>
      <c r="O1011" s="6">
        <f t="shared" si="19"/>
        <v>744</v>
      </c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</row>
    <row r="1012" spans="1:27" ht="12.75" x14ac:dyDescent="0.2">
      <c r="A1012" s="5" t="s">
        <v>2937</v>
      </c>
      <c r="B1012" s="5" t="s">
        <v>2937</v>
      </c>
      <c r="C1012" s="4">
        <v>430</v>
      </c>
      <c r="D1012" s="6" t="e">
        <f t="shared" si="15"/>
        <v>#VALUE!</v>
      </c>
      <c r="E1012" s="6" t="s">
        <v>5387</v>
      </c>
      <c r="F1012" s="7">
        <v>371</v>
      </c>
      <c r="G1012" s="6" t="s">
        <v>21</v>
      </c>
      <c r="H1012" s="11" t="s">
        <v>5388</v>
      </c>
      <c r="I1012" s="9" t="s">
        <v>5389</v>
      </c>
      <c r="J1012" s="9" t="s">
        <v>5390</v>
      </c>
      <c r="K1012" s="9" t="s">
        <v>5391</v>
      </c>
      <c r="L1012" s="9" t="s">
        <v>5392</v>
      </c>
      <c r="M1012" s="9" t="s">
        <v>5393</v>
      </c>
      <c r="N1012" s="9" t="s">
        <v>5386</v>
      </c>
      <c r="O1012" s="6">
        <f t="shared" si="19"/>
        <v>1860</v>
      </c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</row>
    <row r="1013" spans="1:27" ht="12.75" x14ac:dyDescent="0.2">
      <c r="A1013" s="5" t="s">
        <v>2937</v>
      </c>
      <c r="B1013" s="5" t="s">
        <v>2937</v>
      </c>
      <c r="C1013" s="4">
        <v>431</v>
      </c>
      <c r="D1013" s="6" t="e">
        <f t="shared" si="15"/>
        <v>#VALUE!</v>
      </c>
      <c r="E1013" s="6" t="s">
        <v>5394</v>
      </c>
      <c r="F1013" s="7">
        <v>371</v>
      </c>
      <c r="G1013" s="6" t="s">
        <v>28</v>
      </c>
      <c r="H1013" s="8" t="s">
        <v>5395</v>
      </c>
      <c r="I1013" s="10" t="s">
        <v>5396</v>
      </c>
      <c r="J1013" s="9" t="s">
        <v>5397</v>
      </c>
      <c r="K1013" s="9" t="s">
        <v>5398</v>
      </c>
      <c r="L1013" s="9" t="s">
        <v>5399</v>
      </c>
      <c r="M1013" s="9" t="s">
        <v>5400</v>
      </c>
      <c r="N1013" s="9" t="s">
        <v>5386</v>
      </c>
      <c r="O1013" s="6">
        <f t="shared" si="19"/>
        <v>1488</v>
      </c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</row>
    <row r="1014" spans="1:27" ht="12.75" x14ac:dyDescent="0.2">
      <c r="A1014" s="5" t="s">
        <v>2937</v>
      </c>
      <c r="B1014" s="5" t="s">
        <v>2937</v>
      </c>
      <c r="C1014" s="4">
        <v>432</v>
      </c>
      <c r="D1014" s="6" t="e">
        <f t="shared" si="15"/>
        <v>#VALUE!</v>
      </c>
      <c r="E1014" s="6" t="s">
        <v>3495</v>
      </c>
      <c r="F1014" s="7">
        <v>371</v>
      </c>
      <c r="G1014" s="6" t="s">
        <v>28</v>
      </c>
      <c r="H1014" s="8" t="s">
        <v>5401</v>
      </c>
      <c r="I1014" s="10" t="s">
        <v>5402</v>
      </c>
      <c r="J1014" s="9" t="s">
        <v>5403</v>
      </c>
      <c r="K1014" s="9" t="s">
        <v>5404</v>
      </c>
      <c r="L1014" s="9" t="s">
        <v>5405</v>
      </c>
      <c r="M1014" s="9" t="s">
        <v>5406</v>
      </c>
      <c r="N1014" s="9" t="s">
        <v>5386</v>
      </c>
      <c r="O1014" s="6">
        <f t="shared" si="19"/>
        <v>1488</v>
      </c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</row>
    <row r="1015" spans="1:27" ht="12.75" x14ac:dyDescent="0.2">
      <c r="A1015" s="5" t="s">
        <v>2937</v>
      </c>
      <c r="B1015" s="5" t="s">
        <v>2937</v>
      </c>
      <c r="C1015" s="4">
        <v>433</v>
      </c>
      <c r="D1015" s="6" t="e">
        <f t="shared" si="15"/>
        <v>#VALUE!</v>
      </c>
      <c r="E1015" s="6" t="s">
        <v>5407</v>
      </c>
      <c r="F1015" s="7">
        <v>372</v>
      </c>
      <c r="G1015" s="6" t="s">
        <v>28</v>
      </c>
      <c r="H1015" s="8" t="s">
        <v>5408</v>
      </c>
      <c r="I1015" s="10" t="s">
        <v>5409</v>
      </c>
      <c r="J1015" s="9" t="s">
        <v>5410</v>
      </c>
      <c r="K1015" s="9" t="s">
        <v>5411</v>
      </c>
      <c r="L1015" s="9" t="s">
        <v>2398</v>
      </c>
      <c r="M1015" s="9" t="s">
        <v>5412</v>
      </c>
      <c r="N1015" s="9" t="s">
        <v>5413</v>
      </c>
      <c r="O1015" s="6">
        <f t="shared" si="19"/>
        <v>1492</v>
      </c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</row>
    <row r="1016" spans="1:27" ht="12.75" x14ac:dyDescent="0.2">
      <c r="A1016" s="5" t="s">
        <v>2937</v>
      </c>
      <c r="B1016" s="5" t="s">
        <v>2937</v>
      </c>
      <c r="C1016" s="4">
        <v>434</v>
      </c>
      <c r="D1016" s="6" t="e">
        <f t="shared" si="15"/>
        <v>#VALUE!</v>
      </c>
      <c r="E1016" s="6" t="s">
        <v>4420</v>
      </c>
      <c r="F1016" s="7">
        <v>372</v>
      </c>
      <c r="G1016" s="6" t="s">
        <v>21</v>
      </c>
      <c r="H1016" s="11" t="s">
        <v>5414</v>
      </c>
      <c r="I1016" s="9" t="s">
        <v>5415</v>
      </c>
      <c r="J1016" s="9" t="s">
        <v>5416</v>
      </c>
      <c r="K1016" s="9" t="s">
        <v>5417</v>
      </c>
      <c r="L1016" s="9" t="s">
        <v>5418</v>
      </c>
      <c r="M1016" s="9" t="s">
        <v>5419</v>
      </c>
      <c r="N1016" s="9" t="s">
        <v>5413</v>
      </c>
      <c r="O1016" s="6">
        <f t="shared" si="19"/>
        <v>1865.0000220346826</v>
      </c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</row>
    <row r="1017" spans="1:27" ht="12.75" x14ac:dyDescent="0.2">
      <c r="A1017" s="5" t="s">
        <v>2937</v>
      </c>
      <c r="B1017" s="5" t="s">
        <v>2937</v>
      </c>
      <c r="C1017" s="4">
        <v>435</v>
      </c>
      <c r="D1017" s="6" t="e">
        <f t="shared" si="15"/>
        <v>#VALUE!</v>
      </c>
      <c r="E1017" s="6" t="s">
        <v>46</v>
      </c>
      <c r="F1017" s="7">
        <v>372</v>
      </c>
      <c r="G1017" s="6" t="s">
        <v>28</v>
      </c>
      <c r="H1017" s="8" t="s">
        <v>5420</v>
      </c>
      <c r="I1017" s="10" t="s">
        <v>5421</v>
      </c>
      <c r="J1017" s="9" t="s">
        <v>5422</v>
      </c>
      <c r="K1017" s="9" t="s">
        <v>5423</v>
      </c>
      <c r="L1017" s="9" t="s">
        <v>5424</v>
      </c>
      <c r="M1017" s="9" t="s">
        <v>5425</v>
      </c>
      <c r="N1017" s="9" t="s">
        <v>5413</v>
      </c>
      <c r="O1017" s="6">
        <f t="shared" si="19"/>
        <v>1492</v>
      </c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</row>
    <row r="1018" spans="1:27" ht="12.75" x14ac:dyDescent="0.2">
      <c r="A1018" s="5" t="s">
        <v>2937</v>
      </c>
      <c r="B1018" s="5" t="s">
        <v>2937</v>
      </c>
      <c r="C1018" s="4">
        <v>436</v>
      </c>
      <c r="D1018" s="6" t="e">
        <f t="shared" si="15"/>
        <v>#VALUE!</v>
      </c>
      <c r="E1018" s="6" t="s">
        <v>5426</v>
      </c>
      <c r="F1018" s="7">
        <v>372</v>
      </c>
      <c r="G1018" s="6" t="s">
        <v>21</v>
      </c>
      <c r="H1018" s="11" t="s">
        <v>5427</v>
      </c>
      <c r="I1018" s="9" t="s">
        <v>5428</v>
      </c>
      <c r="J1018" s="9" t="s">
        <v>5429</v>
      </c>
      <c r="K1018" s="9" t="s">
        <v>5430</v>
      </c>
      <c r="L1018" s="9" t="s">
        <v>5431</v>
      </c>
      <c r="M1018" s="9" t="s">
        <v>5432</v>
      </c>
      <c r="N1018" s="9" t="s">
        <v>5413</v>
      </c>
      <c r="O1018" s="6">
        <f t="shared" si="19"/>
        <v>1865</v>
      </c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</row>
    <row r="1019" spans="1:27" ht="12.75" x14ac:dyDescent="0.2">
      <c r="A1019" s="5" t="s">
        <v>2937</v>
      </c>
      <c r="B1019" s="5" t="s">
        <v>2937</v>
      </c>
      <c r="C1019" s="4">
        <v>437</v>
      </c>
      <c r="D1019" s="6" t="e">
        <f t="shared" si="15"/>
        <v>#VALUE!</v>
      </c>
      <c r="E1019" s="6" t="s">
        <v>3702</v>
      </c>
      <c r="F1019" s="7">
        <v>373</v>
      </c>
      <c r="G1019" s="6" t="s">
        <v>28</v>
      </c>
      <c r="H1019" s="8" t="s">
        <v>3651</v>
      </c>
      <c r="I1019" s="10" t="s">
        <v>5433</v>
      </c>
      <c r="J1019" s="9" t="s">
        <v>5434</v>
      </c>
      <c r="K1019" s="9" t="s">
        <v>5435</v>
      </c>
      <c r="L1019" s="9" t="s">
        <v>5436</v>
      </c>
      <c r="M1019" s="9" t="s">
        <v>5437</v>
      </c>
      <c r="N1019" s="9" t="s">
        <v>5438</v>
      </c>
      <c r="O1019" s="6">
        <f t="shared" si="19"/>
        <v>1496</v>
      </c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</row>
    <row r="1020" spans="1:27" ht="12.75" x14ac:dyDescent="0.2">
      <c r="A1020" s="5" t="s">
        <v>2937</v>
      </c>
      <c r="B1020" s="5" t="s">
        <v>2937</v>
      </c>
      <c r="C1020" s="4">
        <v>438</v>
      </c>
      <c r="D1020" s="6" t="e">
        <f t="shared" si="15"/>
        <v>#VALUE!</v>
      </c>
      <c r="E1020" s="6" t="s">
        <v>760</v>
      </c>
      <c r="F1020" s="7">
        <v>373</v>
      </c>
      <c r="G1020" s="6" t="s">
        <v>17</v>
      </c>
      <c r="H1020" s="8" t="s">
        <v>5439</v>
      </c>
      <c r="I1020" s="9" t="s">
        <v>5440</v>
      </c>
      <c r="J1020" s="10" t="s">
        <v>5441</v>
      </c>
      <c r="K1020" s="9" t="s">
        <v>5442</v>
      </c>
      <c r="L1020" s="9" t="s">
        <v>5443</v>
      </c>
      <c r="M1020" s="9" t="s">
        <v>5444</v>
      </c>
      <c r="N1020" s="9" t="s">
        <v>5438</v>
      </c>
      <c r="O1020" s="6">
        <f t="shared" si="19"/>
        <v>748</v>
      </c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</row>
    <row r="1021" spans="1:27" ht="12.75" x14ac:dyDescent="0.2">
      <c r="A1021" s="5" t="s">
        <v>2937</v>
      </c>
      <c r="B1021" s="5" t="s">
        <v>2937</v>
      </c>
      <c r="C1021" s="4">
        <v>439</v>
      </c>
      <c r="D1021" s="6" t="e">
        <f t="shared" si="15"/>
        <v>#VALUE!</v>
      </c>
      <c r="E1021" s="6" t="s">
        <v>133</v>
      </c>
      <c r="F1021" s="7">
        <v>373</v>
      </c>
      <c r="G1021" s="6" t="s">
        <v>17</v>
      </c>
      <c r="H1021" s="8" t="s">
        <v>5445</v>
      </c>
      <c r="I1021" s="9" t="s">
        <v>5446</v>
      </c>
      <c r="J1021" s="10" t="s">
        <v>5447</v>
      </c>
      <c r="K1021" s="9" t="s">
        <v>5448</v>
      </c>
      <c r="L1021" s="9" t="s">
        <v>3958</v>
      </c>
      <c r="M1021" s="9" t="s">
        <v>5449</v>
      </c>
      <c r="N1021" s="9" t="s">
        <v>5438</v>
      </c>
      <c r="O1021" s="6">
        <f t="shared" si="19"/>
        <v>748</v>
      </c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</row>
    <row r="1022" spans="1:27" ht="12.75" x14ac:dyDescent="0.2">
      <c r="A1022" s="5" t="s">
        <v>2937</v>
      </c>
      <c r="B1022" s="5" t="s">
        <v>2937</v>
      </c>
      <c r="C1022" s="4">
        <v>440</v>
      </c>
      <c r="D1022" s="6" t="e">
        <f t="shared" ref="D1022:D1276" si="20">CONCATENATE(A1022:C1022)</f>
        <v>#VALUE!</v>
      </c>
      <c r="E1022" s="6" t="s">
        <v>5450</v>
      </c>
      <c r="F1022" s="7">
        <v>373</v>
      </c>
      <c r="G1022" s="6" t="s">
        <v>28</v>
      </c>
      <c r="H1022" s="8" t="s">
        <v>5451</v>
      </c>
      <c r="I1022" s="10" t="s">
        <v>5452</v>
      </c>
      <c r="J1022" s="9" t="s">
        <v>5453</v>
      </c>
      <c r="K1022" s="9" t="s">
        <v>5454</v>
      </c>
      <c r="L1022" s="9" t="s">
        <v>5455</v>
      </c>
      <c r="M1022" s="9" t="s">
        <v>5456</v>
      </c>
      <c r="N1022" s="9" t="s">
        <v>5438</v>
      </c>
      <c r="O1022" s="6">
        <f t="shared" si="19"/>
        <v>1496</v>
      </c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</row>
    <row r="1023" spans="1:27" ht="12.75" x14ac:dyDescent="0.2">
      <c r="A1023" s="5" t="s">
        <v>2937</v>
      </c>
      <c r="B1023" s="5" t="s">
        <v>2937</v>
      </c>
      <c r="C1023" s="4">
        <v>441</v>
      </c>
      <c r="D1023" s="6" t="e">
        <f t="shared" si="20"/>
        <v>#VALUE!</v>
      </c>
      <c r="E1023" s="6" t="s">
        <v>5457</v>
      </c>
      <c r="F1023" s="7">
        <v>374</v>
      </c>
      <c r="G1023" s="6" t="s">
        <v>21</v>
      </c>
      <c r="H1023" s="11" t="s">
        <v>5458</v>
      </c>
      <c r="I1023" s="9" t="s">
        <v>5459</v>
      </c>
      <c r="J1023" s="9" t="s">
        <v>5460</v>
      </c>
      <c r="K1023" s="9" t="s">
        <v>5461</v>
      </c>
      <c r="L1023" s="9" t="s">
        <v>5462</v>
      </c>
      <c r="M1023" s="9" t="s">
        <v>5463</v>
      </c>
      <c r="N1023" s="9" t="s">
        <v>5464</v>
      </c>
      <c r="O1023" s="6">
        <f t="shared" si="19"/>
        <v>1874.9999784533838</v>
      </c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</row>
    <row r="1024" spans="1:27" ht="12.75" x14ac:dyDescent="0.2">
      <c r="A1024" s="5" t="s">
        <v>2937</v>
      </c>
      <c r="B1024" s="5" t="s">
        <v>2937</v>
      </c>
      <c r="C1024" s="4">
        <v>442</v>
      </c>
      <c r="D1024" s="6" t="e">
        <f t="shared" si="20"/>
        <v>#VALUE!</v>
      </c>
      <c r="E1024" s="6" t="s">
        <v>4166</v>
      </c>
      <c r="F1024" s="7">
        <v>374</v>
      </c>
      <c r="G1024" s="6" t="s">
        <v>17</v>
      </c>
      <c r="H1024" s="8" t="s">
        <v>5465</v>
      </c>
      <c r="I1024" s="9" t="s">
        <v>5466</v>
      </c>
      <c r="J1024" s="10" t="s">
        <v>5467</v>
      </c>
      <c r="K1024" s="9" t="s">
        <v>5468</v>
      </c>
      <c r="L1024" s="9" t="s">
        <v>5469</v>
      </c>
      <c r="M1024" s="9" t="s">
        <v>5470</v>
      </c>
      <c r="N1024" s="9" t="s">
        <v>5464</v>
      </c>
      <c r="O1024" s="6">
        <f t="shared" si="19"/>
        <v>750</v>
      </c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</row>
    <row r="1025" spans="1:27" ht="12.75" x14ac:dyDescent="0.2">
      <c r="A1025" s="5" t="s">
        <v>2937</v>
      </c>
      <c r="B1025" s="5" t="s">
        <v>2937</v>
      </c>
      <c r="C1025" s="4">
        <v>443</v>
      </c>
      <c r="D1025" s="6" t="e">
        <f t="shared" si="20"/>
        <v>#VALUE!</v>
      </c>
      <c r="E1025" s="6" t="s">
        <v>729</v>
      </c>
      <c r="F1025" s="7">
        <v>374</v>
      </c>
      <c r="G1025" s="6" t="s">
        <v>21</v>
      </c>
      <c r="H1025" s="11" t="s">
        <v>5471</v>
      </c>
      <c r="I1025" s="9" t="s">
        <v>5472</v>
      </c>
      <c r="J1025" s="9" t="s">
        <v>5473</v>
      </c>
      <c r="K1025" s="9" t="s">
        <v>5474</v>
      </c>
      <c r="L1025" s="9" t="s">
        <v>5475</v>
      </c>
      <c r="M1025" s="9" t="s">
        <v>5476</v>
      </c>
      <c r="N1025" s="9" t="s">
        <v>5464</v>
      </c>
      <c r="O1025" s="6">
        <f t="shared" si="19"/>
        <v>1874.9999571017975</v>
      </c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</row>
    <row r="1026" spans="1:27" ht="12.75" x14ac:dyDescent="0.2">
      <c r="A1026" s="5" t="s">
        <v>2937</v>
      </c>
      <c r="B1026" s="5" t="s">
        <v>2937</v>
      </c>
      <c r="C1026" s="4">
        <v>444</v>
      </c>
      <c r="D1026" s="6" t="e">
        <f t="shared" si="20"/>
        <v>#VALUE!</v>
      </c>
      <c r="E1026" s="6" t="s">
        <v>5199</v>
      </c>
      <c r="F1026" s="7">
        <v>374</v>
      </c>
      <c r="G1026" s="6" t="s">
        <v>21</v>
      </c>
      <c r="H1026" s="11" t="s">
        <v>5477</v>
      </c>
      <c r="I1026" s="9" t="s">
        <v>890</v>
      </c>
      <c r="J1026" s="9" t="s">
        <v>5478</v>
      </c>
      <c r="K1026" s="9" t="s">
        <v>5479</v>
      </c>
      <c r="L1026" s="9" t="s">
        <v>5480</v>
      </c>
      <c r="M1026" s="9" t="s">
        <v>5481</v>
      </c>
      <c r="N1026" s="9" t="s">
        <v>5464</v>
      </c>
      <c r="O1026" s="6">
        <f t="shared" si="19"/>
        <v>1875.0000642027094</v>
      </c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</row>
    <row r="1027" spans="1:27" ht="12.75" x14ac:dyDescent="0.2">
      <c r="A1027" s="5" t="s">
        <v>2937</v>
      </c>
      <c r="B1027" s="5" t="s">
        <v>2937</v>
      </c>
      <c r="C1027" s="4">
        <v>445</v>
      </c>
      <c r="D1027" s="6" t="e">
        <f t="shared" si="20"/>
        <v>#VALUE!</v>
      </c>
      <c r="E1027" s="6" t="s">
        <v>4777</v>
      </c>
      <c r="F1027" s="7">
        <v>375</v>
      </c>
      <c r="G1027" s="6" t="s">
        <v>28</v>
      </c>
      <c r="H1027" s="8" t="s">
        <v>5482</v>
      </c>
      <c r="I1027" s="10" t="s">
        <v>5483</v>
      </c>
      <c r="J1027" s="9" t="s">
        <v>5484</v>
      </c>
      <c r="K1027" s="9" t="s">
        <v>5485</v>
      </c>
      <c r="L1027" s="9" t="s">
        <v>5486</v>
      </c>
      <c r="M1027" s="9" t="s">
        <v>5487</v>
      </c>
      <c r="N1027" s="9" t="s">
        <v>5488</v>
      </c>
      <c r="O1027" s="6">
        <f t="shared" ref="O1027:O1090" si="21">M1027/K1027</f>
        <v>1504</v>
      </c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</row>
    <row r="1028" spans="1:27" ht="12.75" x14ac:dyDescent="0.2">
      <c r="A1028" s="5" t="s">
        <v>2937</v>
      </c>
      <c r="B1028" s="5" t="s">
        <v>2937</v>
      </c>
      <c r="C1028" s="4">
        <v>446</v>
      </c>
      <c r="D1028" s="6" t="e">
        <f t="shared" si="20"/>
        <v>#VALUE!</v>
      </c>
      <c r="E1028" s="6" t="s">
        <v>5489</v>
      </c>
      <c r="F1028" s="7">
        <v>375</v>
      </c>
      <c r="G1028" s="6" t="s">
        <v>17</v>
      </c>
      <c r="H1028" s="8" t="s">
        <v>5490</v>
      </c>
      <c r="I1028" s="9" t="s">
        <v>5491</v>
      </c>
      <c r="J1028" s="10" t="s">
        <v>5492</v>
      </c>
      <c r="K1028" s="9" t="s">
        <v>5493</v>
      </c>
      <c r="L1028" s="9" t="s">
        <v>874</v>
      </c>
      <c r="M1028" s="9" t="s">
        <v>5494</v>
      </c>
      <c r="N1028" s="9" t="s">
        <v>5488</v>
      </c>
      <c r="O1028" s="6">
        <f t="shared" si="21"/>
        <v>752</v>
      </c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</row>
    <row r="1029" spans="1:27" ht="12.75" x14ac:dyDescent="0.2">
      <c r="A1029" s="5" t="s">
        <v>2937</v>
      </c>
      <c r="B1029" s="5" t="s">
        <v>2937</v>
      </c>
      <c r="C1029" s="4">
        <v>447</v>
      </c>
      <c r="D1029" s="6" t="e">
        <f t="shared" si="20"/>
        <v>#VALUE!</v>
      </c>
      <c r="E1029" s="6" t="s">
        <v>165</v>
      </c>
      <c r="F1029" s="7">
        <v>375</v>
      </c>
      <c r="G1029" s="6" t="s">
        <v>21</v>
      </c>
      <c r="H1029" s="11" t="s">
        <v>2500</v>
      </c>
      <c r="I1029" s="9" t="s">
        <v>5495</v>
      </c>
      <c r="J1029" s="9" t="s">
        <v>5496</v>
      </c>
      <c r="K1029" s="9" t="s">
        <v>5497</v>
      </c>
      <c r="L1029" s="9" t="s">
        <v>4964</v>
      </c>
      <c r="M1029" s="9" t="s">
        <v>5498</v>
      </c>
      <c r="N1029" s="9" t="s">
        <v>5488</v>
      </c>
      <c r="O1029" s="6">
        <f t="shared" si="21"/>
        <v>1880</v>
      </c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</row>
    <row r="1030" spans="1:27" ht="12.75" x14ac:dyDescent="0.2">
      <c r="A1030" s="5" t="s">
        <v>2937</v>
      </c>
      <c r="B1030" s="5" t="s">
        <v>2937</v>
      </c>
      <c r="C1030" s="4">
        <v>448</v>
      </c>
      <c r="D1030" s="6" t="e">
        <f t="shared" si="20"/>
        <v>#VALUE!</v>
      </c>
      <c r="E1030" s="6" t="s">
        <v>323</v>
      </c>
      <c r="F1030" s="7">
        <v>375</v>
      </c>
      <c r="G1030" s="6" t="s">
        <v>28</v>
      </c>
      <c r="H1030" s="8" t="s">
        <v>5499</v>
      </c>
      <c r="I1030" s="10" t="s">
        <v>5500</v>
      </c>
      <c r="J1030" s="9" t="s">
        <v>5501</v>
      </c>
      <c r="K1030" s="9" t="s">
        <v>5502</v>
      </c>
      <c r="L1030" s="9" t="s">
        <v>5503</v>
      </c>
      <c r="M1030" s="9" t="s">
        <v>5504</v>
      </c>
      <c r="N1030" s="9" t="s">
        <v>5488</v>
      </c>
      <c r="O1030" s="6">
        <f t="shared" si="21"/>
        <v>1504</v>
      </c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</row>
    <row r="1031" spans="1:27" ht="12.75" x14ac:dyDescent="0.2">
      <c r="A1031" s="5" t="s">
        <v>2937</v>
      </c>
      <c r="B1031" s="5" t="s">
        <v>2937</v>
      </c>
      <c r="C1031" s="4">
        <v>449</v>
      </c>
      <c r="D1031" s="6" t="e">
        <f t="shared" si="20"/>
        <v>#VALUE!</v>
      </c>
      <c r="E1031" s="6" t="s">
        <v>2982</v>
      </c>
      <c r="F1031" s="7">
        <v>376</v>
      </c>
      <c r="G1031" s="6" t="s">
        <v>21</v>
      </c>
      <c r="H1031" s="11" t="s">
        <v>5505</v>
      </c>
      <c r="I1031" s="9" t="s">
        <v>5506</v>
      </c>
      <c r="J1031" s="9" t="s">
        <v>5507</v>
      </c>
      <c r="K1031" s="9" t="s">
        <v>5508</v>
      </c>
      <c r="L1031" s="9" t="s">
        <v>871</v>
      </c>
      <c r="M1031" s="9" t="s">
        <v>5509</v>
      </c>
      <c r="N1031" s="9" t="s">
        <v>5510</v>
      </c>
      <c r="O1031" s="6">
        <f t="shared" si="21"/>
        <v>1884.9999158886365</v>
      </c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</row>
    <row r="1032" spans="1:27" ht="12.75" x14ac:dyDescent="0.2">
      <c r="A1032" s="5" t="s">
        <v>2937</v>
      </c>
      <c r="B1032" s="5" t="s">
        <v>2937</v>
      </c>
      <c r="C1032" s="4">
        <v>450</v>
      </c>
      <c r="D1032" s="6" t="e">
        <f t="shared" si="20"/>
        <v>#VALUE!</v>
      </c>
      <c r="E1032" s="6" t="s">
        <v>5511</v>
      </c>
      <c r="F1032" s="7">
        <v>376</v>
      </c>
      <c r="G1032" s="6" t="s">
        <v>21</v>
      </c>
      <c r="H1032" s="11" t="s">
        <v>5512</v>
      </c>
      <c r="I1032" s="9" t="s">
        <v>5513</v>
      </c>
      <c r="J1032" s="9" t="s">
        <v>5514</v>
      </c>
      <c r="K1032" s="9" t="s">
        <v>5515</v>
      </c>
      <c r="L1032" s="9" t="s">
        <v>5516</v>
      </c>
      <c r="M1032" s="9" t="s">
        <v>5517</v>
      </c>
      <c r="N1032" s="9" t="s">
        <v>5510</v>
      </c>
      <c r="O1032" s="6">
        <f t="shared" si="21"/>
        <v>1885.0000419621501</v>
      </c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</row>
    <row r="1033" spans="1:27" ht="12.75" x14ac:dyDescent="0.2">
      <c r="A1033" s="5" t="s">
        <v>2937</v>
      </c>
      <c r="B1033" s="5" t="s">
        <v>2937</v>
      </c>
      <c r="C1033" s="4">
        <v>451</v>
      </c>
      <c r="D1033" s="6" t="e">
        <f t="shared" si="20"/>
        <v>#VALUE!</v>
      </c>
      <c r="E1033" s="6" t="s">
        <v>5518</v>
      </c>
      <c r="F1033" s="7">
        <v>376</v>
      </c>
      <c r="G1033" s="6" t="s">
        <v>21</v>
      </c>
      <c r="H1033" s="11" t="s">
        <v>5519</v>
      </c>
      <c r="I1033" s="9" t="s">
        <v>5520</v>
      </c>
      <c r="J1033" s="9" t="s">
        <v>5521</v>
      </c>
      <c r="K1033" s="9" t="s">
        <v>5522</v>
      </c>
      <c r="L1033" s="9" t="s">
        <v>5523</v>
      </c>
      <c r="M1033" s="9" t="s">
        <v>5524</v>
      </c>
      <c r="N1033" s="9" t="s">
        <v>5510</v>
      </c>
      <c r="O1033" s="6">
        <f t="shared" si="21"/>
        <v>1884.9999371951346</v>
      </c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</row>
    <row r="1034" spans="1:27" ht="12.75" x14ac:dyDescent="0.2">
      <c r="A1034" s="5" t="s">
        <v>2937</v>
      </c>
      <c r="B1034" s="5" t="s">
        <v>2937</v>
      </c>
      <c r="C1034" s="4">
        <v>452</v>
      </c>
      <c r="D1034" s="6" t="e">
        <f t="shared" si="20"/>
        <v>#VALUE!</v>
      </c>
      <c r="E1034" s="6" t="s">
        <v>4063</v>
      </c>
      <c r="F1034" s="7">
        <v>376</v>
      </c>
      <c r="G1034" s="6" t="s">
        <v>28</v>
      </c>
      <c r="H1034" s="8" t="s">
        <v>5525</v>
      </c>
      <c r="I1034" s="10" t="s">
        <v>5526</v>
      </c>
      <c r="J1034" s="9" t="s">
        <v>5527</v>
      </c>
      <c r="K1034" s="9" t="s">
        <v>5528</v>
      </c>
      <c r="L1034" s="9" t="s">
        <v>5529</v>
      </c>
      <c r="M1034" s="9" t="s">
        <v>5530</v>
      </c>
      <c r="N1034" s="9" t="s">
        <v>5510</v>
      </c>
      <c r="O1034" s="6">
        <f t="shared" si="21"/>
        <v>1508</v>
      </c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</row>
    <row r="1035" spans="1:27" ht="12.75" x14ac:dyDescent="0.2">
      <c r="A1035" s="5" t="s">
        <v>2937</v>
      </c>
      <c r="B1035" s="5" t="s">
        <v>2937</v>
      </c>
      <c r="C1035" s="4">
        <v>453</v>
      </c>
      <c r="D1035" s="6" t="e">
        <f t="shared" si="20"/>
        <v>#VALUE!</v>
      </c>
      <c r="E1035" s="6" t="s">
        <v>77</v>
      </c>
      <c r="F1035" s="7">
        <v>377</v>
      </c>
      <c r="G1035" s="6" t="s">
        <v>21</v>
      </c>
      <c r="H1035" s="11" t="s">
        <v>5531</v>
      </c>
      <c r="I1035" s="9" t="s">
        <v>5532</v>
      </c>
      <c r="J1035" s="9" t="s">
        <v>5533</v>
      </c>
      <c r="K1035" s="9" t="s">
        <v>5534</v>
      </c>
      <c r="L1035" s="9" t="s">
        <v>5535</v>
      </c>
      <c r="M1035" s="9" t="s">
        <v>5536</v>
      </c>
      <c r="N1035" s="9" t="s">
        <v>5537</v>
      </c>
      <c r="O1035" s="6">
        <f t="shared" si="21"/>
        <v>1890.0000415532609</v>
      </c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</row>
    <row r="1036" spans="1:27" ht="12.75" x14ac:dyDescent="0.2">
      <c r="A1036" s="5" t="s">
        <v>2937</v>
      </c>
      <c r="B1036" s="5" t="s">
        <v>2937</v>
      </c>
      <c r="C1036" s="4">
        <v>454</v>
      </c>
      <c r="D1036" s="6" t="e">
        <f t="shared" si="20"/>
        <v>#VALUE!</v>
      </c>
      <c r="E1036" s="6" t="s">
        <v>4131</v>
      </c>
      <c r="F1036" s="7">
        <v>377</v>
      </c>
      <c r="G1036" s="6" t="s">
        <v>21</v>
      </c>
      <c r="H1036" s="11" t="s">
        <v>5538</v>
      </c>
      <c r="I1036" s="9" t="s">
        <v>5539</v>
      </c>
      <c r="J1036" s="9" t="s">
        <v>5540</v>
      </c>
      <c r="K1036" s="9" t="s">
        <v>5541</v>
      </c>
      <c r="L1036" s="9" t="s">
        <v>5542</v>
      </c>
      <c r="M1036" s="9" t="s">
        <v>5543</v>
      </c>
      <c r="N1036" s="9" t="s">
        <v>5537</v>
      </c>
      <c r="O1036" s="6">
        <f t="shared" si="21"/>
        <v>1889.9999585380517</v>
      </c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</row>
    <row r="1037" spans="1:27" ht="12.75" x14ac:dyDescent="0.2">
      <c r="A1037" s="5" t="s">
        <v>2937</v>
      </c>
      <c r="B1037" s="5" t="s">
        <v>2937</v>
      </c>
      <c r="C1037" s="4">
        <v>455</v>
      </c>
      <c r="D1037" s="6" t="e">
        <f t="shared" si="20"/>
        <v>#VALUE!</v>
      </c>
      <c r="E1037" s="6" t="s">
        <v>3600</v>
      </c>
      <c r="F1037" s="7">
        <v>377</v>
      </c>
      <c r="G1037" s="6" t="s">
        <v>28</v>
      </c>
      <c r="H1037" s="8" t="s">
        <v>5544</v>
      </c>
      <c r="I1037" s="10" t="s">
        <v>5545</v>
      </c>
      <c r="J1037" s="9" t="s">
        <v>5546</v>
      </c>
      <c r="K1037" s="9" t="s">
        <v>5547</v>
      </c>
      <c r="L1037" s="9" t="s">
        <v>5548</v>
      </c>
      <c r="M1037" s="9" t="s">
        <v>5549</v>
      </c>
      <c r="N1037" s="9" t="s">
        <v>5537</v>
      </c>
      <c r="O1037" s="6">
        <f t="shared" si="21"/>
        <v>1512</v>
      </c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</row>
    <row r="1038" spans="1:27" ht="12.75" x14ac:dyDescent="0.2">
      <c r="A1038" s="5" t="s">
        <v>2937</v>
      </c>
      <c r="B1038" s="5" t="s">
        <v>2937</v>
      </c>
      <c r="C1038" s="4">
        <v>456</v>
      </c>
      <c r="D1038" s="6" t="e">
        <f t="shared" si="20"/>
        <v>#VALUE!</v>
      </c>
      <c r="E1038" s="6" t="s">
        <v>5550</v>
      </c>
      <c r="F1038" s="7">
        <v>377</v>
      </c>
      <c r="G1038" s="6" t="s">
        <v>17</v>
      </c>
      <c r="H1038" s="8" t="s">
        <v>5551</v>
      </c>
      <c r="I1038" s="9" t="s">
        <v>5552</v>
      </c>
      <c r="J1038" s="10" t="s">
        <v>5553</v>
      </c>
      <c r="K1038" s="9" t="s">
        <v>5554</v>
      </c>
      <c r="L1038" s="9" t="s">
        <v>5371</v>
      </c>
      <c r="M1038" s="9" t="s">
        <v>5555</v>
      </c>
      <c r="N1038" s="9" t="s">
        <v>5537</v>
      </c>
      <c r="O1038" s="6">
        <f t="shared" si="21"/>
        <v>756</v>
      </c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</row>
    <row r="1039" spans="1:27" ht="12.75" x14ac:dyDescent="0.2">
      <c r="A1039" s="5" t="s">
        <v>2937</v>
      </c>
      <c r="B1039" s="5" t="s">
        <v>2937</v>
      </c>
      <c r="C1039" s="4">
        <v>457</v>
      </c>
      <c r="D1039" s="6" t="e">
        <f t="shared" si="20"/>
        <v>#VALUE!</v>
      </c>
      <c r="E1039" s="6" t="s">
        <v>5556</v>
      </c>
      <c r="F1039" s="7">
        <v>378</v>
      </c>
      <c r="G1039" s="6" t="s">
        <v>28</v>
      </c>
      <c r="H1039" s="8" t="s">
        <v>5557</v>
      </c>
      <c r="I1039" s="10" t="s">
        <v>5558</v>
      </c>
      <c r="J1039" s="9" t="s">
        <v>5559</v>
      </c>
      <c r="K1039" s="9" t="s">
        <v>5560</v>
      </c>
      <c r="L1039" s="9" t="s">
        <v>5561</v>
      </c>
      <c r="M1039" s="9" t="s">
        <v>5562</v>
      </c>
      <c r="N1039" s="9" t="s">
        <v>5563</v>
      </c>
      <c r="O1039" s="6">
        <f t="shared" si="21"/>
        <v>1516</v>
      </c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</row>
    <row r="1040" spans="1:27" ht="12.75" x14ac:dyDescent="0.2">
      <c r="A1040" s="5" t="s">
        <v>2937</v>
      </c>
      <c r="B1040" s="5" t="s">
        <v>2937</v>
      </c>
      <c r="C1040" s="4">
        <v>458</v>
      </c>
      <c r="D1040" s="6" t="e">
        <f t="shared" si="20"/>
        <v>#VALUE!</v>
      </c>
      <c r="E1040" s="6" t="s">
        <v>3575</v>
      </c>
      <c r="F1040" s="7">
        <v>378</v>
      </c>
      <c r="G1040" s="6" t="s">
        <v>17</v>
      </c>
      <c r="H1040" s="8" t="s">
        <v>5564</v>
      </c>
      <c r="I1040" s="9" t="s">
        <v>5565</v>
      </c>
      <c r="J1040" s="10" t="s">
        <v>5566</v>
      </c>
      <c r="K1040" s="9" t="s">
        <v>5567</v>
      </c>
      <c r="L1040" s="9" t="s">
        <v>5568</v>
      </c>
      <c r="M1040" s="9" t="s">
        <v>5569</v>
      </c>
      <c r="N1040" s="9" t="s">
        <v>5563</v>
      </c>
      <c r="O1040" s="6">
        <f t="shared" si="21"/>
        <v>758</v>
      </c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</row>
    <row r="1041" spans="1:27" ht="12.75" x14ac:dyDescent="0.2">
      <c r="A1041" s="5" t="s">
        <v>2937</v>
      </c>
      <c r="B1041" s="5" t="s">
        <v>2937</v>
      </c>
      <c r="C1041" s="4">
        <v>459</v>
      </c>
      <c r="D1041" s="6" t="e">
        <f t="shared" si="20"/>
        <v>#VALUE!</v>
      </c>
      <c r="E1041" s="6" t="s">
        <v>3280</v>
      </c>
      <c r="F1041" s="7">
        <v>378</v>
      </c>
      <c r="G1041" s="6" t="s">
        <v>17</v>
      </c>
      <c r="H1041" s="8" t="s">
        <v>5570</v>
      </c>
      <c r="I1041" s="9" t="s">
        <v>5571</v>
      </c>
      <c r="J1041" s="10" t="s">
        <v>5572</v>
      </c>
      <c r="K1041" s="9" t="s">
        <v>5573</v>
      </c>
      <c r="L1041" s="9" t="s">
        <v>5574</v>
      </c>
      <c r="M1041" s="9" t="s">
        <v>5575</v>
      </c>
      <c r="N1041" s="9" t="s">
        <v>5563</v>
      </c>
      <c r="O1041" s="6">
        <f t="shared" si="21"/>
        <v>758</v>
      </c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</row>
    <row r="1042" spans="1:27" ht="12.75" x14ac:dyDescent="0.2">
      <c r="A1042" s="5" t="s">
        <v>2937</v>
      </c>
      <c r="B1042" s="5" t="s">
        <v>2937</v>
      </c>
      <c r="C1042" s="4">
        <v>460</v>
      </c>
      <c r="D1042" s="6" t="e">
        <f t="shared" si="20"/>
        <v>#VALUE!</v>
      </c>
      <c r="E1042" s="6" t="s">
        <v>5576</v>
      </c>
      <c r="F1042" s="7">
        <v>378</v>
      </c>
      <c r="G1042" s="6" t="s">
        <v>21</v>
      </c>
      <c r="H1042" s="11" t="s">
        <v>5577</v>
      </c>
      <c r="I1042" s="9" t="s">
        <v>5578</v>
      </c>
      <c r="J1042" s="9" t="s">
        <v>5579</v>
      </c>
      <c r="K1042" s="9" t="s">
        <v>5580</v>
      </c>
      <c r="L1042" s="9" t="s">
        <v>5581</v>
      </c>
      <c r="M1042" s="9" t="s">
        <v>5582</v>
      </c>
      <c r="N1042" s="9" t="s">
        <v>5563</v>
      </c>
      <c r="O1042" s="6">
        <f t="shared" si="21"/>
        <v>1894.9999592086479</v>
      </c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</row>
    <row r="1043" spans="1:27" ht="12.75" x14ac:dyDescent="0.2">
      <c r="A1043" s="5" t="s">
        <v>2937</v>
      </c>
      <c r="B1043" s="5" t="s">
        <v>2937</v>
      </c>
      <c r="C1043" s="4">
        <v>461</v>
      </c>
      <c r="D1043" s="6" t="e">
        <f t="shared" si="20"/>
        <v>#VALUE!</v>
      </c>
      <c r="E1043" s="6" t="s">
        <v>5583</v>
      </c>
      <c r="F1043" s="7">
        <v>379</v>
      </c>
      <c r="G1043" s="6" t="s">
        <v>28</v>
      </c>
      <c r="H1043" s="8" t="s">
        <v>5584</v>
      </c>
      <c r="I1043" s="10" t="s">
        <v>5585</v>
      </c>
      <c r="J1043" s="9" t="s">
        <v>5586</v>
      </c>
      <c r="K1043" s="9" t="s">
        <v>5587</v>
      </c>
      <c r="L1043" s="9" t="s">
        <v>5588</v>
      </c>
      <c r="M1043" s="9" t="s">
        <v>5589</v>
      </c>
      <c r="N1043" s="9" t="s">
        <v>5590</v>
      </c>
      <c r="O1043" s="6">
        <f t="shared" si="21"/>
        <v>1520</v>
      </c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</row>
    <row r="1044" spans="1:27" ht="12.75" x14ac:dyDescent="0.2">
      <c r="A1044" s="5" t="s">
        <v>2937</v>
      </c>
      <c r="B1044" s="5" t="s">
        <v>2937</v>
      </c>
      <c r="C1044" s="4">
        <v>462</v>
      </c>
      <c r="D1044" s="6" t="e">
        <f t="shared" si="20"/>
        <v>#VALUE!</v>
      </c>
      <c r="E1044" s="6" t="s">
        <v>5591</v>
      </c>
      <c r="F1044" s="7">
        <v>379</v>
      </c>
      <c r="G1044" s="6" t="s">
        <v>17</v>
      </c>
      <c r="H1044" s="8" t="s">
        <v>5592</v>
      </c>
      <c r="I1044" s="9" t="s">
        <v>5593</v>
      </c>
      <c r="J1044" s="10" t="s">
        <v>5594</v>
      </c>
      <c r="K1044" s="9" t="s">
        <v>5595</v>
      </c>
      <c r="L1044" s="9" t="s">
        <v>5596</v>
      </c>
      <c r="M1044" s="9" t="s">
        <v>5597</v>
      </c>
      <c r="N1044" s="9" t="s">
        <v>5590</v>
      </c>
      <c r="O1044" s="6">
        <f t="shared" si="21"/>
        <v>760</v>
      </c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</row>
    <row r="1045" spans="1:27" ht="12.75" x14ac:dyDescent="0.2">
      <c r="A1045" s="5" t="s">
        <v>2937</v>
      </c>
      <c r="B1045" s="5" t="s">
        <v>2937</v>
      </c>
      <c r="C1045" s="4">
        <v>463</v>
      </c>
      <c r="D1045" s="6" t="e">
        <f t="shared" si="20"/>
        <v>#VALUE!</v>
      </c>
      <c r="E1045" s="6" t="s">
        <v>5598</v>
      </c>
      <c r="F1045" s="7">
        <v>379</v>
      </c>
      <c r="G1045" s="6" t="s">
        <v>21</v>
      </c>
      <c r="H1045" s="11" t="s">
        <v>5599</v>
      </c>
      <c r="I1045" s="9" t="s">
        <v>5600</v>
      </c>
      <c r="J1045" s="9" t="s">
        <v>5601</v>
      </c>
      <c r="K1045" s="9" t="s">
        <v>5602</v>
      </c>
      <c r="L1045" s="9" t="s">
        <v>5603</v>
      </c>
      <c r="M1045" s="9" t="s">
        <v>5604</v>
      </c>
      <c r="N1045" s="9" t="s">
        <v>5590</v>
      </c>
      <c r="O1045" s="6">
        <f t="shared" si="21"/>
        <v>1900</v>
      </c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</row>
    <row r="1046" spans="1:27" ht="12.75" x14ac:dyDescent="0.2">
      <c r="A1046" s="5" t="s">
        <v>2937</v>
      </c>
      <c r="B1046" s="5" t="s">
        <v>2937</v>
      </c>
      <c r="C1046" s="4">
        <v>464</v>
      </c>
      <c r="D1046" s="6" t="e">
        <f t="shared" si="20"/>
        <v>#VALUE!</v>
      </c>
      <c r="E1046" s="6" t="s">
        <v>580</v>
      </c>
      <c r="F1046" s="7">
        <v>379</v>
      </c>
      <c r="G1046" s="6" t="s">
        <v>28</v>
      </c>
      <c r="H1046" s="8" t="s">
        <v>5605</v>
      </c>
      <c r="I1046" s="10" t="s">
        <v>5606</v>
      </c>
      <c r="J1046" s="9" t="s">
        <v>5607</v>
      </c>
      <c r="K1046" s="9" t="s">
        <v>5608</v>
      </c>
      <c r="L1046" s="9" t="s">
        <v>4041</v>
      </c>
      <c r="M1046" s="9" t="s">
        <v>5609</v>
      </c>
      <c r="N1046" s="9" t="s">
        <v>5590</v>
      </c>
      <c r="O1046" s="6">
        <f t="shared" si="21"/>
        <v>1520</v>
      </c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</row>
    <row r="1047" spans="1:27" ht="12.75" x14ac:dyDescent="0.2">
      <c r="A1047" s="5" t="s">
        <v>2937</v>
      </c>
      <c r="B1047" s="5" t="s">
        <v>2937</v>
      </c>
      <c r="C1047" s="4">
        <v>465</v>
      </c>
      <c r="D1047" s="6" t="e">
        <f t="shared" si="20"/>
        <v>#VALUE!</v>
      </c>
      <c r="E1047" s="6" t="s">
        <v>3636</v>
      </c>
      <c r="F1047" s="7">
        <v>380</v>
      </c>
      <c r="G1047" s="6" t="s">
        <v>17</v>
      </c>
      <c r="H1047" s="8" t="s">
        <v>5610</v>
      </c>
      <c r="I1047" s="9" t="s">
        <v>5611</v>
      </c>
      <c r="J1047" s="10" t="s">
        <v>5612</v>
      </c>
      <c r="K1047" s="9" t="s">
        <v>5613</v>
      </c>
      <c r="L1047" s="9" t="s">
        <v>5614</v>
      </c>
      <c r="M1047" s="9" t="s">
        <v>5615</v>
      </c>
      <c r="N1047" s="9" t="s">
        <v>5616</v>
      </c>
      <c r="O1047" s="6">
        <f t="shared" si="21"/>
        <v>761.99996034657102</v>
      </c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</row>
    <row r="1048" spans="1:27" ht="12.75" x14ac:dyDescent="0.2">
      <c r="A1048" s="5" t="s">
        <v>2937</v>
      </c>
      <c r="B1048" s="5" t="s">
        <v>2937</v>
      </c>
      <c r="C1048" s="4">
        <v>466</v>
      </c>
      <c r="D1048" s="6" t="e">
        <f t="shared" si="20"/>
        <v>#VALUE!</v>
      </c>
      <c r="E1048" s="6" t="s">
        <v>31</v>
      </c>
      <c r="F1048" s="7">
        <v>380</v>
      </c>
      <c r="G1048" s="6" t="s">
        <v>28</v>
      </c>
      <c r="H1048" s="8" t="s">
        <v>5617</v>
      </c>
      <c r="I1048" s="10" t="s">
        <v>5618</v>
      </c>
      <c r="J1048" s="9" t="s">
        <v>5619</v>
      </c>
      <c r="K1048" s="9" t="s">
        <v>5620</v>
      </c>
      <c r="L1048" s="9" t="s">
        <v>5621</v>
      </c>
      <c r="M1048" s="9" t="s">
        <v>5622</v>
      </c>
      <c r="N1048" s="9" t="s">
        <v>5616</v>
      </c>
      <c r="O1048" s="6">
        <f t="shared" si="21"/>
        <v>1523.9999214716217</v>
      </c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</row>
    <row r="1049" spans="1:27" ht="12.75" x14ac:dyDescent="0.2">
      <c r="A1049" s="5" t="s">
        <v>2937</v>
      </c>
      <c r="B1049" s="5" t="s">
        <v>2937</v>
      </c>
      <c r="C1049" s="4">
        <v>467</v>
      </c>
      <c r="D1049" s="6" t="e">
        <f t="shared" si="20"/>
        <v>#VALUE!</v>
      </c>
      <c r="E1049" s="6" t="s">
        <v>4210</v>
      </c>
      <c r="F1049" s="7">
        <v>380</v>
      </c>
      <c r="G1049" s="6" t="s">
        <v>17</v>
      </c>
      <c r="H1049" s="8" t="s">
        <v>5623</v>
      </c>
      <c r="I1049" s="9" t="s">
        <v>5624</v>
      </c>
      <c r="J1049" s="10" t="s">
        <v>5625</v>
      </c>
      <c r="K1049" s="9" t="s">
        <v>5626</v>
      </c>
      <c r="L1049" s="9" t="s">
        <v>5627</v>
      </c>
      <c r="M1049" s="9" t="s">
        <v>5628</v>
      </c>
      <c r="N1049" s="9" t="s">
        <v>5616</v>
      </c>
      <c r="O1049" s="6">
        <f t="shared" si="21"/>
        <v>761.99996051566541</v>
      </c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</row>
    <row r="1050" spans="1:27" ht="12.75" x14ac:dyDescent="0.2">
      <c r="A1050" s="5" t="s">
        <v>2937</v>
      </c>
      <c r="B1050" s="5" t="s">
        <v>2937</v>
      </c>
      <c r="C1050" s="4">
        <v>468</v>
      </c>
      <c r="D1050" s="6" t="e">
        <f t="shared" si="20"/>
        <v>#VALUE!</v>
      </c>
      <c r="E1050" s="6" t="s">
        <v>3123</v>
      </c>
      <c r="F1050" s="7">
        <v>380</v>
      </c>
      <c r="G1050" s="6" t="s">
        <v>17</v>
      </c>
      <c r="H1050" s="8" t="s">
        <v>5629</v>
      </c>
      <c r="I1050" s="9" t="s">
        <v>5630</v>
      </c>
      <c r="J1050" s="10" t="s">
        <v>5631</v>
      </c>
      <c r="K1050" s="9" t="s">
        <v>5632</v>
      </c>
      <c r="L1050" s="9" t="s">
        <v>5633</v>
      </c>
      <c r="M1050" s="9" t="s">
        <v>5634</v>
      </c>
      <c r="N1050" s="9" t="s">
        <v>5616</v>
      </c>
      <c r="O1050" s="6">
        <f t="shared" si="21"/>
        <v>761.99996059967293</v>
      </c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</row>
    <row r="1051" spans="1:27" ht="12.75" x14ac:dyDescent="0.2">
      <c r="A1051" s="5" t="s">
        <v>2937</v>
      </c>
      <c r="B1051" s="5" t="s">
        <v>2937</v>
      </c>
      <c r="C1051" s="4">
        <v>469</v>
      </c>
      <c r="D1051" s="6" t="e">
        <f t="shared" si="20"/>
        <v>#VALUE!</v>
      </c>
      <c r="E1051" s="6" t="s">
        <v>5635</v>
      </c>
      <c r="F1051" s="7">
        <v>381</v>
      </c>
      <c r="G1051" s="6" t="s">
        <v>21</v>
      </c>
      <c r="H1051" s="11" t="s">
        <v>5636</v>
      </c>
      <c r="I1051" s="9" t="s">
        <v>5637</v>
      </c>
      <c r="J1051" s="9" t="s">
        <v>5638</v>
      </c>
      <c r="K1051" s="9" t="s">
        <v>5639</v>
      </c>
      <c r="L1051" s="9" t="s">
        <v>5640</v>
      </c>
      <c r="M1051" s="9" t="s">
        <v>5641</v>
      </c>
      <c r="N1051" s="9" t="s">
        <v>5642</v>
      </c>
      <c r="O1051" s="6">
        <f t="shared" si="21"/>
        <v>1910.0000396377113</v>
      </c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</row>
    <row r="1052" spans="1:27" ht="12.75" x14ac:dyDescent="0.2">
      <c r="A1052" s="5" t="s">
        <v>2937</v>
      </c>
      <c r="B1052" s="5" t="s">
        <v>2937</v>
      </c>
      <c r="C1052" s="4">
        <v>470</v>
      </c>
      <c r="D1052" s="6" t="e">
        <f t="shared" si="20"/>
        <v>#VALUE!</v>
      </c>
      <c r="E1052" s="6" t="s">
        <v>85</v>
      </c>
      <c r="F1052" s="7">
        <v>381</v>
      </c>
      <c r="G1052" s="6" t="s">
        <v>21</v>
      </c>
      <c r="H1052" s="11" t="s">
        <v>5643</v>
      </c>
      <c r="I1052" s="9" t="s">
        <v>5644</v>
      </c>
      <c r="J1052" s="9" t="s">
        <v>5645</v>
      </c>
      <c r="K1052" s="9" t="s">
        <v>5646</v>
      </c>
      <c r="L1052" s="9" t="s">
        <v>5647</v>
      </c>
      <c r="M1052" s="9" t="s">
        <v>5648</v>
      </c>
      <c r="N1052" s="9" t="s">
        <v>5642</v>
      </c>
      <c r="O1052" s="6">
        <f t="shared" si="21"/>
        <v>1910</v>
      </c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</row>
    <row r="1053" spans="1:27" ht="12.75" x14ac:dyDescent="0.2">
      <c r="A1053" s="5" t="s">
        <v>2937</v>
      </c>
      <c r="B1053" s="5" t="s">
        <v>2937</v>
      </c>
      <c r="C1053" s="4">
        <v>471</v>
      </c>
      <c r="D1053" s="6" t="e">
        <f t="shared" si="20"/>
        <v>#VALUE!</v>
      </c>
      <c r="E1053" s="6" t="s">
        <v>70</v>
      </c>
      <c r="F1053" s="7">
        <v>381</v>
      </c>
      <c r="G1053" s="6" t="s">
        <v>21</v>
      </c>
      <c r="H1053" s="11" t="s">
        <v>5649</v>
      </c>
      <c r="I1053" s="9" t="s">
        <v>5650</v>
      </c>
      <c r="J1053" s="9" t="s">
        <v>5651</v>
      </c>
      <c r="K1053" s="9" t="s">
        <v>5652</v>
      </c>
      <c r="L1053" s="9" t="s">
        <v>5653</v>
      </c>
      <c r="M1053" s="9" t="s">
        <v>5654</v>
      </c>
      <c r="N1053" s="9" t="s">
        <v>5642</v>
      </c>
      <c r="O1053" s="6">
        <f t="shared" si="21"/>
        <v>1910</v>
      </c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</row>
    <row r="1054" spans="1:27" ht="12.75" x14ac:dyDescent="0.2">
      <c r="A1054" s="5" t="s">
        <v>2937</v>
      </c>
      <c r="B1054" s="5" t="s">
        <v>2937</v>
      </c>
      <c r="C1054" s="4">
        <v>472</v>
      </c>
      <c r="D1054" s="6" t="e">
        <f t="shared" si="20"/>
        <v>#VALUE!</v>
      </c>
      <c r="E1054" s="6" t="s">
        <v>3318</v>
      </c>
      <c r="F1054" s="7">
        <v>381</v>
      </c>
      <c r="G1054" s="6" t="s">
        <v>21</v>
      </c>
      <c r="H1054" s="11" t="s">
        <v>5655</v>
      </c>
      <c r="I1054" s="9" t="s">
        <v>5656</v>
      </c>
      <c r="J1054" s="9" t="s">
        <v>5657</v>
      </c>
      <c r="K1054" s="9" t="s">
        <v>5658</v>
      </c>
      <c r="L1054" s="9" t="s">
        <v>5420</v>
      </c>
      <c r="M1054" s="9" t="s">
        <v>5659</v>
      </c>
      <c r="N1054" s="9" t="s">
        <v>5642</v>
      </c>
      <c r="O1054" s="6">
        <f t="shared" si="21"/>
        <v>1909.9999606136396</v>
      </c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</row>
    <row r="1055" spans="1:27" ht="12.75" x14ac:dyDescent="0.2">
      <c r="A1055" s="5" t="s">
        <v>2937</v>
      </c>
      <c r="B1055" s="5" t="s">
        <v>2937</v>
      </c>
      <c r="C1055" s="4">
        <v>473</v>
      </c>
      <c r="D1055" s="6" t="e">
        <f t="shared" si="20"/>
        <v>#VALUE!</v>
      </c>
      <c r="E1055" s="6" t="s">
        <v>5660</v>
      </c>
      <c r="F1055" s="7">
        <v>382</v>
      </c>
      <c r="G1055" s="6" t="s">
        <v>21</v>
      </c>
      <c r="H1055" s="11" t="s">
        <v>5661</v>
      </c>
      <c r="I1055" s="9" t="s">
        <v>5662</v>
      </c>
      <c r="J1055" s="9" t="s">
        <v>5663</v>
      </c>
      <c r="K1055" s="9" t="s">
        <v>5664</v>
      </c>
      <c r="L1055" s="9" t="s">
        <v>5665</v>
      </c>
      <c r="M1055" s="9" t="s">
        <v>5666</v>
      </c>
      <c r="N1055" s="9" t="s">
        <v>5667</v>
      </c>
      <c r="O1055" s="6">
        <f t="shared" si="21"/>
        <v>1914.9999608196529</v>
      </c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</row>
    <row r="1056" spans="1:27" ht="12.75" x14ac:dyDescent="0.2">
      <c r="A1056" s="5" t="s">
        <v>2937</v>
      </c>
      <c r="B1056" s="5" t="s">
        <v>2937</v>
      </c>
      <c r="C1056" s="4">
        <v>474</v>
      </c>
      <c r="D1056" s="6" t="e">
        <f t="shared" si="20"/>
        <v>#VALUE!</v>
      </c>
      <c r="E1056" s="6" t="s">
        <v>5635</v>
      </c>
      <c r="F1056" s="7">
        <v>382</v>
      </c>
      <c r="G1056" s="6" t="s">
        <v>17</v>
      </c>
      <c r="H1056" s="8" t="s">
        <v>4941</v>
      </c>
      <c r="I1056" s="9" t="s">
        <v>5668</v>
      </c>
      <c r="J1056" s="10" t="s">
        <v>5669</v>
      </c>
      <c r="K1056" s="9" t="s">
        <v>5670</v>
      </c>
      <c r="L1056" s="9" t="s">
        <v>5671</v>
      </c>
      <c r="M1056" s="9" t="s">
        <v>5672</v>
      </c>
      <c r="N1056" s="9" t="s">
        <v>5667</v>
      </c>
      <c r="O1056" s="6">
        <f t="shared" si="21"/>
        <v>766</v>
      </c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</row>
    <row r="1057" spans="1:27" ht="12.75" x14ac:dyDescent="0.2">
      <c r="A1057" s="5" t="s">
        <v>2937</v>
      </c>
      <c r="B1057" s="5" t="s">
        <v>2937</v>
      </c>
      <c r="C1057" s="4">
        <v>475</v>
      </c>
      <c r="D1057" s="6" t="e">
        <f t="shared" si="20"/>
        <v>#VALUE!</v>
      </c>
      <c r="E1057" s="6" t="s">
        <v>3025</v>
      </c>
      <c r="F1057" s="7">
        <v>382</v>
      </c>
      <c r="G1057" s="6" t="s">
        <v>21</v>
      </c>
      <c r="H1057" s="11" t="s">
        <v>5673</v>
      </c>
      <c r="I1057" s="9" t="s">
        <v>5674</v>
      </c>
      <c r="J1057" s="9" t="s">
        <v>5675</v>
      </c>
      <c r="K1057" s="9" t="s">
        <v>5676</v>
      </c>
      <c r="L1057" s="9" t="s">
        <v>1517</v>
      </c>
      <c r="M1057" s="9" t="s">
        <v>5677</v>
      </c>
      <c r="N1057" s="9" t="s">
        <v>5667</v>
      </c>
      <c r="O1057" s="6">
        <f t="shared" si="21"/>
        <v>1915.0000195080081</v>
      </c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</row>
    <row r="1058" spans="1:27" ht="12.75" x14ac:dyDescent="0.2">
      <c r="A1058" s="5" t="s">
        <v>2937</v>
      </c>
      <c r="B1058" s="5" t="s">
        <v>2937</v>
      </c>
      <c r="C1058" s="4">
        <v>476</v>
      </c>
      <c r="D1058" s="6" t="e">
        <f t="shared" si="20"/>
        <v>#VALUE!</v>
      </c>
      <c r="E1058" s="6" t="s">
        <v>50</v>
      </c>
      <c r="F1058" s="7">
        <v>382</v>
      </c>
      <c r="G1058" s="6" t="s">
        <v>21</v>
      </c>
      <c r="H1058" s="11" t="s">
        <v>5678</v>
      </c>
      <c r="I1058" s="9" t="s">
        <v>5679</v>
      </c>
      <c r="J1058" s="9" t="s">
        <v>5680</v>
      </c>
      <c r="K1058" s="9" t="s">
        <v>5681</v>
      </c>
      <c r="L1058" s="9" t="s">
        <v>5682</v>
      </c>
      <c r="M1058" s="9" t="s">
        <v>5683</v>
      </c>
      <c r="N1058" s="9" t="s">
        <v>5667</v>
      </c>
      <c r="O1058" s="6">
        <f t="shared" si="21"/>
        <v>1914.9999415990189</v>
      </c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</row>
    <row r="1059" spans="1:27" ht="12.75" x14ac:dyDescent="0.2">
      <c r="A1059" s="5" t="s">
        <v>2937</v>
      </c>
      <c r="B1059" s="5" t="s">
        <v>2937</v>
      </c>
      <c r="C1059" s="4">
        <v>477</v>
      </c>
      <c r="D1059" s="6" t="e">
        <f t="shared" si="20"/>
        <v>#VALUE!</v>
      </c>
      <c r="E1059" s="6" t="s">
        <v>5387</v>
      </c>
      <c r="F1059" s="7">
        <v>383</v>
      </c>
      <c r="G1059" s="6" t="s">
        <v>21</v>
      </c>
      <c r="H1059" s="11" t="s">
        <v>5684</v>
      </c>
      <c r="I1059" s="9" t="s">
        <v>4071</v>
      </c>
      <c r="J1059" s="9" t="s">
        <v>5685</v>
      </c>
      <c r="K1059" s="9" t="s">
        <v>5686</v>
      </c>
      <c r="L1059" s="9" t="s">
        <v>3646</v>
      </c>
      <c r="M1059" s="9" t="s">
        <v>5687</v>
      </c>
      <c r="N1059" s="9" t="s">
        <v>5688</v>
      </c>
      <c r="O1059" s="6">
        <f t="shared" si="21"/>
        <v>1920</v>
      </c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</row>
    <row r="1060" spans="1:27" ht="12.75" x14ac:dyDescent="0.2">
      <c r="A1060" s="5" t="s">
        <v>2937</v>
      </c>
      <c r="B1060" s="5" t="s">
        <v>2937</v>
      </c>
      <c r="C1060" s="4">
        <v>478</v>
      </c>
      <c r="D1060" s="6" t="e">
        <f t="shared" si="20"/>
        <v>#VALUE!</v>
      </c>
      <c r="E1060" s="6" t="s">
        <v>5689</v>
      </c>
      <c r="F1060" s="7">
        <v>383</v>
      </c>
      <c r="G1060" s="6" t="s">
        <v>17</v>
      </c>
      <c r="H1060" s="8" t="s">
        <v>5690</v>
      </c>
      <c r="I1060" s="9" t="s">
        <v>5691</v>
      </c>
      <c r="J1060" s="10" t="s">
        <v>5692</v>
      </c>
      <c r="K1060" s="9" t="s">
        <v>5693</v>
      </c>
      <c r="L1060" s="9" t="s">
        <v>5694</v>
      </c>
      <c r="M1060" s="9" t="s">
        <v>5695</v>
      </c>
      <c r="N1060" s="9" t="s">
        <v>5688</v>
      </c>
      <c r="O1060" s="6">
        <f t="shared" si="21"/>
        <v>768</v>
      </c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</row>
    <row r="1061" spans="1:27" ht="12.75" x14ac:dyDescent="0.2">
      <c r="A1061" s="5" t="s">
        <v>2937</v>
      </c>
      <c r="B1061" s="5" t="s">
        <v>2937</v>
      </c>
      <c r="C1061" s="4">
        <v>479</v>
      </c>
      <c r="D1061" s="6" t="e">
        <f t="shared" si="20"/>
        <v>#VALUE!</v>
      </c>
      <c r="E1061" s="6" t="s">
        <v>4197</v>
      </c>
      <c r="F1061" s="7">
        <v>383</v>
      </c>
      <c r="G1061" s="6" t="s">
        <v>21</v>
      </c>
      <c r="H1061" s="11" t="s">
        <v>5696</v>
      </c>
      <c r="I1061" s="9" t="s">
        <v>5697</v>
      </c>
      <c r="J1061" s="9" t="s">
        <v>5698</v>
      </c>
      <c r="K1061" s="9" t="s">
        <v>5699</v>
      </c>
      <c r="L1061" s="9" t="s">
        <v>5700</v>
      </c>
      <c r="M1061" s="9" t="s">
        <v>5701</v>
      </c>
      <c r="N1061" s="9" t="s">
        <v>5688</v>
      </c>
      <c r="O1061" s="6">
        <f t="shared" si="21"/>
        <v>1920</v>
      </c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</row>
    <row r="1062" spans="1:27" ht="12.75" x14ac:dyDescent="0.2">
      <c r="A1062" s="5" t="s">
        <v>2937</v>
      </c>
      <c r="B1062" s="5" t="s">
        <v>2937</v>
      </c>
      <c r="C1062" s="4">
        <v>480</v>
      </c>
      <c r="D1062" s="6" t="e">
        <f t="shared" si="20"/>
        <v>#VALUE!</v>
      </c>
      <c r="E1062" s="6" t="s">
        <v>3630</v>
      </c>
      <c r="F1062" s="7">
        <v>383</v>
      </c>
      <c r="G1062" s="6" t="s">
        <v>28</v>
      </c>
      <c r="H1062" s="8" t="s">
        <v>5702</v>
      </c>
      <c r="I1062" s="10" t="s">
        <v>5703</v>
      </c>
      <c r="J1062" s="9" t="s">
        <v>5704</v>
      </c>
      <c r="K1062" s="9" t="s">
        <v>5705</v>
      </c>
      <c r="L1062" s="9" t="s">
        <v>5706</v>
      </c>
      <c r="M1062" s="9" t="s">
        <v>5707</v>
      </c>
      <c r="N1062" s="9" t="s">
        <v>5688</v>
      </c>
      <c r="O1062" s="6">
        <f t="shared" si="21"/>
        <v>1536</v>
      </c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</row>
    <row r="1063" spans="1:27" ht="12.75" x14ac:dyDescent="0.2">
      <c r="A1063" s="5" t="s">
        <v>2937</v>
      </c>
      <c r="B1063" s="5" t="s">
        <v>2937</v>
      </c>
      <c r="C1063" s="4">
        <v>481</v>
      </c>
      <c r="D1063" s="6" t="e">
        <f t="shared" si="20"/>
        <v>#VALUE!</v>
      </c>
      <c r="E1063" s="6" t="s">
        <v>4533</v>
      </c>
      <c r="F1063" s="7">
        <v>384</v>
      </c>
      <c r="G1063" s="6" t="s">
        <v>21</v>
      </c>
      <c r="H1063" s="11" t="s">
        <v>5708</v>
      </c>
      <c r="I1063" s="9" t="s">
        <v>5709</v>
      </c>
      <c r="J1063" s="9" t="s">
        <v>5710</v>
      </c>
      <c r="K1063" s="9" t="s">
        <v>5711</v>
      </c>
      <c r="L1063" s="9" t="s">
        <v>5712</v>
      </c>
      <c r="M1063" s="9" t="s">
        <v>5713</v>
      </c>
      <c r="N1063" s="9" t="s">
        <v>5714</v>
      </c>
      <c r="O1063" s="6">
        <f t="shared" si="21"/>
        <v>1925</v>
      </c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</row>
    <row r="1064" spans="1:27" ht="12.75" x14ac:dyDescent="0.2">
      <c r="A1064" s="5" t="s">
        <v>2937</v>
      </c>
      <c r="B1064" s="5" t="s">
        <v>2937</v>
      </c>
      <c r="C1064" s="4">
        <v>482</v>
      </c>
      <c r="D1064" s="6" t="e">
        <f t="shared" si="20"/>
        <v>#VALUE!</v>
      </c>
      <c r="E1064" s="6" t="s">
        <v>5715</v>
      </c>
      <c r="F1064" s="7">
        <v>384</v>
      </c>
      <c r="G1064" s="6" t="s">
        <v>17</v>
      </c>
      <c r="H1064" s="8" t="s">
        <v>5716</v>
      </c>
      <c r="I1064" s="9" t="s">
        <v>5717</v>
      </c>
      <c r="J1064" s="10" t="s">
        <v>5718</v>
      </c>
      <c r="K1064" s="9" t="s">
        <v>5719</v>
      </c>
      <c r="L1064" s="9" t="s">
        <v>5720</v>
      </c>
      <c r="M1064" s="9" t="s">
        <v>5721</v>
      </c>
      <c r="N1064" s="9" t="s">
        <v>5714</v>
      </c>
      <c r="O1064" s="6">
        <f t="shared" si="21"/>
        <v>770</v>
      </c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</row>
    <row r="1065" spans="1:27" ht="12.75" x14ac:dyDescent="0.2">
      <c r="A1065" s="5" t="s">
        <v>2937</v>
      </c>
      <c r="B1065" s="5" t="s">
        <v>2937</v>
      </c>
      <c r="C1065" s="4">
        <v>483</v>
      </c>
      <c r="D1065" s="6" t="e">
        <f t="shared" si="20"/>
        <v>#VALUE!</v>
      </c>
      <c r="E1065" s="6" t="s">
        <v>4058</v>
      </c>
      <c r="F1065" s="7">
        <v>384</v>
      </c>
      <c r="G1065" s="6" t="s">
        <v>28</v>
      </c>
      <c r="H1065" s="8" t="s">
        <v>5722</v>
      </c>
      <c r="I1065" s="10" t="s">
        <v>5723</v>
      </c>
      <c r="J1065" s="9" t="s">
        <v>5724</v>
      </c>
      <c r="K1065" s="9" t="s">
        <v>5725</v>
      </c>
      <c r="L1065" s="9" t="s">
        <v>5726</v>
      </c>
      <c r="M1065" s="9" t="s">
        <v>5727</v>
      </c>
      <c r="N1065" s="9" t="s">
        <v>5714</v>
      </c>
      <c r="O1065" s="6">
        <f t="shared" si="21"/>
        <v>1540</v>
      </c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</row>
    <row r="1066" spans="1:27" ht="12.75" x14ac:dyDescent="0.2">
      <c r="A1066" s="5" t="s">
        <v>2937</v>
      </c>
      <c r="B1066" s="5" t="s">
        <v>2937</v>
      </c>
      <c r="C1066" s="4">
        <v>484</v>
      </c>
      <c r="D1066" s="6" t="e">
        <f t="shared" si="20"/>
        <v>#VALUE!</v>
      </c>
      <c r="E1066" s="6" t="s">
        <v>192</v>
      </c>
      <c r="F1066" s="7">
        <v>384</v>
      </c>
      <c r="G1066" s="6" t="s">
        <v>21</v>
      </c>
      <c r="H1066" s="11" t="s">
        <v>5728</v>
      </c>
      <c r="I1066" s="9" t="s">
        <v>5729</v>
      </c>
      <c r="J1066" s="9" t="s">
        <v>5730</v>
      </c>
      <c r="K1066" s="9" t="s">
        <v>5731</v>
      </c>
      <c r="L1066" s="9" t="s">
        <v>5732</v>
      </c>
      <c r="M1066" s="9" t="s">
        <v>5733</v>
      </c>
      <c r="N1066" s="9" t="s">
        <v>5714</v>
      </c>
      <c r="O1066" s="6">
        <f t="shared" si="21"/>
        <v>1925.0000380531983</v>
      </c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</row>
    <row r="1067" spans="1:27" ht="12.75" x14ac:dyDescent="0.2">
      <c r="A1067" s="5" t="s">
        <v>2937</v>
      </c>
      <c r="B1067" s="5" t="s">
        <v>2937</v>
      </c>
      <c r="C1067" s="4">
        <v>485</v>
      </c>
      <c r="D1067" s="6" t="e">
        <f t="shared" si="20"/>
        <v>#VALUE!</v>
      </c>
      <c r="E1067" s="6" t="s">
        <v>3123</v>
      </c>
      <c r="F1067" s="7">
        <v>385</v>
      </c>
      <c r="G1067" s="6" t="s">
        <v>28</v>
      </c>
      <c r="H1067" s="8" t="s">
        <v>5734</v>
      </c>
      <c r="I1067" s="10" t="s">
        <v>5735</v>
      </c>
      <c r="J1067" s="9" t="s">
        <v>5736</v>
      </c>
      <c r="K1067" s="9" t="s">
        <v>5737</v>
      </c>
      <c r="L1067" s="9" t="s">
        <v>5738</v>
      </c>
      <c r="M1067" s="9" t="s">
        <v>5739</v>
      </c>
      <c r="N1067" s="9" t="s">
        <v>5740</v>
      </c>
      <c r="O1067" s="6">
        <f t="shared" si="21"/>
        <v>1544</v>
      </c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</row>
    <row r="1068" spans="1:27" ht="12.75" x14ac:dyDescent="0.2">
      <c r="A1068" s="5" t="s">
        <v>2937</v>
      </c>
      <c r="B1068" s="5" t="s">
        <v>2937</v>
      </c>
      <c r="C1068" s="4">
        <v>486</v>
      </c>
      <c r="D1068" s="6" t="e">
        <f t="shared" si="20"/>
        <v>#VALUE!</v>
      </c>
      <c r="E1068" s="6" t="s">
        <v>5741</v>
      </c>
      <c r="F1068" s="7">
        <v>385</v>
      </c>
      <c r="G1068" s="6" t="s">
        <v>21</v>
      </c>
      <c r="H1068" s="11" t="s">
        <v>5742</v>
      </c>
      <c r="I1068" s="9" t="s">
        <v>5743</v>
      </c>
      <c r="J1068" s="9" t="s">
        <v>5744</v>
      </c>
      <c r="K1068" s="9" t="s">
        <v>5745</v>
      </c>
      <c r="L1068" s="9" t="s">
        <v>5746</v>
      </c>
      <c r="M1068" s="9" t="s">
        <v>5747</v>
      </c>
      <c r="N1068" s="9" t="s">
        <v>5740</v>
      </c>
      <c r="O1068" s="6">
        <f t="shared" si="21"/>
        <v>1929.9999218332703</v>
      </c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</row>
    <row r="1069" spans="1:27" ht="12.75" x14ac:dyDescent="0.2">
      <c r="A1069" s="5" t="s">
        <v>2937</v>
      </c>
      <c r="B1069" s="5" t="s">
        <v>2937</v>
      </c>
      <c r="C1069" s="4">
        <v>487</v>
      </c>
      <c r="D1069" s="6" t="e">
        <f t="shared" si="20"/>
        <v>#VALUE!</v>
      </c>
      <c r="E1069" s="6" t="s">
        <v>691</v>
      </c>
      <c r="F1069" s="7">
        <v>385</v>
      </c>
      <c r="G1069" s="6" t="s">
        <v>28</v>
      </c>
      <c r="H1069" s="8" t="s">
        <v>5748</v>
      </c>
      <c r="I1069" s="10" t="s">
        <v>5749</v>
      </c>
      <c r="J1069" s="9" t="s">
        <v>5750</v>
      </c>
      <c r="K1069" s="9" t="s">
        <v>5751</v>
      </c>
      <c r="L1069" s="9" t="s">
        <v>5752</v>
      </c>
      <c r="M1069" s="9" t="s">
        <v>5753</v>
      </c>
      <c r="N1069" s="9" t="s">
        <v>5740</v>
      </c>
      <c r="O1069" s="6">
        <f t="shared" si="21"/>
        <v>1544</v>
      </c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</row>
    <row r="1070" spans="1:27" ht="12.75" x14ac:dyDescent="0.2">
      <c r="A1070" s="5" t="s">
        <v>2937</v>
      </c>
      <c r="B1070" s="5" t="s">
        <v>2937</v>
      </c>
      <c r="C1070" s="4">
        <v>488</v>
      </c>
      <c r="D1070" s="6" t="e">
        <f t="shared" si="20"/>
        <v>#VALUE!</v>
      </c>
      <c r="E1070" s="6" t="s">
        <v>3385</v>
      </c>
      <c r="F1070" s="7">
        <v>385</v>
      </c>
      <c r="G1070" s="6" t="s">
        <v>21</v>
      </c>
      <c r="H1070" s="11" t="s">
        <v>5754</v>
      </c>
      <c r="I1070" s="9" t="s">
        <v>5755</v>
      </c>
      <c r="J1070" s="9" t="s">
        <v>5756</v>
      </c>
      <c r="K1070" s="9" t="s">
        <v>5757</v>
      </c>
      <c r="L1070" s="9" t="s">
        <v>5514</v>
      </c>
      <c r="M1070" s="9" t="s">
        <v>5758</v>
      </c>
      <c r="N1070" s="9" t="s">
        <v>5740</v>
      </c>
      <c r="O1070" s="6">
        <f t="shared" si="21"/>
        <v>1930.0000259487513</v>
      </c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</row>
    <row r="1071" spans="1:27" ht="12.75" x14ac:dyDescent="0.2">
      <c r="A1071" s="5" t="s">
        <v>2937</v>
      </c>
      <c r="B1071" s="5" t="s">
        <v>2937</v>
      </c>
      <c r="C1071" s="4">
        <v>489</v>
      </c>
      <c r="D1071" s="6" t="e">
        <f t="shared" si="20"/>
        <v>#VALUE!</v>
      </c>
      <c r="E1071" s="6" t="s">
        <v>3092</v>
      </c>
      <c r="F1071" s="7">
        <v>386</v>
      </c>
      <c r="G1071" s="6" t="s">
        <v>17</v>
      </c>
      <c r="H1071" s="8" t="s">
        <v>5022</v>
      </c>
      <c r="I1071" s="9" t="s">
        <v>5759</v>
      </c>
      <c r="J1071" s="10" t="s">
        <v>5760</v>
      </c>
      <c r="K1071" s="9" t="s">
        <v>5761</v>
      </c>
      <c r="L1071" s="9" t="s">
        <v>5762</v>
      </c>
      <c r="M1071" s="9" t="s">
        <v>5763</v>
      </c>
      <c r="N1071" s="9" t="s">
        <v>5764</v>
      </c>
      <c r="O1071" s="6">
        <f t="shared" si="21"/>
        <v>774</v>
      </c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</row>
    <row r="1072" spans="1:27" ht="12.75" x14ac:dyDescent="0.2">
      <c r="A1072" s="5" t="s">
        <v>2937</v>
      </c>
      <c r="B1072" s="5" t="s">
        <v>2937</v>
      </c>
      <c r="C1072" s="4">
        <v>490</v>
      </c>
      <c r="D1072" s="6" t="e">
        <f t="shared" si="20"/>
        <v>#VALUE!</v>
      </c>
      <c r="E1072" s="6" t="s">
        <v>5765</v>
      </c>
      <c r="F1072" s="7">
        <v>386</v>
      </c>
      <c r="G1072" s="6" t="s">
        <v>17</v>
      </c>
      <c r="H1072" s="8" t="s">
        <v>5766</v>
      </c>
      <c r="I1072" s="9" t="s">
        <v>5767</v>
      </c>
      <c r="J1072" s="10" t="s">
        <v>5768</v>
      </c>
      <c r="K1072" s="9" t="s">
        <v>5769</v>
      </c>
      <c r="L1072" s="9" t="s">
        <v>5770</v>
      </c>
      <c r="M1072" s="9" t="s">
        <v>5771</v>
      </c>
      <c r="N1072" s="9" t="s">
        <v>5764</v>
      </c>
      <c r="O1072" s="6">
        <f t="shared" si="21"/>
        <v>774</v>
      </c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</row>
    <row r="1073" spans="1:27" ht="12.75" x14ac:dyDescent="0.2">
      <c r="A1073" s="5" t="s">
        <v>2937</v>
      </c>
      <c r="B1073" s="5" t="s">
        <v>2937</v>
      </c>
      <c r="C1073" s="4">
        <v>491</v>
      </c>
      <c r="D1073" s="6" t="e">
        <f t="shared" si="20"/>
        <v>#VALUE!</v>
      </c>
      <c r="E1073" s="6" t="s">
        <v>5772</v>
      </c>
      <c r="F1073" s="7">
        <v>386</v>
      </c>
      <c r="G1073" s="6" t="s">
        <v>17</v>
      </c>
      <c r="H1073" s="8" t="s">
        <v>5773</v>
      </c>
      <c r="I1073" s="9" t="s">
        <v>5774</v>
      </c>
      <c r="J1073" s="10" t="s">
        <v>5775</v>
      </c>
      <c r="K1073" s="9" t="s">
        <v>5776</v>
      </c>
      <c r="L1073" s="9" t="s">
        <v>5777</v>
      </c>
      <c r="M1073" s="9" t="s">
        <v>5778</v>
      </c>
      <c r="N1073" s="9" t="s">
        <v>5764</v>
      </c>
      <c r="O1073" s="6">
        <f t="shared" si="21"/>
        <v>774</v>
      </c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</row>
    <row r="1074" spans="1:27" ht="12.75" x14ac:dyDescent="0.2">
      <c r="A1074" s="5" t="s">
        <v>2937</v>
      </c>
      <c r="B1074" s="5" t="s">
        <v>2937</v>
      </c>
      <c r="C1074" s="4">
        <v>492</v>
      </c>
      <c r="D1074" s="6" t="e">
        <f t="shared" si="20"/>
        <v>#VALUE!</v>
      </c>
      <c r="E1074" s="6" t="s">
        <v>522</v>
      </c>
      <c r="F1074" s="7">
        <v>386</v>
      </c>
      <c r="G1074" s="6" t="s">
        <v>21</v>
      </c>
      <c r="H1074" s="11" t="s">
        <v>5779</v>
      </c>
      <c r="I1074" s="9" t="s">
        <v>5780</v>
      </c>
      <c r="J1074" s="9" t="s">
        <v>5781</v>
      </c>
      <c r="K1074" s="9" t="s">
        <v>5782</v>
      </c>
      <c r="L1074" s="9" t="s">
        <v>4894</v>
      </c>
      <c r="M1074" s="9" t="s">
        <v>5783</v>
      </c>
      <c r="N1074" s="9" t="s">
        <v>5764</v>
      </c>
      <c r="O1074" s="6">
        <f t="shared" si="21"/>
        <v>1934.999962796235</v>
      </c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</row>
    <row r="1075" spans="1:27" ht="12.75" x14ac:dyDescent="0.2">
      <c r="A1075" s="5" t="s">
        <v>2937</v>
      </c>
      <c r="B1075" s="5" t="s">
        <v>2937</v>
      </c>
      <c r="C1075" s="4">
        <v>493</v>
      </c>
      <c r="D1075" s="6" t="e">
        <f t="shared" si="20"/>
        <v>#VALUE!</v>
      </c>
      <c r="E1075" s="6" t="s">
        <v>529</v>
      </c>
      <c r="F1075" s="7">
        <v>387</v>
      </c>
      <c r="G1075" s="6" t="s">
        <v>17</v>
      </c>
      <c r="H1075" s="8" t="s">
        <v>5784</v>
      </c>
      <c r="I1075" s="9" t="s">
        <v>5785</v>
      </c>
      <c r="J1075" s="10" t="s">
        <v>5786</v>
      </c>
      <c r="K1075" s="9" t="s">
        <v>5787</v>
      </c>
      <c r="L1075" s="9" t="s">
        <v>5788</v>
      </c>
      <c r="M1075" s="9" t="s">
        <v>5789</v>
      </c>
      <c r="N1075" s="9" t="s">
        <v>5790</v>
      </c>
      <c r="O1075" s="6">
        <f t="shared" si="21"/>
        <v>776</v>
      </c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</row>
    <row r="1076" spans="1:27" ht="12.75" x14ac:dyDescent="0.2">
      <c r="A1076" s="5" t="s">
        <v>2937</v>
      </c>
      <c r="B1076" s="5" t="s">
        <v>2937</v>
      </c>
      <c r="C1076" s="4">
        <v>494</v>
      </c>
      <c r="D1076" s="6" t="e">
        <f t="shared" si="20"/>
        <v>#VALUE!</v>
      </c>
      <c r="E1076" s="6" t="s">
        <v>5338</v>
      </c>
      <c r="F1076" s="7">
        <v>387</v>
      </c>
      <c r="G1076" s="6" t="s">
        <v>17</v>
      </c>
      <c r="H1076" s="8" t="s">
        <v>5791</v>
      </c>
      <c r="I1076" s="9" t="s">
        <v>5792</v>
      </c>
      <c r="J1076" s="10" t="s">
        <v>5793</v>
      </c>
      <c r="K1076" s="9" t="s">
        <v>5794</v>
      </c>
      <c r="L1076" s="9" t="s">
        <v>5795</v>
      </c>
      <c r="M1076" s="9" t="s">
        <v>5796</v>
      </c>
      <c r="N1076" s="9" t="s">
        <v>5790</v>
      </c>
      <c r="O1076" s="6">
        <f t="shared" si="21"/>
        <v>776</v>
      </c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</row>
    <row r="1077" spans="1:27" ht="12.75" x14ac:dyDescent="0.2">
      <c r="A1077" s="5" t="s">
        <v>2937</v>
      </c>
      <c r="B1077" s="5" t="s">
        <v>2937</v>
      </c>
      <c r="C1077" s="4">
        <v>495</v>
      </c>
      <c r="D1077" s="6" t="e">
        <f t="shared" si="20"/>
        <v>#VALUE!</v>
      </c>
      <c r="E1077" s="6" t="s">
        <v>120</v>
      </c>
      <c r="F1077" s="7">
        <v>387</v>
      </c>
      <c r="G1077" s="6" t="s">
        <v>21</v>
      </c>
      <c r="H1077" s="11" t="s">
        <v>5797</v>
      </c>
      <c r="I1077" s="9" t="s">
        <v>5798</v>
      </c>
      <c r="J1077" s="9" t="s">
        <v>5799</v>
      </c>
      <c r="K1077" s="9" t="s">
        <v>5800</v>
      </c>
      <c r="L1077" s="9" t="s">
        <v>5801</v>
      </c>
      <c r="M1077" s="9" t="s">
        <v>5802</v>
      </c>
      <c r="N1077" s="9" t="s">
        <v>5790</v>
      </c>
      <c r="O1077" s="6">
        <f t="shared" si="21"/>
        <v>1940.0000737313599</v>
      </c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</row>
    <row r="1078" spans="1:27" ht="12.75" x14ac:dyDescent="0.2">
      <c r="A1078" s="5" t="s">
        <v>2937</v>
      </c>
      <c r="B1078" s="5" t="s">
        <v>2937</v>
      </c>
      <c r="C1078" s="4">
        <v>496</v>
      </c>
      <c r="D1078" s="6" t="e">
        <f t="shared" si="20"/>
        <v>#VALUE!</v>
      </c>
      <c r="E1078" s="6" t="s">
        <v>2957</v>
      </c>
      <c r="F1078" s="7">
        <v>387</v>
      </c>
      <c r="G1078" s="6" t="s">
        <v>17</v>
      </c>
      <c r="H1078" s="8" t="s">
        <v>5803</v>
      </c>
      <c r="I1078" s="9" t="s">
        <v>5804</v>
      </c>
      <c r="J1078" s="10" t="s">
        <v>5805</v>
      </c>
      <c r="K1078" s="9" t="s">
        <v>5806</v>
      </c>
      <c r="L1078" s="9" t="s">
        <v>5807</v>
      </c>
      <c r="M1078" s="9" t="s">
        <v>5808</v>
      </c>
      <c r="N1078" s="9" t="s">
        <v>5790</v>
      </c>
      <c r="O1078" s="6">
        <f t="shared" si="21"/>
        <v>776</v>
      </c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</row>
    <row r="1079" spans="1:27" ht="12.75" x14ac:dyDescent="0.2">
      <c r="A1079" s="5" t="s">
        <v>2937</v>
      </c>
      <c r="B1079" s="5" t="s">
        <v>2937</v>
      </c>
      <c r="C1079" s="4">
        <v>497</v>
      </c>
      <c r="D1079" s="6" t="e">
        <f t="shared" si="20"/>
        <v>#VALUE!</v>
      </c>
      <c r="E1079" s="6" t="s">
        <v>5178</v>
      </c>
      <c r="F1079" s="7">
        <v>388</v>
      </c>
      <c r="G1079" s="6" t="s">
        <v>28</v>
      </c>
      <c r="H1079" s="8" t="s">
        <v>5809</v>
      </c>
      <c r="I1079" s="10" t="s">
        <v>5810</v>
      </c>
      <c r="J1079" s="9" t="s">
        <v>5811</v>
      </c>
      <c r="K1079" s="9" t="s">
        <v>5812</v>
      </c>
      <c r="L1079" s="9" t="s">
        <v>5813</v>
      </c>
      <c r="M1079" s="9" t="s">
        <v>5814</v>
      </c>
      <c r="N1079" s="9" t="s">
        <v>5815</v>
      </c>
      <c r="O1079" s="6">
        <f t="shared" si="21"/>
        <v>1556</v>
      </c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</row>
    <row r="1080" spans="1:27" ht="12.75" x14ac:dyDescent="0.2">
      <c r="A1080" s="5" t="s">
        <v>2937</v>
      </c>
      <c r="B1080" s="5" t="s">
        <v>2937</v>
      </c>
      <c r="C1080" s="4">
        <v>498</v>
      </c>
      <c r="D1080" s="6" t="e">
        <f t="shared" si="20"/>
        <v>#VALUE!</v>
      </c>
      <c r="E1080" s="6" t="s">
        <v>3873</v>
      </c>
      <c r="F1080" s="7">
        <v>388</v>
      </c>
      <c r="G1080" s="6" t="s">
        <v>21</v>
      </c>
      <c r="H1080" s="11" t="s">
        <v>5816</v>
      </c>
      <c r="I1080" s="9" t="s">
        <v>5817</v>
      </c>
      <c r="J1080" s="9" t="s">
        <v>5750</v>
      </c>
      <c r="K1080" s="9" t="s">
        <v>5818</v>
      </c>
      <c r="L1080" s="9" t="s">
        <v>5819</v>
      </c>
      <c r="M1080" s="9" t="s">
        <v>5820</v>
      </c>
      <c r="N1080" s="9" t="s">
        <v>5815</v>
      </c>
      <c r="O1080" s="6">
        <f t="shared" si="21"/>
        <v>1945.0000730620297</v>
      </c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</row>
    <row r="1081" spans="1:27" ht="12.75" x14ac:dyDescent="0.2">
      <c r="A1081" s="5" t="s">
        <v>2937</v>
      </c>
      <c r="B1081" s="5" t="s">
        <v>2937</v>
      </c>
      <c r="C1081" s="4">
        <v>499</v>
      </c>
      <c r="D1081" s="6" t="e">
        <f t="shared" si="20"/>
        <v>#VALUE!</v>
      </c>
      <c r="E1081" s="6" t="s">
        <v>5821</v>
      </c>
      <c r="F1081" s="7">
        <v>388</v>
      </c>
      <c r="G1081" s="6" t="s">
        <v>21</v>
      </c>
      <c r="H1081" s="11" t="s">
        <v>5822</v>
      </c>
      <c r="I1081" s="9" t="s">
        <v>5823</v>
      </c>
      <c r="J1081" s="9" t="s">
        <v>5824</v>
      </c>
      <c r="K1081" s="9" t="s">
        <v>5825</v>
      </c>
      <c r="L1081" s="9" t="s">
        <v>5826</v>
      </c>
      <c r="M1081" s="9" t="s">
        <v>5827</v>
      </c>
      <c r="N1081" s="9" t="s">
        <v>5815</v>
      </c>
      <c r="O1081" s="6">
        <f t="shared" si="21"/>
        <v>1944.9999817707858</v>
      </c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</row>
    <row r="1082" spans="1:27" ht="12.75" x14ac:dyDescent="0.2">
      <c r="A1082" s="5" t="s">
        <v>2937</v>
      </c>
      <c r="B1082" s="5" t="s">
        <v>2937</v>
      </c>
      <c r="C1082" s="4">
        <v>500</v>
      </c>
      <c r="D1082" s="6" t="e">
        <f t="shared" si="20"/>
        <v>#VALUE!</v>
      </c>
      <c r="E1082" s="6" t="s">
        <v>5828</v>
      </c>
      <c r="F1082" s="7">
        <v>388</v>
      </c>
      <c r="G1082" s="6" t="s">
        <v>21</v>
      </c>
      <c r="H1082" s="11" t="s">
        <v>5829</v>
      </c>
      <c r="I1082" s="9" t="s">
        <v>5830</v>
      </c>
      <c r="J1082" s="9" t="s">
        <v>5831</v>
      </c>
      <c r="K1082" s="9" t="s">
        <v>5832</v>
      </c>
      <c r="L1082" s="9" t="s">
        <v>5833</v>
      </c>
      <c r="M1082" s="9" t="s">
        <v>5834</v>
      </c>
      <c r="N1082" s="9" t="s">
        <v>5815</v>
      </c>
      <c r="O1082" s="6">
        <f t="shared" si="21"/>
        <v>1945</v>
      </c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</row>
    <row r="1083" spans="1:27" ht="12.75" x14ac:dyDescent="0.2">
      <c r="A1083" s="5" t="s">
        <v>2937</v>
      </c>
      <c r="B1083" s="5" t="s">
        <v>2937</v>
      </c>
      <c r="C1083" s="4">
        <v>501</v>
      </c>
      <c r="D1083" s="6" t="e">
        <f t="shared" si="20"/>
        <v>#VALUE!</v>
      </c>
      <c r="E1083" s="6" t="s">
        <v>3976</v>
      </c>
      <c r="F1083" s="7">
        <v>389</v>
      </c>
      <c r="G1083" s="6" t="s">
        <v>21</v>
      </c>
      <c r="H1083" s="11" t="s">
        <v>5835</v>
      </c>
      <c r="I1083" s="9" t="s">
        <v>5836</v>
      </c>
      <c r="J1083" s="9" t="s">
        <v>5837</v>
      </c>
      <c r="K1083" s="9" t="s">
        <v>5838</v>
      </c>
      <c r="L1083" s="9" t="s">
        <v>5839</v>
      </c>
      <c r="M1083" s="9" t="s">
        <v>5840</v>
      </c>
      <c r="N1083" s="9" t="s">
        <v>5841</v>
      </c>
      <c r="O1083" s="6">
        <f t="shared" si="21"/>
        <v>1949.9999275965681</v>
      </c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</row>
    <row r="1084" spans="1:27" ht="12.75" x14ac:dyDescent="0.2">
      <c r="A1084" s="5" t="s">
        <v>2937</v>
      </c>
      <c r="B1084" s="5" t="s">
        <v>2937</v>
      </c>
      <c r="C1084" s="4">
        <v>502</v>
      </c>
      <c r="D1084" s="6" t="e">
        <f t="shared" si="20"/>
        <v>#VALUE!</v>
      </c>
      <c r="E1084" s="6" t="s">
        <v>5842</v>
      </c>
      <c r="F1084" s="7">
        <v>389</v>
      </c>
      <c r="G1084" s="6" t="s">
        <v>28</v>
      </c>
      <c r="H1084" s="8" t="s">
        <v>5843</v>
      </c>
      <c r="I1084" s="10" t="s">
        <v>5844</v>
      </c>
      <c r="J1084" s="9" t="s">
        <v>5845</v>
      </c>
      <c r="K1084" s="9" t="s">
        <v>5846</v>
      </c>
      <c r="L1084" s="9" t="s">
        <v>5847</v>
      </c>
      <c r="M1084" s="9" t="s">
        <v>5848</v>
      </c>
      <c r="N1084" s="9" t="s">
        <v>5841</v>
      </c>
      <c r="O1084" s="6">
        <f t="shared" si="21"/>
        <v>1560</v>
      </c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</row>
    <row r="1085" spans="1:27" ht="12.75" x14ac:dyDescent="0.2">
      <c r="A1085" s="5" t="s">
        <v>2937</v>
      </c>
      <c r="B1085" s="5" t="s">
        <v>2937</v>
      </c>
      <c r="C1085" s="4">
        <v>503</v>
      </c>
      <c r="D1085" s="6" t="e">
        <f t="shared" si="20"/>
        <v>#VALUE!</v>
      </c>
      <c r="E1085" s="6" t="s">
        <v>3792</v>
      </c>
      <c r="F1085" s="7">
        <v>389</v>
      </c>
      <c r="G1085" s="6" t="s">
        <v>28</v>
      </c>
      <c r="H1085" s="8" t="s">
        <v>5849</v>
      </c>
      <c r="I1085" s="10" t="s">
        <v>5850</v>
      </c>
      <c r="J1085" s="9" t="s">
        <v>5154</v>
      </c>
      <c r="K1085" s="9" t="s">
        <v>5851</v>
      </c>
      <c r="L1085" s="9" t="s">
        <v>5852</v>
      </c>
      <c r="M1085" s="9" t="s">
        <v>5853</v>
      </c>
      <c r="N1085" s="9" t="s">
        <v>5841</v>
      </c>
      <c r="O1085" s="6">
        <f t="shared" si="21"/>
        <v>1560</v>
      </c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</row>
    <row r="1086" spans="1:27" ht="12.75" x14ac:dyDescent="0.2">
      <c r="A1086" s="5" t="s">
        <v>2937</v>
      </c>
      <c r="B1086" s="5" t="s">
        <v>2937</v>
      </c>
      <c r="C1086" s="4">
        <v>504</v>
      </c>
      <c r="D1086" s="6" t="e">
        <f t="shared" si="20"/>
        <v>#VALUE!</v>
      </c>
      <c r="E1086" s="6" t="s">
        <v>5854</v>
      </c>
      <c r="F1086" s="7">
        <v>389</v>
      </c>
      <c r="G1086" s="6" t="s">
        <v>17</v>
      </c>
      <c r="H1086" s="8" t="s">
        <v>5855</v>
      </c>
      <c r="I1086" s="9" t="s">
        <v>5856</v>
      </c>
      <c r="J1086" s="10" t="s">
        <v>5857</v>
      </c>
      <c r="K1086" s="9" t="s">
        <v>5858</v>
      </c>
      <c r="L1086" s="9" t="s">
        <v>5859</v>
      </c>
      <c r="M1086" s="9" t="s">
        <v>5860</v>
      </c>
      <c r="N1086" s="9" t="s">
        <v>5841</v>
      </c>
      <c r="O1086" s="6">
        <f t="shared" si="21"/>
        <v>780</v>
      </c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</row>
    <row r="1087" spans="1:27" ht="12.75" x14ac:dyDescent="0.2">
      <c r="A1087" s="5" t="s">
        <v>2937</v>
      </c>
      <c r="B1087" s="5" t="s">
        <v>2937</v>
      </c>
      <c r="C1087" s="4">
        <v>505</v>
      </c>
      <c r="D1087" s="6" t="e">
        <f t="shared" si="20"/>
        <v>#VALUE!</v>
      </c>
      <c r="E1087" s="6" t="s">
        <v>4873</v>
      </c>
      <c r="F1087" s="7">
        <v>390</v>
      </c>
      <c r="G1087" s="6" t="s">
        <v>28</v>
      </c>
      <c r="H1087" s="8" t="s">
        <v>5861</v>
      </c>
      <c r="I1087" s="10" t="s">
        <v>5862</v>
      </c>
      <c r="J1087" s="9" t="s">
        <v>5863</v>
      </c>
      <c r="K1087" s="9" t="s">
        <v>5864</v>
      </c>
      <c r="L1087" s="9" t="s">
        <v>5865</v>
      </c>
      <c r="M1087" s="9" t="s">
        <v>5866</v>
      </c>
      <c r="N1087" s="9" t="s">
        <v>5867</v>
      </c>
      <c r="O1087" s="6">
        <f t="shared" si="21"/>
        <v>1564.0000615299421</v>
      </c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</row>
    <row r="1088" spans="1:27" ht="12.75" x14ac:dyDescent="0.2">
      <c r="A1088" s="5" t="s">
        <v>2937</v>
      </c>
      <c r="B1088" s="5" t="s">
        <v>2937</v>
      </c>
      <c r="C1088" s="4">
        <v>506</v>
      </c>
      <c r="D1088" s="6" t="e">
        <f t="shared" si="20"/>
        <v>#VALUE!</v>
      </c>
      <c r="E1088" s="6" t="s">
        <v>229</v>
      </c>
      <c r="F1088" s="7">
        <v>390</v>
      </c>
      <c r="G1088" s="6" t="s">
        <v>21</v>
      </c>
      <c r="H1088" s="11" t="s">
        <v>5868</v>
      </c>
      <c r="I1088" s="9" t="s">
        <v>5869</v>
      </c>
      <c r="J1088" s="9" t="s">
        <v>5870</v>
      </c>
      <c r="K1088" s="9" t="s">
        <v>5871</v>
      </c>
      <c r="L1088" s="9" t="s">
        <v>5872</v>
      </c>
      <c r="M1088" s="9" t="s">
        <v>5873</v>
      </c>
      <c r="N1088" s="9" t="s">
        <v>5867</v>
      </c>
      <c r="O1088" s="6">
        <f t="shared" si="21"/>
        <v>1955.0000577147277</v>
      </c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</row>
    <row r="1089" spans="1:27" ht="12.75" x14ac:dyDescent="0.2">
      <c r="A1089" s="5" t="s">
        <v>2937</v>
      </c>
      <c r="B1089" s="5" t="s">
        <v>2937</v>
      </c>
      <c r="C1089" s="4">
        <v>507</v>
      </c>
      <c r="D1089" s="6" t="e">
        <f t="shared" si="20"/>
        <v>#VALUE!</v>
      </c>
      <c r="E1089" s="6" t="s">
        <v>5874</v>
      </c>
      <c r="F1089" s="7">
        <v>390</v>
      </c>
      <c r="G1089" s="6" t="s">
        <v>28</v>
      </c>
      <c r="H1089" s="8" t="s">
        <v>5875</v>
      </c>
      <c r="I1089" s="10" t="s">
        <v>5876</v>
      </c>
      <c r="J1089" s="9" t="s">
        <v>5877</v>
      </c>
      <c r="K1089" s="9" t="s">
        <v>5878</v>
      </c>
      <c r="L1089" s="9" t="s">
        <v>5879</v>
      </c>
      <c r="M1089" s="9" t="s">
        <v>5880</v>
      </c>
      <c r="N1089" s="9" t="s">
        <v>5867</v>
      </c>
      <c r="O1089" s="6">
        <f t="shared" si="21"/>
        <v>1564</v>
      </c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</row>
    <row r="1090" spans="1:27" ht="12.75" x14ac:dyDescent="0.2">
      <c r="A1090" s="5" t="s">
        <v>2937</v>
      </c>
      <c r="B1090" s="5" t="s">
        <v>2937</v>
      </c>
      <c r="C1090" s="4">
        <v>508</v>
      </c>
      <c r="D1090" s="6" t="e">
        <f t="shared" si="20"/>
        <v>#VALUE!</v>
      </c>
      <c r="E1090" s="6" t="s">
        <v>564</v>
      </c>
      <c r="F1090" s="7">
        <v>390</v>
      </c>
      <c r="G1090" s="6" t="s">
        <v>21</v>
      </c>
      <c r="H1090" s="11" t="s">
        <v>5881</v>
      </c>
      <c r="I1090" s="9" t="s">
        <v>5882</v>
      </c>
      <c r="J1090" s="9" t="s">
        <v>5883</v>
      </c>
      <c r="K1090" s="9" t="s">
        <v>5884</v>
      </c>
      <c r="L1090" s="9" t="s">
        <v>5885</v>
      </c>
      <c r="M1090" s="9" t="s">
        <v>5886</v>
      </c>
      <c r="N1090" s="9" t="s">
        <v>5867</v>
      </c>
      <c r="O1090" s="6">
        <f t="shared" si="21"/>
        <v>1955</v>
      </c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</row>
    <row r="1091" spans="1:27" ht="12.75" x14ac:dyDescent="0.2">
      <c r="A1091" s="5" t="s">
        <v>2937</v>
      </c>
      <c r="B1091" s="5" t="s">
        <v>2937</v>
      </c>
      <c r="C1091" s="4">
        <v>509</v>
      </c>
      <c r="D1091" s="6" t="e">
        <f t="shared" si="20"/>
        <v>#VALUE!</v>
      </c>
      <c r="E1091" s="6" t="s">
        <v>5887</v>
      </c>
      <c r="F1091" s="7">
        <v>391</v>
      </c>
      <c r="G1091" s="6" t="s">
        <v>28</v>
      </c>
      <c r="H1091" s="8" t="s">
        <v>5888</v>
      </c>
      <c r="I1091" s="10" t="s">
        <v>1388</v>
      </c>
      <c r="J1091" s="9" t="s">
        <v>5889</v>
      </c>
      <c r="K1091" s="9" t="s">
        <v>5890</v>
      </c>
      <c r="L1091" s="9" t="s">
        <v>5891</v>
      </c>
      <c r="M1091" s="9" t="s">
        <v>5892</v>
      </c>
      <c r="N1091" s="9" t="s">
        <v>5893</v>
      </c>
      <c r="O1091" s="6">
        <f t="shared" ref="O1091:O1154" si="22">M1091/K1091</f>
        <v>1568</v>
      </c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</row>
    <row r="1092" spans="1:27" ht="12.75" x14ac:dyDescent="0.2">
      <c r="A1092" s="5" t="s">
        <v>2937</v>
      </c>
      <c r="B1092" s="5" t="s">
        <v>2937</v>
      </c>
      <c r="C1092" s="4">
        <v>510</v>
      </c>
      <c r="D1092" s="6" t="e">
        <f t="shared" si="20"/>
        <v>#VALUE!</v>
      </c>
      <c r="E1092" s="6" t="s">
        <v>306</v>
      </c>
      <c r="F1092" s="7">
        <v>391</v>
      </c>
      <c r="G1092" s="6" t="s">
        <v>17</v>
      </c>
      <c r="H1092" s="8" t="s">
        <v>5482</v>
      </c>
      <c r="I1092" s="9" t="s">
        <v>5894</v>
      </c>
      <c r="J1092" s="10" t="s">
        <v>5895</v>
      </c>
      <c r="K1092" s="9" t="s">
        <v>5896</v>
      </c>
      <c r="L1092" s="9" t="s">
        <v>5897</v>
      </c>
      <c r="M1092" s="9" t="s">
        <v>5898</v>
      </c>
      <c r="N1092" s="9" t="s">
        <v>5893</v>
      </c>
      <c r="O1092" s="6">
        <f t="shared" si="22"/>
        <v>784</v>
      </c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</row>
    <row r="1093" spans="1:27" ht="12.75" x14ac:dyDescent="0.2">
      <c r="A1093" s="5" t="s">
        <v>2937</v>
      </c>
      <c r="B1093" s="5" t="s">
        <v>2937</v>
      </c>
      <c r="C1093" s="4">
        <v>511</v>
      </c>
      <c r="D1093" s="6" t="e">
        <f t="shared" si="20"/>
        <v>#VALUE!</v>
      </c>
      <c r="E1093" s="6" t="s">
        <v>5765</v>
      </c>
      <c r="F1093" s="7">
        <v>391</v>
      </c>
      <c r="G1093" s="6" t="s">
        <v>21</v>
      </c>
      <c r="H1093" s="11" t="s">
        <v>5899</v>
      </c>
      <c r="I1093" s="9" t="s">
        <v>5900</v>
      </c>
      <c r="J1093" s="9" t="s">
        <v>5901</v>
      </c>
      <c r="K1093" s="9" t="s">
        <v>5902</v>
      </c>
      <c r="L1093" s="9" t="s">
        <v>3719</v>
      </c>
      <c r="M1093" s="9" t="s">
        <v>5903</v>
      </c>
      <c r="N1093" s="9" t="s">
        <v>5893</v>
      </c>
      <c r="O1093" s="6">
        <f t="shared" si="22"/>
        <v>1960</v>
      </c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</row>
    <row r="1094" spans="1:27" ht="12.75" x14ac:dyDescent="0.2">
      <c r="A1094" s="5" t="s">
        <v>2937</v>
      </c>
      <c r="B1094" s="5" t="s">
        <v>2937</v>
      </c>
      <c r="C1094" s="4">
        <v>512</v>
      </c>
      <c r="D1094" s="6" t="e">
        <f t="shared" si="20"/>
        <v>#VALUE!</v>
      </c>
      <c r="E1094" s="6" t="s">
        <v>4364</v>
      </c>
      <c r="F1094" s="7">
        <v>391</v>
      </c>
      <c r="G1094" s="6" t="s">
        <v>17</v>
      </c>
      <c r="H1094" s="8" t="s">
        <v>5904</v>
      </c>
      <c r="I1094" s="9" t="s">
        <v>5905</v>
      </c>
      <c r="J1094" s="10" t="s">
        <v>5906</v>
      </c>
      <c r="K1094" s="9" t="s">
        <v>5907</v>
      </c>
      <c r="L1094" s="9" t="s">
        <v>5908</v>
      </c>
      <c r="M1094" s="9" t="s">
        <v>5909</v>
      </c>
      <c r="N1094" s="9" t="s">
        <v>5893</v>
      </c>
      <c r="O1094" s="6">
        <f t="shared" si="22"/>
        <v>784</v>
      </c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</row>
    <row r="1095" spans="1:27" ht="12.75" x14ac:dyDescent="0.2">
      <c r="A1095" s="5" t="s">
        <v>2937</v>
      </c>
      <c r="B1095" s="5" t="s">
        <v>2937</v>
      </c>
      <c r="C1095" s="4">
        <v>513</v>
      </c>
      <c r="D1095" s="6" t="e">
        <f t="shared" si="20"/>
        <v>#VALUE!</v>
      </c>
      <c r="E1095" s="6" t="s">
        <v>4988</v>
      </c>
      <c r="F1095" s="7">
        <v>392</v>
      </c>
      <c r="G1095" s="6" t="s">
        <v>28</v>
      </c>
      <c r="H1095" s="8" t="s">
        <v>5910</v>
      </c>
      <c r="I1095" s="10" t="s">
        <v>5911</v>
      </c>
      <c r="J1095" s="9" t="s">
        <v>5905</v>
      </c>
      <c r="K1095" s="9" t="s">
        <v>5912</v>
      </c>
      <c r="L1095" s="9" t="s">
        <v>5913</v>
      </c>
      <c r="M1095" s="9" t="s">
        <v>5914</v>
      </c>
      <c r="N1095" s="9" t="s">
        <v>5915</v>
      </c>
      <c r="O1095" s="6">
        <f t="shared" si="22"/>
        <v>1572</v>
      </c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</row>
    <row r="1096" spans="1:27" ht="12.75" x14ac:dyDescent="0.2">
      <c r="A1096" s="5" t="s">
        <v>2937</v>
      </c>
      <c r="B1096" s="5" t="s">
        <v>2937</v>
      </c>
      <c r="C1096" s="4">
        <v>514</v>
      </c>
      <c r="D1096" s="6" t="e">
        <f t="shared" si="20"/>
        <v>#VALUE!</v>
      </c>
      <c r="E1096" s="6" t="s">
        <v>4217</v>
      </c>
      <c r="F1096" s="7">
        <v>392</v>
      </c>
      <c r="G1096" s="6" t="s">
        <v>21</v>
      </c>
      <c r="H1096" s="11" t="s">
        <v>5916</v>
      </c>
      <c r="I1096" s="9" t="s">
        <v>5917</v>
      </c>
      <c r="J1096" s="9" t="s">
        <v>5918</v>
      </c>
      <c r="K1096" s="9" t="s">
        <v>5919</v>
      </c>
      <c r="L1096" s="9" t="s">
        <v>5920</v>
      </c>
      <c r="M1096" s="9" t="s">
        <v>5921</v>
      </c>
      <c r="N1096" s="9" t="s">
        <v>5915</v>
      </c>
      <c r="O1096" s="6">
        <f t="shared" si="22"/>
        <v>1965</v>
      </c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</row>
    <row r="1097" spans="1:27" ht="12.75" x14ac:dyDescent="0.2">
      <c r="A1097" s="5" t="s">
        <v>2937</v>
      </c>
      <c r="B1097" s="5" t="s">
        <v>2937</v>
      </c>
      <c r="C1097" s="4">
        <v>515</v>
      </c>
      <c r="D1097" s="6" t="e">
        <f t="shared" si="20"/>
        <v>#VALUE!</v>
      </c>
      <c r="E1097" s="6" t="s">
        <v>3517</v>
      </c>
      <c r="F1097" s="7">
        <v>392</v>
      </c>
      <c r="G1097" s="6" t="s">
        <v>17</v>
      </c>
      <c r="H1097" s="8" t="s">
        <v>5922</v>
      </c>
      <c r="I1097" s="9" t="s">
        <v>5923</v>
      </c>
      <c r="J1097" s="10" t="s">
        <v>5924</v>
      </c>
      <c r="K1097" s="9" t="s">
        <v>5925</v>
      </c>
      <c r="L1097" s="9" t="s">
        <v>5926</v>
      </c>
      <c r="M1097" s="9" t="s">
        <v>5927</v>
      </c>
      <c r="N1097" s="9" t="s">
        <v>5915</v>
      </c>
      <c r="O1097" s="6">
        <f t="shared" si="22"/>
        <v>786</v>
      </c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</row>
    <row r="1098" spans="1:27" ht="12.75" x14ac:dyDescent="0.2">
      <c r="A1098" s="5" t="s">
        <v>2937</v>
      </c>
      <c r="B1098" s="5" t="s">
        <v>2937</v>
      </c>
      <c r="C1098" s="4">
        <v>516</v>
      </c>
      <c r="D1098" s="6" t="e">
        <f t="shared" si="20"/>
        <v>#VALUE!</v>
      </c>
      <c r="E1098" s="6" t="s">
        <v>4081</v>
      </c>
      <c r="F1098" s="7">
        <v>392</v>
      </c>
      <c r="G1098" s="6" t="s">
        <v>28</v>
      </c>
      <c r="H1098" s="8" t="s">
        <v>5928</v>
      </c>
      <c r="I1098" s="10" t="s">
        <v>5929</v>
      </c>
      <c r="J1098" s="9" t="s">
        <v>5930</v>
      </c>
      <c r="K1098" s="9" t="s">
        <v>5931</v>
      </c>
      <c r="L1098" s="9" t="s">
        <v>5932</v>
      </c>
      <c r="M1098" s="9" t="s">
        <v>5933</v>
      </c>
      <c r="N1098" s="9" t="s">
        <v>5915</v>
      </c>
      <c r="O1098" s="6">
        <f t="shared" si="22"/>
        <v>1572.0000926547914</v>
      </c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</row>
    <row r="1099" spans="1:27" ht="12.75" x14ac:dyDescent="0.2">
      <c r="A1099" s="5" t="s">
        <v>2937</v>
      </c>
      <c r="B1099" s="5" t="s">
        <v>2937</v>
      </c>
      <c r="C1099" s="4">
        <v>517</v>
      </c>
      <c r="D1099" s="6" t="e">
        <f t="shared" si="20"/>
        <v>#VALUE!</v>
      </c>
      <c r="E1099" s="6" t="s">
        <v>3140</v>
      </c>
      <c r="F1099" s="7">
        <v>393</v>
      </c>
      <c r="G1099" s="6" t="s">
        <v>17</v>
      </c>
      <c r="H1099" s="8" t="s">
        <v>5930</v>
      </c>
      <c r="I1099" s="9" t="s">
        <v>5934</v>
      </c>
      <c r="J1099" s="10" t="s">
        <v>5935</v>
      </c>
      <c r="K1099" s="9" t="s">
        <v>5936</v>
      </c>
      <c r="L1099" s="9" t="s">
        <v>5937</v>
      </c>
      <c r="M1099" s="9" t="s">
        <v>5938</v>
      </c>
      <c r="N1099" s="9" t="s">
        <v>1082</v>
      </c>
      <c r="O1099" s="6">
        <f t="shared" si="22"/>
        <v>788</v>
      </c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</row>
    <row r="1100" spans="1:27" ht="12.75" x14ac:dyDescent="0.2">
      <c r="A1100" s="5" t="s">
        <v>2937</v>
      </c>
      <c r="B1100" s="5" t="s">
        <v>2937</v>
      </c>
      <c r="C1100" s="4">
        <v>518</v>
      </c>
      <c r="D1100" s="6" t="e">
        <f t="shared" si="20"/>
        <v>#VALUE!</v>
      </c>
      <c r="E1100" s="6" t="s">
        <v>4533</v>
      </c>
      <c r="F1100" s="7">
        <v>393</v>
      </c>
      <c r="G1100" s="6" t="s">
        <v>17</v>
      </c>
      <c r="H1100" s="8" t="s">
        <v>5939</v>
      </c>
      <c r="I1100" s="9" t="s">
        <v>5940</v>
      </c>
      <c r="J1100" s="10" t="s">
        <v>5941</v>
      </c>
      <c r="K1100" s="9" t="s">
        <v>5942</v>
      </c>
      <c r="L1100" s="9" t="s">
        <v>5943</v>
      </c>
      <c r="M1100" s="9" t="s">
        <v>5944</v>
      </c>
      <c r="N1100" s="9" t="s">
        <v>1082</v>
      </c>
      <c r="O1100" s="6">
        <f t="shared" si="22"/>
        <v>788</v>
      </c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</row>
    <row r="1101" spans="1:27" ht="12.75" x14ac:dyDescent="0.2">
      <c r="A1101" s="5" t="s">
        <v>2937</v>
      </c>
      <c r="B1101" s="5" t="s">
        <v>2937</v>
      </c>
      <c r="C1101" s="4">
        <v>519</v>
      </c>
      <c r="D1101" s="6" t="e">
        <f t="shared" si="20"/>
        <v>#VALUE!</v>
      </c>
      <c r="E1101" s="6" t="s">
        <v>248</v>
      </c>
      <c r="F1101" s="7">
        <v>393</v>
      </c>
      <c r="G1101" s="6" t="s">
        <v>21</v>
      </c>
      <c r="H1101" s="11" t="s">
        <v>5945</v>
      </c>
      <c r="I1101" s="9" t="s">
        <v>5946</v>
      </c>
      <c r="J1101" s="9" t="s">
        <v>5947</v>
      </c>
      <c r="K1101" s="9" t="s">
        <v>5948</v>
      </c>
      <c r="L1101" s="9" t="s">
        <v>5949</v>
      </c>
      <c r="M1101" s="9" t="s">
        <v>5950</v>
      </c>
      <c r="N1101" s="9" t="s">
        <v>1082</v>
      </c>
      <c r="O1101" s="6">
        <f t="shared" si="22"/>
        <v>1970.0000345285982</v>
      </c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</row>
    <row r="1102" spans="1:27" ht="12.75" x14ac:dyDescent="0.2">
      <c r="A1102" s="5" t="s">
        <v>2937</v>
      </c>
      <c r="B1102" s="5" t="s">
        <v>2937</v>
      </c>
      <c r="C1102" s="4">
        <v>520</v>
      </c>
      <c r="D1102" s="6" t="e">
        <f t="shared" si="20"/>
        <v>#VALUE!</v>
      </c>
      <c r="E1102" s="6" t="s">
        <v>529</v>
      </c>
      <c r="F1102" s="7">
        <v>393</v>
      </c>
      <c r="G1102" s="6" t="s">
        <v>28</v>
      </c>
      <c r="H1102" s="8" t="s">
        <v>5951</v>
      </c>
      <c r="I1102" s="10" t="s">
        <v>5952</v>
      </c>
      <c r="J1102" s="9" t="s">
        <v>5953</v>
      </c>
      <c r="K1102" s="9" t="s">
        <v>5954</v>
      </c>
      <c r="L1102" s="9" t="s">
        <v>5955</v>
      </c>
      <c r="M1102" s="9" t="s">
        <v>5956</v>
      </c>
      <c r="N1102" s="9" t="s">
        <v>1082</v>
      </c>
      <c r="O1102" s="6">
        <f t="shared" si="22"/>
        <v>1576</v>
      </c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</row>
    <row r="1103" spans="1:27" ht="12.75" x14ac:dyDescent="0.2">
      <c r="A1103" s="5" t="s">
        <v>2937</v>
      </c>
      <c r="B1103" s="5" t="s">
        <v>2937</v>
      </c>
      <c r="C1103" s="4">
        <v>521</v>
      </c>
      <c r="D1103" s="6" t="e">
        <f t="shared" si="20"/>
        <v>#VALUE!</v>
      </c>
      <c r="E1103" s="6" t="s">
        <v>5957</v>
      </c>
      <c r="F1103" s="7">
        <v>394</v>
      </c>
      <c r="G1103" s="6" t="s">
        <v>28</v>
      </c>
      <c r="H1103" s="8" t="s">
        <v>5958</v>
      </c>
      <c r="I1103" s="10" t="s">
        <v>5959</v>
      </c>
      <c r="J1103" s="9" t="s">
        <v>5951</v>
      </c>
      <c r="K1103" s="9" t="s">
        <v>5960</v>
      </c>
      <c r="L1103" s="9" t="s">
        <v>1278</v>
      </c>
      <c r="M1103" s="9" t="s">
        <v>5961</v>
      </c>
      <c r="N1103" s="9" t="s">
        <v>1082</v>
      </c>
      <c r="O1103" s="6">
        <f t="shared" si="22"/>
        <v>1579.9999087820117</v>
      </c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</row>
    <row r="1104" spans="1:27" ht="12.75" x14ac:dyDescent="0.2">
      <c r="A1104" s="5" t="s">
        <v>2937</v>
      </c>
      <c r="B1104" s="5" t="s">
        <v>2937</v>
      </c>
      <c r="C1104" s="4">
        <v>522</v>
      </c>
      <c r="D1104" s="6" t="e">
        <f t="shared" si="20"/>
        <v>#VALUE!</v>
      </c>
      <c r="E1104" s="6" t="s">
        <v>5962</v>
      </c>
      <c r="F1104" s="7">
        <v>394</v>
      </c>
      <c r="G1104" s="6" t="s">
        <v>17</v>
      </c>
      <c r="H1104" s="8" t="s">
        <v>5963</v>
      </c>
      <c r="I1104" s="9" t="s">
        <v>5964</v>
      </c>
      <c r="J1104" s="10" t="s">
        <v>5965</v>
      </c>
      <c r="K1104" s="9" t="s">
        <v>5966</v>
      </c>
      <c r="L1104" s="9" t="s">
        <v>5967</v>
      </c>
      <c r="M1104" s="9" t="s">
        <v>5968</v>
      </c>
      <c r="N1104" s="9" t="s">
        <v>1082</v>
      </c>
      <c r="O1104" s="6">
        <f t="shared" si="22"/>
        <v>790.00004598018256</v>
      </c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</row>
    <row r="1105" spans="1:27" ht="12.75" x14ac:dyDescent="0.2">
      <c r="A1105" s="5" t="s">
        <v>2937</v>
      </c>
      <c r="B1105" s="5" t="s">
        <v>2937</v>
      </c>
      <c r="C1105" s="4">
        <v>523</v>
      </c>
      <c r="D1105" s="6" t="e">
        <f t="shared" si="20"/>
        <v>#VALUE!</v>
      </c>
      <c r="E1105" s="6" t="s">
        <v>4931</v>
      </c>
      <c r="F1105" s="7">
        <v>394</v>
      </c>
      <c r="G1105" s="6" t="s">
        <v>17</v>
      </c>
      <c r="H1105" s="8" t="s">
        <v>5969</v>
      </c>
      <c r="I1105" s="9" t="s">
        <v>5209</v>
      </c>
      <c r="J1105" s="10" t="s">
        <v>5348</v>
      </c>
      <c r="K1105" s="9" t="s">
        <v>5970</v>
      </c>
      <c r="L1105" s="9" t="s">
        <v>5971</v>
      </c>
      <c r="M1105" s="9" t="s">
        <v>5972</v>
      </c>
      <c r="N1105" s="9" t="s">
        <v>1082</v>
      </c>
      <c r="O1105" s="6">
        <f t="shared" si="22"/>
        <v>790</v>
      </c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</row>
    <row r="1106" spans="1:27" ht="12.75" x14ac:dyDescent="0.2">
      <c r="A1106" s="5" t="s">
        <v>2937</v>
      </c>
      <c r="B1106" s="5" t="s">
        <v>2937</v>
      </c>
      <c r="C1106" s="4">
        <v>524</v>
      </c>
      <c r="D1106" s="6" t="e">
        <f t="shared" si="20"/>
        <v>#VALUE!</v>
      </c>
      <c r="E1106" s="6" t="s">
        <v>2942</v>
      </c>
      <c r="F1106" s="7">
        <v>394</v>
      </c>
      <c r="G1106" s="6" t="s">
        <v>21</v>
      </c>
      <c r="H1106" s="11" t="s">
        <v>5973</v>
      </c>
      <c r="I1106" s="9" t="s">
        <v>5974</v>
      </c>
      <c r="J1106" s="9" t="s">
        <v>5975</v>
      </c>
      <c r="K1106" s="9" t="s">
        <v>5976</v>
      </c>
      <c r="L1106" s="9" t="s">
        <v>5977</v>
      </c>
      <c r="M1106" s="9" t="s">
        <v>5978</v>
      </c>
      <c r="N1106" s="9" t="s">
        <v>1082</v>
      </c>
      <c r="O1106" s="6">
        <f t="shared" si="22"/>
        <v>1975.0000170482635</v>
      </c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</row>
    <row r="1107" spans="1:27" ht="12.75" x14ac:dyDescent="0.2">
      <c r="A1107" s="5" t="s">
        <v>2937</v>
      </c>
      <c r="B1107" s="5" t="s">
        <v>2937</v>
      </c>
      <c r="C1107" s="4">
        <v>525</v>
      </c>
      <c r="D1107" s="6" t="e">
        <f t="shared" si="20"/>
        <v>#VALUE!</v>
      </c>
      <c r="E1107" s="6" t="s">
        <v>4406</v>
      </c>
      <c r="F1107" s="7">
        <v>395</v>
      </c>
      <c r="G1107" s="6" t="s">
        <v>28</v>
      </c>
      <c r="H1107" s="8" t="s">
        <v>5979</v>
      </c>
      <c r="I1107" s="10" t="s">
        <v>5980</v>
      </c>
      <c r="J1107" s="9" t="s">
        <v>5981</v>
      </c>
      <c r="K1107" s="9" t="s">
        <v>5982</v>
      </c>
      <c r="L1107" s="9" t="s">
        <v>5983</v>
      </c>
      <c r="M1107" s="9" t="s">
        <v>5984</v>
      </c>
      <c r="N1107" s="9" t="s">
        <v>1082</v>
      </c>
      <c r="O1107" s="6">
        <f t="shared" si="22"/>
        <v>1584</v>
      </c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</row>
    <row r="1108" spans="1:27" ht="12.75" x14ac:dyDescent="0.2">
      <c r="A1108" s="5" t="s">
        <v>2937</v>
      </c>
      <c r="B1108" s="5" t="s">
        <v>2937</v>
      </c>
      <c r="C1108" s="4">
        <v>526</v>
      </c>
      <c r="D1108" s="6" t="e">
        <f t="shared" si="20"/>
        <v>#VALUE!</v>
      </c>
      <c r="E1108" s="6" t="s">
        <v>498</v>
      </c>
      <c r="F1108" s="7">
        <v>395</v>
      </c>
      <c r="G1108" s="6" t="s">
        <v>17</v>
      </c>
      <c r="H1108" s="8" t="s">
        <v>5985</v>
      </c>
      <c r="I1108" s="9" t="s">
        <v>5986</v>
      </c>
      <c r="J1108" s="10" t="s">
        <v>5987</v>
      </c>
      <c r="K1108" s="9" t="s">
        <v>5988</v>
      </c>
      <c r="L1108" s="9" t="s">
        <v>5989</v>
      </c>
      <c r="M1108" s="9" t="s">
        <v>5990</v>
      </c>
      <c r="N1108" s="9" t="s">
        <v>1082</v>
      </c>
      <c r="O1108" s="6">
        <f t="shared" si="22"/>
        <v>792</v>
      </c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</row>
    <row r="1109" spans="1:27" ht="12.75" x14ac:dyDescent="0.2">
      <c r="A1109" s="5" t="s">
        <v>2937</v>
      </c>
      <c r="B1109" s="5" t="s">
        <v>2937</v>
      </c>
      <c r="C1109" s="4">
        <v>527</v>
      </c>
      <c r="D1109" s="6" t="e">
        <f t="shared" si="20"/>
        <v>#VALUE!</v>
      </c>
      <c r="E1109" s="6" t="s">
        <v>506</v>
      </c>
      <c r="F1109" s="7">
        <v>395</v>
      </c>
      <c r="G1109" s="6" t="s">
        <v>28</v>
      </c>
      <c r="H1109" s="8" t="s">
        <v>5991</v>
      </c>
      <c r="I1109" s="10" t="s">
        <v>5992</v>
      </c>
      <c r="J1109" s="9" t="s">
        <v>5993</v>
      </c>
      <c r="K1109" s="9" t="s">
        <v>5994</v>
      </c>
      <c r="L1109" s="9" t="s">
        <v>5995</v>
      </c>
      <c r="M1109" s="9" t="s">
        <v>5996</v>
      </c>
      <c r="N1109" s="9" t="s">
        <v>1082</v>
      </c>
      <c r="O1109" s="6">
        <f t="shared" si="22"/>
        <v>1584</v>
      </c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</row>
    <row r="1110" spans="1:27" ht="12.75" x14ac:dyDescent="0.2">
      <c r="A1110" s="5" t="s">
        <v>2937</v>
      </c>
      <c r="B1110" s="5" t="s">
        <v>2937</v>
      </c>
      <c r="C1110" s="4">
        <v>528</v>
      </c>
      <c r="D1110" s="6" t="e">
        <f t="shared" si="20"/>
        <v>#VALUE!</v>
      </c>
      <c r="E1110" s="6" t="s">
        <v>5048</v>
      </c>
      <c r="F1110" s="7">
        <v>395</v>
      </c>
      <c r="G1110" s="6" t="s">
        <v>21</v>
      </c>
      <c r="H1110" s="11" t="s">
        <v>5997</v>
      </c>
      <c r="I1110" s="9" t="s">
        <v>5998</v>
      </c>
      <c r="J1110" s="9" t="s">
        <v>5999</v>
      </c>
      <c r="K1110" s="9" t="s">
        <v>6000</v>
      </c>
      <c r="L1110" s="9" t="s">
        <v>6001</v>
      </c>
      <c r="M1110" s="9" t="s">
        <v>6002</v>
      </c>
      <c r="N1110" s="9" t="s">
        <v>1082</v>
      </c>
      <c r="O1110" s="6">
        <f t="shared" si="22"/>
        <v>1979.9999181786568</v>
      </c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</row>
    <row r="1111" spans="1:27" ht="12.75" x14ac:dyDescent="0.2">
      <c r="A1111" s="5" t="s">
        <v>2937</v>
      </c>
      <c r="B1111" s="5" t="s">
        <v>2937</v>
      </c>
      <c r="C1111" s="4">
        <v>529</v>
      </c>
      <c r="D1111" s="6" t="e">
        <f t="shared" si="20"/>
        <v>#VALUE!</v>
      </c>
      <c r="E1111" s="6" t="s">
        <v>5962</v>
      </c>
      <c r="F1111" s="7">
        <v>396</v>
      </c>
      <c r="G1111" s="6" t="s">
        <v>21</v>
      </c>
      <c r="H1111" s="11" t="s">
        <v>6003</v>
      </c>
      <c r="I1111" s="9" t="s">
        <v>6004</v>
      </c>
      <c r="J1111" s="9" t="s">
        <v>6005</v>
      </c>
      <c r="K1111" s="9" t="s">
        <v>6006</v>
      </c>
      <c r="L1111" s="9" t="s">
        <v>5085</v>
      </c>
      <c r="M1111" s="9" t="s">
        <v>6007</v>
      </c>
      <c r="N1111" s="9" t="s">
        <v>1082</v>
      </c>
      <c r="O1111" s="6">
        <f t="shared" si="22"/>
        <v>1984.9999328543611</v>
      </c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</row>
    <row r="1112" spans="1:27" ht="12.75" x14ac:dyDescent="0.2">
      <c r="A1112" s="5" t="s">
        <v>2937</v>
      </c>
      <c r="B1112" s="5" t="s">
        <v>2937</v>
      </c>
      <c r="C1112" s="4">
        <v>530</v>
      </c>
      <c r="D1112" s="6" t="e">
        <f t="shared" si="20"/>
        <v>#VALUE!</v>
      </c>
      <c r="E1112" s="6" t="s">
        <v>192</v>
      </c>
      <c r="F1112" s="7">
        <v>396</v>
      </c>
      <c r="G1112" s="6" t="s">
        <v>17</v>
      </c>
      <c r="H1112" s="8" t="s">
        <v>6008</v>
      </c>
      <c r="I1112" s="9" t="s">
        <v>6009</v>
      </c>
      <c r="J1112" s="10" t="s">
        <v>6010</v>
      </c>
      <c r="K1112" s="9" t="s">
        <v>6011</v>
      </c>
      <c r="L1112" s="9" t="s">
        <v>4262</v>
      </c>
      <c r="M1112" s="9" t="s">
        <v>6012</v>
      </c>
      <c r="N1112" s="9" t="s">
        <v>1082</v>
      </c>
      <c r="O1112" s="6">
        <f t="shared" si="22"/>
        <v>794.00004501361661</v>
      </c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</row>
    <row r="1113" spans="1:27" ht="12.75" x14ac:dyDescent="0.2">
      <c r="A1113" s="5" t="s">
        <v>2937</v>
      </c>
      <c r="B1113" s="5" t="s">
        <v>2937</v>
      </c>
      <c r="C1113" s="4">
        <v>531</v>
      </c>
      <c r="D1113" s="6" t="e">
        <f t="shared" si="20"/>
        <v>#VALUE!</v>
      </c>
      <c r="E1113" s="6" t="s">
        <v>61</v>
      </c>
      <c r="F1113" s="7">
        <v>396</v>
      </c>
      <c r="G1113" s="6" t="s">
        <v>28</v>
      </c>
      <c r="H1113" s="8" t="s">
        <v>6013</v>
      </c>
      <c r="I1113" s="10" t="s">
        <v>6014</v>
      </c>
      <c r="J1113" s="9" t="s">
        <v>6015</v>
      </c>
      <c r="K1113" s="9" t="s">
        <v>6016</v>
      </c>
      <c r="L1113" s="9" t="s">
        <v>5861</v>
      </c>
      <c r="M1113" s="9" t="s">
        <v>6017</v>
      </c>
      <c r="N1113" s="9" t="s">
        <v>1082</v>
      </c>
      <c r="O1113" s="6">
        <f t="shared" si="22"/>
        <v>1587.9999110340073</v>
      </c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</row>
    <row r="1114" spans="1:27" ht="12.75" x14ac:dyDescent="0.2">
      <c r="A1114" s="5" t="s">
        <v>2937</v>
      </c>
      <c r="B1114" s="5" t="s">
        <v>2937</v>
      </c>
      <c r="C1114" s="4">
        <v>532</v>
      </c>
      <c r="D1114" s="6" t="e">
        <f t="shared" si="20"/>
        <v>#VALUE!</v>
      </c>
      <c r="E1114" s="6" t="s">
        <v>4081</v>
      </c>
      <c r="F1114" s="7">
        <v>396</v>
      </c>
      <c r="G1114" s="6" t="s">
        <v>17</v>
      </c>
      <c r="H1114" s="8" t="s">
        <v>6018</v>
      </c>
      <c r="I1114" s="9" t="s">
        <v>6019</v>
      </c>
      <c r="J1114" s="10" t="s">
        <v>6020</v>
      </c>
      <c r="K1114" s="9" t="s">
        <v>6021</v>
      </c>
      <c r="L1114" s="9" t="s">
        <v>6022</v>
      </c>
      <c r="M1114" s="9" t="s">
        <v>6023</v>
      </c>
      <c r="N1114" s="9" t="s">
        <v>1082</v>
      </c>
      <c r="O1114" s="6">
        <f t="shared" si="22"/>
        <v>794.00004484405486</v>
      </c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</row>
    <row r="1115" spans="1:27" ht="12.75" x14ac:dyDescent="0.2">
      <c r="A1115" s="5" t="s">
        <v>2937</v>
      </c>
      <c r="B1115" s="5" t="s">
        <v>2937</v>
      </c>
      <c r="C1115" s="4">
        <v>533</v>
      </c>
      <c r="D1115" s="6" t="e">
        <f t="shared" si="20"/>
        <v>#VALUE!</v>
      </c>
      <c r="E1115" s="6" t="s">
        <v>3205</v>
      </c>
      <c r="F1115" s="7">
        <v>397</v>
      </c>
      <c r="G1115" s="6" t="s">
        <v>28</v>
      </c>
      <c r="H1115" s="8" t="s">
        <v>6024</v>
      </c>
      <c r="I1115" s="10" t="s">
        <v>6025</v>
      </c>
      <c r="J1115" s="9" t="s">
        <v>6026</v>
      </c>
      <c r="K1115" s="9" t="s">
        <v>6027</v>
      </c>
      <c r="L1115" s="9" t="s">
        <v>6028</v>
      </c>
      <c r="M1115" s="9" t="s">
        <v>6029</v>
      </c>
      <c r="N1115" s="9" t="s">
        <v>1082</v>
      </c>
      <c r="O1115" s="6">
        <f t="shared" si="22"/>
        <v>1592</v>
      </c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</row>
    <row r="1116" spans="1:27" ht="12.75" x14ac:dyDescent="0.2">
      <c r="A1116" s="5" t="s">
        <v>2937</v>
      </c>
      <c r="B1116" s="5" t="s">
        <v>2937</v>
      </c>
      <c r="C1116" s="4">
        <v>534</v>
      </c>
      <c r="D1116" s="6" t="e">
        <f t="shared" si="20"/>
        <v>#VALUE!</v>
      </c>
      <c r="E1116" s="6" t="s">
        <v>4399</v>
      </c>
      <c r="F1116" s="7">
        <v>397</v>
      </c>
      <c r="G1116" s="6" t="s">
        <v>17</v>
      </c>
      <c r="H1116" s="8" t="s">
        <v>6030</v>
      </c>
      <c r="I1116" s="9" t="s">
        <v>6031</v>
      </c>
      <c r="J1116" s="10" t="s">
        <v>6032</v>
      </c>
      <c r="K1116" s="9" t="s">
        <v>6033</v>
      </c>
      <c r="L1116" s="9" t="s">
        <v>6034</v>
      </c>
      <c r="M1116" s="9" t="s">
        <v>6035</v>
      </c>
      <c r="N1116" s="9" t="s">
        <v>1082</v>
      </c>
      <c r="O1116" s="6">
        <f t="shared" si="22"/>
        <v>796</v>
      </c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</row>
    <row r="1117" spans="1:27" ht="12.75" x14ac:dyDescent="0.2">
      <c r="A1117" s="5" t="s">
        <v>2937</v>
      </c>
      <c r="B1117" s="5" t="s">
        <v>2937</v>
      </c>
      <c r="C1117" s="4">
        <v>535</v>
      </c>
      <c r="D1117" s="6" t="e">
        <f t="shared" si="20"/>
        <v>#VALUE!</v>
      </c>
      <c r="E1117" s="6" t="s">
        <v>3164</v>
      </c>
      <c r="F1117" s="7">
        <v>397</v>
      </c>
      <c r="G1117" s="6" t="s">
        <v>28</v>
      </c>
      <c r="H1117" s="8" t="s">
        <v>6036</v>
      </c>
      <c r="I1117" s="10" t="s">
        <v>6037</v>
      </c>
      <c r="J1117" s="9" t="s">
        <v>6038</v>
      </c>
      <c r="K1117" s="9" t="s">
        <v>6039</v>
      </c>
      <c r="L1117" s="9" t="s">
        <v>6040</v>
      </c>
      <c r="M1117" s="9" t="s">
        <v>6041</v>
      </c>
      <c r="N1117" s="9" t="s">
        <v>1082</v>
      </c>
      <c r="O1117" s="6">
        <f t="shared" si="22"/>
        <v>1592</v>
      </c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</row>
    <row r="1118" spans="1:27" ht="12.75" x14ac:dyDescent="0.2">
      <c r="A1118" s="5" t="s">
        <v>2937</v>
      </c>
      <c r="B1118" s="5" t="s">
        <v>2937</v>
      </c>
      <c r="C1118" s="4">
        <v>536</v>
      </c>
      <c r="D1118" s="6" t="e">
        <f t="shared" si="20"/>
        <v>#VALUE!</v>
      </c>
      <c r="E1118" s="6" t="s">
        <v>4662</v>
      </c>
      <c r="F1118" s="7">
        <v>397</v>
      </c>
      <c r="G1118" s="6" t="s">
        <v>28</v>
      </c>
      <c r="H1118" s="8" t="s">
        <v>6042</v>
      </c>
      <c r="I1118" s="10" t="s">
        <v>6043</v>
      </c>
      <c r="J1118" s="9" t="s">
        <v>6044</v>
      </c>
      <c r="K1118" s="9" t="s">
        <v>6045</v>
      </c>
      <c r="L1118" s="9" t="s">
        <v>6046</v>
      </c>
      <c r="M1118" s="9" t="s">
        <v>6047</v>
      </c>
      <c r="N1118" s="9" t="s">
        <v>1082</v>
      </c>
      <c r="O1118" s="6">
        <f t="shared" si="22"/>
        <v>1592</v>
      </c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</row>
    <row r="1119" spans="1:27" ht="12.75" x14ac:dyDescent="0.2">
      <c r="A1119" s="5" t="s">
        <v>2937</v>
      </c>
      <c r="B1119" s="5" t="s">
        <v>2937</v>
      </c>
      <c r="C1119" s="4">
        <v>537</v>
      </c>
      <c r="D1119" s="6" t="e">
        <f t="shared" si="20"/>
        <v>#VALUE!</v>
      </c>
      <c r="E1119" s="6" t="s">
        <v>5874</v>
      </c>
      <c r="F1119" s="7">
        <v>398</v>
      </c>
      <c r="G1119" s="6" t="s">
        <v>21</v>
      </c>
      <c r="H1119" s="11" t="s">
        <v>6048</v>
      </c>
      <c r="I1119" s="9" t="s">
        <v>6049</v>
      </c>
      <c r="J1119" s="9" t="s">
        <v>6050</v>
      </c>
      <c r="K1119" s="9" t="s">
        <v>6051</v>
      </c>
      <c r="L1119" s="9" t="s">
        <v>6052</v>
      </c>
      <c r="M1119" s="9" t="s">
        <v>6053</v>
      </c>
      <c r="N1119" s="9" t="s">
        <v>1082</v>
      </c>
      <c r="O1119" s="6">
        <f t="shared" si="22"/>
        <v>1995.000032876352</v>
      </c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</row>
    <row r="1120" spans="1:27" ht="12.75" x14ac:dyDescent="0.2">
      <c r="A1120" s="5" t="s">
        <v>2937</v>
      </c>
      <c r="B1120" s="5" t="s">
        <v>2937</v>
      </c>
      <c r="C1120" s="4">
        <v>538</v>
      </c>
      <c r="D1120" s="6" t="e">
        <f t="shared" si="20"/>
        <v>#VALUE!</v>
      </c>
      <c r="E1120" s="6" t="s">
        <v>5199</v>
      </c>
      <c r="F1120" s="7">
        <v>398</v>
      </c>
      <c r="G1120" s="6" t="s">
        <v>21</v>
      </c>
      <c r="H1120" s="11" t="s">
        <v>6054</v>
      </c>
      <c r="I1120" s="9" t="s">
        <v>6055</v>
      </c>
      <c r="J1120" s="9" t="s">
        <v>6056</v>
      </c>
      <c r="K1120" s="9" t="s">
        <v>6057</v>
      </c>
      <c r="L1120" s="9" t="s">
        <v>6058</v>
      </c>
      <c r="M1120" s="9" t="s">
        <v>6059</v>
      </c>
      <c r="N1120" s="9" t="s">
        <v>1082</v>
      </c>
      <c r="O1120" s="6">
        <f t="shared" si="22"/>
        <v>1994.9999835923015</v>
      </c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</row>
    <row r="1121" spans="1:27" ht="12.75" x14ac:dyDescent="0.2">
      <c r="A1121" s="5" t="s">
        <v>2937</v>
      </c>
      <c r="B1121" s="5" t="s">
        <v>2937</v>
      </c>
      <c r="C1121" s="4">
        <v>539</v>
      </c>
      <c r="D1121" s="6" t="e">
        <f t="shared" si="20"/>
        <v>#VALUE!</v>
      </c>
      <c r="E1121" s="6" t="s">
        <v>6060</v>
      </c>
      <c r="F1121" s="7">
        <v>398</v>
      </c>
      <c r="G1121" s="6" t="s">
        <v>21</v>
      </c>
      <c r="H1121" s="11" t="s">
        <v>6061</v>
      </c>
      <c r="I1121" s="9" t="s">
        <v>6062</v>
      </c>
      <c r="J1121" s="9" t="s">
        <v>6063</v>
      </c>
      <c r="K1121" s="9" t="s">
        <v>6064</v>
      </c>
      <c r="L1121" s="9" t="s">
        <v>6065</v>
      </c>
      <c r="M1121" s="9" t="s">
        <v>6066</v>
      </c>
      <c r="N1121" s="9" t="s">
        <v>1082</v>
      </c>
      <c r="O1121" s="6">
        <f t="shared" si="22"/>
        <v>1995.0000163770655</v>
      </c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</row>
    <row r="1122" spans="1:27" ht="12.75" x14ac:dyDescent="0.2">
      <c r="A1122" s="5" t="s">
        <v>2937</v>
      </c>
      <c r="B1122" s="5" t="s">
        <v>2937</v>
      </c>
      <c r="C1122" s="4">
        <v>540</v>
      </c>
      <c r="D1122" s="6" t="e">
        <f t="shared" si="20"/>
        <v>#VALUE!</v>
      </c>
      <c r="E1122" s="6" t="s">
        <v>6067</v>
      </c>
      <c r="F1122" s="7">
        <v>398</v>
      </c>
      <c r="G1122" s="6" t="s">
        <v>17</v>
      </c>
      <c r="H1122" s="8" t="s">
        <v>5322</v>
      </c>
      <c r="I1122" s="9" t="s">
        <v>6068</v>
      </c>
      <c r="J1122" s="10" t="s">
        <v>6069</v>
      </c>
      <c r="K1122" s="9" t="s">
        <v>6070</v>
      </c>
      <c r="L1122" s="9" t="s">
        <v>6071</v>
      </c>
      <c r="M1122" s="9" t="s">
        <v>6072</v>
      </c>
      <c r="N1122" s="9" t="s">
        <v>1082</v>
      </c>
      <c r="O1122" s="6">
        <f t="shared" si="22"/>
        <v>798</v>
      </c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</row>
    <row r="1123" spans="1:27" ht="12.75" x14ac:dyDescent="0.2">
      <c r="A1123" s="5" t="s">
        <v>2937</v>
      </c>
      <c r="B1123" s="5" t="s">
        <v>2937</v>
      </c>
      <c r="C1123" s="4">
        <v>541</v>
      </c>
      <c r="D1123" s="6" t="e">
        <f t="shared" si="20"/>
        <v>#VALUE!</v>
      </c>
      <c r="E1123" s="6" t="s">
        <v>6073</v>
      </c>
      <c r="F1123" s="7">
        <v>399</v>
      </c>
      <c r="G1123" s="6" t="s">
        <v>21</v>
      </c>
      <c r="H1123" s="11" t="s">
        <v>6074</v>
      </c>
      <c r="I1123" s="9" t="s">
        <v>6075</v>
      </c>
      <c r="J1123" s="9" t="s">
        <v>6076</v>
      </c>
      <c r="K1123" s="9" t="s">
        <v>6077</v>
      </c>
      <c r="L1123" s="9" t="s">
        <v>6078</v>
      </c>
      <c r="M1123" s="9" t="s">
        <v>6079</v>
      </c>
      <c r="N1123" s="9" t="s">
        <v>1082</v>
      </c>
      <c r="O1123" s="6">
        <f t="shared" si="22"/>
        <v>2000</v>
      </c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</row>
    <row r="1124" spans="1:27" ht="12.75" x14ac:dyDescent="0.2">
      <c r="A1124" s="5" t="s">
        <v>2937</v>
      </c>
      <c r="B1124" s="5" t="s">
        <v>2937</v>
      </c>
      <c r="C1124" s="4">
        <v>542</v>
      </c>
      <c r="D1124" s="6" t="e">
        <f t="shared" si="20"/>
        <v>#VALUE!</v>
      </c>
      <c r="E1124" s="6" t="s">
        <v>354</v>
      </c>
      <c r="F1124" s="7">
        <v>399</v>
      </c>
      <c r="G1124" s="6" t="s">
        <v>21</v>
      </c>
      <c r="H1124" s="11" t="s">
        <v>6080</v>
      </c>
      <c r="I1124" s="9" t="s">
        <v>1283</v>
      </c>
      <c r="J1124" s="9" t="s">
        <v>6081</v>
      </c>
      <c r="K1124" s="9" t="s">
        <v>6082</v>
      </c>
      <c r="L1124" s="9" t="s">
        <v>6083</v>
      </c>
      <c r="M1124" s="9" t="s">
        <v>6084</v>
      </c>
      <c r="N1124" s="9" t="s">
        <v>1082</v>
      </c>
      <c r="O1124" s="6">
        <f t="shared" si="22"/>
        <v>2000</v>
      </c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</row>
    <row r="1125" spans="1:27" ht="12.75" x14ac:dyDescent="0.2">
      <c r="A1125" s="5" t="s">
        <v>2937</v>
      </c>
      <c r="B1125" s="5" t="s">
        <v>2937</v>
      </c>
      <c r="C1125" s="4">
        <v>543</v>
      </c>
      <c r="D1125" s="6" t="e">
        <f t="shared" si="20"/>
        <v>#VALUE!</v>
      </c>
      <c r="E1125" s="6" t="s">
        <v>6085</v>
      </c>
      <c r="F1125" s="7">
        <v>399</v>
      </c>
      <c r="G1125" s="6" t="s">
        <v>21</v>
      </c>
      <c r="H1125" s="11" t="s">
        <v>6086</v>
      </c>
      <c r="I1125" s="9" t="s">
        <v>6087</v>
      </c>
      <c r="J1125" s="9" t="s">
        <v>5877</v>
      </c>
      <c r="K1125" s="9" t="s">
        <v>6088</v>
      </c>
      <c r="L1125" s="9" t="s">
        <v>6089</v>
      </c>
      <c r="M1125" s="9" t="s">
        <v>6090</v>
      </c>
      <c r="N1125" s="9" t="s">
        <v>1082</v>
      </c>
      <c r="O1125" s="6">
        <f t="shared" si="22"/>
        <v>2000</v>
      </c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</row>
    <row r="1126" spans="1:27" ht="12.75" x14ac:dyDescent="0.2">
      <c r="A1126" s="5" t="s">
        <v>2937</v>
      </c>
      <c r="B1126" s="5" t="s">
        <v>2937</v>
      </c>
      <c r="C1126" s="4">
        <v>544</v>
      </c>
      <c r="D1126" s="6" t="e">
        <f t="shared" si="20"/>
        <v>#VALUE!</v>
      </c>
      <c r="E1126" s="6" t="s">
        <v>3510</v>
      </c>
      <c r="F1126" s="7">
        <v>399</v>
      </c>
      <c r="G1126" s="6" t="s">
        <v>28</v>
      </c>
      <c r="H1126" s="8" t="s">
        <v>1256</v>
      </c>
      <c r="I1126" s="10" t="s">
        <v>6091</v>
      </c>
      <c r="J1126" s="9" t="s">
        <v>2478</v>
      </c>
      <c r="K1126" s="9" t="s">
        <v>6092</v>
      </c>
      <c r="L1126" s="9" t="s">
        <v>6093</v>
      </c>
      <c r="M1126" s="9" t="s">
        <v>6094</v>
      </c>
      <c r="N1126" s="9" t="s">
        <v>1082</v>
      </c>
      <c r="O1126" s="6">
        <f t="shared" si="22"/>
        <v>1600</v>
      </c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</row>
    <row r="1127" spans="1:27" ht="12.75" x14ac:dyDescent="0.2">
      <c r="A1127" s="5" t="s">
        <v>2937</v>
      </c>
      <c r="B1127" s="5" t="s">
        <v>2937</v>
      </c>
      <c r="C1127" s="4">
        <v>545</v>
      </c>
      <c r="D1127" s="6" t="e">
        <f t="shared" si="20"/>
        <v>#VALUE!</v>
      </c>
      <c r="E1127" s="6" t="s">
        <v>3059</v>
      </c>
      <c r="F1127" s="7">
        <v>400</v>
      </c>
      <c r="G1127" s="6" t="s">
        <v>17</v>
      </c>
      <c r="H1127" s="8" t="s">
        <v>6095</v>
      </c>
      <c r="I1127" s="9" t="s">
        <v>6096</v>
      </c>
      <c r="J1127" s="10" t="s">
        <v>6097</v>
      </c>
      <c r="K1127" s="9" t="s">
        <v>6098</v>
      </c>
      <c r="L1127" s="9" t="s">
        <v>6099</v>
      </c>
      <c r="M1127" s="9" t="s">
        <v>6100</v>
      </c>
      <c r="N1127" s="9" t="s">
        <v>1082</v>
      </c>
      <c r="O1127" s="6">
        <f t="shared" si="22"/>
        <v>802.00002120733348</v>
      </c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</row>
    <row r="1128" spans="1:27" ht="12.75" x14ac:dyDescent="0.2">
      <c r="A1128" s="5" t="s">
        <v>2937</v>
      </c>
      <c r="B1128" s="5" t="s">
        <v>2937</v>
      </c>
      <c r="C1128" s="4">
        <v>546</v>
      </c>
      <c r="D1128" s="6" t="e">
        <f t="shared" si="20"/>
        <v>#VALUE!</v>
      </c>
      <c r="E1128" s="6" t="s">
        <v>3533</v>
      </c>
      <c r="F1128" s="7">
        <v>400</v>
      </c>
      <c r="G1128" s="6" t="s">
        <v>21</v>
      </c>
      <c r="H1128" s="11" t="s">
        <v>6101</v>
      </c>
      <c r="I1128" s="9" t="s">
        <v>6102</v>
      </c>
      <c r="J1128" s="9" t="s">
        <v>6103</v>
      </c>
      <c r="K1128" s="9" t="s">
        <v>6104</v>
      </c>
      <c r="L1128" s="9" t="s">
        <v>6105</v>
      </c>
      <c r="M1128" s="9" t="s">
        <v>6106</v>
      </c>
      <c r="N1128" s="9" t="s">
        <v>1082</v>
      </c>
      <c r="O1128" s="6">
        <f t="shared" si="22"/>
        <v>2004.9999920803998</v>
      </c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</row>
    <row r="1129" spans="1:27" ht="12.75" x14ac:dyDescent="0.2">
      <c r="A1129" s="5" t="s">
        <v>2937</v>
      </c>
      <c r="B1129" s="5" t="s">
        <v>2937</v>
      </c>
      <c r="C1129" s="4">
        <v>547</v>
      </c>
      <c r="D1129" s="6" t="e">
        <f t="shared" si="20"/>
        <v>#VALUE!</v>
      </c>
      <c r="E1129" s="6" t="s">
        <v>2953</v>
      </c>
      <c r="F1129" s="7">
        <v>400</v>
      </c>
      <c r="G1129" s="6" t="s">
        <v>28</v>
      </c>
      <c r="H1129" s="8" t="s">
        <v>6107</v>
      </c>
      <c r="I1129" s="10" t="s">
        <v>6108</v>
      </c>
      <c r="J1129" s="9" t="s">
        <v>6109</v>
      </c>
      <c r="K1129" s="9" t="s">
        <v>6110</v>
      </c>
      <c r="L1129" s="9" t="s">
        <v>6111</v>
      </c>
      <c r="M1129" s="9" t="s">
        <v>6112</v>
      </c>
      <c r="N1129" s="9" t="s">
        <v>1082</v>
      </c>
      <c r="O1129" s="6">
        <f t="shared" si="22"/>
        <v>1604</v>
      </c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</row>
    <row r="1130" spans="1:27" ht="12.75" x14ac:dyDescent="0.2">
      <c r="A1130" s="5" t="s">
        <v>2937</v>
      </c>
      <c r="B1130" s="5" t="s">
        <v>2937</v>
      </c>
      <c r="C1130" s="4">
        <v>548</v>
      </c>
      <c r="D1130" s="6" t="e">
        <f t="shared" si="20"/>
        <v>#VALUE!</v>
      </c>
      <c r="E1130" s="6" t="s">
        <v>6113</v>
      </c>
      <c r="F1130" s="7">
        <v>400</v>
      </c>
      <c r="G1130" s="6" t="s">
        <v>28</v>
      </c>
      <c r="H1130" s="8" t="s">
        <v>6114</v>
      </c>
      <c r="I1130" s="10" t="s">
        <v>6115</v>
      </c>
      <c r="J1130" s="9" t="s">
        <v>6116</v>
      </c>
      <c r="K1130" s="9" t="s">
        <v>6117</v>
      </c>
      <c r="L1130" s="9" t="s">
        <v>6118</v>
      </c>
      <c r="M1130" s="9" t="s">
        <v>6119</v>
      </c>
      <c r="N1130" s="9" t="s">
        <v>1082</v>
      </c>
      <c r="O1130" s="6">
        <f t="shared" si="22"/>
        <v>1604.0000839577692</v>
      </c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</row>
    <row r="1131" spans="1:27" ht="12.75" x14ac:dyDescent="0.2">
      <c r="A1131" s="5" t="s">
        <v>2937</v>
      </c>
      <c r="B1131" s="5" t="s">
        <v>2937</v>
      </c>
      <c r="C1131" s="4">
        <v>549</v>
      </c>
      <c r="D1131" s="6" t="e">
        <f t="shared" si="20"/>
        <v>#VALUE!</v>
      </c>
      <c r="E1131" s="6" t="s">
        <v>77</v>
      </c>
      <c r="F1131" s="7">
        <v>401</v>
      </c>
      <c r="G1131" s="6" t="s">
        <v>28</v>
      </c>
      <c r="H1131" s="8" t="s">
        <v>5234</v>
      </c>
      <c r="I1131" s="10" t="s">
        <v>6120</v>
      </c>
      <c r="J1131" s="9" t="s">
        <v>3937</v>
      </c>
      <c r="K1131" s="9" t="s">
        <v>6121</v>
      </c>
      <c r="L1131" s="9" t="s">
        <v>6122</v>
      </c>
      <c r="M1131" s="9" t="s">
        <v>6123</v>
      </c>
      <c r="N1131" s="9" t="s">
        <v>1082</v>
      </c>
      <c r="O1131" s="6">
        <f t="shared" si="22"/>
        <v>1608</v>
      </c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</row>
    <row r="1132" spans="1:27" ht="12.75" x14ac:dyDescent="0.2">
      <c r="A1132" s="5" t="s">
        <v>2937</v>
      </c>
      <c r="B1132" s="5" t="s">
        <v>2937</v>
      </c>
      <c r="C1132" s="4">
        <v>550</v>
      </c>
      <c r="D1132" s="6" t="e">
        <f t="shared" si="20"/>
        <v>#VALUE!</v>
      </c>
      <c r="E1132" s="6" t="s">
        <v>5828</v>
      </c>
      <c r="F1132" s="7">
        <v>401</v>
      </c>
      <c r="G1132" s="6" t="s">
        <v>17</v>
      </c>
      <c r="H1132" s="8" t="s">
        <v>6124</v>
      </c>
      <c r="I1132" s="9" t="s">
        <v>6125</v>
      </c>
      <c r="J1132" s="10" t="s">
        <v>6126</v>
      </c>
      <c r="K1132" s="9" t="s">
        <v>6127</v>
      </c>
      <c r="L1132" s="9" t="s">
        <v>6128</v>
      </c>
      <c r="M1132" s="9" t="s">
        <v>6129</v>
      </c>
      <c r="N1132" s="9" t="s">
        <v>1082</v>
      </c>
      <c r="O1132" s="6">
        <f t="shared" si="22"/>
        <v>804</v>
      </c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</row>
    <row r="1133" spans="1:27" ht="12.75" x14ac:dyDescent="0.2">
      <c r="A1133" s="5" t="s">
        <v>2937</v>
      </c>
      <c r="B1133" s="5" t="s">
        <v>2937</v>
      </c>
      <c r="C1133" s="4">
        <v>551</v>
      </c>
      <c r="D1133" s="6" t="e">
        <f t="shared" si="20"/>
        <v>#VALUE!</v>
      </c>
      <c r="E1133" s="6" t="s">
        <v>3214</v>
      </c>
      <c r="F1133" s="7">
        <v>401</v>
      </c>
      <c r="G1133" s="6" t="s">
        <v>21</v>
      </c>
      <c r="H1133" s="11" t="s">
        <v>6130</v>
      </c>
      <c r="I1133" s="9" t="s">
        <v>6131</v>
      </c>
      <c r="J1133" s="9" t="s">
        <v>6071</v>
      </c>
      <c r="K1133" s="9" t="s">
        <v>6132</v>
      </c>
      <c r="L1133" s="9" t="s">
        <v>6133</v>
      </c>
      <c r="M1133" s="9" t="s">
        <v>6134</v>
      </c>
      <c r="N1133" s="9" t="s">
        <v>1082</v>
      </c>
      <c r="O1133" s="6">
        <f t="shared" si="22"/>
        <v>2010.0000317586343</v>
      </c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</row>
    <row r="1134" spans="1:27" ht="12.75" x14ac:dyDescent="0.2">
      <c r="A1134" s="5" t="s">
        <v>2937</v>
      </c>
      <c r="B1134" s="5" t="s">
        <v>2937</v>
      </c>
      <c r="C1134" s="4">
        <v>552</v>
      </c>
      <c r="D1134" s="6" t="e">
        <f t="shared" si="20"/>
        <v>#VALUE!</v>
      </c>
      <c r="E1134" s="6" t="s">
        <v>5556</v>
      </c>
      <c r="F1134" s="7">
        <v>401</v>
      </c>
      <c r="G1134" s="6" t="s">
        <v>21</v>
      </c>
      <c r="H1134" s="11" t="s">
        <v>6135</v>
      </c>
      <c r="I1134" s="9" t="s">
        <v>6136</v>
      </c>
      <c r="J1134" s="9" t="s">
        <v>6137</v>
      </c>
      <c r="K1134" s="9" t="s">
        <v>6138</v>
      </c>
      <c r="L1134" s="9" t="s">
        <v>6139</v>
      </c>
      <c r="M1134" s="9" t="s">
        <v>6140</v>
      </c>
      <c r="N1134" s="9" t="s">
        <v>1082</v>
      </c>
      <c r="O1134" s="6">
        <f t="shared" si="22"/>
        <v>2009.9999682987525</v>
      </c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</row>
    <row r="1135" spans="1:27" ht="12.75" x14ac:dyDescent="0.2">
      <c r="A1135" s="5" t="s">
        <v>2937</v>
      </c>
      <c r="B1135" s="5" t="s">
        <v>2937</v>
      </c>
      <c r="C1135" s="4">
        <v>553</v>
      </c>
      <c r="D1135" s="6" t="e">
        <f t="shared" si="20"/>
        <v>#VALUE!</v>
      </c>
      <c r="E1135" s="6" t="s">
        <v>3373</v>
      </c>
      <c r="F1135" s="7">
        <v>402</v>
      </c>
      <c r="G1135" s="6" t="s">
        <v>17</v>
      </c>
      <c r="H1135" s="8" t="s">
        <v>5389</v>
      </c>
      <c r="I1135" s="9" t="s">
        <v>2351</v>
      </c>
      <c r="J1135" s="10" t="s">
        <v>6141</v>
      </c>
      <c r="K1135" s="9" t="s">
        <v>6142</v>
      </c>
      <c r="L1135" s="9" t="s">
        <v>6143</v>
      </c>
      <c r="M1135" s="9" t="s">
        <v>6144</v>
      </c>
      <c r="N1135" s="9" t="s">
        <v>1082</v>
      </c>
      <c r="O1135" s="6">
        <f t="shared" si="22"/>
        <v>805.99995762262949</v>
      </c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</row>
    <row r="1136" spans="1:27" ht="12.75" x14ac:dyDescent="0.2">
      <c r="A1136" s="5" t="s">
        <v>2937</v>
      </c>
      <c r="B1136" s="5" t="s">
        <v>2937</v>
      </c>
      <c r="C1136" s="4">
        <v>554</v>
      </c>
      <c r="D1136" s="6" t="e">
        <f t="shared" si="20"/>
        <v>#VALUE!</v>
      </c>
      <c r="E1136" s="6" t="s">
        <v>5765</v>
      </c>
      <c r="F1136" s="7">
        <v>402</v>
      </c>
      <c r="G1136" s="6" t="s">
        <v>28</v>
      </c>
      <c r="H1136" s="8" t="s">
        <v>6145</v>
      </c>
      <c r="I1136" s="10" t="s">
        <v>6146</v>
      </c>
      <c r="J1136" s="9" t="s">
        <v>6147</v>
      </c>
      <c r="K1136" s="9" t="s">
        <v>6148</v>
      </c>
      <c r="L1136" s="9" t="s">
        <v>6149</v>
      </c>
      <c r="M1136" s="9" t="s">
        <v>6150</v>
      </c>
      <c r="N1136" s="9" t="s">
        <v>1082</v>
      </c>
      <c r="O1136" s="6">
        <f t="shared" si="22"/>
        <v>1612</v>
      </c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</row>
    <row r="1137" spans="1:27" ht="12.75" x14ac:dyDescent="0.2">
      <c r="A1137" s="5" t="s">
        <v>2937</v>
      </c>
      <c r="B1137" s="5" t="s">
        <v>2937</v>
      </c>
      <c r="C1137" s="4">
        <v>555</v>
      </c>
      <c r="D1137" s="6" t="e">
        <f t="shared" si="20"/>
        <v>#VALUE!</v>
      </c>
      <c r="E1137" s="6" t="s">
        <v>31</v>
      </c>
      <c r="F1137" s="7">
        <v>402</v>
      </c>
      <c r="G1137" s="6" t="s">
        <v>17</v>
      </c>
      <c r="H1137" s="8" t="s">
        <v>3928</v>
      </c>
      <c r="I1137" s="9" t="s">
        <v>6151</v>
      </c>
      <c r="J1137" s="10" t="s">
        <v>6152</v>
      </c>
      <c r="K1137" s="9" t="s">
        <v>6153</v>
      </c>
      <c r="L1137" s="9" t="s">
        <v>6154</v>
      </c>
      <c r="M1137" s="9" t="s">
        <v>6155</v>
      </c>
      <c r="N1137" s="9" t="s">
        <v>1082</v>
      </c>
      <c r="O1137" s="6">
        <f t="shared" si="22"/>
        <v>806</v>
      </c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</row>
    <row r="1138" spans="1:27" ht="12.75" x14ac:dyDescent="0.2">
      <c r="A1138" s="5" t="s">
        <v>2937</v>
      </c>
      <c r="B1138" s="5" t="s">
        <v>2937</v>
      </c>
      <c r="C1138" s="4">
        <v>556</v>
      </c>
      <c r="D1138" s="6" t="e">
        <f t="shared" si="20"/>
        <v>#VALUE!</v>
      </c>
      <c r="E1138" s="6" t="s">
        <v>4378</v>
      </c>
      <c r="F1138" s="7">
        <v>402</v>
      </c>
      <c r="G1138" s="6" t="s">
        <v>17</v>
      </c>
      <c r="H1138" s="8" t="s">
        <v>6156</v>
      </c>
      <c r="I1138" s="9" t="s">
        <v>6157</v>
      </c>
      <c r="J1138" s="10" t="s">
        <v>6158</v>
      </c>
      <c r="K1138" s="9" t="s">
        <v>6159</v>
      </c>
      <c r="L1138" s="9" t="s">
        <v>6160</v>
      </c>
      <c r="M1138" s="9" t="s">
        <v>6161</v>
      </c>
      <c r="N1138" s="9" t="s">
        <v>1082</v>
      </c>
      <c r="O1138" s="6">
        <f t="shared" si="22"/>
        <v>806</v>
      </c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</row>
    <row r="1139" spans="1:27" ht="12.75" x14ac:dyDescent="0.2">
      <c r="A1139" s="5" t="s">
        <v>2937</v>
      </c>
      <c r="B1139" s="5" t="s">
        <v>2937</v>
      </c>
      <c r="C1139" s="4">
        <v>557</v>
      </c>
      <c r="D1139" s="6" t="e">
        <f t="shared" si="20"/>
        <v>#VALUE!</v>
      </c>
      <c r="E1139" s="6" t="s">
        <v>3083</v>
      </c>
      <c r="F1139" s="7">
        <v>403</v>
      </c>
      <c r="G1139" s="6" t="s">
        <v>21</v>
      </c>
      <c r="H1139" s="11" t="s">
        <v>6162</v>
      </c>
      <c r="I1139" s="9" t="s">
        <v>6163</v>
      </c>
      <c r="J1139" s="9" t="s">
        <v>6164</v>
      </c>
      <c r="K1139" s="9" t="s">
        <v>6165</v>
      </c>
      <c r="L1139" s="9" t="s">
        <v>6166</v>
      </c>
      <c r="M1139" s="9" t="s">
        <v>6167</v>
      </c>
      <c r="N1139" s="9" t="s">
        <v>1082</v>
      </c>
      <c r="O1139" s="6">
        <f t="shared" si="22"/>
        <v>2020.0000624658389</v>
      </c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</row>
    <row r="1140" spans="1:27" ht="12.75" x14ac:dyDescent="0.2">
      <c r="A1140" s="5" t="s">
        <v>2937</v>
      </c>
      <c r="B1140" s="5" t="s">
        <v>2937</v>
      </c>
      <c r="C1140" s="4">
        <v>558</v>
      </c>
      <c r="D1140" s="6" t="e">
        <f t="shared" si="20"/>
        <v>#VALUE!</v>
      </c>
      <c r="E1140" s="6" t="s">
        <v>4606</v>
      </c>
      <c r="F1140" s="7">
        <v>403</v>
      </c>
      <c r="G1140" s="6" t="s">
        <v>21</v>
      </c>
      <c r="H1140" s="11" t="s">
        <v>6168</v>
      </c>
      <c r="I1140" s="9" t="s">
        <v>6169</v>
      </c>
      <c r="J1140" s="9" t="s">
        <v>6170</v>
      </c>
      <c r="K1140" s="9" t="s">
        <v>6171</v>
      </c>
      <c r="L1140" s="9" t="s">
        <v>6172</v>
      </c>
      <c r="M1140" s="9" t="s">
        <v>6173</v>
      </c>
      <c r="N1140" s="9" t="s">
        <v>1082</v>
      </c>
      <c r="O1140" s="6">
        <f t="shared" si="22"/>
        <v>2020</v>
      </c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</row>
    <row r="1141" spans="1:27" ht="12.75" x14ac:dyDescent="0.2">
      <c r="A1141" s="5" t="s">
        <v>2937</v>
      </c>
      <c r="B1141" s="5" t="s">
        <v>2937</v>
      </c>
      <c r="C1141" s="4">
        <v>559</v>
      </c>
      <c r="D1141" s="6" t="e">
        <f t="shared" si="20"/>
        <v>#VALUE!</v>
      </c>
      <c r="E1141" s="6" t="s">
        <v>6174</v>
      </c>
      <c r="F1141" s="7">
        <v>403</v>
      </c>
      <c r="G1141" s="6" t="s">
        <v>21</v>
      </c>
      <c r="H1141" s="11" t="s">
        <v>6175</v>
      </c>
      <c r="I1141" s="9" t="s">
        <v>6176</v>
      </c>
      <c r="J1141" s="9" t="s">
        <v>6177</v>
      </c>
      <c r="K1141" s="9" t="s">
        <v>6178</v>
      </c>
      <c r="L1141" s="9" t="s">
        <v>6179</v>
      </c>
      <c r="M1141" s="9" t="s">
        <v>6180</v>
      </c>
      <c r="N1141" s="9" t="s">
        <v>1082</v>
      </c>
      <c r="O1141" s="6">
        <f t="shared" si="22"/>
        <v>2019.9999377577219</v>
      </c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</row>
    <row r="1142" spans="1:27" ht="12.75" x14ac:dyDescent="0.2">
      <c r="A1142" s="5" t="s">
        <v>2937</v>
      </c>
      <c r="B1142" s="5" t="s">
        <v>2937</v>
      </c>
      <c r="C1142" s="4">
        <v>560</v>
      </c>
      <c r="D1142" s="6" t="e">
        <f t="shared" si="20"/>
        <v>#VALUE!</v>
      </c>
      <c r="E1142" s="6" t="s">
        <v>133</v>
      </c>
      <c r="F1142" s="7">
        <v>403</v>
      </c>
      <c r="G1142" s="6" t="s">
        <v>17</v>
      </c>
      <c r="H1142" s="8" t="s">
        <v>6181</v>
      </c>
      <c r="I1142" s="9" t="s">
        <v>6182</v>
      </c>
      <c r="J1142" s="10" t="s">
        <v>6183</v>
      </c>
      <c r="K1142" s="9" t="s">
        <v>6184</v>
      </c>
      <c r="L1142" s="9" t="s">
        <v>6185</v>
      </c>
      <c r="M1142" s="9" t="s">
        <v>6186</v>
      </c>
      <c r="N1142" s="9" t="s">
        <v>1082</v>
      </c>
      <c r="O1142" s="6">
        <f t="shared" si="22"/>
        <v>808</v>
      </c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</row>
    <row r="1143" spans="1:27" ht="12.75" x14ac:dyDescent="0.2">
      <c r="A1143" s="5" t="s">
        <v>2937</v>
      </c>
      <c r="B1143" s="5" t="s">
        <v>2937</v>
      </c>
      <c r="C1143" s="4">
        <v>561</v>
      </c>
      <c r="D1143" s="6" t="e">
        <f t="shared" si="20"/>
        <v>#VALUE!</v>
      </c>
      <c r="E1143" s="6" t="s">
        <v>6187</v>
      </c>
      <c r="F1143" s="7">
        <v>404</v>
      </c>
      <c r="G1143" s="6" t="s">
        <v>28</v>
      </c>
      <c r="H1143" s="8" t="s">
        <v>6188</v>
      </c>
      <c r="I1143" s="10" t="s">
        <v>6189</v>
      </c>
      <c r="J1143" s="9" t="s">
        <v>2397</v>
      </c>
      <c r="K1143" s="9" t="s">
        <v>6190</v>
      </c>
      <c r="L1143" s="9" t="s">
        <v>6191</v>
      </c>
      <c r="M1143" s="9" t="s">
        <v>6192</v>
      </c>
      <c r="N1143" s="9" t="s">
        <v>1082</v>
      </c>
      <c r="O1143" s="6">
        <f t="shared" si="22"/>
        <v>1620</v>
      </c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</row>
    <row r="1144" spans="1:27" ht="12.75" x14ac:dyDescent="0.2">
      <c r="A1144" s="5" t="s">
        <v>2937</v>
      </c>
      <c r="B1144" s="5" t="s">
        <v>2937</v>
      </c>
      <c r="C1144" s="4">
        <v>562</v>
      </c>
      <c r="D1144" s="6" t="e">
        <f t="shared" si="20"/>
        <v>#VALUE!</v>
      </c>
      <c r="E1144" s="6" t="s">
        <v>172</v>
      </c>
      <c r="F1144" s="7">
        <v>404</v>
      </c>
      <c r="G1144" s="6" t="s">
        <v>17</v>
      </c>
      <c r="H1144" s="8" t="s">
        <v>6193</v>
      </c>
      <c r="I1144" s="9" t="s">
        <v>6194</v>
      </c>
      <c r="J1144" s="10" t="s">
        <v>6195</v>
      </c>
      <c r="K1144" s="9" t="s">
        <v>6196</v>
      </c>
      <c r="L1144" s="9" t="s">
        <v>6197</v>
      </c>
      <c r="M1144" s="9" t="s">
        <v>6198</v>
      </c>
      <c r="N1144" s="9" t="s">
        <v>1082</v>
      </c>
      <c r="O1144" s="6">
        <f t="shared" si="22"/>
        <v>810</v>
      </c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</row>
    <row r="1145" spans="1:27" ht="12.75" x14ac:dyDescent="0.2">
      <c r="A1145" s="5" t="s">
        <v>2937</v>
      </c>
      <c r="B1145" s="5" t="s">
        <v>2937</v>
      </c>
      <c r="C1145" s="4">
        <v>563</v>
      </c>
      <c r="D1145" s="6" t="e">
        <f t="shared" si="20"/>
        <v>#VALUE!</v>
      </c>
      <c r="E1145" s="6" t="s">
        <v>4662</v>
      </c>
      <c r="F1145" s="7">
        <v>404</v>
      </c>
      <c r="G1145" s="6" t="s">
        <v>28</v>
      </c>
      <c r="H1145" s="8" t="s">
        <v>6199</v>
      </c>
      <c r="I1145" s="10" t="s">
        <v>6200</v>
      </c>
      <c r="J1145" s="9" t="s">
        <v>5405</v>
      </c>
      <c r="K1145" s="9" t="s">
        <v>6201</v>
      </c>
      <c r="L1145" s="9" t="s">
        <v>6202</v>
      </c>
      <c r="M1145" s="9" t="s">
        <v>6203</v>
      </c>
      <c r="N1145" s="9" t="s">
        <v>1082</v>
      </c>
      <c r="O1145" s="6">
        <f t="shared" si="22"/>
        <v>1619.9999180411844</v>
      </c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</row>
    <row r="1146" spans="1:27" ht="12.75" x14ac:dyDescent="0.2">
      <c r="A1146" s="5" t="s">
        <v>2937</v>
      </c>
      <c r="B1146" s="5" t="s">
        <v>2937</v>
      </c>
      <c r="C1146" s="4">
        <v>564</v>
      </c>
      <c r="D1146" s="6" t="e">
        <f t="shared" si="20"/>
        <v>#VALUE!</v>
      </c>
      <c r="E1146" s="6" t="s">
        <v>6204</v>
      </c>
      <c r="F1146" s="7">
        <v>404</v>
      </c>
      <c r="G1146" s="6" t="s">
        <v>17</v>
      </c>
      <c r="H1146" s="8" t="s">
        <v>6205</v>
      </c>
      <c r="I1146" s="9" t="s">
        <v>5459</v>
      </c>
      <c r="J1146" s="10" t="s">
        <v>6206</v>
      </c>
      <c r="K1146" s="9" t="s">
        <v>6207</v>
      </c>
      <c r="L1146" s="9" t="s">
        <v>6208</v>
      </c>
      <c r="M1146" s="9" t="s">
        <v>6209</v>
      </c>
      <c r="N1146" s="9" t="s">
        <v>1082</v>
      </c>
      <c r="O1146" s="6">
        <f t="shared" si="22"/>
        <v>810.00004130609886</v>
      </c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</row>
    <row r="1147" spans="1:27" ht="12.75" x14ac:dyDescent="0.2">
      <c r="A1147" s="5" t="s">
        <v>2937</v>
      </c>
      <c r="B1147" s="5" t="s">
        <v>2937</v>
      </c>
      <c r="C1147" s="4">
        <v>565</v>
      </c>
      <c r="D1147" s="6" t="e">
        <f t="shared" si="20"/>
        <v>#VALUE!</v>
      </c>
      <c r="E1147" s="6" t="s">
        <v>3575</v>
      </c>
      <c r="F1147" s="7">
        <v>405</v>
      </c>
      <c r="G1147" s="6" t="s">
        <v>17</v>
      </c>
      <c r="H1147" s="8" t="s">
        <v>6210</v>
      </c>
      <c r="I1147" s="9" t="s">
        <v>6211</v>
      </c>
      <c r="J1147" s="10" t="s">
        <v>6212</v>
      </c>
      <c r="K1147" s="9" t="s">
        <v>6213</v>
      </c>
      <c r="L1147" s="9" t="s">
        <v>6214</v>
      </c>
      <c r="M1147" s="9" t="s">
        <v>6215</v>
      </c>
      <c r="N1147" s="9" t="s">
        <v>1082</v>
      </c>
      <c r="O1147" s="6">
        <f t="shared" si="22"/>
        <v>812</v>
      </c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</row>
    <row r="1148" spans="1:27" ht="12.75" x14ac:dyDescent="0.2">
      <c r="A1148" s="5" t="s">
        <v>2937</v>
      </c>
      <c r="B1148" s="5" t="s">
        <v>2937</v>
      </c>
      <c r="C1148" s="4">
        <v>566</v>
      </c>
      <c r="D1148" s="6" t="e">
        <f t="shared" si="20"/>
        <v>#VALUE!</v>
      </c>
      <c r="E1148" s="6" t="s">
        <v>752</v>
      </c>
      <c r="F1148" s="7">
        <v>405</v>
      </c>
      <c r="G1148" s="6" t="s">
        <v>28</v>
      </c>
      <c r="H1148" s="8" t="s">
        <v>6216</v>
      </c>
      <c r="I1148" s="10" t="s">
        <v>6217</v>
      </c>
      <c r="J1148" s="9" t="s">
        <v>6218</v>
      </c>
      <c r="K1148" s="9" t="s">
        <v>6219</v>
      </c>
      <c r="L1148" s="9" t="s">
        <v>6220</v>
      </c>
      <c r="M1148" s="9" t="s">
        <v>6221</v>
      </c>
      <c r="N1148" s="9" t="s">
        <v>1082</v>
      </c>
      <c r="O1148" s="6">
        <f t="shared" si="22"/>
        <v>1624</v>
      </c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</row>
    <row r="1149" spans="1:27" ht="12.75" x14ac:dyDescent="0.2">
      <c r="A1149" s="5" t="s">
        <v>2937</v>
      </c>
      <c r="B1149" s="5" t="s">
        <v>2937</v>
      </c>
      <c r="C1149" s="4">
        <v>567</v>
      </c>
      <c r="D1149" s="6" t="e">
        <f t="shared" si="20"/>
        <v>#VALUE!</v>
      </c>
      <c r="E1149" s="6" t="s">
        <v>6222</v>
      </c>
      <c r="F1149" s="7">
        <v>405</v>
      </c>
      <c r="G1149" s="6" t="s">
        <v>28</v>
      </c>
      <c r="H1149" s="8" t="s">
        <v>6223</v>
      </c>
      <c r="I1149" s="10" t="s">
        <v>6224</v>
      </c>
      <c r="J1149" s="9" t="s">
        <v>6225</v>
      </c>
      <c r="K1149" s="9" t="s">
        <v>6226</v>
      </c>
      <c r="L1149" s="9" t="s">
        <v>6227</v>
      </c>
      <c r="M1149" s="9" t="s">
        <v>6228</v>
      </c>
      <c r="N1149" s="9" t="s">
        <v>1082</v>
      </c>
      <c r="O1149" s="6">
        <f t="shared" si="22"/>
        <v>1624</v>
      </c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</row>
    <row r="1150" spans="1:27" ht="12.75" x14ac:dyDescent="0.2">
      <c r="A1150" s="5" t="s">
        <v>2937</v>
      </c>
      <c r="B1150" s="5" t="s">
        <v>2937</v>
      </c>
      <c r="C1150" s="4">
        <v>568</v>
      </c>
      <c r="D1150" s="6" t="e">
        <f t="shared" si="20"/>
        <v>#VALUE!</v>
      </c>
      <c r="E1150" s="6" t="s">
        <v>6229</v>
      </c>
      <c r="F1150" s="7">
        <v>405</v>
      </c>
      <c r="G1150" s="6" t="s">
        <v>28</v>
      </c>
      <c r="H1150" s="8" t="s">
        <v>6230</v>
      </c>
      <c r="I1150" s="10" t="s">
        <v>6231</v>
      </c>
      <c r="J1150" s="9" t="s">
        <v>6232</v>
      </c>
      <c r="K1150" s="9" t="s">
        <v>6233</v>
      </c>
      <c r="L1150" s="9" t="s">
        <v>6234</v>
      </c>
      <c r="M1150" s="9" t="s">
        <v>6235</v>
      </c>
      <c r="N1150" s="9" t="s">
        <v>1082</v>
      </c>
      <c r="O1150" s="6">
        <f t="shared" si="22"/>
        <v>1624</v>
      </c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</row>
    <row r="1151" spans="1:27" ht="12.75" x14ac:dyDescent="0.2">
      <c r="A1151" s="5" t="s">
        <v>2937</v>
      </c>
      <c r="B1151" s="5" t="s">
        <v>2937</v>
      </c>
      <c r="C1151" s="4">
        <v>569</v>
      </c>
      <c r="D1151" s="6" t="e">
        <f t="shared" si="20"/>
        <v>#VALUE!</v>
      </c>
      <c r="E1151" s="6" t="s">
        <v>88</v>
      </c>
      <c r="F1151" s="7">
        <v>406</v>
      </c>
      <c r="G1151" s="6" t="s">
        <v>28</v>
      </c>
      <c r="H1151" s="8" t="s">
        <v>6236</v>
      </c>
      <c r="I1151" s="10" t="s">
        <v>6237</v>
      </c>
      <c r="J1151" s="9" t="s">
        <v>6238</v>
      </c>
      <c r="K1151" s="9" t="s">
        <v>6239</v>
      </c>
      <c r="L1151" s="9" t="s">
        <v>6240</v>
      </c>
      <c r="M1151" s="9" t="s">
        <v>6241</v>
      </c>
      <c r="N1151" s="9" t="s">
        <v>1082</v>
      </c>
      <c r="O1151" s="6">
        <f t="shared" si="22"/>
        <v>1628</v>
      </c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</row>
    <row r="1152" spans="1:27" ht="12.75" x14ac:dyDescent="0.2">
      <c r="A1152" s="5" t="s">
        <v>2937</v>
      </c>
      <c r="B1152" s="5" t="s">
        <v>2937</v>
      </c>
      <c r="C1152" s="4">
        <v>570</v>
      </c>
      <c r="D1152" s="6" t="e">
        <f t="shared" si="20"/>
        <v>#VALUE!</v>
      </c>
      <c r="E1152" s="6" t="s">
        <v>4838</v>
      </c>
      <c r="F1152" s="7">
        <v>406</v>
      </c>
      <c r="G1152" s="6" t="s">
        <v>28</v>
      </c>
      <c r="H1152" s="8" t="s">
        <v>6242</v>
      </c>
      <c r="I1152" s="10" t="s">
        <v>6243</v>
      </c>
      <c r="J1152" s="9" t="s">
        <v>6244</v>
      </c>
      <c r="K1152" s="9" t="s">
        <v>6245</v>
      </c>
      <c r="L1152" s="9" t="s">
        <v>6246</v>
      </c>
      <c r="M1152" s="9" t="s">
        <v>6247</v>
      </c>
      <c r="N1152" s="9" t="s">
        <v>1082</v>
      </c>
      <c r="O1152" s="6">
        <f t="shared" si="22"/>
        <v>1628</v>
      </c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</row>
    <row r="1153" spans="1:27" ht="12.75" x14ac:dyDescent="0.2">
      <c r="A1153" s="5" t="s">
        <v>2937</v>
      </c>
      <c r="B1153" s="5" t="s">
        <v>2937</v>
      </c>
      <c r="C1153" s="4">
        <v>571</v>
      </c>
      <c r="D1153" s="6" t="e">
        <f t="shared" si="20"/>
        <v>#VALUE!</v>
      </c>
      <c r="E1153" s="6" t="s">
        <v>2998</v>
      </c>
      <c r="F1153" s="7">
        <v>406</v>
      </c>
      <c r="G1153" s="6" t="s">
        <v>17</v>
      </c>
      <c r="H1153" s="8" t="s">
        <v>6248</v>
      </c>
      <c r="I1153" s="9" t="s">
        <v>5455</v>
      </c>
      <c r="J1153" s="10" t="s">
        <v>6249</v>
      </c>
      <c r="K1153" s="9" t="s">
        <v>6250</v>
      </c>
      <c r="L1153" s="9" t="s">
        <v>1395</v>
      </c>
      <c r="M1153" s="9" t="s">
        <v>6251</v>
      </c>
      <c r="N1153" s="9" t="s">
        <v>1082</v>
      </c>
      <c r="O1153" s="6">
        <f t="shared" si="22"/>
        <v>813.999959437808</v>
      </c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</row>
    <row r="1154" spans="1:27" ht="12.75" x14ac:dyDescent="0.2">
      <c r="A1154" s="5" t="s">
        <v>2937</v>
      </c>
      <c r="B1154" s="5" t="s">
        <v>2937</v>
      </c>
      <c r="C1154" s="4">
        <v>572</v>
      </c>
      <c r="D1154" s="6" t="e">
        <f t="shared" si="20"/>
        <v>#VALUE!</v>
      </c>
      <c r="E1154" s="6" t="s">
        <v>4391</v>
      </c>
      <c r="F1154" s="7">
        <v>406</v>
      </c>
      <c r="G1154" s="6" t="s">
        <v>21</v>
      </c>
      <c r="H1154" s="11" t="s">
        <v>6252</v>
      </c>
      <c r="I1154" s="9" t="s">
        <v>6253</v>
      </c>
      <c r="J1154" s="9" t="s">
        <v>6254</v>
      </c>
      <c r="K1154" s="9" t="s">
        <v>6255</v>
      </c>
      <c r="L1154" s="9" t="s">
        <v>6256</v>
      </c>
      <c r="M1154" s="9" t="s">
        <v>6257</v>
      </c>
      <c r="N1154" s="9" t="s">
        <v>1082</v>
      </c>
      <c r="O1154" s="6">
        <f t="shared" si="22"/>
        <v>2034.9999849240928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</row>
    <row r="1155" spans="1:27" ht="12.75" x14ac:dyDescent="0.2">
      <c r="A1155" s="5" t="s">
        <v>2937</v>
      </c>
      <c r="B1155" s="5" t="s">
        <v>2937</v>
      </c>
      <c r="C1155" s="4">
        <v>573</v>
      </c>
      <c r="D1155" s="6" t="e">
        <f t="shared" si="20"/>
        <v>#VALUE!</v>
      </c>
      <c r="E1155" s="6" t="s">
        <v>4678</v>
      </c>
      <c r="F1155" s="7">
        <v>407</v>
      </c>
      <c r="G1155" s="6" t="s">
        <v>28</v>
      </c>
      <c r="H1155" s="8" t="s">
        <v>6258</v>
      </c>
      <c r="I1155" s="10" t="s">
        <v>6259</v>
      </c>
      <c r="J1155" s="9" t="s">
        <v>6260</v>
      </c>
      <c r="K1155" s="9" t="s">
        <v>6261</v>
      </c>
      <c r="L1155" s="9" t="s">
        <v>6262</v>
      </c>
      <c r="M1155" s="9" t="s">
        <v>6263</v>
      </c>
      <c r="N1155" s="9" t="s">
        <v>1082</v>
      </c>
      <c r="O1155" s="6">
        <f t="shared" ref="O1155:O1218" si="23">M1155/K1155</f>
        <v>1632</v>
      </c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</row>
    <row r="1156" spans="1:27" ht="12.75" x14ac:dyDescent="0.2">
      <c r="A1156" s="5" t="s">
        <v>2937</v>
      </c>
      <c r="B1156" s="5" t="s">
        <v>2937</v>
      </c>
      <c r="C1156" s="4">
        <v>574</v>
      </c>
      <c r="D1156" s="6" t="e">
        <f t="shared" si="20"/>
        <v>#VALUE!</v>
      </c>
      <c r="E1156" s="6" t="s">
        <v>729</v>
      </c>
      <c r="F1156" s="7">
        <v>407</v>
      </c>
      <c r="G1156" s="6" t="s">
        <v>17</v>
      </c>
      <c r="H1156" s="8" t="s">
        <v>6264</v>
      </c>
      <c r="I1156" s="9" t="s">
        <v>6265</v>
      </c>
      <c r="J1156" s="10" t="s">
        <v>6266</v>
      </c>
      <c r="K1156" s="9" t="s">
        <v>6267</v>
      </c>
      <c r="L1156" s="9" t="s">
        <v>6268</v>
      </c>
      <c r="M1156" s="9" t="s">
        <v>6269</v>
      </c>
      <c r="N1156" s="9" t="s">
        <v>1082</v>
      </c>
      <c r="O1156" s="6">
        <f t="shared" si="23"/>
        <v>816</v>
      </c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</row>
    <row r="1157" spans="1:27" ht="12.75" x14ac:dyDescent="0.2">
      <c r="A1157" s="5" t="s">
        <v>2937</v>
      </c>
      <c r="B1157" s="5" t="s">
        <v>2937</v>
      </c>
      <c r="C1157" s="4">
        <v>575</v>
      </c>
      <c r="D1157" s="6" t="e">
        <f t="shared" si="20"/>
        <v>#VALUE!</v>
      </c>
      <c r="E1157" s="6" t="s">
        <v>4949</v>
      </c>
      <c r="F1157" s="7">
        <v>407</v>
      </c>
      <c r="G1157" s="6" t="s">
        <v>21</v>
      </c>
      <c r="H1157" s="11" t="s">
        <v>6270</v>
      </c>
      <c r="I1157" s="9" t="s">
        <v>6220</v>
      </c>
      <c r="J1157" s="9" t="s">
        <v>6271</v>
      </c>
      <c r="K1157" s="9" t="s">
        <v>6272</v>
      </c>
      <c r="L1157" s="9" t="s">
        <v>6273</v>
      </c>
      <c r="M1157" s="9" t="s">
        <v>6274</v>
      </c>
      <c r="N1157" s="9" t="s">
        <v>1082</v>
      </c>
      <c r="O1157" s="6">
        <f t="shared" si="23"/>
        <v>2039.9998803666761</v>
      </c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</row>
    <row r="1158" spans="1:27" ht="12.75" x14ac:dyDescent="0.2">
      <c r="A1158" s="5" t="s">
        <v>2937</v>
      </c>
      <c r="B1158" s="5" t="s">
        <v>2937</v>
      </c>
      <c r="C1158" s="4">
        <v>576</v>
      </c>
      <c r="D1158" s="6" t="e">
        <f t="shared" si="20"/>
        <v>#VALUE!</v>
      </c>
      <c r="E1158" s="6" t="s">
        <v>760</v>
      </c>
      <c r="F1158" s="7">
        <v>407</v>
      </c>
      <c r="G1158" s="6" t="s">
        <v>28</v>
      </c>
      <c r="H1158" s="8" t="s">
        <v>6275</v>
      </c>
      <c r="I1158" s="10" t="s">
        <v>6276</v>
      </c>
      <c r="J1158" s="9" t="s">
        <v>6277</v>
      </c>
      <c r="K1158" s="9" t="s">
        <v>6278</v>
      </c>
      <c r="L1158" s="9" t="s">
        <v>5621</v>
      </c>
      <c r="M1158" s="9" t="s">
        <v>6279</v>
      </c>
      <c r="N1158" s="9" t="s">
        <v>1082</v>
      </c>
      <c r="O1158" s="6">
        <f t="shared" si="23"/>
        <v>1632</v>
      </c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</row>
    <row r="1159" spans="1:27" ht="12.75" x14ac:dyDescent="0.2">
      <c r="A1159" s="5" t="s">
        <v>2937</v>
      </c>
      <c r="B1159" s="5" t="s">
        <v>2937</v>
      </c>
      <c r="C1159" s="4">
        <v>577</v>
      </c>
      <c r="D1159" s="6" t="e">
        <f t="shared" si="20"/>
        <v>#VALUE!</v>
      </c>
      <c r="E1159" s="6" t="s">
        <v>6280</v>
      </c>
      <c r="F1159" s="7">
        <v>408</v>
      </c>
      <c r="G1159" s="6" t="s">
        <v>17</v>
      </c>
      <c r="H1159" s="8" t="s">
        <v>6281</v>
      </c>
      <c r="I1159" s="9" t="s">
        <v>6282</v>
      </c>
      <c r="J1159" s="10" t="s">
        <v>2662</v>
      </c>
      <c r="K1159" s="9" t="s">
        <v>6283</v>
      </c>
      <c r="L1159" s="9" t="s">
        <v>6284</v>
      </c>
      <c r="M1159" s="9" t="s">
        <v>6285</v>
      </c>
      <c r="N1159" s="9" t="s">
        <v>1082</v>
      </c>
      <c r="O1159" s="6">
        <f t="shared" si="23"/>
        <v>818.00003990821108</v>
      </c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</row>
    <row r="1160" spans="1:27" ht="12.75" x14ac:dyDescent="0.2">
      <c r="A1160" s="5" t="s">
        <v>2937</v>
      </c>
      <c r="B1160" s="5" t="s">
        <v>2937</v>
      </c>
      <c r="C1160" s="4">
        <v>578</v>
      </c>
      <c r="D1160" s="6" t="e">
        <f t="shared" si="20"/>
        <v>#VALUE!</v>
      </c>
      <c r="E1160" s="6" t="s">
        <v>3078</v>
      </c>
      <c r="F1160" s="7">
        <v>408</v>
      </c>
      <c r="G1160" s="6" t="s">
        <v>21</v>
      </c>
      <c r="H1160" s="11" t="s">
        <v>6286</v>
      </c>
      <c r="I1160" s="9" t="s">
        <v>6287</v>
      </c>
      <c r="J1160" s="9" t="s">
        <v>6288</v>
      </c>
      <c r="K1160" s="9" t="s">
        <v>6289</v>
      </c>
      <c r="L1160" s="9" t="s">
        <v>6290</v>
      </c>
      <c r="M1160" s="9" t="s">
        <v>6291</v>
      </c>
      <c r="N1160" s="9" t="s">
        <v>1082</v>
      </c>
      <c r="O1160" s="6">
        <f t="shared" si="23"/>
        <v>2045.0000296674282</v>
      </c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</row>
    <row r="1161" spans="1:27" ht="12.75" x14ac:dyDescent="0.2">
      <c r="A1161" s="5" t="s">
        <v>2937</v>
      </c>
      <c r="B1161" s="5" t="s">
        <v>2937</v>
      </c>
      <c r="C1161" s="4">
        <v>579</v>
      </c>
      <c r="D1161" s="6" t="e">
        <f t="shared" si="20"/>
        <v>#VALUE!</v>
      </c>
      <c r="E1161" s="6" t="s">
        <v>3196</v>
      </c>
      <c r="F1161" s="7">
        <v>408</v>
      </c>
      <c r="G1161" s="6" t="s">
        <v>21</v>
      </c>
      <c r="H1161" s="11" t="s">
        <v>6292</v>
      </c>
      <c r="I1161" s="9" t="s">
        <v>6293</v>
      </c>
      <c r="J1161" s="9" t="s">
        <v>6294</v>
      </c>
      <c r="K1161" s="9" t="s">
        <v>6295</v>
      </c>
      <c r="L1161" s="9" t="s">
        <v>6296</v>
      </c>
      <c r="M1161" s="9" t="s">
        <v>6297</v>
      </c>
      <c r="N1161" s="9" t="s">
        <v>1082</v>
      </c>
      <c r="O1161" s="6">
        <f t="shared" si="23"/>
        <v>2045.0000148080142</v>
      </c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</row>
    <row r="1162" spans="1:27" ht="12.75" x14ac:dyDescent="0.2">
      <c r="A1162" s="5" t="s">
        <v>2937</v>
      </c>
      <c r="B1162" s="5" t="s">
        <v>2937</v>
      </c>
      <c r="C1162" s="4">
        <v>580</v>
      </c>
      <c r="D1162" s="6" t="e">
        <f t="shared" si="20"/>
        <v>#VALUE!</v>
      </c>
      <c r="E1162" s="6" t="s">
        <v>5689</v>
      </c>
      <c r="F1162" s="7">
        <v>408</v>
      </c>
      <c r="G1162" s="6" t="s">
        <v>28</v>
      </c>
      <c r="H1162" s="8" t="s">
        <v>6298</v>
      </c>
      <c r="I1162" s="10" t="s">
        <v>6299</v>
      </c>
      <c r="J1162" s="9" t="s">
        <v>6300</v>
      </c>
      <c r="K1162" s="9" t="s">
        <v>6301</v>
      </c>
      <c r="L1162" s="9" t="s">
        <v>6302</v>
      </c>
      <c r="M1162" s="9" t="s">
        <v>6303</v>
      </c>
      <c r="N1162" s="9" t="s">
        <v>1082</v>
      </c>
      <c r="O1162" s="6">
        <f t="shared" si="23"/>
        <v>1636</v>
      </c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</row>
    <row r="1163" spans="1:27" ht="12.75" x14ac:dyDescent="0.2">
      <c r="A1163" s="5" t="s">
        <v>2937</v>
      </c>
      <c r="B1163" s="5" t="s">
        <v>2937</v>
      </c>
      <c r="C1163" s="4">
        <v>581</v>
      </c>
      <c r="D1163" s="6" t="e">
        <f t="shared" si="20"/>
        <v>#VALUE!</v>
      </c>
      <c r="E1163" s="6" t="s">
        <v>3100</v>
      </c>
      <c r="F1163" s="7">
        <v>409</v>
      </c>
      <c r="G1163" s="6" t="s">
        <v>21</v>
      </c>
      <c r="H1163" s="11" t="s">
        <v>6304</v>
      </c>
      <c r="I1163" s="9" t="s">
        <v>6305</v>
      </c>
      <c r="J1163" s="9" t="s">
        <v>6306</v>
      </c>
      <c r="K1163" s="9" t="s">
        <v>6307</v>
      </c>
      <c r="L1163" s="9" t="s">
        <v>3885</v>
      </c>
      <c r="M1163" s="9" t="s">
        <v>6308</v>
      </c>
      <c r="N1163" s="9" t="s">
        <v>1082</v>
      </c>
      <c r="O1163" s="6">
        <f t="shared" si="23"/>
        <v>2050.0000294295091</v>
      </c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</row>
    <row r="1164" spans="1:27" ht="12.75" x14ac:dyDescent="0.2">
      <c r="A1164" s="5" t="s">
        <v>2937</v>
      </c>
      <c r="B1164" s="5" t="s">
        <v>2937</v>
      </c>
      <c r="C1164" s="4">
        <v>582</v>
      </c>
      <c r="D1164" s="6" t="e">
        <f t="shared" si="20"/>
        <v>#VALUE!</v>
      </c>
      <c r="E1164" s="6" t="s">
        <v>4820</v>
      </c>
      <c r="F1164" s="7">
        <v>409</v>
      </c>
      <c r="G1164" s="6" t="s">
        <v>17</v>
      </c>
      <c r="H1164" s="8" t="s">
        <v>6309</v>
      </c>
      <c r="I1164" s="9" t="s">
        <v>6310</v>
      </c>
      <c r="J1164" s="10" t="s">
        <v>6311</v>
      </c>
      <c r="K1164" s="9" t="s">
        <v>6312</v>
      </c>
      <c r="L1164" s="9" t="s">
        <v>6313</v>
      </c>
      <c r="M1164" s="9" t="s">
        <v>6314</v>
      </c>
      <c r="N1164" s="9" t="s">
        <v>1082</v>
      </c>
      <c r="O1164" s="6">
        <f t="shared" si="23"/>
        <v>820</v>
      </c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</row>
    <row r="1165" spans="1:27" ht="12.75" x14ac:dyDescent="0.2">
      <c r="A1165" s="5" t="s">
        <v>2937</v>
      </c>
      <c r="B1165" s="5" t="s">
        <v>2937</v>
      </c>
      <c r="C1165" s="4">
        <v>583</v>
      </c>
      <c r="D1165" s="6" t="e">
        <f t="shared" si="20"/>
        <v>#VALUE!</v>
      </c>
      <c r="E1165" s="6" t="s">
        <v>4751</v>
      </c>
      <c r="F1165" s="7">
        <v>409</v>
      </c>
      <c r="G1165" s="6" t="s">
        <v>17</v>
      </c>
      <c r="H1165" s="8" t="s">
        <v>6315</v>
      </c>
      <c r="I1165" s="9" t="s">
        <v>6316</v>
      </c>
      <c r="J1165" s="10" t="s">
        <v>6317</v>
      </c>
      <c r="K1165" s="9" t="s">
        <v>6318</v>
      </c>
      <c r="L1165" s="9" t="s">
        <v>6319</v>
      </c>
      <c r="M1165" s="9" t="s">
        <v>6320</v>
      </c>
      <c r="N1165" s="9" t="s">
        <v>1082</v>
      </c>
      <c r="O1165" s="6">
        <f t="shared" si="23"/>
        <v>820</v>
      </c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</row>
    <row r="1166" spans="1:27" ht="12.75" x14ac:dyDescent="0.2">
      <c r="A1166" s="5" t="s">
        <v>2937</v>
      </c>
      <c r="B1166" s="5" t="s">
        <v>2937</v>
      </c>
      <c r="C1166" s="4">
        <v>584</v>
      </c>
      <c r="D1166" s="6" t="e">
        <f t="shared" si="20"/>
        <v>#VALUE!</v>
      </c>
      <c r="E1166" s="6" t="s">
        <v>6073</v>
      </c>
      <c r="F1166" s="7">
        <v>409</v>
      </c>
      <c r="G1166" s="6" t="s">
        <v>28</v>
      </c>
      <c r="H1166" s="8" t="s">
        <v>6321</v>
      </c>
      <c r="I1166" s="10" t="s">
        <v>6322</v>
      </c>
      <c r="J1166" s="9" t="s">
        <v>6323</v>
      </c>
      <c r="K1166" s="9" t="s">
        <v>6324</v>
      </c>
      <c r="L1166" s="9" t="s">
        <v>6325</v>
      </c>
      <c r="M1166" s="9" t="s">
        <v>6326</v>
      </c>
      <c r="N1166" s="9" t="s">
        <v>1082</v>
      </c>
      <c r="O1166" s="6">
        <f t="shared" si="23"/>
        <v>1640</v>
      </c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</row>
    <row r="1167" spans="1:27" ht="12.75" x14ac:dyDescent="0.2">
      <c r="A1167" s="5" t="s">
        <v>2937</v>
      </c>
      <c r="B1167" s="5" t="s">
        <v>2937</v>
      </c>
      <c r="C1167" s="4">
        <v>585</v>
      </c>
      <c r="D1167" s="6" t="e">
        <f t="shared" si="20"/>
        <v>#VALUE!</v>
      </c>
      <c r="E1167" s="6" t="s">
        <v>551</v>
      </c>
      <c r="F1167" s="7">
        <v>410</v>
      </c>
      <c r="G1167" s="6" t="s">
        <v>21</v>
      </c>
      <c r="H1167" s="11" t="s">
        <v>6327</v>
      </c>
      <c r="I1167" s="9" t="s">
        <v>6328</v>
      </c>
      <c r="J1167" s="9" t="s">
        <v>6329</v>
      </c>
      <c r="K1167" s="9" t="s">
        <v>6330</v>
      </c>
      <c r="L1167" s="9" t="s">
        <v>6331</v>
      </c>
      <c r="M1167" s="9" t="s">
        <v>6332</v>
      </c>
      <c r="N1167" s="9" t="s">
        <v>1082</v>
      </c>
      <c r="O1167" s="6">
        <f t="shared" si="23"/>
        <v>2055</v>
      </c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</row>
    <row r="1168" spans="1:27" ht="12.75" x14ac:dyDescent="0.2">
      <c r="A1168" s="5" t="s">
        <v>2937</v>
      </c>
      <c r="B1168" s="5" t="s">
        <v>2937</v>
      </c>
      <c r="C1168" s="4">
        <v>586</v>
      </c>
      <c r="D1168" s="6" t="e">
        <f t="shared" si="20"/>
        <v>#VALUE!</v>
      </c>
      <c r="E1168" s="6" t="s">
        <v>3075</v>
      </c>
      <c r="F1168" s="7">
        <v>410</v>
      </c>
      <c r="G1168" s="6" t="s">
        <v>17</v>
      </c>
      <c r="H1168" s="8" t="s">
        <v>6333</v>
      </c>
      <c r="I1168" s="9" t="s">
        <v>6334</v>
      </c>
      <c r="J1168" s="10" t="s">
        <v>6335</v>
      </c>
      <c r="K1168" s="9" t="s">
        <v>6336</v>
      </c>
      <c r="L1168" s="9" t="s">
        <v>6337</v>
      </c>
      <c r="M1168" s="9" t="s">
        <v>6338</v>
      </c>
      <c r="N1168" s="9" t="s">
        <v>1082</v>
      </c>
      <c r="O1168" s="6">
        <f t="shared" si="23"/>
        <v>822.00003906784127</v>
      </c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</row>
    <row r="1169" spans="1:27" ht="12.75" x14ac:dyDescent="0.2">
      <c r="A1169" s="5" t="s">
        <v>2937</v>
      </c>
      <c r="B1169" s="5" t="s">
        <v>2937</v>
      </c>
      <c r="C1169" s="4">
        <v>587</v>
      </c>
      <c r="D1169" s="6" t="e">
        <f t="shared" si="20"/>
        <v>#VALUE!</v>
      </c>
      <c r="E1169" s="6" t="s">
        <v>4378</v>
      </c>
      <c r="F1169" s="7">
        <v>410</v>
      </c>
      <c r="G1169" s="6" t="s">
        <v>21</v>
      </c>
      <c r="H1169" s="11" t="s">
        <v>6339</v>
      </c>
      <c r="I1169" s="9" t="s">
        <v>6340</v>
      </c>
      <c r="J1169" s="9" t="s">
        <v>6341</v>
      </c>
      <c r="K1169" s="9" t="s">
        <v>6342</v>
      </c>
      <c r="L1169" s="9" t="s">
        <v>6343</v>
      </c>
      <c r="M1169" s="9" t="s">
        <v>6344</v>
      </c>
      <c r="N1169" s="9" t="s">
        <v>1082</v>
      </c>
      <c r="O1169" s="6">
        <f t="shared" si="23"/>
        <v>2055.0000435672896</v>
      </c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</row>
    <row r="1170" spans="1:27" ht="12.75" x14ac:dyDescent="0.2">
      <c r="A1170" s="5" t="s">
        <v>2937</v>
      </c>
      <c r="B1170" s="5" t="s">
        <v>2937</v>
      </c>
      <c r="C1170" s="4">
        <v>588</v>
      </c>
      <c r="D1170" s="6" t="e">
        <f t="shared" si="20"/>
        <v>#VALUE!</v>
      </c>
      <c r="E1170" s="6" t="s">
        <v>6345</v>
      </c>
      <c r="F1170" s="7">
        <v>410</v>
      </c>
      <c r="G1170" s="6" t="s">
        <v>21</v>
      </c>
      <c r="H1170" s="11" t="s">
        <v>6346</v>
      </c>
      <c r="I1170" s="9" t="s">
        <v>6347</v>
      </c>
      <c r="J1170" s="9" t="s">
        <v>5985</v>
      </c>
      <c r="K1170" s="9" t="s">
        <v>6348</v>
      </c>
      <c r="L1170" s="9" t="s">
        <v>6349</v>
      </c>
      <c r="M1170" s="9" t="s">
        <v>6350</v>
      </c>
      <c r="N1170" s="9" t="s">
        <v>1082</v>
      </c>
      <c r="O1170" s="6">
        <f t="shared" si="23"/>
        <v>2055</v>
      </c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</row>
    <row r="1171" spans="1:27" ht="12.75" x14ac:dyDescent="0.2">
      <c r="A1171" s="5" t="s">
        <v>2937</v>
      </c>
      <c r="B1171" s="5" t="s">
        <v>2937</v>
      </c>
      <c r="C1171" s="4">
        <v>589</v>
      </c>
      <c r="D1171" s="6" t="e">
        <f t="shared" si="20"/>
        <v>#VALUE!</v>
      </c>
      <c r="E1171" s="6" t="s">
        <v>2967</v>
      </c>
      <c r="F1171" s="7">
        <v>411</v>
      </c>
      <c r="G1171" s="6" t="s">
        <v>17</v>
      </c>
      <c r="H1171" s="8" t="s">
        <v>6351</v>
      </c>
      <c r="I1171" s="9" t="s">
        <v>6352</v>
      </c>
      <c r="J1171" s="10" t="s">
        <v>6353</v>
      </c>
      <c r="K1171" s="9" t="s">
        <v>6354</v>
      </c>
      <c r="L1171" s="9" t="s">
        <v>1416</v>
      </c>
      <c r="M1171" s="9" t="s">
        <v>6355</v>
      </c>
      <c r="N1171" s="9" t="s">
        <v>1082</v>
      </c>
      <c r="O1171" s="6">
        <f t="shared" si="23"/>
        <v>824</v>
      </c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</row>
    <row r="1172" spans="1:27" ht="12.75" x14ac:dyDescent="0.2">
      <c r="A1172" s="5" t="s">
        <v>2937</v>
      </c>
      <c r="B1172" s="5" t="s">
        <v>2937</v>
      </c>
      <c r="C1172" s="4">
        <v>590</v>
      </c>
      <c r="D1172" s="6" t="e">
        <f t="shared" si="20"/>
        <v>#VALUE!</v>
      </c>
      <c r="E1172" s="6" t="s">
        <v>3501</v>
      </c>
      <c r="F1172" s="7">
        <v>411</v>
      </c>
      <c r="G1172" s="6" t="s">
        <v>17</v>
      </c>
      <c r="H1172" s="8" t="s">
        <v>6356</v>
      </c>
      <c r="I1172" s="9" t="s">
        <v>6357</v>
      </c>
      <c r="J1172" s="10" t="s">
        <v>6358</v>
      </c>
      <c r="K1172" s="9" t="s">
        <v>6359</v>
      </c>
      <c r="L1172" s="9" t="s">
        <v>6360</v>
      </c>
      <c r="M1172" s="9" t="s">
        <v>6361</v>
      </c>
      <c r="N1172" s="9" t="s">
        <v>1082</v>
      </c>
      <c r="O1172" s="6">
        <f t="shared" si="23"/>
        <v>824</v>
      </c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</row>
    <row r="1173" spans="1:27" ht="12.75" x14ac:dyDescent="0.2">
      <c r="A1173" s="5" t="s">
        <v>2937</v>
      </c>
      <c r="B1173" s="5" t="s">
        <v>2937</v>
      </c>
      <c r="C1173" s="4">
        <v>591</v>
      </c>
      <c r="D1173" s="6" t="e">
        <f t="shared" si="20"/>
        <v>#VALUE!</v>
      </c>
      <c r="E1173" s="6" t="s">
        <v>4785</v>
      </c>
      <c r="F1173" s="7">
        <v>411</v>
      </c>
      <c r="G1173" s="6" t="s">
        <v>21</v>
      </c>
      <c r="H1173" s="11" t="s">
        <v>6362</v>
      </c>
      <c r="I1173" s="9" t="s">
        <v>6363</v>
      </c>
      <c r="J1173" s="9" t="s">
        <v>6364</v>
      </c>
      <c r="K1173" s="9" t="s">
        <v>6365</v>
      </c>
      <c r="L1173" s="9" t="s">
        <v>6366</v>
      </c>
      <c r="M1173" s="9" t="s">
        <v>6367</v>
      </c>
      <c r="N1173" s="9" t="s">
        <v>1082</v>
      </c>
      <c r="O1173" s="6">
        <f t="shared" si="23"/>
        <v>2059.9999424683938</v>
      </c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</row>
    <row r="1174" spans="1:27" ht="12.75" x14ac:dyDescent="0.2">
      <c r="A1174" s="5" t="s">
        <v>2937</v>
      </c>
      <c r="B1174" s="5" t="s">
        <v>2937</v>
      </c>
      <c r="C1174" s="4">
        <v>592</v>
      </c>
      <c r="D1174" s="6" t="e">
        <f t="shared" si="20"/>
        <v>#VALUE!</v>
      </c>
      <c r="E1174" s="6" t="s">
        <v>101</v>
      </c>
      <c r="F1174" s="7">
        <v>411</v>
      </c>
      <c r="G1174" s="6" t="s">
        <v>21</v>
      </c>
      <c r="H1174" s="11" t="s">
        <v>6368</v>
      </c>
      <c r="I1174" s="9" t="s">
        <v>6369</v>
      </c>
      <c r="J1174" s="9" t="s">
        <v>6370</v>
      </c>
      <c r="K1174" s="9" t="s">
        <v>6371</v>
      </c>
      <c r="L1174" s="9" t="s">
        <v>3898</v>
      </c>
      <c r="M1174" s="9" t="s">
        <v>6372</v>
      </c>
      <c r="N1174" s="9" t="s">
        <v>1082</v>
      </c>
      <c r="O1174" s="6">
        <f t="shared" si="23"/>
        <v>2060</v>
      </c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</row>
    <row r="1175" spans="1:27" ht="12.75" x14ac:dyDescent="0.2">
      <c r="A1175" s="5" t="s">
        <v>2937</v>
      </c>
      <c r="B1175" s="5" t="s">
        <v>2937</v>
      </c>
      <c r="C1175" s="4">
        <v>593</v>
      </c>
      <c r="D1175" s="6" t="e">
        <f t="shared" si="20"/>
        <v>#VALUE!</v>
      </c>
      <c r="E1175" s="6" t="s">
        <v>6373</v>
      </c>
      <c r="F1175" s="7">
        <v>412</v>
      </c>
      <c r="G1175" s="6" t="s">
        <v>28</v>
      </c>
      <c r="H1175" s="8" t="s">
        <v>6374</v>
      </c>
      <c r="I1175" s="10" t="s">
        <v>6375</v>
      </c>
      <c r="J1175" s="9" t="s">
        <v>6376</v>
      </c>
      <c r="K1175" s="9" t="s">
        <v>6377</v>
      </c>
      <c r="L1175" s="9" t="s">
        <v>6378</v>
      </c>
      <c r="M1175" s="9" t="s">
        <v>6379</v>
      </c>
      <c r="N1175" s="9" t="s">
        <v>1082</v>
      </c>
      <c r="O1175" s="6">
        <f t="shared" si="23"/>
        <v>1652</v>
      </c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</row>
    <row r="1176" spans="1:27" ht="12.75" x14ac:dyDescent="0.2">
      <c r="A1176" s="5" t="s">
        <v>2937</v>
      </c>
      <c r="B1176" s="5" t="s">
        <v>2937</v>
      </c>
      <c r="C1176" s="4">
        <v>594</v>
      </c>
      <c r="D1176" s="6" t="e">
        <f t="shared" si="20"/>
        <v>#VALUE!</v>
      </c>
      <c r="E1176" s="6" t="s">
        <v>3246</v>
      </c>
      <c r="F1176" s="7">
        <v>412</v>
      </c>
      <c r="G1176" s="6" t="s">
        <v>28</v>
      </c>
      <c r="H1176" s="8" t="s">
        <v>6380</v>
      </c>
      <c r="I1176" s="10" t="s">
        <v>6381</v>
      </c>
      <c r="J1176" s="9" t="s">
        <v>6382</v>
      </c>
      <c r="K1176" s="9" t="s">
        <v>6383</v>
      </c>
      <c r="L1176" s="9" t="s">
        <v>6384</v>
      </c>
      <c r="M1176" s="9" t="s">
        <v>6385</v>
      </c>
      <c r="N1176" s="9" t="s">
        <v>1082</v>
      </c>
      <c r="O1176" s="6">
        <f t="shared" si="23"/>
        <v>1652</v>
      </c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</row>
    <row r="1177" spans="1:27" ht="12.75" x14ac:dyDescent="0.2">
      <c r="A1177" s="5" t="s">
        <v>2937</v>
      </c>
      <c r="B1177" s="5" t="s">
        <v>2937</v>
      </c>
      <c r="C1177" s="4">
        <v>595</v>
      </c>
      <c r="D1177" s="6" t="e">
        <f t="shared" si="20"/>
        <v>#VALUE!</v>
      </c>
      <c r="E1177" s="6" t="s">
        <v>4406</v>
      </c>
      <c r="F1177" s="7">
        <v>412</v>
      </c>
      <c r="G1177" s="6" t="s">
        <v>21</v>
      </c>
      <c r="H1177" s="11" t="s">
        <v>6386</v>
      </c>
      <c r="I1177" s="9" t="s">
        <v>6387</v>
      </c>
      <c r="J1177" s="9" t="s">
        <v>6388</v>
      </c>
      <c r="K1177" s="9" t="s">
        <v>6389</v>
      </c>
      <c r="L1177" s="9" t="s">
        <v>6390</v>
      </c>
      <c r="M1177" s="9" t="s">
        <v>6391</v>
      </c>
      <c r="N1177" s="9" t="s">
        <v>1082</v>
      </c>
      <c r="O1177" s="6">
        <f t="shared" si="23"/>
        <v>2064.9999287718847</v>
      </c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</row>
    <row r="1178" spans="1:27" ht="12.75" x14ac:dyDescent="0.2">
      <c r="A1178" s="5" t="s">
        <v>2937</v>
      </c>
      <c r="B1178" s="5" t="s">
        <v>2937</v>
      </c>
      <c r="C1178" s="4">
        <v>596</v>
      </c>
      <c r="D1178" s="6" t="e">
        <f t="shared" si="20"/>
        <v>#VALUE!</v>
      </c>
      <c r="E1178" s="6" t="s">
        <v>5660</v>
      </c>
      <c r="F1178" s="7">
        <v>412</v>
      </c>
      <c r="G1178" s="6" t="s">
        <v>28</v>
      </c>
      <c r="H1178" s="8" t="s">
        <v>6392</v>
      </c>
      <c r="I1178" s="10" t="s">
        <v>6393</v>
      </c>
      <c r="J1178" s="9" t="s">
        <v>6394</v>
      </c>
      <c r="K1178" s="9" t="s">
        <v>6395</v>
      </c>
      <c r="L1178" s="9" t="s">
        <v>6396</v>
      </c>
      <c r="M1178" s="9" t="s">
        <v>6397</v>
      </c>
      <c r="N1178" s="9" t="s">
        <v>1082</v>
      </c>
      <c r="O1178" s="6">
        <f t="shared" si="23"/>
        <v>1652</v>
      </c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</row>
    <row r="1179" spans="1:27" ht="12.75" x14ac:dyDescent="0.2">
      <c r="A1179" s="5" t="s">
        <v>2937</v>
      </c>
      <c r="B1179" s="5" t="s">
        <v>2937</v>
      </c>
      <c r="C1179" s="4">
        <v>597</v>
      </c>
      <c r="D1179" s="6" t="e">
        <f t="shared" si="20"/>
        <v>#VALUE!</v>
      </c>
      <c r="E1179" s="6" t="s">
        <v>2953</v>
      </c>
      <c r="F1179" s="7">
        <v>413</v>
      </c>
      <c r="G1179" s="6" t="s">
        <v>21</v>
      </c>
      <c r="H1179" s="11" t="s">
        <v>6398</v>
      </c>
      <c r="I1179" s="9" t="s">
        <v>6399</v>
      </c>
      <c r="J1179" s="9" t="s">
        <v>6400</v>
      </c>
      <c r="K1179" s="9" t="s">
        <v>6401</v>
      </c>
      <c r="L1179" s="9" t="s">
        <v>6402</v>
      </c>
      <c r="M1179" s="9" t="s">
        <v>6403</v>
      </c>
      <c r="N1179" s="9" t="s">
        <v>1082</v>
      </c>
      <c r="O1179" s="6">
        <f t="shared" si="23"/>
        <v>2070.0000566299514</v>
      </c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</row>
    <row r="1180" spans="1:27" ht="12.75" x14ac:dyDescent="0.2">
      <c r="A1180" s="5" t="s">
        <v>2937</v>
      </c>
      <c r="B1180" s="5" t="s">
        <v>2937</v>
      </c>
      <c r="C1180" s="4">
        <v>598</v>
      </c>
      <c r="D1180" s="6" t="e">
        <f t="shared" si="20"/>
        <v>#VALUE!</v>
      </c>
      <c r="E1180" s="6" t="s">
        <v>478</v>
      </c>
      <c r="F1180" s="7">
        <v>413</v>
      </c>
      <c r="G1180" s="6" t="s">
        <v>21</v>
      </c>
      <c r="H1180" s="11" t="s">
        <v>6404</v>
      </c>
      <c r="I1180" s="9" t="s">
        <v>6405</v>
      </c>
      <c r="J1180" s="9" t="s">
        <v>6406</v>
      </c>
      <c r="K1180" s="9" t="s">
        <v>6407</v>
      </c>
      <c r="L1180" s="9" t="s">
        <v>6408</v>
      </c>
      <c r="M1180" s="9" t="s">
        <v>6409</v>
      </c>
      <c r="N1180" s="9" t="s">
        <v>1082</v>
      </c>
      <c r="O1180" s="6">
        <f t="shared" si="23"/>
        <v>2070</v>
      </c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</row>
    <row r="1181" spans="1:27" ht="12.75" x14ac:dyDescent="0.2">
      <c r="A1181" s="5" t="s">
        <v>2937</v>
      </c>
      <c r="B1181" s="5" t="s">
        <v>2937</v>
      </c>
      <c r="C1181" s="4">
        <v>599</v>
      </c>
      <c r="D1181" s="6" t="e">
        <f t="shared" si="20"/>
        <v>#VALUE!</v>
      </c>
      <c r="E1181" s="6" t="s">
        <v>3517</v>
      </c>
      <c r="F1181" s="7">
        <v>413</v>
      </c>
      <c r="G1181" s="6" t="s">
        <v>28</v>
      </c>
      <c r="H1181" s="8" t="s">
        <v>6410</v>
      </c>
      <c r="I1181" s="10" t="s">
        <v>6411</v>
      </c>
      <c r="J1181" s="9" t="s">
        <v>6412</v>
      </c>
      <c r="K1181" s="9" t="s">
        <v>6413</v>
      </c>
      <c r="L1181" s="9" t="s">
        <v>6414</v>
      </c>
      <c r="M1181" s="9" t="s">
        <v>6415</v>
      </c>
      <c r="N1181" s="9" t="s">
        <v>1082</v>
      </c>
      <c r="O1181" s="6">
        <f t="shared" si="23"/>
        <v>1656</v>
      </c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</row>
    <row r="1182" spans="1:27" ht="12.75" x14ac:dyDescent="0.2">
      <c r="A1182" s="5" t="s">
        <v>2937</v>
      </c>
      <c r="B1182" s="5" t="s">
        <v>2937</v>
      </c>
      <c r="C1182" s="4">
        <v>600</v>
      </c>
      <c r="D1182" s="6" t="e">
        <f t="shared" si="20"/>
        <v>#VALUE!</v>
      </c>
      <c r="E1182" s="6" t="s">
        <v>251</v>
      </c>
      <c r="F1182" s="7">
        <v>413</v>
      </c>
      <c r="G1182" s="6" t="s">
        <v>28</v>
      </c>
      <c r="H1182" s="8" t="s">
        <v>5650</v>
      </c>
      <c r="I1182" s="10" t="s">
        <v>6416</v>
      </c>
      <c r="J1182" s="9" t="s">
        <v>6417</v>
      </c>
      <c r="K1182" s="9" t="s">
        <v>6418</v>
      </c>
      <c r="L1182" s="9" t="s">
        <v>6419</v>
      </c>
      <c r="M1182" s="9" t="s">
        <v>6420</v>
      </c>
      <c r="N1182" s="9" t="s">
        <v>1082</v>
      </c>
      <c r="O1182" s="6">
        <f t="shared" si="23"/>
        <v>1656</v>
      </c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</row>
    <row r="1183" spans="1:27" ht="12.75" x14ac:dyDescent="0.2">
      <c r="A1183" s="5" t="s">
        <v>2937</v>
      </c>
      <c r="B1183" s="5" t="s">
        <v>2937</v>
      </c>
      <c r="C1183" s="4">
        <v>601</v>
      </c>
      <c r="D1183" s="6" t="e">
        <f t="shared" si="20"/>
        <v>#VALUE!</v>
      </c>
      <c r="E1183" s="6" t="s">
        <v>6421</v>
      </c>
      <c r="F1183" s="7">
        <v>414</v>
      </c>
      <c r="G1183" s="6" t="s">
        <v>28</v>
      </c>
      <c r="H1183" s="8" t="s">
        <v>6422</v>
      </c>
      <c r="I1183" s="10" t="s">
        <v>6423</v>
      </c>
      <c r="J1183" s="9" t="s">
        <v>6424</v>
      </c>
      <c r="K1183" s="9" t="s">
        <v>6425</v>
      </c>
      <c r="L1183" s="9" t="s">
        <v>6426</v>
      </c>
      <c r="M1183" s="9" t="s">
        <v>6427</v>
      </c>
      <c r="N1183" s="9" t="s">
        <v>1082</v>
      </c>
      <c r="O1183" s="6">
        <f t="shared" si="23"/>
        <v>1660</v>
      </c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</row>
    <row r="1184" spans="1:27" ht="12.75" x14ac:dyDescent="0.2">
      <c r="A1184" s="5" t="s">
        <v>2937</v>
      </c>
      <c r="B1184" s="5" t="s">
        <v>2937</v>
      </c>
      <c r="C1184" s="4">
        <v>602</v>
      </c>
      <c r="D1184" s="6" t="e">
        <f t="shared" si="20"/>
        <v>#VALUE!</v>
      </c>
      <c r="E1184" s="6" t="s">
        <v>6428</v>
      </c>
      <c r="F1184" s="7">
        <v>414</v>
      </c>
      <c r="G1184" s="6" t="s">
        <v>28</v>
      </c>
      <c r="H1184" s="8" t="s">
        <v>6429</v>
      </c>
      <c r="I1184" s="10" t="s">
        <v>6430</v>
      </c>
      <c r="J1184" s="9" t="s">
        <v>6431</v>
      </c>
      <c r="K1184" s="9" t="s">
        <v>6432</v>
      </c>
      <c r="L1184" s="9" t="s">
        <v>6433</v>
      </c>
      <c r="M1184" s="9" t="s">
        <v>6434</v>
      </c>
      <c r="N1184" s="9" t="s">
        <v>1082</v>
      </c>
      <c r="O1184" s="6">
        <f t="shared" si="23"/>
        <v>1659.9999255162654</v>
      </c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</row>
    <row r="1185" spans="1:27" ht="12.75" x14ac:dyDescent="0.2">
      <c r="A1185" s="5" t="s">
        <v>2937</v>
      </c>
      <c r="B1185" s="5" t="s">
        <v>2937</v>
      </c>
      <c r="C1185" s="4">
        <v>603</v>
      </c>
      <c r="D1185" s="6" t="e">
        <f t="shared" si="20"/>
        <v>#VALUE!</v>
      </c>
      <c r="E1185" s="6" t="s">
        <v>287</v>
      </c>
      <c r="F1185" s="7">
        <v>414</v>
      </c>
      <c r="G1185" s="6" t="s">
        <v>21</v>
      </c>
      <c r="H1185" s="11" t="s">
        <v>6435</v>
      </c>
      <c r="I1185" s="9" t="s">
        <v>1020</v>
      </c>
      <c r="J1185" s="9" t="s">
        <v>6436</v>
      </c>
      <c r="K1185" s="9" t="s">
        <v>6437</v>
      </c>
      <c r="L1185" s="9" t="s">
        <v>6438</v>
      </c>
      <c r="M1185" s="9" t="s">
        <v>6439</v>
      </c>
      <c r="N1185" s="9" t="s">
        <v>1082</v>
      </c>
      <c r="O1185" s="6">
        <f t="shared" si="23"/>
        <v>2075.0000279540436</v>
      </c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</row>
    <row r="1186" spans="1:27" ht="12.75" x14ac:dyDescent="0.2">
      <c r="A1186" s="5" t="s">
        <v>2937</v>
      </c>
      <c r="B1186" s="5" t="s">
        <v>2937</v>
      </c>
      <c r="C1186" s="4">
        <v>604</v>
      </c>
      <c r="D1186" s="6" t="e">
        <f t="shared" si="20"/>
        <v>#VALUE!</v>
      </c>
      <c r="E1186" s="6" t="s">
        <v>6440</v>
      </c>
      <c r="F1186" s="7">
        <v>414</v>
      </c>
      <c r="G1186" s="6" t="s">
        <v>17</v>
      </c>
      <c r="H1186" s="8" t="s">
        <v>1226</v>
      </c>
      <c r="I1186" s="9" t="s">
        <v>6441</v>
      </c>
      <c r="J1186" s="10" t="s">
        <v>6442</v>
      </c>
      <c r="K1186" s="9" t="s">
        <v>6443</v>
      </c>
      <c r="L1186" s="9" t="s">
        <v>6444</v>
      </c>
      <c r="M1186" s="9" t="s">
        <v>6445</v>
      </c>
      <c r="N1186" s="9" t="s">
        <v>1082</v>
      </c>
      <c r="O1186" s="6">
        <f t="shared" si="23"/>
        <v>829.99996252927406</v>
      </c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</row>
    <row r="1187" spans="1:27" ht="12.75" x14ac:dyDescent="0.2">
      <c r="A1187" s="5" t="s">
        <v>2937</v>
      </c>
      <c r="B1187" s="5" t="s">
        <v>2937</v>
      </c>
      <c r="C1187" s="4">
        <v>605</v>
      </c>
      <c r="D1187" s="6" t="e">
        <f t="shared" si="20"/>
        <v>#VALUE!</v>
      </c>
      <c r="E1187" s="6" t="s">
        <v>3296</v>
      </c>
      <c r="F1187" s="7">
        <v>415</v>
      </c>
      <c r="G1187" s="6" t="s">
        <v>21</v>
      </c>
      <c r="H1187" s="11" t="s">
        <v>6446</v>
      </c>
      <c r="I1187" s="9" t="s">
        <v>6447</v>
      </c>
      <c r="J1187" s="9" t="s">
        <v>6448</v>
      </c>
      <c r="K1187" s="9" t="s">
        <v>6449</v>
      </c>
      <c r="L1187" s="9" t="s">
        <v>6450</v>
      </c>
      <c r="M1187" s="9" t="s">
        <v>6451</v>
      </c>
      <c r="N1187" s="9" t="s">
        <v>1082</v>
      </c>
      <c r="O1187" s="6">
        <f t="shared" si="23"/>
        <v>2080</v>
      </c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</row>
    <row r="1188" spans="1:27" ht="12.75" x14ac:dyDescent="0.2">
      <c r="A1188" s="5" t="s">
        <v>2937</v>
      </c>
      <c r="B1188" s="5" t="s">
        <v>2937</v>
      </c>
      <c r="C1188" s="4">
        <v>606</v>
      </c>
      <c r="D1188" s="6" t="e">
        <f t="shared" si="20"/>
        <v>#VALUE!</v>
      </c>
      <c r="E1188" s="6" t="s">
        <v>16</v>
      </c>
      <c r="F1188" s="7">
        <v>415</v>
      </c>
      <c r="G1188" s="6" t="s">
        <v>17</v>
      </c>
      <c r="H1188" s="8" t="s">
        <v>6452</v>
      </c>
      <c r="I1188" s="9" t="s">
        <v>6453</v>
      </c>
      <c r="J1188" s="10" t="s">
        <v>6454</v>
      </c>
      <c r="K1188" s="9" t="s">
        <v>6432</v>
      </c>
      <c r="L1188" s="9" t="s">
        <v>6455</v>
      </c>
      <c r="M1188" s="9" t="s">
        <v>6456</v>
      </c>
      <c r="N1188" s="9" t="s">
        <v>1082</v>
      </c>
      <c r="O1188" s="6">
        <f t="shared" si="23"/>
        <v>832</v>
      </c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</row>
    <row r="1189" spans="1:27" ht="12.75" x14ac:dyDescent="0.2">
      <c r="A1189" s="5" t="s">
        <v>2937</v>
      </c>
      <c r="B1189" s="5" t="s">
        <v>2937</v>
      </c>
      <c r="C1189" s="4">
        <v>607</v>
      </c>
      <c r="D1189" s="6" t="e">
        <f t="shared" si="20"/>
        <v>#VALUE!</v>
      </c>
      <c r="E1189" s="6" t="s">
        <v>6457</v>
      </c>
      <c r="F1189" s="7">
        <v>415</v>
      </c>
      <c r="G1189" s="6" t="s">
        <v>21</v>
      </c>
      <c r="H1189" s="11" t="s">
        <v>6458</v>
      </c>
      <c r="I1189" s="9" t="s">
        <v>6459</v>
      </c>
      <c r="J1189" s="9" t="s">
        <v>6460</v>
      </c>
      <c r="K1189" s="9" t="s">
        <v>6461</v>
      </c>
      <c r="L1189" s="9" t="s">
        <v>5384</v>
      </c>
      <c r="M1189" s="9" t="s">
        <v>6462</v>
      </c>
      <c r="N1189" s="9" t="s">
        <v>1082</v>
      </c>
      <c r="O1189" s="6">
        <f t="shared" si="23"/>
        <v>2080</v>
      </c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</row>
    <row r="1190" spans="1:27" ht="12.75" x14ac:dyDescent="0.2">
      <c r="A1190" s="5" t="s">
        <v>2937</v>
      </c>
      <c r="B1190" s="5" t="s">
        <v>2937</v>
      </c>
      <c r="C1190" s="4">
        <v>608</v>
      </c>
      <c r="D1190" s="6" t="e">
        <f t="shared" si="20"/>
        <v>#VALUE!</v>
      </c>
      <c r="E1190" s="6" t="s">
        <v>85</v>
      </c>
      <c r="F1190" s="7">
        <v>415</v>
      </c>
      <c r="G1190" s="6" t="s">
        <v>28</v>
      </c>
      <c r="H1190" s="8" t="s">
        <v>4071</v>
      </c>
      <c r="I1190" s="10" t="s">
        <v>6463</v>
      </c>
      <c r="J1190" s="9" t="s">
        <v>6464</v>
      </c>
      <c r="K1190" s="9" t="s">
        <v>6465</v>
      </c>
      <c r="L1190" s="9" t="s">
        <v>6466</v>
      </c>
      <c r="M1190" s="9" t="s">
        <v>6467</v>
      </c>
      <c r="N1190" s="9" t="s">
        <v>1082</v>
      </c>
      <c r="O1190" s="6">
        <f t="shared" si="23"/>
        <v>1664</v>
      </c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</row>
    <row r="1191" spans="1:27" ht="12.75" x14ac:dyDescent="0.2">
      <c r="A1191" s="5" t="s">
        <v>2937</v>
      </c>
      <c r="B1191" s="5" t="s">
        <v>2937</v>
      </c>
      <c r="C1191" s="4">
        <v>609</v>
      </c>
      <c r="D1191" s="6" t="e">
        <f t="shared" si="20"/>
        <v>#VALUE!</v>
      </c>
      <c r="E1191" s="6" t="s">
        <v>4304</v>
      </c>
      <c r="F1191" s="7">
        <v>416</v>
      </c>
      <c r="G1191" s="6" t="s">
        <v>21</v>
      </c>
      <c r="H1191" s="11" t="s">
        <v>6468</v>
      </c>
      <c r="I1191" s="9" t="s">
        <v>6469</v>
      </c>
      <c r="J1191" s="9" t="s">
        <v>6470</v>
      </c>
      <c r="K1191" s="9" t="s">
        <v>6471</v>
      </c>
      <c r="L1191" s="9" t="s">
        <v>6205</v>
      </c>
      <c r="M1191" s="9" t="s">
        <v>6472</v>
      </c>
      <c r="N1191" s="9" t="s">
        <v>1082</v>
      </c>
      <c r="O1191" s="6">
        <f t="shared" si="23"/>
        <v>2084.9999036701665</v>
      </c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</row>
    <row r="1192" spans="1:27" ht="12.75" x14ac:dyDescent="0.2">
      <c r="A1192" s="5" t="s">
        <v>2937</v>
      </c>
      <c r="B1192" s="5" t="s">
        <v>2937</v>
      </c>
      <c r="C1192" s="4">
        <v>610</v>
      </c>
      <c r="D1192" s="6" t="e">
        <f t="shared" si="20"/>
        <v>#VALUE!</v>
      </c>
      <c r="E1192" s="6" t="s">
        <v>6473</v>
      </c>
      <c r="F1192" s="7">
        <v>416</v>
      </c>
      <c r="G1192" s="6" t="s">
        <v>21</v>
      </c>
      <c r="H1192" s="11" t="s">
        <v>6474</v>
      </c>
      <c r="I1192" s="9" t="s">
        <v>6475</v>
      </c>
      <c r="J1192" s="9" t="s">
        <v>6476</v>
      </c>
      <c r="K1192" s="9" t="s">
        <v>6477</v>
      </c>
      <c r="L1192" s="9" t="s">
        <v>6478</v>
      </c>
      <c r="M1192" s="9" t="s">
        <v>6479</v>
      </c>
      <c r="N1192" s="9" t="s">
        <v>1082</v>
      </c>
      <c r="O1192" s="6">
        <f t="shared" si="23"/>
        <v>2085.0000824334352</v>
      </c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</row>
    <row r="1193" spans="1:27" ht="12.75" x14ac:dyDescent="0.2">
      <c r="A1193" s="5" t="s">
        <v>2937</v>
      </c>
      <c r="B1193" s="5" t="s">
        <v>2937</v>
      </c>
      <c r="C1193" s="4">
        <v>611</v>
      </c>
      <c r="D1193" s="6" t="e">
        <f t="shared" si="20"/>
        <v>#VALUE!</v>
      </c>
      <c r="E1193" s="6" t="s">
        <v>4606</v>
      </c>
      <c r="F1193" s="7">
        <v>416</v>
      </c>
      <c r="G1193" s="6" t="s">
        <v>28</v>
      </c>
      <c r="H1193" s="8" t="s">
        <v>753</v>
      </c>
      <c r="I1193" s="10" t="s">
        <v>6480</v>
      </c>
      <c r="J1193" s="9" t="s">
        <v>6481</v>
      </c>
      <c r="K1193" s="9" t="s">
        <v>6482</v>
      </c>
      <c r="L1193" s="9" t="s">
        <v>6483</v>
      </c>
      <c r="M1193" s="9" t="s">
        <v>6484</v>
      </c>
      <c r="N1193" s="9" t="s">
        <v>1082</v>
      </c>
      <c r="O1193" s="6">
        <f t="shared" si="23"/>
        <v>1668</v>
      </c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</row>
    <row r="1194" spans="1:27" ht="12.75" x14ac:dyDescent="0.2">
      <c r="A1194" s="5" t="s">
        <v>2937</v>
      </c>
      <c r="B1194" s="5" t="s">
        <v>2937</v>
      </c>
      <c r="C1194" s="4">
        <v>612</v>
      </c>
      <c r="D1194" s="6" t="e">
        <f t="shared" si="20"/>
        <v>#VALUE!</v>
      </c>
      <c r="E1194" s="6" t="s">
        <v>3575</v>
      </c>
      <c r="F1194" s="7">
        <v>416</v>
      </c>
      <c r="G1194" s="6" t="s">
        <v>21</v>
      </c>
      <c r="H1194" s="11" t="s">
        <v>6485</v>
      </c>
      <c r="I1194" s="9" t="s">
        <v>6486</v>
      </c>
      <c r="J1194" s="9" t="s">
        <v>6487</v>
      </c>
      <c r="K1194" s="9" t="s">
        <v>6488</v>
      </c>
      <c r="L1194" s="9" t="s">
        <v>6489</v>
      </c>
      <c r="M1194" s="9" t="s">
        <v>6490</v>
      </c>
      <c r="N1194" s="9" t="s">
        <v>1082</v>
      </c>
      <c r="O1194" s="6">
        <f t="shared" si="23"/>
        <v>2084.999931530298</v>
      </c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</row>
    <row r="1195" spans="1:27" ht="12.75" x14ac:dyDescent="0.2">
      <c r="A1195" s="5" t="s">
        <v>2937</v>
      </c>
      <c r="B1195" s="5" t="s">
        <v>2937</v>
      </c>
      <c r="C1195" s="4">
        <v>613</v>
      </c>
      <c r="D1195" s="6" t="e">
        <f t="shared" si="20"/>
        <v>#VALUE!</v>
      </c>
      <c r="E1195" s="6" t="s">
        <v>6491</v>
      </c>
      <c r="F1195" s="7">
        <v>417</v>
      </c>
      <c r="G1195" s="6" t="s">
        <v>28</v>
      </c>
      <c r="H1195" s="8" t="s">
        <v>6492</v>
      </c>
      <c r="I1195" s="10" t="s">
        <v>6493</v>
      </c>
      <c r="J1195" s="9" t="s">
        <v>6494</v>
      </c>
      <c r="K1195" s="9" t="s">
        <v>6495</v>
      </c>
      <c r="L1195" s="9" t="s">
        <v>6496</v>
      </c>
      <c r="M1195" s="9" t="s">
        <v>6497</v>
      </c>
      <c r="N1195" s="9" t="s">
        <v>1082</v>
      </c>
      <c r="O1195" s="6">
        <f t="shared" si="23"/>
        <v>1672</v>
      </c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</row>
    <row r="1196" spans="1:27" ht="12.75" x14ac:dyDescent="0.2">
      <c r="A1196" s="5" t="s">
        <v>2937</v>
      </c>
      <c r="B1196" s="5" t="s">
        <v>2937</v>
      </c>
      <c r="C1196" s="4">
        <v>614</v>
      </c>
      <c r="D1196" s="6" t="e">
        <f t="shared" si="20"/>
        <v>#VALUE!</v>
      </c>
      <c r="E1196" s="6" t="s">
        <v>4599</v>
      </c>
      <c r="F1196" s="7">
        <v>417</v>
      </c>
      <c r="G1196" s="6" t="s">
        <v>17</v>
      </c>
      <c r="H1196" s="8" t="s">
        <v>6498</v>
      </c>
      <c r="I1196" s="9" t="s">
        <v>6499</v>
      </c>
      <c r="J1196" s="10" t="s">
        <v>6500</v>
      </c>
      <c r="K1196" s="9" t="s">
        <v>6501</v>
      </c>
      <c r="L1196" s="9" t="s">
        <v>6502</v>
      </c>
      <c r="M1196" s="9" t="s">
        <v>6503</v>
      </c>
      <c r="N1196" s="9" t="s">
        <v>1082</v>
      </c>
      <c r="O1196" s="6">
        <f t="shared" si="23"/>
        <v>836</v>
      </c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</row>
    <row r="1197" spans="1:27" ht="12.75" x14ac:dyDescent="0.2">
      <c r="A1197" s="5" t="s">
        <v>2937</v>
      </c>
      <c r="B1197" s="5" t="s">
        <v>2937</v>
      </c>
      <c r="C1197" s="4">
        <v>615</v>
      </c>
      <c r="D1197" s="6" t="e">
        <f t="shared" si="20"/>
        <v>#VALUE!</v>
      </c>
      <c r="E1197" s="6" t="s">
        <v>3293</v>
      </c>
      <c r="F1197" s="7">
        <v>417</v>
      </c>
      <c r="G1197" s="6" t="s">
        <v>17</v>
      </c>
      <c r="H1197" s="8" t="s">
        <v>6504</v>
      </c>
      <c r="I1197" s="9" t="s">
        <v>6505</v>
      </c>
      <c r="J1197" s="10" t="s">
        <v>6506</v>
      </c>
      <c r="K1197" s="9" t="s">
        <v>6507</v>
      </c>
      <c r="L1197" s="9" t="s">
        <v>6508</v>
      </c>
      <c r="M1197" s="9" t="s">
        <v>6509</v>
      </c>
      <c r="N1197" s="9" t="s">
        <v>1082</v>
      </c>
      <c r="O1197" s="6">
        <f t="shared" si="23"/>
        <v>836</v>
      </c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</row>
    <row r="1198" spans="1:27" ht="12.75" x14ac:dyDescent="0.2">
      <c r="A1198" s="5" t="s">
        <v>2937</v>
      </c>
      <c r="B1198" s="5" t="s">
        <v>2937</v>
      </c>
      <c r="C1198" s="4">
        <v>616</v>
      </c>
      <c r="D1198" s="6" t="e">
        <f t="shared" si="20"/>
        <v>#VALUE!</v>
      </c>
      <c r="E1198" s="6" t="s">
        <v>2945</v>
      </c>
      <c r="F1198" s="7">
        <v>417</v>
      </c>
      <c r="G1198" s="6" t="s">
        <v>21</v>
      </c>
      <c r="H1198" s="11" t="s">
        <v>6510</v>
      </c>
      <c r="I1198" s="9" t="s">
        <v>6511</v>
      </c>
      <c r="J1198" s="9" t="s">
        <v>6512</v>
      </c>
      <c r="K1198" s="9" t="s">
        <v>6513</v>
      </c>
      <c r="L1198" s="9" t="s">
        <v>6211</v>
      </c>
      <c r="M1198" s="9" t="s">
        <v>6514</v>
      </c>
      <c r="N1198" s="9" t="s">
        <v>1082</v>
      </c>
      <c r="O1198" s="6">
        <f t="shared" si="23"/>
        <v>2089.9999185921874</v>
      </c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</row>
    <row r="1199" spans="1:27" ht="12.75" x14ac:dyDescent="0.2">
      <c r="A1199" s="5" t="s">
        <v>2937</v>
      </c>
      <c r="B1199" s="5" t="s">
        <v>2937</v>
      </c>
      <c r="C1199" s="4">
        <v>617</v>
      </c>
      <c r="D1199" s="6" t="e">
        <f t="shared" si="20"/>
        <v>#VALUE!</v>
      </c>
      <c r="E1199" s="6" t="s">
        <v>3304</v>
      </c>
      <c r="F1199" s="7">
        <v>418</v>
      </c>
      <c r="G1199" s="6" t="s">
        <v>28</v>
      </c>
      <c r="H1199" s="8" t="s">
        <v>6515</v>
      </c>
      <c r="I1199" s="10" t="s">
        <v>6516</v>
      </c>
      <c r="J1199" s="9" t="s">
        <v>6517</v>
      </c>
      <c r="K1199" s="9" t="s">
        <v>6518</v>
      </c>
      <c r="L1199" s="9" t="s">
        <v>6519</v>
      </c>
      <c r="M1199" s="9" t="s">
        <v>6520</v>
      </c>
      <c r="N1199" s="9" t="s">
        <v>1082</v>
      </c>
      <c r="O1199" s="6">
        <f t="shared" si="23"/>
        <v>1676</v>
      </c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</row>
    <row r="1200" spans="1:27" ht="12.75" x14ac:dyDescent="0.2">
      <c r="A1200" s="5" t="s">
        <v>2937</v>
      </c>
      <c r="B1200" s="5" t="s">
        <v>2937</v>
      </c>
      <c r="C1200" s="4">
        <v>618</v>
      </c>
      <c r="D1200" s="6" t="e">
        <f t="shared" si="20"/>
        <v>#VALUE!</v>
      </c>
      <c r="E1200" s="6" t="s">
        <v>4272</v>
      </c>
      <c r="F1200" s="7">
        <v>418</v>
      </c>
      <c r="G1200" s="6" t="s">
        <v>28</v>
      </c>
      <c r="H1200" s="8" t="s">
        <v>6521</v>
      </c>
      <c r="I1200" s="10" t="s">
        <v>6522</v>
      </c>
      <c r="J1200" s="9" t="s">
        <v>6523</v>
      </c>
      <c r="K1200" s="9" t="s">
        <v>6524</v>
      </c>
      <c r="L1200" s="9" t="s">
        <v>6525</v>
      </c>
      <c r="M1200" s="9" t="s">
        <v>6526</v>
      </c>
      <c r="N1200" s="9" t="s">
        <v>1082</v>
      </c>
      <c r="O1200" s="6">
        <f t="shared" si="23"/>
        <v>1676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</row>
    <row r="1201" spans="1:27" ht="12.75" x14ac:dyDescent="0.2">
      <c r="A1201" s="5" t="s">
        <v>2937</v>
      </c>
      <c r="B1201" s="5" t="s">
        <v>2937</v>
      </c>
      <c r="C1201" s="4">
        <v>619</v>
      </c>
      <c r="D1201" s="6" t="e">
        <f t="shared" si="20"/>
        <v>#VALUE!</v>
      </c>
      <c r="E1201" s="6" t="s">
        <v>6527</v>
      </c>
      <c r="F1201" s="7">
        <v>418</v>
      </c>
      <c r="G1201" s="6" t="s">
        <v>28</v>
      </c>
      <c r="H1201" s="8" t="s">
        <v>6528</v>
      </c>
      <c r="I1201" s="10" t="s">
        <v>6529</v>
      </c>
      <c r="J1201" s="9" t="s">
        <v>6530</v>
      </c>
      <c r="K1201" s="9" t="s">
        <v>6531</v>
      </c>
      <c r="L1201" s="9" t="s">
        <v>6532</v>
      </c>
      <c r="M1201" s="9" t="s">
        <v>6533</v>
      </c>
      <c r="N1201" s="9" t="s">
        <v>1082</v>
      </c>
      <c r="O1201" s="6">
        <f t="shared" si="23"/>
        <v>1675.9999283706104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</row>
    <row r="1202" spans="1:27" ht="12.75" x14ac:dyDescent="0.2">
      <c r="A1202" s="5" t="s">
        <v>2937</v>
      </c>
      <c r="B1202" s="5" t="s">
        <v>2937</v>
      </c>
      <c r="C1202" s="4">
        <v>620</v>
      </c>
      <c r="D1202" s="6" t="e">
        <f t="shared" si="20"/>
        <v>#VALUE!</v>
      </c>
      <c r="E1202" s="6" t="s">
        <v>3129</v>
      </c>
      <c r="F1202" s="7">
        <v>418</v>
      </c>
      <c r="G1202" s="6" t="s">
        <v>17</v>
      </c>
      <c r="H1202" s="8" t="s">
        <v>6534</v>
      </c>
      <c r="I1202" s="9" t="s">
        <v>6535</v>
      </c>
      <c r="J1202" s="10" t="s">
        <v>6536</v>
      </c>
      <c r="K1202" s="9" t="s">
        <v>6537</v>
      </c>
      <c r="L1202" s="9" t="s">
        <v>6538</v>
      </c>
      <c r="M1202" s="9" t="s">
        <v>6539</v>
      </c>
      <c r="N1202" s="9" t="s">
        <v>1082</v>
      </c>
      <c r="O1202" s="6">
        <f t="shared" si="23"/>
        <v>838.00003609261364</v>
      </c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</row>
    <row r="1203" spans="1:27" ht="12.75" x14ac:dyDescent="0.2">
      <c r="A1203" s="5" t="s">
        <v>2937</v>
      </c>
      <c r="B1203" s="5" t="s">
        <v>2937</v>
      </c>
      <c r="C1203" s="4">
        <v>621</v>
      </c>
      <c r="D1203" s="6" t="e">
        <f t="shared" si="20"/>
        <v>#VALUE!</v>
      </c>
      <c r="E1203" s="6" t="s">
        <v>6540</v>
      </c>
      <c r="F1203" s="7">
        <v>419</v>
      </c>
      <c r="G1203" s="6" t="s">
        <v>28</v>
      </c>
      <c r="H1203" s="8" t="s">
        <v>6541</v>
      </c>
      <c r="I1203" s="10" t="s">
        <v>6542</v>
      </c>
      <c r="J1203" s="9" t="s">
        <v>6543</v>
      </c>
      <c r="K1203" s="9" t="s">
        <v>6544</v>
      </c>
      <c r="L1203" s="9" t="s">
        <v>4565</v>
      </c>
      <c r="M1203" s="9" t="s">
        <v>6545</v>
      </c>
      <c r="N1203" s="9" t="s">
        <v>1082</v>
      </c>
      <c r="O1203" s="6">
        <f t="shared" si="23"/>
        <v>1680</v>
      </c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</row>
    <row r="1204" spans="1:27" ht="12.75" x14ac:dyDescent="0.2">
      <c r="A1204" s="5" t="s">
        <v>2937</v>
      </c>
      <c r="B1204" s="5" t="s">
        <v>2937</v>
      </c>
      <c r="C1204" s="4">
        <v>622</v>
      </c>
      <c r="D1204" s="6" t="e">
        <f t="shared" si="20"/>
        <v>#VALUE!</v>
      </c>
      <c r="E1204" s="6" t="s">
        <v>4606</v>
      </c>
      <c r="F1204" s="7">
        <v>419</v>
      </c>
      <c r="G1204" s="6" t="s">
        <v>28</v>
      </c>
      <c r="H1204" s="8" t="s">
        <v>6546</v>
      </c>
      <c r="I1204" s="10" t="s">
        <v>6547</v>
      </c>
      <c r="J1204" s="9" t="s">
        <v>6548</v>
      </c>
      <c r="K1204" s="9" t="s">
        <v>6549</v>
      </c>
      <c r="L1204" s="9" t="s">
        <v>6550</v>
      </c>
      <c r="M1204" s="9" t="s">
        <v>6551</v>
      </c>
      <c r="N1204" s="9" t="s">
        <v>1082</v>
      </c>
      <c r="O1204" s="6">
        <f t="shared" si="23"/>
        <v>1680</v>
      </c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</row>
    <row r="1205" spans="1:27" ht="12.75" x14ac:dyDescent="0.2">
      <c r="A1205" s="5" t="s">
        <v>2937</v>
      </c>
      <c r="B1205" s="5" t="s">
        <v>2937</v>
      </c>
      <c r="C1205" s="4">
        <v>623</v>
      </c>
      <c r="D1205" s="6" t="e">
        <f t="shared" si="20"/>
        <v>#VALUE!</v>
      </c>
      <c r="E1205" s="6" t="s">
        <v>6552</v>
      </c>
      <c r="F1205" s="7">
        <v>419</v>
      </c>
      <c r="G1205" s="6" t="s">
        <v>21</v>
      </c>
      <c r="H1205" s="11" t="s">
        <v>6553</v>
      </c>
      <c r="I1205" s="9" t="s">
        <v>6554</v>
      </c>
      <c r="J1205" s="9" t="s">
        <v>6555</v>
      </c>
      <c r="K1205" s="9" t="s">
        <v>6556</v>
      </c>
      <c r="L1205" s="9" t="s">
        <v>6557</v>
      </c>
      <c r="M1205" s="9" t="s">
        <v>6558</v>
      </c>
      <c r="N1205" s="9" t="s">
        <v>1082</v>
      </c>
      <c r="O1205" s="6">
        <f t="shared" si="23"/>
        <v>2100</v>
      </c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</row>
    <row r="1206" spans="1:27" ht="12.75" x14ac:dyDescent="0.2">
      <c r="A1206" s="5" t="s">
        <v>2937</v>
      </c>
      <c r="B1206" s="5" t="s">
        <v>2937</v>
      </c>
      <c r="C1206" s="4">
        <v>624</v>
      </c>
      <c r="D1206" s="6" t="e">
        <f t="shared" si="20"/>
        <v>#VALUE!</v>
      </c>
      <c r="E1206" s="6" t="s">
        <v>3650</v>
      </c>
      <c r="F1206" s="7">
        <v>419</v>
      </c>
      <c r="G1206" s="6" t="s">
        <v>28</v>
      </c>
      <c r="H1206" s="8" t="s">
        <v>6559</v>
      </c>
      <c r="I1206" s="10" t="s">
        <v>6560</v>
      </c>
      <c r="J1206" s="9" t="s">
        <v>6561</v>
      </c>
      <c r="K1206" s="9" t="s">
        <v>6562</v>
      </c>
      <c r="L1206" s="9" t="s">
        <v>6563</v>
      </c>
      <c r="M1206" s="9" t="s">
        <v>6564</v>
      </c>
      <c r="N1206" s="9" t="s">
        <v>1082</v>
      </c>
      <c r="O1206" s="6">
        <f t="shared" si="23"/>
        <v>1680</v>
      </c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</row>
    <row r="1207" spans="1:27" ht="12.75" x14ac:dyDescent="0.2">
      <c r="A1207" s="5" t="s">
        <v>2937</v>
      </c>
      <c r="B1207" s="5" t="s">
        <v>2937</v>
      </c>
      <c r="C1207" s="4">
        <v>625</v>
      </c>
      <c r="D1207" s="6" t="e">
        <f t="shared" si="20"/>
        <v>#VALUE!</v>
      </c>
      <c r="E1207" s="6" t="s">
        <v>6565</v>
      </c>
      <c r="F1207" s="7">
        <v>420</v>
      </c>
      <c r="G1207" s="6" t="s">
        <v>17</v>
      </c>
      <c r="H1207" s="8" t="s">
        <v>6566</v>
      </c>
      <c r="I1207" s="9" t="s">
        <v>1445</v>
      </c>
      <c r="J1207" s="10" t="s">
        <v>6567</v>
      </c>
      <c r="K1207" s="9" t="s">
        <v>6568</v>
      </c>
      <c r="L1207" s="9" t="s">
        <v>6569</v>
      </c>
      <c r="M1207" s="9" t="s">
        <v>6570</v>
      </c>
      <c r="N1207" s="9" t="s">
        <v>1082</v>
      </c>
      <c r="O1207" s="6">
        <f t="shared" si="23"/>
        <v>842.00003560302628</v>
      </c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</row>
    <row r="1208" spans="1:27" ht="12.75" x14ac:dyDescent="0.2">
      <c r="A1208" s="5" t="s">
        <v>2937</v>
      </c>
      <c r="B1208" s="5" t="s">
        <v>2937</v>
      </c>
      <c r="C1208" s="4">
        <v>626</v>
      </c>
      <c r="D1208" s="6" t="e">
        <f t="shared" si="20"/>
        <v>#VALUE!</v>
      </c>
      <c r="E1208" s="6" t="s">
        <v>3231</v>
      </c>
      <c r="F1208" s="7">
        <v>420</v>
      </c>
      <c r="G1208" s="6" t="s">
        <v>17</v>
      </c>
      <c r="H1208" s="8" t="s">
        <v>6571</v>
      </c>
      <c r="I1208" s="9" t="s">
        <v>6572</v>
      </c>
      <c r="J1208" s="10" t="s">
        <v>6573</v>
      </c>
      <c r="K1208" s="9" t="s">
        <v>6574</v>
      </c>
      <c r="L1208" s="9" t="s">
        <v>6575</v>
      </c>
      <c r="M1208" s="9" t="s">
        <v>6576</v>
      </c>
      <c r="N1208" s="9" t="s">
        <v>1082</v>
      </c>
      <c r="O1208" s="6">
        <f t="shared" si="23"/>
        <v>841.99996445392344</v>
      </c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</row>
    <row r="1209" spans="1:27" ht="12.75" x14ac:dyDescent="0.2">
      <c r="A1209" s="5" t="s">
        <v>2937</v>
      </c>
      <c r="B1209" s="5" t="s">
        <v>2937</v>
      </c>
      <c r="C1209" s="4">
        <v>627</v>
      </c>
      <c r="D1209" s="6" t="e">
        <f t="shared" si="20"/>
        <v>#VALUE!</v>
      </c>
      <c r="E1209" s="6" t="s">
        <v>4039</v>
      </c>
      <c r="F1209" s="7">
        <v>420</v>
      </c>
      <c r="G1209" s="6" t="s">
        <v>28</v>
      </c>
      <c r="H1209" s="8" t="s">
        <v>6577</v>
      </c>
      <c r="I1209" s="10" t="s">
        <v>6578</v>
      </c>
      <c r="J1209" s="9" t="s">
        <v>6579</v>
      </c>
      <c r="K1209" s="9" t="s">
        <v>6580</v>
      </c>
      <c r="L1209" s="9" t="s">
        <v>6581</v>
      </c>
      <c r="M1209" s="9" t="s">
        <v>6582</v>
      </c>
      <c r="N1209" s="9" t="s">
        <v>1082</v>
      </c>
      <c r="O1209" s="6">
        <f t="shared" si="23"/>
        <v>1684</v>
      </c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</row>
    <row r="1210" spans="1:27" ht="12.75" x14ac:dyDescent="0.2">
      <c r="A1210" s="5" t="s">
        <v>2937</v>
      </c>
      <c r="B1210" s="5" t="s">
        <v>2937</v>
      </c>
      <c r="C1210" s="4">
        <v>628</v>
      </c>
      <c r="D1210" s="6" t="e">
        <f t="shared" si="20"/>
        <v>#VALUE!</v>
      </c>
      <c r="E1210" s="6" t="s">
        <v>5063</v>
      </c>
      <c r="F1210" s="7">
        <v>420</v>
      </c>
      <c r="G1210" s="6" t="s">
        <v>28</v>
      </c>
      <c r="H1210" s="8" t="s">
        <v>6583</v>
      </c>
      <c r="I1210" s="10" t="s">
        <v>6584</v>
      </c>
      <c r="J1210" s="9" t="s">
        <v>6585</v>
      </c>
      <c r="K1210" s="9" t="s">
        <v>6586</v>
      </c>
      <c r="L1210" s="9" t="s">
        <v>6587</v>
      </c>
      <c r="M1210" s="9" t="s">
        <v>6588</v>
      </c>
      <c r="N1210" s="9" t="s">
        <v>1082</v>
      </c>
      <c r="O1210" s="6">
        <f t="shared" si="23"/>
        <v>1684</v>
      </c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</row>
    <row r="1211" spans="1:27" ht="12.75" x14ac:dyDescent="0.2">
      <c r="A1211" s="5" t="s">
        <v>2937</v>
      </c>
      <c r="B1211" s="5" t="s">
        <v>2937</v>
      </c>
      <c r="C1211" s="4">
        <v>629</v>
      </c>
      <c r="D1211" s="6" t="e">
        <f t="shared" si="20"/>
        <v>#VALUE!</v>
      </c>
      <c r="E1211" s="6" t="s">
        <v>4304</v>
      </c>
      <c r="F1211" s="7">
        <v>421</v>
      </c>
      <c r="G1211" s="6" t="s">
        <v>21</v>
      </c>
      <c r="H1211" s="11" t="s">
        <v>6589</v>
      </c>
      <c r="I1211" s="9" t="s">
        <v>6590</v>
      </c>
      <c r="J1211" s="9" t="s">
        <v>6591</v>
      </c>
      <c r="K1211" s="9" t="s">
        <v>6592</v>
      </c>
      <c r="L1211" s="9" t="s">
        <v>6593</v>
      </c>
      <c r="M1211" s="9" t="s">
        <v>6594</v>
      </c>
      <c r="N1211" s="9" t="s">
        <v>1082</v>
      </c>
      <c r="O1211" s="6">
        <f t="shared" si="23"/>
        <v>2110</v>
      </c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</row>
    <row r="1212" spans="1:27" ht="12.75" x14ac:dyDescent="0.2">
      <c r="A1212" s="5" t="s">
        <v>2937</v>
      </c>
      <c r="B1212" s="5" t="s">
        <v>2937</v>
      </c>
      <c r="C1212" s="4">
        <v>630</v>
      </c>
      <c r="D1212" s="6" t="e">
        <f t="shared" si="20"/>
        <v>#VALUE!</v>
      </c>
      <c r="E1212" s="6" t="s">
        <v>6595</v>
      </c>
      <c r="F1212" s="7">
        <v>421</v>
      </c>
      <c r="G1212" s="6" t="s">
        <v>21</v>
      </c>
      <c r="H1212" s="11" t="s">
        <v>6596</v>
      </c>
      <c r="I1212" s="9" t="s">
        <v>6597</v>
      </c>
      <c r="J1212" s="9" t="s">
        <v>6598</v>
      </c>
      <c r="K1212" s="9" t="s">
        <v>6599</v>
      </c>
      <c r="L1212" s="9" t="s">
        <v>6600</v>
      </c>
      <c r="M1212" s="9" t="s">
        <v>6601</v>
      </c>
      <c r="N1212" s="9" t="s">
        <v>1082</v>
      </c>
      <c r="O1212" s="6">
        <f t="shared" si="23"/>
        <v>2110.0000262381109</v>
      </c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</row>
    <row r="1213" spans="1:27" ht="12.75" x14ac:dyDescent="0.2">
      <c r="A1213" s="5" t="s">
        <v>2937</v>
      </c>
      <c r="B1213" s="5" t="s">
        <v>2937</v>
      </c>
      <c r="C1213" s="4">
        <v>631</v>
      </c>
      <c r="D1213" s="6" t="e">
        <f t="shared" si="20"/>
        <v>#VALUE!</v>
      </c>
      <c r="E1213" s="6" t="s">
        <v>6602</v>
      </c>
      <c r="F1213" s="7">
        <v>421</v>
      </c>
      <c r="G1213" s="6" t="s">
        <v>17</v>
      </c>
      <c r="H1213" s="8" t="s">
        <v>6603</v>
      </c>
      <c r="I1213" s="9" t="s">
        <v>6604</v>
      </c>
      <c r="J1213" s="10" t="s">
        <v>6605</v>
      </c>
      <c r="K1213" s="9" t="s">
        <v>6606</v>
      </c>
      <c r="L1213" s="9" t="s">
        <v>6607</v>
      </c>
      <c r="M1213" s="9" t="s">
        <v>6608</v>
      </c>
      <c r="N1213" s="9" t="s">
        <v>1082</v>
      </c>
      <c r="O1213" s="6">
        <f t="shared" si="23"/>
        <v>844</v>
      </c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</row>
    <row r="1214" spans="1:27" ht="12.75" x14ac:dyDescent="0.2">
      <c r="A1214" s="5" t="s">
        <v>2937</v>
      </c>
      <c r="B1214" s="5" t="s">
        <v>2937</v>
      </c>
      <c r="C1214" s="4">
        <v>632</v>
      </c>
      <c r="D1214" s="6" t="e">
        <f t="shared" si="20"/>
        <v>#VALUE!</v>
      </c>
      <c r="E1214" s="6" t="s">
        <v>6609</v>
      </c>
      <c r="F1214" s="7">
        <v>421</v>
      </c>
      <c r="G1214" s="6" t="s">
        <v>17</v>
      </c>
      <c r="H1214" s="8" t="s">
        <v>6610</v>
      </c>
      <c r="I1214" s="9" t="s">
        <v>6611</v>
      </c>
      <c r="J1214" s="10" t="s">
        <v>6612</v>
      </c>
      <c r="K1214" s="9" t="s">
        <v>6613</v>
      </c>
      <c r="L1214" s="9" t="s">
        <v>6614</v>
      </c>
      <c r="M1214" s="9" t="s">
        <v>6615</v>
      </c>
      <c r="N1214" s="9" t="s">
        <v>1082</v>
      </c>
      <c r="O1214" s="6">
        <f t="shared" si="23"/>
        <v>844</v>
      </c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</row>
    <row r="1215" spans="1:27" ht="12.75" x14ac:dyDescent="0.2">
      <c r="A1215" s="5" t="s">
        <v>2937</v>
      </c>
      <c r="B1215" s="5" t="s">
        <v>2937</v>
      </c>
      <c r="C1215" s="4">
        <v>633</v>
      </c>
      <c r="D1215" s="6" t="e">
        <f t="shared" si="20"/>
        <v>#VALUE!</v>
      </c>
      <c r="E1215" s="6" t="s">
        <v>3385</v>
      </c>
      <c r="F1215" s="7">
        <v>422</v>
      </c>
      <c r="G1215" s="6" t="s">
        <v>17</v>
      </c>
      <c r="H1215" s="8" t="s">
        <v>6616</v>
      </c>
      <c r="I1215" s="9" t="s">
        <v>6617</v>
      </c>
      <c r="J1215" s="10" t="s">
        <v>6618</v>
      </c>
      <c r="K1215" s="9" t="s">
        <v>6619</v>
      </c>
      <c r="L1215" s="9" t="s">
        <v>6620</v>
      </c>
      <c r="M1215" s="9" t="s">
        <v>6621</v>
      </c>
      <c r="N1215" s="9" t="s">
        <v>1082</v>
      </c>
      <c r="O1215" s="6">
        <f t="shared" si="23"/>
        <v>846.00003495709018</v>
      </c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</row>
    <row r="1216" spans="1:27" ht="12.75" x14ac:dyDescent="0.2">
      <c r="A1216" s="5" t="s">
        <v>2937</v>
      </c>
      <c r="B1216" s="5" t="s">
        <v>2937</v>
      </c>
      <c r="C1216" s="4">
        <v>634</v>
      </c>
      <c r="D1216" s="6" t="e">
        <f t="shared" si="20"/>
        <v>#VALUE!</v>
      </c>
      <c r="E1216" s="6" t="s">
        <v>148</v>
      </c>
      <c r="F1216" s="7">
        <v>422</v>
      </c>
      <c r="G1216" s="6" t="s">
        <v>28</v>
      </c>
      <c r="H1216" s="8" t="s">
        <v>6622</v>
      </c>
      <c r="I1216" s="10" t="s">
        <v>6623</v>
      </c>
      <c r="J1216" s="9" t="s">
        <v>6624</v>
      </c>
      <c r="K1216" s="9" t="s">
        <v>6625</v>
      </c>
      <c r="L1216" s="9" t="s">
        <v>6626</v>
      </c>
      <c r="M1216" s="9" t="s">
        <v>6627</v>
      </c>
      <c r="N1216" s="9" t="s">
        <v>1082</v>
      </c>
      <c r="O1216" s="6">
        <f t="shared" si="23"/>
        <v>1692</v>
      </c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</row>
    <row r="1217" spans="1:27" ht="12.75" x14ac:dyDescent="0.2">
      <c r="A1217" s="5" t="s">
        <v>2937</v>
      </c>
      <c r="B1217" s="5" t="s">
        <v>2937</v>
      </c>
      <c r="C1217" s="4">
        <v>635</v>
      </c>
      <c r="D1217" s="6" t="e">
        <f t="shared" si="20"/>
        <v>#VALUE!</v>
      </c>
      <c r="E1217" s="6" t="s">
        <v>3209</v>
      </c>
      <c r="F1217" s="7">
        <v>422</v>
      </c>
      <c r="G1217" s="6" t="s">
        <v>17</v>
      </c>
      <c r="H1217" s="8" t="s">
        <v>6628</v>
      </c>
      <c r="I1217" s="9" t="s">
        <v>6629</v>
      </c>
      <c r="J1217" s="10" t="s">
        <v>6630</v>
      </c>
      <c r="K1217" s="9" t="s">
        <v>6631</v>
      </c>
      <c r="L1217" s="9" t="s">
        <v>6632</v>
      </c>
      <c r="M1217" s="9" t="s">
        <v>6633</v>
      </c>
      <c r="N1217" s="9" t="s">
        <v>1082</v>
      </c>
      <c r="O1217" s="6">
        <f t="shared" si="23"/>
        <v>846</v>
      </c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</row>
    <row r="1218" spans="1:27" ht="12.75" x14ac:dyDescent="0.2">
      <c r="A1218" s="5" t="s">
        <v>2937</v>
      </c>
      <c r="B1218" s="5" t="s">
        <v>2937</v>
      </c>
      <c r="C1218" s="4">
        <v>636</v>
      </c>
      <c r="D1218" s="6" t="e">
        <f t="shared" si="20"/>
        <v>#VALUE!</v>
      </c>
      <c r="E1218" s="6" t="s">
        <v>4662</v>
      </c>
      <c r="F1218" s="7">
        <v>422</v>
      </c>
      <c r="G1218" s="6" t="s">
        <v>28</v>
      </c>
      <c r="H1218" s="8" t="s">
        <v>6634</v>
      </c>
      <c r="I1218" s="10" t="s">
        <v>6635</v>
      </c>
      <c r="J1218" s="9" t="s">
        <v>6636</v>
      </c>
      <c r="K1218" s="9" t="s">
        <v>6637</v>
      </c>
      <c r="L1218" s="9" t="s">
        <v>1715</v>
      </c>
      <c r="M1218" s="9" t="s">
        <v>6638</v>
      </c>
      <c r="N1218" s="9" t="s">
        <v>1082</v>
      </c>
      <c r="O1218" s="6">
        <f t="shared" si="23"/>
        <v>1691.9999310570674</v>
      </c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</row>
    <row r="1219" spans="1:27" ht="12.75" x14ac:dyDescent="0.2">
      <c r="A1219" s="5" t="s">
        <v>2937</v>
      </c>
      <c r="B1219" s="5" t="s">
        <v>2937</v>
      </c>
      <c r="C1219" s="4">
        <v>637</v>
      </c>
      <c r="D1219" s="6" t="e">
        <f t="shared" si="20"/>
        <v>#VALUE!</v>
      </c>
      <c r="E1219" s="6" t="s">
        <v>3963</v>
      </c>
      <c r="F1219" s="7">
        <v>423</v>
      </c>
      <c r="G1219" s="6" t="s">
        <v>17</v>
      </c>
      <c r="H1219" s="8" t="s">
        <v>6639</v>
      </c>
      <c r="I1219" s="9" t="s">
        <v>6640</v>
      </c>
      <c r="J1219" s="10" t="s">
        <v>6641</v>
      </c>
      <c r="K1219" s="9" t="s">
        <v>6642</v>
      </c>
      <c r="L1219" s="9" t="s">
        <v>6643</v>
      </c>
      <c r="M1219" s="9" t="s">
        <v>6644</v>
      </c>
      <c r="N1219" s="9" t="s">
        <v>1082</v>
      </c>
      <c r="O1219" s="6">
        <f t="shared" ref="O1219:O1282" si="24">M1219/K1219</f>
        <v>848</v>
      </c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</row>
    <row r="1220" spans="1:27" ht="12.75" x14ac:dyDescent="0.2">
      <c r="A1220" s="5" t="s">
        <v>2937</v>
      </c>
      <c r="B1220" s="5" t="s">
        <v>2937</v>
      </c>
      <c r="C1220" s="4">
        <v>638</v>
      </c>
      <c r="D1220" s="6" t="e">
        <f t="shared" si="20"/>
        <v>#VALUE!</v>
      </c>
      <c r="E1220" s="6" t="s">
        <v>440</v>
      </c>
      <c r="F1220" s="7">
        <v>423</v>
      </c>
      <c r="G1220" s="6" t="s">
        <v>21</v>
      </c>
      <c r="H1220" s="11" t="s">
        <v>6645</v>
      </c>
      <c r="I1220" s="9" t="s">
        <v>6646</v>
      </c>
      <c r="J1220" s="9" t="s">
        <v>6575</v>
      </c>
      <c r="K1220" s="9" t="s">
        <v>6647</v>
      </c>
      <c r="L1220" s="9" t="s">
        <v>5529</v>
      </c>
      <c r="M1220" s="9" t="s">
        <v>6648</v>
      </c>
      <c r="N1220" s="9" t="s">
        <v>1082</v>
      </c>
      <c r="O1220" s="6">
        <f t="shared" si="24"/>
        <v>2119.9998969351077</v>
      </c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</row>
    <row r="1221" spans="1:27" ht="12.75" x14ac:dyDescent="0.2">
      <c r="A1221" s="5" t="s">
        <v>2937</v>
      </c>
      <c r="B1221" s="5" t="s">
        <v>2937</v>
      </c>
      <c r="C1221" s="4">
        <v>639</v>
      </c>
      <c r="D1221" s="6" t="e">
        <f t="shared" si="20"/>
        <v>#VALUE!</v>
      </c>
      <c r="E1221" s="6" t="s">
        <v>6649</v>
      </c>
      <c r="F1221" s="7">
        <v>423</v>
      </c>
      <c r="G1221" s="6" t="s">
        <v>21</v>
      </c>
      <c r="H1221" s="11" t="s">
        <v>6650</v>
      </c>
      <c r="I1221" s="9" t="s">
        <v>6651</v>
      </c>
      <c r="J1221" s="9" t="s">
        <v>6652</v>
      </c>
      <c r="K1221" s="9" t="s">
        <v>6653</v>
      </c>
      <c r="L1221" s="9" t="s">
        <v>1141</v>
      </c>
      <c r="M1221" s="9" t="s">
        <v>6654</v>
      </c>
      <c r="N1221" s="9" t="s">
        <v>1082</v>
      </c>
      <c r="O1221" s="6">
        <f t="shared" si="24"/>
        <v>2120.0001029031555</v>
      </c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</row>
    <row r="1222" spans="1:27" ht="12.75" x14ac:dyDescent="0.2">
      <c r="A1222" s="5" t="s">
        <v>2937</v>
      </c>
      <c r="B1222" s="5" t="s">
        <v>2937</v>
      </c>
      <c r="C1222" s="4">
        <v>640</v>
      </c>
      <c r="D1222" s="6" t="e">
        <f t="shared" si="20"/>
        <v>#VALUE!</v>
      </c>
      <c r="E1222" s="6" t="s">
        <v>543</v>
      </c>
      <c r="F1222" s="7">
        <v>423</v>
      </c>
      <c r="G1222" s="6" t="s">
        <v>21</v>
      </c>
      <c r="H1222" s="11" t="s">
        <v>2699</v>
      </c>
      <c r="I1222" s="9" t="s">
        <v>6655</v>
      </c>
      <c r="J1222" s="9" t="s">
        <v>6656</v>
      </c>
      <c r="K1222" s="9" t="s">
        <v>6657</v>
      </c>
      <c r="L1222" s="9" t="s">
        <v>6658</v>
      </c>
      <c r="M1222" s="9" t="s">
        <v>6659</v>
      </c>
      <c r="N1222" s="9" t="s">
        <v>1082</v>
      </c>
      <c r="O1222" s="6">
        <f t="shared" si="24"/>
        <v>2119.9998972580747</v>
      </c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</row>
    <row r="1223" spans="1:27" ht="12.75" x14ac:dyDescent="0.2">
      <c r="A1223" s="5" t="s">
        <v>2937</v>
      </c>
      <c r="B1223" s="5" t="s">
        <v>2937</v>
      </c>
      <c r="C1223" s="4">
        <v>641</v>
      </c>
      <c r="D1223" s="6" t="e">
        <f t="shared" si="20"/>
        <v>#VALUE!</v>
      </c>
      <c r="E1223" s="6" t="s">
        <v>3095</v>
      </c>
      <c r="F1223" s="7">
        <v>424</v>
      </c>
      <c r="G1223" s="6" t="s">
        <v>21</v>
      </c>
      <c r="H1223" s="11" t="s">
        <v>6660</v>
      </c>
      <c r="I1223" s="9" t="s">
        <v>6661</v>
      </c>
      <c r="J1223" s="9" t="s">
        <v>6662</v>
      </c>
      <c r="K1223" s="9" t="s">
        <v>6663</v>
      </c>
      <c r="L1223" s="9" t="s">
        <v>6664</v>
      </c>
      <c r="M1223" s="9" t="s">
        <v>6665</v>
      </c>
      <c r="N1223" s="9" t="s">
        <v>1082</v>
      </c>
      <c r="O1223" s="6">
        <f t="shared" si="24"/>
        <v>2124.9999744252063</v>
      </c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</row>
    <row r="1224" spans="1:27" ht="12.75" x14ac:dyDescent="0.2">
      <c r="A1224" s="5" t="s">
        <v>2937</v>
      </c>
      <c r="B1224" s="5" t="s">
        <v>2937</v>
      </c>
      <c r="C1224" s="4">
        <v>642</v>
      </c>
      <c r="D1224" s="6" t="e">
        <f t="shared" si="20"/>
        <v>#VALUE!</v>
      </c>
      <c r="E1224" s="6" t="s">
        <v>4662</v>
      </c>
      <c r="F1224" s="7">
        <v>424</v>
      </c>
      <c r="G1224" s="6" t="s">
        <v>17</v>
      </c>
      <c r="H1224" s="8" t="s">
        <v>6666</v>
      </c>
      <c r="I1224" s="9" t="s">
        <v>6667</v>
      </c>
      <c r="J1224" s="10" t="s">
        <v>6668</v>
      </c>
      <c r="K1224" s="9" t="s">
        <v>6669</v>
      </c>
      <c r="L1224" s="9" t="s">
        <v>6670</v>
      </c>
      <c r="M1224" s="9" t="s">
        <v>6671</v>
      </c>
      <c r="N1224" s="9" t="s">
        <v>1082</v>
      </c>
      <c r="O1224" s="6">
        <f t="shared" si="24"/>
        <v>850.00003427533375</v>
      </c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</row>
    <row r="1225" spans="1:27" ht="12.75" x14ac:dyDescent="0.2">
      <c r="A1225" s="5" t="s">
        <v>2937</v>
      </c>
      <c r="B1225" s="5" t="s">
        <v>2937</v>
      </c>
      <c r="C1225" s="4">
        <v>643</v>
      </c>
      <c r="D1225" s="6" t="e">
        <f t="shared" si="20"/>
        <v>#VALUE!</v>
      </c>
      <c r="E1225" s="6" t="s">
        <v>3501</v>
      </c>
      <c r="F1225" s="7">
        <v>424</v>
      </c>
      <c r="G1225" s="6" t="s">
        <v>17</v>
      </c>
      <c r="H1225" s="8" t="s">
        <v>6672</v>
      </c>
      <c r="I1225" s="9" t="s">
        <v>2487</v>
      </c>
      <c r="J1225" s="10" t="s">
        <v>6673</v>
      </c>
      <c r="K1225" s="9" t="s">
        <v>6674</v>
      </c>
      <c r="L1225" s="9" t="s">
        <v>6675</v>
      </c>
      <c r="M1225" s="9" t="s">
        <v>6676</v>
      </c>
      <c r="N1225" s="9" t="s">
        <v>1082</v>
      </c>
      <c r="O1225" s="6">
        <f t="shared" si="24"/>
        <v>849.99996577745071</v>
      </c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</row>
    <row r="1226" spans="1:27" ht="12.75" x14ac:dyDescent="0.2">
      <c r="A1226" s="5" t="s">
        <v>2937</v>
      </c>
      <c r="B1226" s="5" t="s">
        <v>2937</v>
      </c>
      <c r="C1226" s="4">
        <v>644</v>
      </c>
      <c r="D1226" s="6" t="e">
        <f t="shared" si="20"/>
        <v>#VALUE!</v>
      </c>
      <c r="E1226" s="6" t="s">
        <v>6677</v>
      </c>
      <c r="F1226" s="7">
        <v>424</v>
      </c>
      <c r="G1226" s="6" t="s">
        <v>21</v>
      </c>
      <c r="H1226" s="11" t="s">
        <v>6678</v>
      </c>
      <c r="I1226" s="9" t="s">
        <v>6679</v>
      </c>
      <c r="J1226" s="9" t="s">
        <v>6680</v>
      </c>
      <c r="K1226" s="9" t="s">
        <v>6681</v>
      </c>
      <c r="L1226" s="9" t="s">
        <v>6682</v>
      </c>
      <c r="M1226" s="9" t="s">
        <v>6683</v>
      </c>
      <c r="N1226" s="9" t="s">
        <v>1082</v>
      </c>
      <c r="O1226" s="6">
        <f t="shared" si="24"/>
        <v>2125.0000636399504</v>
      </c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</row>
    <row r="1227" spans="1:27" ht="12.75" x14ac:dyDescent="0.2">
      <c r="A1227" s="5" t="s">
        <v>2937</v>
      </c>
      <c r="B1227" s="5" t="s">
        <v>2937</v>
      </c>
      <c r="C1227" s="4">
        <v>645</v>
      </c>
      <c r="D1227" s="6" t="e">
        <f t="shared" si="20"/>
        <v>#VALUE!</v>
      </c>
      <c r="E1227" s="6" t="s">
        <v>6067</v>
      </c>
      <c r="F1227" s="7">
        <v>425</v>
      </c>
      <c r="G1227" s="6" t="s">
        <v>17</v>
      </c>
      <c r="H1227" s="8" t="s">
        <v>6684</v>
      </c>
      <c r="I1227" s="9" t="s">
        <v>6685</v>
      </c>
      <c r="J1227" s="10" t="s">
        <v>6686</v>
      </c>
      <c r="K1227" s="9" t="s">
        <v>6687</v>
      </c>
      <c r="L1227" s="9" t="s">
        <v>4640</v>
      </c>
      <c r="M1227" s="9" t="s">
        <v>6688</v>
      </c>
      <c r="N1227" s="9" t="s">
        <v>1082</v>
      </c>
      <c r="O1227" s="6">
        <f t="shared" si="24"/>
        <v>852</v>
      </c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</row>
    <row r="1228" spans="1:27" ht="12.75" x14ac:dyDescent="0.2">
      <c r="A1228" s="5" t="s">
        <v>2937</v>
      </c>
      <c r="B1228" s="5" t="s">
        <v>2937</v>
      </c>
      <c r="C1228" s="4">
        <v>646</v>
      </c>
      <c r="D1228" s="6" t="e">
        <f t="shared" si="20"/>
        <v>#VALUE!</v>
      </c>
      <c r="E1228" s="6" t="s">
        <v>6689</v>
      </c>
      <c r="F1228" s="7">
        <v>425</v>
      </c>
      <c r="G1228" s="6" t="s">
        <v>28</v>
      </c>
      <c r="H1228" s="8" t="s">
        <v>6690</v>
      </c>
      <c r="I1228" s="10" t="s">
        <v>6691</v>
      </c>
      <c r="J1228" s="9" t="s">
        <v>771</v>
      </c>
      <c r="K1228" s="9" t="s">
        <v>6692</v>
      </c>
      <c r="L1228" s="9" t="s">
        <v>6693</v>
      </c>
      <c r="M1228" s="9" t="s">
        <v>6694</v>
      </c>
      <c r="N1228" s="9" t="s">
        <v>1082</v>
      </c>
      <c r="O1228" s="6">
        <f t="shared" si="24"/>
        <v>1704</v>
      </c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</row>
    <row r="1229" spans="1:27" ht="12.75" x14ac:dyDescent="0.2">
      <c r="A1229" s="5" t="s">
        <v>2937</v>
      </c>
      <c r="B1229" s="5" t="s">
        <v>2937</v>
      </c>
      <c r="C1229" s="4">
        <v>647</v>
      </c>
      <c r="D1229" s="6" t="e">
        <f t="shared" si="20"/>
        <v>#VALUE!</v>
      </c>
      <c r="E1229" s="6" t="s">
        <v>6695</v>
      </c>
      <c r="F1229" s="7">
        <v>425</v>
      </c>
      <c r="G1229" s="6" t="s">
        <v>28</v>
      </c>
      <c r="H1229" s="8" t="s">
        <v>6696</v>
      </c>
      <c r="I1229" s="10" t="s">
        <v>6697</v>
      </c>
      <c r="J1229" s="9" t="s">
        <v>6698</v>
      </c>
      <c r="K1229" s="9" t="s">
        <v>6699</v>
      </c>
      <c r="L1229" s="9" t="s">
        <v>6700</v>
      </c>
      <c r="M1229" s="9" t="s">
        <v>6701</v>
      </c>
      <c r="N1229" s="9" t="s">
        <v>1082</v>
      </c>
      <c r="O1229" s="6">
        <f t="shared" si="24"/>
        <v>1704</v>
      </c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</row>
    <row r="1230" spans="1:27" ht="12.75" x14ac:dyDescent="0.2">
      <c r="A1230" s="5" t="s">
        <v>2937</v>
      </c>
      <c r="B1230" s="5" t="s">
        <v>2937</v>
      </c>
      <c r="C1230" s="4">
        <v>648</v>
      </c>
      <c r="D1230" s="6" t="e">
        <f t="shared" si="20"/>
        <v>#VALUE!</v>
      </c>
      <c r="E1230" s="6" t="s">
        <v>73</v>
      </c>
      <c r="F1230" s="7">
        <v>425</v>
      </c>
      <c r="G1230" s="6" t="s">
        <v>17</v>
      </c>
      <c r="H1230" s="8" t="s">
        <v>6702</v>
      </c>
      <c r="I1230" s="9" t="s">
        <v>6703</v>
      </c>
      <c r="J1230" s="10" t="s">
        <v>6704</v>
      </c>
      <c r="K1230" s="9" t="s">
        <v>6705</v>
      </c>
      <c r="L1230" s="9" t="s">
        <v>6700</v>
      </c>
      <c r="M1230" s="9" t="s">
        <v>6706</v>
      </c>
      <c r="N1230" s="9" t="s">
        <v>1082</v>
      </c>
      <c r="O1230" s="6">
        <f t="shared" si="24"/>
        <v>852</v>
      </c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</row>
    <row r="1231" spans="1:27" ht="12.75" x14ac:dyDescent="0.2">
      <c r="A1231" s="5" t="s">
        <v>2937</v>
      </c>
      <c r="B1231" s="5" t="s">
        <v>2937</v>
      </c>
      <c r="C1231" s="4">
        <v>649</v>
      </c>
      <c r="D1231" s="6" t="e">
        <f t="shared" si="20"/>
        <v>#VALUE!</v>
      </c>
      <c r="E1231" s="6" t="s">
        <v>5957</v>
      </c>
      <c r="F1231" s="7">
        <v>426</v>
      </c>
      <c r="G1231" s="6" t="s">
        <v>28</v>
      </c>
      <c r="H1231" s="8" t="s">
        <v>6707</v>
      </c>
      <c r="I1231" s="10" t="s">
        <v>6708</v>
      </c>
      <c r="J1231" s="9" t="s">
        <v>6709</v>
      </c>
      <c r="K1231" s="9" t="s">
        <v>6710</v>
      </c>
      <c r="L1231" s="9" t="s">
        <v>6711</v>
      </c>
      <c r="M1231" s="9" t="s">
        <v>6712</v>
      </c>
      <c r="N1231" s="9" t="s">
        <v>1082</v>
      </c>
      <c r="O1231" s="6">
        <f t="shared" si="24"/>
        <v>1708</v>
      </c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</row>
    <row r="1232" spans="1:27" ht="12.75" x14ac:dyDescent="0.2">
      <c r="A1232" s="5" t="s">
        <v>2937</v>
      </c>
      <c r="B1232" s="5" t="s">
        <v>2937</v>
      </c>
      <c r="C1232" s="4">
        <v>650</v>
      </c>
      <c r="D1232" s="6" t="e">
        <f t="shared" si="20"/>
        <v>#VALUE!</v>
      </c>
      <c r="E1232" s="6" t="s">
        <v>6540</v>
      </c>
      <c r="F1232" s="7">
        <v>426</v>
      </c>
      <c r="G1232" s="6" t="s">
        <v>17</v>
      </c>
      <c r="H1232" s="8" t="s">
        <v>6690</v>
      </c>
      <c r="I1232" s="9" t="s">
        <v>6713</v>
      </c>
      <c r="J1232" s="10" t="s">
        <v>6714</v>
      </c>
      <c r="K1232" s="9" t="s">
        <v>6715</v>
      </c>
      <c r="L1232" s="9" t="s">
        <v>6711</v>
      </c>
      <c r="M1232" s="9" t="s">
        <v>6716</v>
      </c>
      <c r="N1232" s="9" t="s">
        <v>1082</v>
      </c>
      <c r="O1232" s="6">
        <f t="shared" si="24"/>
        <v>854.00003366719977</v>
      </c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</row>
    <row r="1233" spans="1:27" ht="12.75" x14ac:dyDescent="0.2">
      <c r="A1233" s="5" t="s">
        <v>2937</v>
      </c>
      <c r="B1233" s="5" t="s">
        <v>2937</v>
      </c>
      <c r="C1233" s="4">
        <v>651</v>
      </c>
      <c r="D1233" s="6" t="e">
        <f t="shared" si="20"/>
        <v>#VALUE!</v>
      </c>
      <c r="E1233" s="6" t="s">
        <v>6717</v>
      </c>
      <c r="F1233" s="7">
        <v>426</v>
      </c>
      <c r="G1233" s="6" t="s">
        <v>21</v>
      </c>
      <c r="H1233" s="11" t="s">
        <v>6718</v>
      </c>
      <c r="I1233" s="9" t="s">
        <v>6719</v>
      </c>
      <c r="J1233" s="9" t="s">
        <v>6720</v>
      </c>
      <c r="K1233" s="9" t="s">
        <v>6721</v>
      </c>
      <c r="L1233" s="9" t="s">
        <v>6722</v>
      </c>
      <c r="M1233" s="9" t="s">
        <v>6723</v>
      </c>
      <c r="N1233" s="9" t="s">
        <v>1082</v>
      </c>
      <c r="O1233" s="6">
        <f t="shared" si="24"/>
        <v>2134.9999373896494</v>
      </c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</row>
    <row r="1234" spans="1:27" ht="12.75" x14ac:dyDescent="0.2">
      <c r="A1234" s="5" t="s">
        <v>2937</v>
      </c>
      <c r="B1234" s="5" t="s">
        <v>2937</v>
      </c>
      <c r="C1234" s="4">
        <v>652</v>
      </c>
      <c r="D1234" s="6" t="e">
        <f t="shared" si="20"/>
        <v>#VALUE!</v>
      </c>
      <c r="E1234" s="6" t="s">
        <v>6724</v>
      </c>
      <c r="F1234" s="7">
        <v>426</v>
      </c>
      <c r="G1234" s="6" t="s">
        <v>28</v>
      </c>
      <c r="H1234" s="8" t="s">
        <v>6725</v>
      </c>
      <c r="I1234" s="10" t="s">
        <v>6726</v>
      </c>
      <c r="J1234" s="9" t="s">
        <v>6727</v>
      </c>
      <c r="K1234" s="9" t="s">
        <v>6728</v>
      </c>
      <c r="L1234" s="9" t="s">
        <v>6729</v>
      </c>
      <c r="M1234" s="9" t="s">
        <v>6730</v>
      </c>
      <c r="N1234" s="9" t="s">
        <v>1082</v>
      </c>
      <c r="O1234" s="6">
        <f t="shared" si="24"/>
        <v>1708</v>
      </c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</row>
    <row r="1235" spans="1:27" ht="12.75" x14ac:dyDescent="0.2">
      <c r="A1235" s="5" t="s">
        <v>2937</v>
      </c>
      <c r="B1235" s="5" t="s">
        <v>2937</v>
      </c>
      <c r="C1235" s="4">
        <v>653</v>
      </c>
      <c r="D1235" s="6" t="e">
        <f t="shared" si="20"/>
        <v>#VALUE!</v>
      </c>
      <c r="E1235" s="6" t="s">
        <v>3731</v>
      </c>
      <c r="F1235" s="7">
        <v>427</v>
      </c>
      <c r="G1235" s="6" t="s">
        <v>17</v>
      </c>
      <c r="H1235" s="8" t="s">
        <v>6707</v>
      </c>
      <c r="I1235" s="9" t="s">
        <v>6731</v>
      </c>
      <c r="J1235" s="10" t="s">
        <v>6732</v>
      </c>
      <c r="K1235" s="9" t="s">
        <v>6733</v>
      </c>
      <c r="L1235" s="9" t="s">
        <v>6734</v>
      </c>
      <c r="M1235" s="9" t="s">
        <v>6735</v>
      </c>
      <c r="N1235" s="9" t="s">
        <v>1082</v>
      </c>
      <c r="O1235" s="6">
        <f t="shared" si="24"/>
        <v>856</v>
      </c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</row>
    <row r="1236" spans="1:27" ht="12.75" x14ac:dyDescent="0.2">
      <c r="A1236" s="5" t="s">
        <v>2937</v>
      </c>
      <c r="B1236" s="5" t="s">
        <v>2937</v>
      </c>
      <c r="C1236" s="4">
        <v>654</v>
      </c>
      <c r="D1236" s="6" t="e">
        <f t="shared" si="20"/>
        <v>#VALUE!</v>
      </c>
      <c r="E1236" s="6" t="s">
        <v>6736</v>
      </c>
      <c r="F1236" s="7">
        <v>427</v>
      </c>
      <c r="G1236" s="6" t="s">
        <v>21</v>
      </c>
      <c r="H1236" s="11" t="s">
        <v>6714</v>
      </c>
      <c r="I1236" s="9" t="s">
        <v>6737</v>
      </c>
      <c r="J1236" s="9" t="s">
        <v>2697</v>
      </c>
      <c r="K1236" s="9" t="s">
        <v>6738</v>
      </c>
      <c r="L1236" s="9" t="s">
        <v>4051</v>
      </c>
      <c r="M1236" s="9" t="s">
        <v>6739</v>
      </c>
      <c r="N1236" s="9" t="s">
        <v>1082</v>
      </c>
      <c r="O1236" s="6">
        <f t="shared" si="24"/>
        <v>2139.9999502778228</v>
      </c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</row>
    <row r="1237" spans="1:27" ht="12.75" x14ac:dyDescent="0.2">
      <c r="A1237" s="5" t="s">
        <v>2937</v>
      </c>
      <c r="B1237" s="5" t="s">
        <v>2937</v>
      </c>
      <c r="C1237" s="4">
        <v>655</v>
      </c>
      <c r="D1237" s="6" t="e">
        <f t="shared" si="20"/>
        <v>#VALUE!</v>
      </c>
      <c r="E1237" s="6" t="s">
        <v>6740</v>
      </c>
      <c r="F1237" s="7">
        <v>427</v>
      </c>
      <c r="G1237" s="6" t="s">
        <v>21</v>
      </c>
      <c r="H1237" s="11" t="s">
        <v>6741</v>
      </c>
      <c r="I1237" s="9" t="s">
        <v>6742</v>
      </c>
      <c r="J1237" s="9" t="s">
        <v>6743</v>
      </c>
      <c r="K1237" s="9" t="s">
        <v>6744</v>
      </c>
      <c r="L1237" s="9" t="s">
        <v>6745</v>
      </c>
      <c r="M1237" s="9" t="s">
        <v>6746</v>
      </c>
      <c r="N1237" s="9" t="s">
        <v>1082</v>
      </c>
      <c r="O1237" s="6">
        <f t="shared" si="24"/>
        <v>2140.0000992925407</v>
      </c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</row>
    <row r="1238" spans="1:27" ht="12.75" x14ac:dyDescent="0.2">
      <c r="A1238" s="5" t="s">
        <v>2937</v>
      </c>
      <c r="B1238" s="5" t="s">
        <v>2937</v>
      </c>
      <c r="C1238" s="4">
        <v>656</v>
      </c>
      <c r="D1238" s="6" t="e">
        <f t="shared" si="20"/>
        <v>#VALUE!</v>
      </c>
      <c r="E1238" s="6" t="s">
        <v>4081</v>
      </c>
      <c r="F1238" s="7">
        <v>427</v>
      </c>
      <c r="G1238" s="6" t="s">
        <v>17</v>
      </c>
      <c r="H1238" s="8" t="s">
        <v>6747</v>
      </c>
      <c r="I1238" s="9" t="s">
        <v>6748</v>
      </c>
      <c r="J1238" s="10" t="s">
        <v>6749</v>
      </c>
      <c r="K1238" s="9" t="s">
        <v>6750</v>
      </c>
      <c r="L1238" s="9" t="s">
        <v>6751</v>
      </c>
      <c r="M1238" s="9" t="s">
        <v>6752</v>
      </c>
      <c r="N1238" s="9" t="s">
        <v>1082</v>
      </c>
      <c r="O1238" s="6">
        <f t="shared" si="24"/>
        <v>856</v>
      </c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</row>
    <row r="1239" spans="1:27" ht="12.75" x14ac:dyDescent="0.2">
      <c r="A1239" s="5" t="s">
        <v>2937</v>
      </c>
      <c r="B1239" s="5" t="s">
        <v>2937</v>
      </c>
      <c r="C1239" s="4">
        <v>657</v>
      </c>
      <c r="D1239" s="6" t="e">
        <f t="shared" si="20"/>
        <v>#VALUE!</v>
      </c>
      <c r="E1239" s="6" t="s">
        <v>5715</v>
      </c>
      <c r="F1239" s="7">
        <v>428</v>
      </c>
      <c r="G1239" s="6" t="s">
        <v>21</v>
      </c>
      <c r="H1239" s="11" t="s">
        <v>6753</v>
      </c>
      <c r="I1239" s="9" t="s">
        <v>6754</v>
      </c>
      <c r="J1239" s="9" t="s">
        <v>6755</v>
      </c>
      <c r="K1239" s="9" t="s">
        <v>6756</v>
      </c>
      <c r="L1239" s="9" t="s">
        <v>6757</v>
      </c>
      <c r="M1239" s="9" t="s">
        <v>6758</v>
      </c>
      <c r="N1239" s="9" t="s">
        <v>1082</v>
      </c>
      <c r="O1239" s="6">
        <f t="shared" si="24"/>
        <v>2145.0000370201265</v>
      </c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</row>
    <row r="1240" spans="1:27" ht="12.75" x14ac:dyDescent="0.2">
      <c r="A1240" s="5" t="s">
        <v>2937</v>
      </c>
      <c r="B1240" s="5" t="s">
        <v>2937</v>
      </c>
      <c r="C1240" s="4">
        <v>658</v>
      </c>
      <c r="D1240" s="6" t="e">
        <f t="shared" si="20"/>
        <v>#VALUE!</v>
      </c>
      <c r="E1240" s="6" t="s">
        <v>4197</v>
      </c>
      <c r="F1240" s="7">
        <v>428</v>
      </c>
      <c r="G1240" s="6" t="s">
        <v>21</v>
      </c>
      <c r="H1240" s="11" t="s">
        <v>6759</v>
      </c>
      <c r="I1240" s="9" t="s">
        <v>6760</v>
      </c>
      <c r="J1240" s="9" t="s">
        <v>6761</v>
      </c>
      <c r="K1240" s="9" t="s">
        <v>6762</v>
      </c>
      <c r="L1240" s="9" t="s">
        <v>5685</v>
      </c>
      <c r="M1240" s="9" t="s">
        <v>6763</v>
      </c>
      <c r="N1240" s="9" t="s">
        <v>1082</v>
      </c>
      <c r="O1240" s="6">
        <f t="shared" si="24"/>
        <v>2144.9999014292757</v>
      </c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</row>
    <row r="1241" spans="1:27" ht="12.75" x14ac:dyDescent="0.2">
      <c r="A1241" s="5" t="s">
        <v>2937</v>
      </c>
      <c r="B1241" s="5" t="s">
        <v>2937</v>
      </c>
      <c r="C1241" s="4">
        <v>659</v>
      </c>
      <c r="D1241" s="6" t="e">
        <f t="shared" si="20"/>
        <v>#VALUE!</v>
      </c>
      <c r="E1241" s="6" t="s">
        <v>6764</v>
      </c>
      <c r="F1241" s="7">
        <v>428</v>
      </c>
      <c r="G1241" s="6" t="s">
        <v>17</v>
      </c>
      <c r="H1241" s="8" t="s">
        <v>6765</v>
      </c>
      <c r="I1241" s="9" t="s">
        <v>6766</v>
      </c>
      <c r="J1241" s="10" t="s">
        <v>6767</v>
      </c>
      <c r="K1241" s="9" t="s">
        <v>6768</v>
      </c>
      <c r="L1241" s="9" t="s">
        <v>6769</v>
      </c>
      <c r="M1241" s="9" t="s">
        <v>6770</v>
      </c>
      <c r="N1241" s="9" t="s">
        <v>1082</v>
      </c>
      <c r="O1241" s="6">
        <f t="shared" si="24"/>
        <v>858</v>
      </c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</row>
    <row r="1242" spans="1:27" ht="12.75" x14ac:dyDescent="0.2">
      <c r="A1242" s="5" t="s">
        <v>2937</v>
      </c>
      <c r="B1242" s="5" t="s">
        <v>2937</v>
      </c>
      <c r="C1242" s="4">
        <v>660</v>
      </c>
      <c r="D1242" s="6" t="e">
        <f t="shared" si="20"/>
        <v>#VALUE!</v>
      </c>
      <c r="E1242" s="6" t="s">
        <v>3214</v>
      </c>
      <c r="F1242" s="7">
        <v>428</v>
      </c>
      <c r="G1242" s="6" t="s">
        <v>17</v>
      </c>
      <c r="H1242" s="8" t="s">
        <v>6771</v>
      </c>
      <c r="I1242" s="9" t="s">
        <v>6772</v>
      </c>
      <c r="J1242" s="10" t="s">
        <v>6773</v>
      </c>
      <c r="K1242" s="9" t="s">
        <v>6774</v>
      </c>
      <c r="L1242" s="9" t="s">
        <v>6775</v>
      </c>
      <c r="M1242" s="9" t="s">
        <v>6776</v>
      </c>
      <c r="N1242" s="9" t="s">
        <v>1082</v>
      </c>
      <c r="O1242" s="6">
        <f t="shared" si="24"/>
        <v>858.00003297554861</v>
      </c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</row>
    <row r="1243" spans="1:27" ht="12.75" x14ac:dyDescent="0.2">
      <c r="A1243" s="5" t="s">
        <v>2937</v>
      </c>
      <c r="B1243" s="5" t="s">
        <v>2937</v>
      </c>
      <c r="C1243" s="4">
        <v>661</v>
      </c>
      <c r="D1243" s="6" t="e">
        <f t="shared" si="20"/>
        <v>#VALUE!</v>
      </c>
      <c r="E1243" s="6" t="s">
        <v>5598</v>
      </c>
      <c r="F1243" s="7">
        <v>429</v>
      </c>
      <c r="G1243" s="6" t="s">
        <v>28</v>
      </c>
      <c r="H1243" s="8" t="s">
        <v>6777</v>
      </c>
      <c r="I1243" s="10" t="s">
        <v>6778</v>
      </c>
      <c r="J1243" s="9" t="s">
        <v>6779</v>
      </c>
      <c r="K1243" s="9" t="s">
        <v>6780</v>
      </c>
      <c r="L1243" s="9" t="s">
        <v>6781</v>
      </c>
      <c r="M1243" s="9" t="s">
        <v>6782</v>
      </c>
      <c r="N1243" s="9" t="s">
        <v>1082</v>
      </c>
      <c r="O1243" s="6">
        <f t="shared" si="24"/>
        <v>1720</v>
      </c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</row>
    <row r="1244" spans="1:27" ht="12.75" x14ac:dyDescent="0.2">
      <c r="A1244" s="5" t="s">
        <v>2937</v>
      </c>
      <c r="B1244" s="5" t="s">
        <v>2937</v>
      </c>
      <c r="C1244" s="4">
        <v>662</v>
      </c>
      <c r="D1244" s="6" t="e">
        <f t="shared" si="20"/>
        <v>#VALUE!</v>
      </c>
      <c r="E1244" s="6" t="s">
        <v>3083</v>
      </c>
      <c r="F1244" s="7">
        <v>429</v>
      </c>
      <c r="G1244" s="6" t="s">
        <v>28</v>
      </c>
      <c r="H1244" s="8" t="s">
        <v>6783</v>
      </c>
      <c r="I1244" s="10" t="s">
        <v>6784</v>
      </c>
      <c r="J1244" s="9" t="s">
        <v>1151</v>
      </c>
      <c r="K1244" s="9" t="s">
        <v>6785</v>
      </c>
      <c r="L1244" s="9" t="s">
        <v>6786</v>
      </c>
      <c r="M1244" s="9" t="s">
        <v>6787</v>
      </c>
      <c r="N1244" s="9" t="s">
        <v>1082</v>
      </c>
      <c r="O1244" s="6">
        <f t="shared" si="24"/>
        <v>1720</v>
      </c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</row>
    <row r="1245" spans="1:27" ht="12.75" x14ac:dyDescent="0.2">
      <c r="A1245" s="5" t="s">
        <v>2937</v>
      </c>
      <c r="B1245" s="5" t="s">
        <v>2937</v>
      </c>
      <c r="C1245" s="4">
        <v>663</v>
      </c>
      <c r="D1245" s="6" t="e">
        <f t="shared" si="20"/>
        <v>#VALUE!</v>
      </c>
      <c r="E1245" s="6" t="s">
        <v>6204</v>
      </c>
      <c r="F1245" s="7">
        <v>429</v>
      </c>
      <c r="G1245" s="6" t="s">
        <v>17</v>
      </c>
      <c r="H1245" s="8" t="s">
        <v>6788</v>
      </c>
      <c r="I1245" s="9" t="s">
        <v>6789</v>
      </c>
      <c r="J1245" s="10" t="s">
        <v>6790</v>
      </c>
      <c r="K1245" s="9" t="s">
        <v>6791</v>
      </c>
      <c r="L1245" s="9" t="s">
        <v>6792</v>
      </c>
      <c r="M1245" s="9" t="s">
        <v>6793</v>
      </c>
      <c r="N1245" s="9" t="s">
        <v>1082</v>
      </c>
      <c r="O1245" s="6">
        <f t="shared" si="24"/>
        <v>860</v>
      </c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</row>
    <row r="1246" spans="1:27" ht="12.75" x14ac:dyDescent="0.2">
      <c r="A1246" s="5" t="s">
        <v>2937</v>
      </c>
      <c r="B1246" s="5" t="s">
        <v>2937</v>
      </c>
      <c r="C1246" s="4">
        <v>664</v>
      </c>
      <c r="D1246" s="6" t="e">
        <f t="shared" si="20"/>
        <v>#VALUE!</v>
      </c>
      <c r="E1246" s="6" t="s">
        <v>455</v>
      </c>
      <c r="F1246" s="7">
        <v>429</v>
      </c>
      <c r="G1246" s="6" t="s">
        <v>17</v>
      </c>
      <c r="H1246" s="8" t="s">
        <v>6794</v>
      </c>
      <c r="I1246" s="9" t="s">
        <v>6795</v>
      </c>
      <c r="J1246" s="10" t="s">
        <v>6796</v>
      </c>
      <c r="K1246" s="9" t="s">
        <v>6797</v>
      </c>
      <c r="L1246" s="9" t="s">
        <v>6798</v>
      </c>
      <c r="M1246" s="9" t="s">
        <v>6799</v>
      </c>
      <c r="N1246" s="9" t="s">
        <v>1082</v>
      </c>
      <c r="O1246" s="6">
        <f t="shared" si="24"/>
        <v>860</v>
      </c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</row>
    <row r="1247" spans="1:27" ht="12.75" x14ac:dyDescent="0.2">
      <c r="A1247" s="5" t="s">
        <v>2937</v>
      </c>
      <c r="B1247" s="5" t="s">
        <v>2937</v>
      </c>
      <c r="C1247" s="4">
        <v>665</v>
      </c>
      <c r="D1247" s="6" t="e">
        <f t="shared" si="20"/>
        <v>#VALUE!</v>
      </c>
      <c r="E1247" s="6" t="s">
        <v>3108</v>
      </c>
      <c r="F1247" s="7">
        <v>430</v>
      </c>
      <c r="G1247" s="6" t="s">
        <v>17</v>
      </c>
      <c r="H1247" s="8" t="s">
        <v>6800</v>
      </c>
      <c r="I1247" s="9" t="s">
        <v>6801</v>
      </c>
      <c r="J1247" s="10" t="s">
        <v>6802</v>
      </c>
      <c r="K1247" s="9" t="s">
        <v>6802</v>
      </c>
      <c r="L1247" s="9" t="s">
        <v>6803</v>
      </c>
      <c r="M1247" s="9" t="s">
        <v>6804</v>
      </c>
      <c r="N1247" s="9" t="s">
        <v>1082</v>
      </c>
      <c r="O1247" s="6">
        <f t="shared" si="24"/>
        <v>862</v>
      </c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</row>
    <row r="1248" spans="1:27" ht="12.75" x14ac:dyDescent="0.2">
      <c r="A1248" s="5" t="s">
        <v>2937</v>
      </c>
      <c r="B1248" s="5" t="s">
        <v>2937</v>
      </c>
      <c r="C1248" s="4">
        <v>666</v>
      </c>
      <c r="D1248" s="6" t="e">
        <f t="shared" si="20"/>
        <v>#VALUE!</v>
      </c>
      <c r="E1248" s="6" t="s">
        <v>3820</v>
      </c>
      <c r="F1248" s="7">
        <v>430</v>
      </c>
      <c r="G1248" s="6" t="s">
        <v>28</v>
      </c>
      <c r="H1248" s="8" t="s">
        <v>6805</v>
      </c>
      <c r="I1248" s="10" t="s">
        <v>6806</v>
      </c>
      <c r="J1248" s="9" t="s">
        <v>6807</v>
      </c>
      <c r="K1248" s="9" t="s">
        <v>6808</v>
      </c>
      <c r="L1248" s="9" t="s">
        <v>6809</v>
      </c>
      <c r="M1248" s="9" t="s">
        <v>6810</v>
      </c>
      <c r="N1248" s="9" t="s">
        <v>1082</v>
      </c>
      <c r="O1248" s="6">
        <f t="shared" si="24"/>
        <v>1724</v>
      </c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</row>
    <row r="1249" spans="1:27" ht="12.75" x14ac:dyDescent="0.2">
      <c r="A1249" s="5" t="s">
        <v>2937</v>
      </c>
      <c r="B1249" s="5" t="s">
        <v>2937</v>
      </c>
      <c r="C1249" s="4">
        <v>667</v>
      </c>
      <c r="D1249" s="6" t="e">
        <f t="shared" si="20"/>
        <v>#VALUE!</v>
      </c>
      <c r="E1249" s="6" t="s">
        <v>274</v>
      </c>
      <c r="F1249" s="7">
        <v>430</v>
      </c>
      <c r="G1249" s="6" t="s">
        <v>28</v>
      </c>
      <c r="H1249" s="8" t="s">
        <v>6811</v>
      </c>
      <c r="I1249" s="10" t="s">
        <v>6812</v>
      </c>
      <c r="J1249" s="9" t="s">
        <v>6813</v>
      </c>
      <c r="K1249" s="9" t="s">
        <v>6814</v>
      </c>
      <c r="L1249" s="9" t="s">
        <v>6815</v>
      </c>
      <c r="M1249" s="9" t="s">
        <v>6816</v>
      </c>
      <c r="N1249" s="9" t="s">
        <v>1082</v>
      </c>
      <c r="O1249" s="6">
        <f t="shared" si="24"/>
        <v>1724</v>
      </c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</row>
    <row r="1250" spans="1:27" ht="12.75" x14ac:dyDescent="0.2">
      <c r="A1250" s="5" t="s">
        <v>2937</v>
      </c>
      <c r="B1250" s="5" t="s">
        <v>2937</v>
      </c>
      <c r="C1250" s="4">
        <v>668</v>
      </c>
      <c r="D1250" s="6" t="e">
        <f t="shared" si="20"/>
        <v>#VALUE!</v>
      </c>
      <c r="E1250" s="6" t="s">
        <v>4820</v>
      </c>
      <c r="F1250" s="7">
        <v>430</v>
      </c>
      <c r="G1250" s="6" t="s">
        <v>21</v>
      </c>
      <c r="H1250" s="11" t="s">
        <v>6817</v>
      </c>
      <c r="I1250" s="9" t="s">
        <v>6818</v>
      </c>
      <c r="J1250" s="9" t="s">
        <v>6819</v>
      </c>
      <c r="K1250" s="9" t="s">
        <v>6820</v>
      </c>
      <c r="L1250" s="9" t="s">
        <v>6821</v>
      </c>
      <c r="M1250" s="9" t="s">
        <v>6822</v>
      </c>
      <c r="N1250" s="9" t="s">
        <v>1082</v>
      </c>
      <c r="O1250" s="6">
        <f t="shared" si="24"/>
        <v>2155.0000482881837</v>
      </c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</row>
    <row r="1251" spans="1:27" ht="12.75" x14ac:dyDescent="0.2">
      <c r="A1251" s="5" t="s">
        <v>2937</v>
      </c>
      <c r="B1251" s="5" t="s">
        <v>2937</v>
      </c>
      <c r="C1251" s="4">
        <v>669</v>
      </c>
      <c r="D1251" s="6" t="e">
        <f t="shared" si="20"/>
        <v>#VALUE!</v>
      </c>
      <c r="E1251" s="6" t="s">
        <v>572</v>
      </c>
      <c r="F1251" s="7">
        <v>431</v>
      </c>
      <c r="G1251" s="6" t="s">
        <v>28</v>
      </c>
      <c r="H1251" s="8" t="s">
        <v>6823</v>
      </c>
      <c r="I1251" s="10" t="s">
        <v>6824</v>
      </c>
      <c r="J1251" s="9" t="s">
        <v>6825</v>
      </c>
      <c r="K1251" s="9" t="s">
        <v>6826</v>
      </c>
      <c r="L1251" s="9" t="s">
        <v>6827</v>
      </c>
      <c r="M1251" s="9" t="s">
        <v>6828</v>
      </c>
      <c r="N1251" s="9" t="s">
        <v>1082</v>
      </c>
      <c r="O1251" s="6">
        <f t="shared" si="24"/>
        <v>1728</v>
      </c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</row>
    <row r="1252" spans="1:27" ht="12.75" x14ac:dyDescent="0.2">
      <c r="A1252" s="5" t="s">
        <v>2937</v>
      </c>
      <c r="B1252" s="5" t="s">
        <v>2937</v>
      </c>
      <c r="C1252" s="4">
        <v>670</v>
      </c>
      <c r="D1252" s="6" t="e">
        <f t="shared" si="20"/>
        <v>#VALUE!</v>
      </c>
      <c r="E1252" s="6" t="s">
        <v>3129</v>
      </c>
      <c r="F1252" s="7">
        <v>431</v>
      </c>
      <c r="G1252" s="6" t="s">
        <v>21</v>
      </c>
      <c r="H1252" s="11" t="s">
        <v>6829</v>
      </c>
      <c r="I1252" s="9" t="s">
        <v>6830</v>
      </c>
      <c r="J1252" s="9" t="s">
        <v>6831</v>
      </c>
      <c r="K1252" s="9" t="s">
        <v>6832</v>
      </c>
      <c r="L1252" s="9" t="s">
        <v>6833</v>
      </c>
      <c r="M1252" s="9" t="s">
        <v>6834</v>
      </c>
      <c r="N1252" s="9" t="s">
        <v>1082</v>
      </c>
      <c r="O1252" s="6">
        <f t="shared" si="24"/>
        <v>2160</v>
      </c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</row>
    <row r="1253" spans="1:27" ht="12.75" x14ac:dyDescent="0.2">
      <c r="A1253" s="5" t="s">
        <v>2937</v>
      </c>
      <c r="B1253" s="5" t="s">
        <v>2937</v>
      </c>
      <c r="C1253" s="4">
        <v>671</v>
      </c>
      <c r="D1253" s="6" t="e">
        <f t="shared" si="20"/>
        <v>#VALUE!</v>
      </c>
      <c r="E1253" s="6" t="s">
        <v>6835</v>
      </c>
      <c r="F1253" s="7">
        <v>431</v>
      </c>
      <c r="G1253" s="6" t="s">
        <v>28</v>
      </c>
      <c r="H1253" s="8" t="s">
        <v>6836</v>
      </c>
      <c r="I1253" s="10" t="s">
        <v>6837</v>
      </c>
      <c r="J1253" s="9" t="s">
        <v>6838</v>
      </c>
      <c r="K1253" s="9" t="s">
        <v>6839</v>
      </c>
      <c r="L1253" s="9" t="s">
        <v>6840</v>
      </c>
      <c r="M1253" s="9" t="s">
        <v>6841</v>
      </c>
      <c r="N1253" s="9" t="s">
        <v>1082</v>
      </c>
      <c r="O1253" s="6">
        <f t="shared" si="24"/>
        <v>1728</v>
      </c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</row>
    <row r="1254" spans="1:27" ht="12.75" x14ac:dyDescent="0.2">
      <c r="A1254" s="5" t="s">
        <v>2937</v>
      </c>
      <c r="B1254" s="5" t="s">
        <v>2937</v>
      </c>
      <c r="C1254" s="4">
        <v>672</v>
      </c>
      <c r="D1254" s="6" t="e">
        <f t="shared" si="20"/>
        <v>#VALUE!</v>
      </c>
      <c r="E1254" s="6" t="s">
        <v>3296</v>
      </c>
      <c r="F1254" s="7">
        <v>431</v>
      </c>
      <c r="G1254" s="6" t="s">
        <v>21</v>
      </c>
      <c r="H1254" s="11" t="s">
        <v>6842</v>
      </c>
      <c r="I1254" s="9" t="s">
        <v>4706</v>
      </c>
      <c r="J1254" s="9" t="s">
        <v>6843</v>
      </c>
      <c r="K1254" s="9" t="s">
        <v>6844</v>
      </c>
      <c r="L1254" s="9" t="s">
        <v>6845</v>
      </c>
      <c r="M1254" s="9" t="s">
        <v>6846</v>
      </c>
      <c r="N1254" s="9" t="s">
        <v>1082</v>
      </c>
      <c r="O1254" s="6">
        <f t="shared" si="24"/>
        <v>2160</v>
      </c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</row>
    <row r="1255" spans="1:27" ht="12.75" x14ac:dyDescent="0.2">
      <c r="A1255" s="5" t="s">
        <v>2937</v>
      </c>
      <c r="B1255" s="5" t="s">
        <v>2937</v>
      </c>
      <c r="C1255" s="4">
        <v>673</v>
      </c>
      <c r="D1255" s="6" t="e">
        <f t="shared" si="20"/>
        <v>#VALUE!</v>
      </c>
      <c r="E1255" s="6" t="s">
        <v>6847</v>
      </c>
      <c r="F1255" s="7">
        <v>432</v>
      </c>
      <c r="G1255" s="6" t="s">
        <v>21</v>
      </c>
      <c r="H1255" s="11" t="s">
        <v>6848</v>
      </c>
      <c r="I1255" s="9" t="s">
        <v>6849</v>
      </c>
      <c r="J1255" s="9" t="s">
        <v>6850</v>
      </c>
      <c r="K1255" s="9" t="s">
        <v>6851</v>
      </c>
      <c r="L1255" s="9" t="s">
        <v>1584</v>
      </c>
      <c r="M1255" s="9" t="s">
        <v>6852</v>
      </c>
      <c r="N1255" s="9" t="s">
        <v>1082</v>
      </c>
      <c r="O1255" s="6">
        <f t="shared" si="24"/>
        <v>2164.9999523287411</v>
      </c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</row>
    <row r="1256" spans="1:27" ht="12.75" x14ac:dyDescent="0.2">
      <c r="A1256" s="5" t="s">
        <v>2937</v>
      </c>
      <c r="B1256" s="5" t="s">
        <v>2937</v>
      </c>
      <c r="C1256" s="4">
        <v>674</v>
      </c>
      <c r="D1256" s="6" t="e">
        <f t="shared" si="20"/>
        <v>#VALUE!</v>
      </c>
      <c r="E1256" s="6" t="s">
        <v>6853</v>
      </c>
      <c r="F1256" s="7">
        <v>432</v>
      </c>
      <c r="G1256" s="6" t="s">
        <v>17</v>
      </c>
      <c r="H1256" s="8" t="s">
        <v>6854</v>
      </c>
      <c r="I1256" s="9" t="s">
        <v>6855</v>
      </c>
      <c r="J1256" s="10" t="s">
        <v>6856</v>
      </c>
      <c r="K1256" s="9" t="s">
        <v>6857</v>
      </c>
      <c r="L1256" s="9" t="s">
        <v>6858</v>
      </c>
      <c r="M1256" s="9" t="s">
        <v>6859</v>
      </c>
      <c r="N1256" s="9" t="s">
        <v>1082</v>
      </c>
      <c r="O1256" s="6">
        <f t="shared" si="24"/>
        <v>866</v>
      </c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</row>
    <row r="1257" spans="1:27" ht="12.75" x14ac:dyDescent="0.2">
      <c r="A1257" s="5" t="s">
        <v>2937</v>
      </c>
      <c r="B1257" s="5" t="s">
        <v>2937</v>
      </c>
      <c r="C1257" s="4">
        <v>675</v>
      </c>
      <c r="D1257" s="6" t="e">
        <f t="shared" si="20"/>
        <v>#VALUE!</v>
      </c>
      <c r="E1257" s="6" t="s">
        <v>6491</v>
      </c>
      <c r="F1257" s="7">
        <v>432</v>
      </c>
      <c r="G1257" s="6" t="s">
        <v>21</v>
      </c>
      <c r="H1257" s="11" t="s">
        <v>6860</v>
      </c>
      <c r="I1257" s="9" t="s">
        <v>6861</v>
      </c>
      <c r="J1257" s="9" t="s">
        <v>6862</v>
      </c>
      <c r="K1257" s="9" t="s">
        <v>6863</v>
      </c>
      <c r="L1257" s="9" t="s">
        <v>6864</v>
      </c>
      <c r="M1257" s="9" t="s">
        <v>6865</v>
      </c>
      <c r="N1257" s="9" t="s">
        <v>1082</v>
      </c>
      <c r="O1257" s="6">
        <f t="shared" si="24"/>
        <v>2164.9999287055302</v>
      </c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</row>
    <row r="1258" spans="1:27" ht="12.75" x14ac:dyDescent="0.2">
      <c r="A1258" s="5" t="s">
        <v>2937</v>
      </c>
      <c r="B1258" s="5" t="s">
        <v>2937</v>
      </c>
      <c r="C1258" s="4">
        <v>676</v>
      </c>
      <c r="D1258" s="6" t="e">
        <f t="shared" si="20"/>
        <v>#VALUE!</v>
      </c>
      <c r="E1258" s="6" t="s">
        <v>6373</v>
      </c>
      <c r="F1258" s="7">
        <v>432</v>
      </c>
      <c r="G1258" s="6" t="s">
        <v>28</v>
      </c>
      <c r="H1258" s="8" t="s">
        <v>6866</v>
      </c>
      <c r="I1258" s="10" t="s">
        <v>6867</v>
      </c>
      <c r="J1258" s="9" t="s">
        <v>6868</v>
      </c>
      <c r="K1258" s="9" t="s">
        <v>6869</v>
      </c>
      <c r="L1258" s="9" t="s">
        <v>6870</v>
      </c>
      <c r="M1258" s="9" t="s">
        <v>6871</v>
      </c>
      <c r="N1258" s="9" t="s">
        <v>1082</v>
      </c>
      <c r="O1258" s="6">
        <f t="shared" si="24"/>
        <v>1732.0000631203548</v>
      </c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</row>
    <row r="1259" spans="1:27" ht="12.75" x14ac:dyDescent="0.2">
      <c r="A1259" s="5" t="s">
        <v>2937</v>
      </c>
      <c r="B1259" s="5" t="s">
        <v>2937</v>
      </c>
      <c r="C1259" s="4">
        <v>677</v>
      </c>
      <c r="D1259" s="6" t="e">
        <f t="shared" si="20"/>
        <v>#VALUE!</v>
      </c>
      <c r="E1259" s="6" t="s">
        <v>4521</v>
      </c>
      <c r="F1259" s="7">
        <v>433</v>
      </c>
      <c r="G1259" s="6" t="s">
        <v>28</v>
      </c>
      <c r="H1259" s="8" t="s">
        <v>6872</v>
      </c>
      <c r="I1259" s="10" t="s">
        <v>6873</v>
      </c>
      <c r="J1259" s="9" t="s">
        <v>6874</v>
      </c>
      <c r="K1259" s="9" t="s">
        <v>6875</v>
      </c>
      <c r="L1259" s="9" t="s">
        <v>6876</v>
      </c>
      <c r="M1259" s="9" t="s">
        <v>6877</v>
      </c>
      <c r="N1259" s="9" t="s">
        <v>1082</v>
      </c>
      <c r="O1259" s="6">
        <f t="shared" si="24"/>
        <v>1736</v>
      </c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</row>
    <row r="1260" spans="1:27" ht="12.75" x14ac:dyDescent="0.2">
      <c r="A1260" s="5" t="s">
        <v>2937</v>
      </c>
      <c r="B1260" s="5" t="s">
        <v>2937</v>
      </c>
      <c r="C1260" s="4">
        <v>678</v>
      </c>
      <c r="D1260" s="6" t="e">
        <f t="shared" si="20"/>
        <v>#VALUE!</v>
      </c>
      <c r="E1260" s="6" t="s">
        <v>6878</v>
      </c>
      <c r="F1260" s="7">
        <v>433</v>
      </c>
      <c r="G1260" s="6" t="s">
        <v>17</v>
      </c>
      <c r="H1260" s="8" t="s">
        <v>6879</v>
      </c>
      <c r="I1260" s="9" t="s">
        <v>6880</v>
      </c>
      <c r="J1260" s="10" t="s">
        <v>6881</v>
      </c>
      <c r="K1260" s="9" t="s">
        <v>6882</v>
      </c>
      <c r="L1260" s="9" t="s">
        <v>6883</v>
      </c>
      <c r="M1260" s="9" t="s">
        <v>6884</v>
      </c>
      <c r="N1260" s="9" t="s">
        <v>1082</v>
      </c>
      <c r="O1260" s="6">
        <f t="shared" si="24"/>
        <v>868</v>
      </c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</row>
    <row r="1261" spans="1:27" ht="12.75" x14ac:dyDescent="0.2">
      <c r="A1261" s="5" t="s">
        <v>2937</v>
      </c>
      <c r="B1261" s="5" t="s">
        <v>2937</v>
      </c>
      <c r="C1261" s="4">
        <v>679</v>
      </c>
      <c r="D1261" s="6" t="e">
        <f t="shared" si="20"/>
        <v>#VALUE!</v>
      </c>
      <c r="E1261" s="6" t="s">
        <v>6885</v>
      </c>
      <c r="F1261" s="7">
        <v>433</v>
      </c>
      <c r="G1261" s="6" t="s">
        <v>21</v>
      </c>
      <c r="H1261" s="11" t="s">
        <v>6886</v>
      </c>
      <c r="I1261" s="9" t="s">
        <v>6887</v>
      </c>
      <c r="J1261" s="9" t="s">
        <v>6888</v>
      </c>
      <c r="K1261" s="9" t="s">
        <v>6889</v>
      </c>
      <c r="L1261" s="9" t="s">
        <v>6890</v>
      </c>
      <c r="M1261" s="9" t="s">
        <v>6891</v>
      </c>
      <c r="N1261" s="9" t="s">
        <v>1082</v>
      </c>
      <c r="O1261" s="6">
        <f t="shared" si="24"/>
        <v>2169.9999057537343</v>
      </c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</row>
    <row r="1262" spans="1:27" ht="12.75" x14ac:dyDescent="0.2">
      <c r="A1262" s="5" t="s">
        <v>2937</v>
      </c>
      <c r="B1262" s="5" t="s">
        <v>2937</v>
      </c>
      <c r="C1262" s="4">
        <v>680</v>
      </c>
      <c r="D1262" s="6" t="e">
        <f t="shared" si="20"/>
        <v>#VALUE!</v>
      </c>
      <c r="E1262" s="6" t="s">
        <v>5251</v>
      </c>
      <c r="F1262" s="7">
        <v>433</v>
      </c>
      <c r="G1262" s="6" t="s">
        <v>21</v>
      </c>
      <c r="H1262" s="11" t="s">
        <v>6892</v>
      </c>
      <c r="I1262" s="9" t="s">
        <v>6893</v>
      </c>
      <c r="J1262" s="9" t="s">
        <v>6894</v>
      </c>
      <c r="K1262" s="9" t="s">
        <v>6895</v>
      </c>
      <c r="L1262" s="9" t="s">
        <v>6896</v>
      </c>
      <c r="M1262" s="9" t="s">
        <v>6897</v>
      </c>
      <c r="N1262" s="9" t="s">
        <v>1082</v>
      </c>
      <c r="O1262" s="6">
        <f t="shared" si="24"/>
        <v>2170.000070580762</v>
      </c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</row>
    <row r="1263" spans="1:27" ht="12.75" x14ac:dyDescent="0.2">
      <c r="A1263" s="5" t="s">
        <v>2937</v>
      </c>
      <c r="B1263" s="5" t="s">
        <v>2937</v>
      </c>
      <c r="C1263" s="4">
        <v>681</v>
      </c>
      <c r="D1263" s="6" t="e">
        <f t="shared" si="20"/>
        <v>#VALUE!</v>
      </c>
      <c r="E1263" s="6" t="s">
        <v>6717</v>
      </c>
      <c r="F1263" s="7">
        <v>434</v>
      </c>
      <c r="G1263" s="6" t="s">
        <v>28</v>
      </c>
      <c r="H1263" s="8" t="s">
        <v>4262</v>
      </c>
      <c r="I1263" s="10" t="s">
        <v>6898</v>
      </c>
      <c r="J1263" s="9" t="s">
        <v>6899</v>
      </c>
      <c r="K1263" s="9" t="s">
        <v>6900</v>
      </c>
      <c r="L1263" s="9" t="s">
        <v>6901</v>
      </c>
      <c r="M1263" s="9" t="s">
        <v>6902</v>
      </c>
      <c r="N1263" s="9" t="s">
        <v>1082</v>
      </c>
      <c r="O1263" s="6">
        <f t="shared" si="24"/>
        <v>1739.9999376782014</v>
      </c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</row>
    <row r="1264" spans="1:27" ht="12.75" x14ac:dyDescent="0.2">
      <c r="A1264" s="5" t="s">
        <v>2937</v>
      </c>
      <c r="B1264" s="5" t="s">
        <v>2937</v>
      </c>
      <c r="C1264" s="4">
        <v>682</v>
      </c>
      <c r="D1264" s="6" t="e">
        <f t="shared" si="20"/>
        <v>#VALUE!</v>
      </c>
      <c r="E1264" s="6" t="s">
        <v>6903</v>
      </c>
      <c r="F1264" s="7">
        <v>434</v>
      </c>
      <c r="G1264" s="6" t="s">
        <v>28</v>
      </c>
      <c r="H1264" s="8" t="s">
        <v>4251</v>
      </c>
      <c r="I1264" s="10" t="s">
        <v>6904</v>
      </c>
      <c r="J1264" s="9" t="s">
        <v>6905</v>
      </c>
      <c r="K1264" s="9" t="s">
        <v>6906</v>
      </c>
      <c r="L1264" s="9" t="s">
        <v>6907</v>
      </c>
      <c r="M1264" s="9" t="s">
        <v>6908</v>
      </c>
      <c r="N1264" s="9" t="s">
        <v>1082</v>
      </c>
      <c r="O1264" s="6">
        <f t="shared" si="24"/>
        <v>1740.0000622306579</v>
      </c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</row>
    <row r="1265" spans="1:27" ht="12.75" x14ac:dyDescent="0.2">
      <c r="A1265" s="5" t="s">
        <v>2937</v>
      </c>
      <c r="B1265" s="5" t="s">
        <v>2937</v>
      </c>
      <c r="C1265" s="4">
        <v>683</v>
      </c>
      <c r="D1265" s="6" t="e">
        <f t="shared" si="20"/>
        <v>#VALUE!</v>
      </c>
      <c r="E1265" s="6" t="s">
        <v>6909</v>
      </c>
      <c r="F1265" s="7">
        <v>434</v>
      </c>
      <c r="G1265" s="6" t="s">
        <v>28</v>
      </c>
      <c r="H1265" s="8" t="s">
        <v>6910</v>
      </c>
      <c r="I1265" s="10" t="s">
        <v>6911</v>
      </c>
      <c r="J1265" s="9" t="s">
        <v>6912</v>
      </c>
      <c r="K1265" s="9" t="s">
        <v>6913</v>
      </c>
      <c r="L1265" s="9" t="s">
        <v>6914</v>
      </c>
      <c r="M1265" s="9" t="s">
        <v>6915</v>
      </c>
      <c r="N1265" s="9" t="s">
        <v>1082</v>
      </c>
      <c r="O1265" s="6">
        <f t="shared" si="24"/>
        <v>1739.9999378602165</v>
      </c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</row>
    <row r="1266" spans="1:27" ht="12.75" x14ac:dyDescent="0.2">
      <c r="A1266" s="5" t="s">
        <v>2937</v>
      </c>
      <c r="B1266" s="5" t="s">
        <v>2937</v>
      </c>
      <c r="C1266" s="4">
        <v>684</v>
      </c>
      <c r="D1266" s="6" t="e">
        <f t="shared" si="20"/>
        <v>#VALUE!</v>
      </c>
      <c r="E1266" s="6" t="s">
        <v>6916</v>
      </c>
      <c r="F1266" s="7">
        <v>434</v>
      </c>
      <c r="G1266" s="6" t="s">
        <v>28</v>
      </c>
      <c r="H1266" s="8" t="s">
        <v>6917</v>
      </c>
      <c r="I1266" s="10" t="s">
        <v>6918</v>
      </c>
      <c r="J1266" s="9" t="s">
        <v>6919</v>
      </c>
      <c r="K1266" s="9" t="s">
        <v>6920</v>
      </c>
      <c r="L1266" s="9" t="s">
        <v>6921</v>
      </c>
      <c r="M1266" s="9" t="s">
        <v>6922</v>
      </c>
      <c r="N1266" s="9" t="s">
        <v>1082</v>
      </c>
      <c r="O1266" s="6">
        <f t="shared" si="24"/>
        <v>1740</v>
      </c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</row>
    <row r="1267" spans="1:27" ht="12.75" x14ac:dyDescent="0.2">
      <c r="A1267" s="5" t="s">
        <v>2937</v>
      </c>
      <c r="B1267" s="5" t="s">
        <v>2937</v>
      </c>
      <c r="C1267" s="4">
        <v>685</v>
      </c>
      <c r="D1267" s="6" t="e">
        <f t="shared" si="20"/>
        <v>#VALUE!</v>
      </c>
      <c r="E1267" s="6" t="s">
        <v>70</v>
      </c>
      <c r="F1267" s="7">
        <v>435</v>
      </c>
      <c r="G1267" s="6" t="s">
        <v>28</v>
      </c>
      <c r="H1267" s="8" t="s">
        <v>6923</v>
      </c>
      <c r="I1267" s="10" t="s">
        <v>6924</v>
      </c>
      <c r="J1267" s="9" t="s">
        <v>6925</v>
      </c>
      <c r="K1267" s="9" t="s">
        <v>6926</v>
      </c>
      <c r="L1267" s="9" t="s">
        <v>6927</v>
      </c>
      <c r="M1267" s="9" t="s">
        <v>6928</v>
      </c>
      <c r="N1267" s="9" t="s">
        <v>1082</v>
      </c>
      <c r="O1267" s="6">
        <f t="shared" si="24"/>
        <v>1744</v>
      </c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</row>
    <row r="1268" spans="1:27" ht="12.75" x14ac:dyDescent="0.2">
      <c r="A1268" s="5" t="s">
        <v>2937</v>
      </c>
      <c r="B1268" s="5" t="s">
        <v>2937</v>
      </c>
      <c r="C1268" s="4">
        <v>686</v>
      </c>
      <c r="D1268" s="6" t="e">
        <f t="shared" si="20"/>
        <v>#VALUE!</v>
      </c>
      <c r="E1268" s="6" t="s">
        <v>2982</v>
      </c>
      <c r="F1268" s="7">
        <v>435</v>
      </c>
      <c r="G1268" s="6" t="s">
        <v>17</v>
      </c>
      <c r="H1268" s="8" t="s">
        <v>6929</v>
      </c>
      <c r="I1268" s="9" t="s">
        <v>6930</v>
      </c>
      <c r="J1268" s="10" t="s">
        <v>6931</v>
      </c>
      <c r="K1268" s="9" t="s">
        <v>6932</v>
      </c>
      <c r="L1268" s="9" t="s">
        <v>6933</v>
      </c>
      <c r="M1268" s="9" t="s">
        <v>6934</v>
      </c>
      <c r="N1268" s="9" t="s">
        <v>1082</v>
      </c>
      <c r="O1268" s="6">
        <f t="shared" si="24"/>
        <v>872</v>
      </c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</row>
    <row r="1269" spans="1:27" ht="12.75" x14ac:dyDescent="0.2">
      <c r="A1269" s="5" t="s">
        <v>2937</v>
      </c>
      <c r="B1269" s="5" t="s">
        <v>2937</v>
      </c>
      <c r="C1269" s="4">
        <v>687</v>
      </c>
      <c r="D1269" s="6" t="e">
        <f t="shared" si="20"/>
        <v>#VALUE!</v>
      </c>
      <c r="E1269" s="6" t="s">
        <v>5874</v>
      </c>
      <c r="F1269" s="7">
        <v>435</v>
      </c>
      <c r="G1269" s="6" t="s">
        <v>21</v>
      </c>
      <c r="H1269" s="11" t="s">
        <v>6935</v>
      </c>
      <c r="I1269" s="9" t="s">
        <v>6876</v>
      </c>
      <c r="J1269" s="9" t="s">
        <v>6936</v>
      </c>
      <c r="K1269" s="9" t="s">
        <v>6937</v>
      </c>
      <c r="L1269" s="9" t="s">
        <v>6938</v>
      </c>
      <c r="M1269" s="9" t="s">
        <v>6939</v>
      </c>
      <c r="N1269" s="9" t="s">
        <v>1082</v>
      </c>
      <c r="O1269" s="6">
        <f t="shared" si="24"/>
        <v>2179.999907349501</v>
      </c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</row>
    <row r="1270" spans="1:27" ht="12.75" x14ac:dyDescent="0.2">
      <c r="A1270" s="5" t="s">
        <v>2937</v>
      </c>
      <c r="B1270" s="5" t="s">
        <v>2937</v>
      </c>
      <c r="C1270" s="4">
        <v>688</v>
      </c>
      <c r="D1270" s="6" t="e">
        <f t="shared" si="20"/>
        <v>#VALUE!</v>
      </c>
      <c r="E1270" s="6" t="s">
        <v>6940</v>
      </c>
      <c r="F1270" s="7">
        <v>435</v>
      </c>
      <c r="G1270" s="6" t="s">
        <v>21</v>
      </c>
      <c r="H1270" s="11" t="s">
        <v>6941</v>
      </c>
      <c r="I1270" s="9" t="s">
        <v>6942</v>
      </c>
      <c r="J1270" s="9" t="s">
        <v>6943</v>
      </c>
      <c r="K1270" s="9" t="s">
        <v>6944</v>
      </c>
      <c r="L1270" s="9" t="s">
        <v>6945</v>
      </c>
      <c r="M1270" s="9" t="s">
        <v>6946</v>
      </c>
      <c r="N1270" s="9" t="s">
        <v>1082</v>
      </c>
      <c r="O1270" s="6">
        <f t="shared" si="24"/>
        <v>2180</v>
      </c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</row>
    <row r="1271" spans="1:27" ht="12.75" x14ac:dyDescent="0.2">
      <c r="A1271" s="5" t="s">
        <v>2937</v>
      </c>
      <c r="B1271" s="5" t="s">
        <v>2937</v>
      </c>
      <c r="C1271" s="4">
        <v>689</v>
      </c>
      <c r="D1271" s="6" t="e">
        <f t="shared" si="20"/>
        <v>#VALUE!</v>
      </c>
      <c r="E1271" s="6" t="s">
        <v>3963</v>
      </c>
      <c r="F1271" s="7">
        <v>436</v>
      </c>
      <c r="G1271" s="6" t="s">
        <v>21</v>
      </c>
      <c r="H1271" s="11" t="s">
        <v>6947</v>
      </c>
      <c r="I1271" s="9" t="s">
        <v>6948</v>
      </c>
      <c r="J1271" s="9" t="s">
        <v>6949</v>
      </c>
      <c r="K1271" s="9" t="s">
        <v>6950</v>
      </c>
      <c r="L1271" s="9" t="s">
        <v>6624</v>
      </c>
      <c r="M1271" s="9" t="s">
        <v>6951</v>
      </c>
      <c r="N1271" s="9" t="s">
        <v>1082</v>
      </c>
      <c r="O1271" s="6">
        <f t="shared" si="24"/>
        <v>2184.9999424155526</v>
      </c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</row>
    <row r="1272" spans="1:27" ht="12.75" x14ac:dyDescent="0.2">
      <c r="A1272" s="5" t="s">
        <v>2937</v>
      </c>
      <c r="B1272" s="5" t="s">
        <v>2937</v>
      </c>
      <c r="C1272" s="4">
        <v>690</v>
      </c>
      <c r="D1272" s="6" t="e">
        <f t="shared" si="20"/>
        <v>#VALUE!</v>
      </c>
      <c r="E1272" s="6" t="s">
        <v>3393</v>
      </c>
      <c r="F1272" s="7">
        <v>436</v>
      </c>
      <c r="G1272" s="6" t="s">
        <v>17</v>
      </c>
      <c r="H1272" s="8" t="s">
        <v>6952</v>
      </c>
      <c r="I1272" s="9" t="s">
        <v>6953</v>
      </c>
      <c r="J1272" s="10" t="s">
        <v>6954</v>
      </c>
      <c r="K1272" s="9" t="s">
        <v>6955</v>
      </c>
      <c r="L1272" s="9" t="s">
        <v>6956</v>
      </c>
      <c r="M1272" s="9" t="s">
        <v>6957</v>
      </c>
      <c r="N1272" s="9" t="s">
        <v>1082</v>
      </c>
      <c r="O1272" s="6">
        <f t="shared" si="24"/>
        <v>874</v>
      </c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</row>
    <row r="1273" spans="1:27" ht="12.75" x14ac:dyDescent="0.2">
      <c r="A1273" s="5" t="s">
        <v>2937</v>
      </c>
      <c r="B1273" s="5" t="s">
        <v>2937</v>
      </c>
      <c r="C1273" s="4">
        <v>691</v>
      </c>
      <c r="D1273" s="6" t="e">
        <f t="shared" si="20"/>
        <v>#VALUE!</v>
      </c>
      <c r="E1273" s="6" t="s">
        <v>3477</v>
      </c>
      <c r="F1273" s="7">
        <v>436</v>
      </c>
      <c r="G1273" s="6" t="s">
        <v>17</v>
      </c>
      <c r="H1273" s="8" t="s">
        <v>6958</v>
      </c>
      <c r="I1273" s="9" t="s">
        <v>6959</v>
      </c>
      <c r="J1273" s="10" t="s">
        <v>6960</v>
      </c>
      <c r="K1273" s="9" t="s">
        <v>6961</v>
      </c>
      <c r="L1273" s="9" t="s">
        <v>6962</v>
      </c>
      <c r="M1273" s="9" t="s">
        <v>6963</v>
      </c>
      <c r="N1273" s="9" t="s">
        <v>1082</v>
      </c>
      <c r="O1273" s="6">
        <f t="shared" si="24"/>
        <v>873.99996918003478</v>
      </c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</row>
    <row r="1274" spans="1:27" ht="12.75" x14ac:dyDescent="0.2">
      <c r="A1274" s="5" t="s">
        <v>2937</v>
      </c>
      <c r="B1274" s="5" t="s">
        <v>2937</v>
      </c>
      <c r="C1274" s="4">
        <v>692</v>
      </c>
      <c r="D1274" s="6" t="e">
        <f t="shared" si="20"/>
        <v>#VALUE!</v>
      </c>
      <c r="E1274" s="6" t="s">
        <v>3731</v>
      </c>
      <c r="F1274" s="7">
        <v>436</v>
      </c>
      <c r="G1274" s="6" t="s">
        <v>21</v>
      </c>
      <c r="H1274" s="11" t="s">
        <v>6964</v>
      </c>
      <c r="I1274" s="9" t="s">
        <v>6965</v>
      </c>
      <c r="J1274" s="9" t="s">
        <v>6966</v>
      </c>
      <c r="K1274" s="9" t="s">
        <v>6967</v>
      </c>
      <c r="L1274" s="9" t="s">
        <v>6968</v>
      </c>
      <c r="M1274" s="9" t="s">
        <v>6969</v>
      </c>
      <c r="N1274" s="9" t="s">
        <v>1082</v>
      </c>
      <c r="O1274" s="6">
        <f t="shared" si="24"/>
        <v>2185.0000114669692</v>
      </c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</row>
    <row r="1275" spans="1:27" ht="12.75" x14ac:dyDescent="0.2">
      <c r="A1275" s="5" t="s">
        <v>2937</v>
      </c>
      <c r="B1275" s="5" t="s">
        <v>2937</v>
      </c>
      <c r="C1275" s="4">
        <v>693</v>
      </c>
      <c r="D1275" s="6" t="e">
        <f t="shared" si="20"/>
        <v>#VALUE!</v>
      </c>
      <c r="E1275" s="6" t="s">
        <v>6970</v>
      </c>
      <c r="F1275" s="7">
        <v>437</v>
      </c>
      <c r="G1275" s="6" t="s">
        <v>21</v>
      </c>
      <c r="H1275" s="11" t="s">
        <v>6971</v>
      </c>
      <c r="I1275" s="9" t="s">
        <v>6972</v>
      </c>
      <c r="J1275" s="9" t="s">
        <v>6973</v>
      </c>
      <c r="K1275" s="9" t="s">
        <v>6974</v>
      </c>
      <c r="L1275" s="9" t="s">
        <v>6975</v>
      </c>
      <c r="M1275" s="9" t="s">
        <v>6976</v>
      </c>
      <c r="N1275" s="9" t="s">
        <v>1082</v>
      </c>
      <c r="O1275" s="6">
        <f t="shared" si="24"/>
        <v>2189.9999543201698</v>
      </c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</row>
    <row r="1276" spans="1:27" ht="12.75" x14ac:dyDescent="0.2">
      <c r="A1276" s="5" t="s">
        <v>2937</v>
      </c>
      <c r="B1276" s="5" t="s">
        <v>2937</v>
      </c>
      <c r="C1276" s="4">
        <v>694</v>
      </c>
      <c r="D1276" s="6" t="e">
        <f t="shared" si="20"/>
        <v>#VALUE!</v>
      </c>
      <c r="E1276" s="6" t="s">
        <v>6977</v>
      </c>
      <c r="F1276" s="7">
        <v>437</v>
      </c>
      <c r="G1276" s="6" t="s">
        <v>21</v>
      </c>
      <c r="H1276" s="11" t="s">
        <v>6978</v>
      </c>
      <c r="I1276" s="9" t="s">
        <v>6979</v>
      </c>
      <c r="J1276" s="9" t="s">
        <v>6980</v>
      </c>
      <c r="K1276" s="9" t="s">
        <v>6981</v>
      </c>
      <c r="L1276" s="9" t="s">
        <v>6982</v>
      </c>
      <c r="M1276" s="9" t="s">
        <v>6983</v>
      </c>
      <c r="N1276" s="9" t="s">
        <v>1082</v>
      </c>
      <c r="O1276" s="6">
        <f t="shared" si="24"/>
        <v>2189.9999087716096</v>
      </c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</row>
    <row r="1277" spans="1:27" ht="12.75" x14ac:dyDescent="0.2">
      <c r="A1277" s="5" t="s">
        <v>2937</v>
      </c>
      <c r="B1277" s="5" t="s">
        <v>2937</v>
      </c>
      <c r="C1277" s="4">
        <v>695</v>
      </c>
      <c r="D1277" s="6" t="e">
        <f t="shared" ref="D1277:D1531" si="25">CONCATENATE(A1277:C1277)</f>
        <v>#VALUE!</v>
      </c>
      <c r="E1277" s="6" t="s">
        <v>6984</v>
      </c>
      <c r="F1277" s="7">
        <v>437</v>
      </c>
      <c r="G1277" s="6" t="s">
        <v>21</v>
      </c>
      <c r="H1277" s="11" t="s">
        <v>6985</v>
      </c>
      <c r="I1277" s="9" t="s">
        <v>6986</v>
      </c>
      <c r="J1277" s="9" t="s">
        <v>6987</v>
      </c>
      <c r="K1277" s="9" t="s">
        <v>6988</v>
      </c>
      <c r="L1277" s="9" t="s">
        <v>6989</v>
      </c>
      <c r="M1277" s="9" t="s">
        <v>6990</v>
      </c>
      <c r="N1277" s="9" t="s">
        <v>1082</v>
      </c>
      <c r="O1277" s="6">
        <f t="shared" si="24"/>
        <v>2190.0000455487484</v>
      </c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</row>
    <row r="1278" spans="1:27" ht="12.75" x14ac:dyDescent="0.2">
      <c r="A1278" s="5" t="s">
        <v>2937</v>
      </c>
      <c r="B1278" s="5" t="s">
        <v>2937</v>
      </c>
      <c r="C1278" s="4">
        <v>696</v>
      </c>
      <c r="D1278" s="6" t="e">
        <f t="shared" si="25"/>
        <v>#VALUE!</v>
      </c>
      <c r="E1278" s="6" t="s">
        <v>3687</v>
      </c>
      <c r="F1278" s="7">
        <v>437</v>
      </c>
      <c r="G1278" s="6" t="s">
        <v>21</v>
      </c>
      <c r="H1278" s="11" t="s">
        <v>6991</v>
      </c>
      <c r="I1278" s="9" t="s">
        <v>6992</v>
      </c>
      <c r="J1278" s="9" t="s">
        <v>6993</v>
      </c>
      <c r="K1278" s="9" t="s">
        <v>6994</v>
      </c>
      <c r="L1278" s="9" t="s">
        <v>6995</v>
      </c>
      <c r="M1278" s="9" t="s">
        <v>6996</v>
      </c>
      <c r="N1278" s="9" t="s">
        <v>1082</v>
      </c>
      <c r="O1278" s="6">
        <f t="shared" si="24"/>
        <v>2190.0000227414862</v>
      </c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</row>
    <row r="1279" spans="1:27" ht="12.75" x14ac:dyDescent="0.2">
      <c r="A1279" s="5" t="s">
        <v>2937</v>
      </c>
      <c r="B1279" s="5" t="s">
        <v>2937</v>
      </c>
      <c r="C1279" s="4">
        <v>697</v>
      </c>
      <c r="D1279" s="6" t="e">
        <f t="shared" si="25"/>
        <v>#VALUE!</v>
      </c>
      <c r="E1279" s="6" t="s">
        <v>4881</v>
      </c>
      <c r="F1279" s="7">
        <v>438</v>
      </c>
      <c r="G1279" s="6" t="s">
        <v>17</v>
      </c>
      <c r="H1279" s="8" t="s">
        <v>6997</v>
      </c>
      <c r="I1279" s="9" t="s">
        <v>6998</v>
      </c>
      <c r="J1279" s="10" t="s">
        <v>6999</v>
      </c>
      <c r="K1279" s="9" t="s">
        <v>7000</v>
      </c>
      <c r="L1279" s="9" t="s">
        <v>7001</v>
      </c>
      <c r="M1279" s="9" t="s">
        <v>7002</v>
      </c>
      <c r="N1279" s="9" t="s">
        <v>1082</v>
      </c>
      <c r="O1279" s="6">
        <f t="shared" si="24"/>
        <v>878</v>
      </c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</row>
    <row r="1280" spans="1:27" ht="12.75" x14ac:dyDescent="0.2">
      <c r="A1280" s="5" t="s">
        <v>2937</v>
      </c>
      <c r="B1280" s="5" t="s">
        <v>2937</v>
      </c>
      <c r="C1280" s="4">
        <v>698</v>
      </c>
      <c r="D1280" s="6" t="e">
        <f t="shared" si="25"/>
        <v>#VALUE!</v>
      </c>
      <c r="E1280" s="6" t="s">
        <v>225</v>
      </c>
      <c r="F1280" s="7">
        <v>438</v>
      </c>
      <c r="G1280" s="6" t="s">
        <v>21</v>
      </c>
      <c r="H1280" s="11" t="s">
        <v>7003</v>
      </c>
      <c r="I1280" s="9" t="s">
        <v>7004</v>
      </c>
      <c r="J1280" s="9" t="s">
        <v>7005</v>
      </c>
      <c r="K1280" s="9" t="s">
        <v>7006</v>
      </c>
      <c r="L1280" s="9" t="s">
        <v>7007</v>
      </c>
      <c r="M1280" s="9" t="s">
        <v>7008</v>
      </c>
      <c r="N1280" s="9" t="s">
        <v>1082</v>
      </c>
      <c r="O1280" s="6">
        <f t="shared" si="24"/>
        <v>2195</v>
      </c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</row>
    <row r="1281" spans="1:27" ht="12.75" x14ac:dyDescent="0.2">
      <c r="A1281" s="5" t="s">
        <v>2937</v>
      </c>
      <c r="B1281" s="5" t="s">
        <v>2937</v>
      </c>
      <c r="C1281" s="4">
        <v>699</v>
      </c>
      <c r="D1281" s="6" t="e">
        <f t="shared" si="25"/>
        <v>#VALUE!</v>
      </c>
      <c r="E1281" s="6" t="s">
        <v>5407</v>
      </c>
      <c r="F1281" s="7">
        <v>438</v>
      </c>
      <c r="G1281" s="6" t="s">
        <v>21</v>
      </c>
      <c r="H1281" s="11" t="s">
        <v>7009</v>
      </c>
      <c r="I1281" s="9" t="s">
        <v>7010</v>
      </c>
      <c r="J1281" s="9" t="s">
        <v>4353</v>
      </c>
      <c r="K1281" s="9" t="s">
        <v>7011</v>
      </c>
      <c r="L1281" s="9" t="s">
        <v>7012</v>
      </c>
      <c r="M1281" s="9" t="s">
        <v>7013</v>
      </c>
      <c r="N1281" s="9" t="s">
        <v>1082</v>
      </c>
      <c r="O1281" s="6">
        <f t="shared" si="24"/>
        <v>2195.0000677522075</v>
      </c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</row>
    <row r="1282" spans="1:27" ht="12.75" x14ac:dyDescent="0.2">
      <c r="A1282" s="5" t="s">
        <v>2937</v>
      </c>
      <c r="B1282" s="5" t="s">
        <v>2937</v>
      </c>
      <c r="C1282" s="4">
        <v>700</v>
      </c>
      <c r="D1282" s="6" t="e">
        <f t="shared" si="25"/>
        <v>#VALUE!</v>
      </c>
      <c r="E1282" s="6" t="s">
        <v>3113</v>
      </c>
      <c r="F1282" s="7">
        <v>438</v>
      </c>
      <c r="G1282" s="6" t="s">
        <v>17</v>
      </c>
      <c r="H1282" s="8" t="s">
        <v>7014</v>
      </c>
      <c r="I1282" s="9" t="s">
        <v>7015</v>
      </c>
      <c r="J1282" s="10" t="s">
        <v>7016</v>
      </c>
      <c r="K1282" s="9" t="s">
        <v>7017</v>
      </c>
      <c r="L1282" s="9" t="s">
        <v>7018</v>
      </c>
      <c r="M1282" s="9" t="s">
        <v>7019</v>
      </c>
      <c r="N1282" s="9" t="s">
        <v>1082</v>
      </c>
      <c r="O1282" s="6">
        <f t="shared" si="24"/>
        <v>877.99996973869361</v>
      </c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</row>
    <row r="1283" spans="1:27" ht="12.75" x14ac:dyDescent="0.2">
      <c r="A1283" s="5" t="s">
        <v>2937</v>
      </c>
      <c r="B1283" s="5" t="s">
        <v>2937</v>
      </c>
      <c r="C1283" s="4">
        <v>701</v>
      </c>
      <c r="D1283" s="6" t="e">
        <f t="shared" si="25"/>
        <v>#VALUE!</v>
      </c>
      <c r="E1283" s="6" t="s">
        <v>6878</v>
      </c>
      <c r="F1283" s="7">
        <v>439</v>
      </c>
      <c r="G1283" s="6" t="s">
        <v>21</v>
      </c>
      <c r="H1283" s="11" t="s">
        <v>7020</v>
      </c>
      <c r="I1283" s="9" t="s">
        <v>7021</v>
      </c>
      <c r="J1283" s="9" t="s">
        <v>7022</v>
      </c>
      <c r="K1283" s="9" t="s">
        <v>7023</v>
      </c>
      <c r="L1283" s="9" t="s">
        <v>7024</v>
      </c>
      <c r="M1283" s="9" t="s">
        <v>7025</v>
      </c>
      <c r="N1283" s="9" t="s">
        <v>1082</v>
      </c>
      <c r="O1283" s="6">
        <f t="shared" ref="O1283:O1346" si="26">M1283/K1283</f>
        <v>2199.9999101598032</v>
      </c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</row>
    <row r="1284" spans="1:27" ht="12.75" x14ac:dyDescent="0.2">
      <c r="A1284" s="5" t="s">
        <v>2937</v>
      </c>
      <c r="B1284" s="5" t="s">
        <v>2937</v>
      </c>
      <c r="C1284" s="4">
        <v>702</v>
      </c>
      <c r="D1284" s="6" t="e">
        <f t="shared" si="25"/>
        <v>#VALUE!</v>
      </c>
      <c r="E1284" s="6" t="s">
        <v>506</v>
      </c>
      <c r="F1284" s="7">
        <v>439</v>
      </c>
      <c r="G1284" s="6" t="s">
        <v>21</v>
      </c>
      <c r="H1284" s="11" t="s">
        <v>7026</v>
      </c>
      <c r="I1284" s="9" t="s">
        <v>7027</v>
      </c>
      <c r="J1284" s="9" t="s">
        <v>7028</v>
      </c>
      <c r="K1284" s="9" t="s">
        <v>7029</v>
      </c>
      <c r="L1284" s="9" t="s">
        <v>7030</v>
      </c>
      <c r="M1284" s="9" t="s">
        <v>7031</v>
      </c>
      <c r="N1284" s="9" t="s">
        <v>1082</v>
      </c>
      <c r="O1284" s="6">
        <f t="shared" si="26"/>
        <v>2200</v>
      </c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</row>
    <row r="1285" spans="1:27" ht="12.75" x14ac:dyDescent="0.2">
      <c r="A1285" s="5" t="s">
        <v>2937</v>
      </c>
      <c r="B1285" s="5" t="s">
        <v>2937</v>
      </c>
      <c r="C1285" s="4">
        <v>703</v>
      </c>
      <c r="D1285" s="6" t="e">
        <f t="shared" si="25"/>
        <v>#VALUE!</v>
      </c>
      <c r="E1285" s="6" t="s">
        <v>133</v>
      </c>
      <c r="F1285" s="7">
        <v>439</v>
      </c>
      <c r="G1285" s="6" t="s">
        <v>21</v>
      </c>
      <c r="H1285" s="11" t="s">
        <v>7032</v>
      </c>
      <c r="I1285" s="9" t="s">
        <v>7033</v>
      </c>
      <c r="J1285" s="9" t="s">
        <v>7034</v>
      </c>
      <c r="K1285" s="9" t="s">
        <v>7035</v>
      </c>
      <c r="L1285" s="9" t="s">
        <v>7036</v>
      </c>
      <c r="M1285" s="9" t="s">
        <v>7037</v>
      </c>
      <c r="N1285" s="9" t="s">
        <v>1082</v>
      </c>
      <c r="O1285" s="6">
        <f t="shared" si="26"/>
        <v>2200.0000895846633</v>
      </c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</row>
    <row r="1286" spans="1:27" ht="12.75" x14ac:dyDescent="0.2">
      <c r="A1286" s="5" t="s">
        <v>2937</v>
      </c>
      <c r="B1286" s="5" t="s">
        <v>2937</v>
      </c>
      <c r="C1286" s="4">
        <v>704</v>
      </c>
      <c r="D1286" s="6" t="e">
        <f t="shared" si="25"/>
        <v>#VALUE!</v>
      </c>
      <c r="E1286" s="6" t="s">
        <v>5165</v>
      </c>
      <c r="F1286" s="7">
        <v>439</v>
      </c>
      <c r="G1286" s="6" t="s">
        <v>17</v>
      </c>
      <c r="H1286" s="8" t="s">
        <v>7038</v>
      </c>
      <c r="I1286" s="9" t="s">
        <v>7039</v>
      </c>
      <c r="J1286" s="10" t="s">
        <v>7040</v>
      </c>
      <c r="K1286" s="9" t="s">
        <v>7041</v>
      </c>
      <c r="L1286" s="9" t="s">
        <v>7042</v>
      </c>
      <c r="M1286" s="9" t="s">
        <v>7043</v>
      </c>
      <c r="N1286" s="9" t="s">
        <v>1082</v>
      </c>
      <c r="O1286" s="6">
        <f t="shared" si="26"/>
        <v>880</v>
      </c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</row>
    <row r="1287" spans="1:27" ht="12.75" x14ac:dyDescent="0.2">
      <c r="A1287" s="5" t="s">
        <v>2937</v>
      </c>
      <c r="B1287" s="5" t="s">
        <v>2937</v>
      </c>
      <c r="C1287" s="4">
        <v>705</v>
      </c>
      <c r="D1287" s="6" t="e">
        <f t="shared" si="25"/>
        <v>#VALUE!</v>
      </c>
      <c r="E1287" s="6" t="s">
        <v>3457</v>
      </c>
      <c r="F1287" s="7">
        <v>440</v>
      </c>
      <c r="G1287" s="6" t="s">
        <v>21</v>
      </c>
      <c r="H1287" s="11" t="s">
        <v>7044</v>
      </c>
      <c r="I1287" s="9" t="s">
        <v>7045</v>
      </c>
      <c r="J1287" s="9" t="s">
        <v>7046</v>
      </c>
      <c r="K1287" s="9" t="s">
        <v>7047</v>
      </c>
      <c r="L1287" s="9" t="s">
        <v>7048</v>
      </c>
      <c r="M1287" s="9" t="s">
        <v>7049</v>
      </c>
      <c r="N1287" s="9" t="s">
        <v>1082</v>
      </c>
      <c r="O1287" s="6">
        <f t="shared" si="26"/>
        <v>2205</v>
      </c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</row>
    <row r="1288" spans="1:27" ht="12.75" x14ac:dyDescent="0.2">
      <c r="A1288" s="5" t="s">
        <v>2937</v>
      </c>
      <c r="B1288" s="5" t="s">
        <v>2937</v>
      </c>
      <c r="C1288" s="4">
        <v>706</v>
      </c>
      <c r="D1288" s="6" t="e">
        <f t="shared" si="25"/>
        <v>#VALUE!</v>
      </c>
      <c r="E1288" s="6" t="s">
        <v>7050</v>
      </c>
      <c r="F1288" s="7">
        <v>440</v>
      </c>
      <c r="G1288" s="6" t="s">
        <v>21</v>
      </c>
      <c r="H1288" s="11" t="s">
        <v>7051</v>
      </c>
      <c r="I1288" s="9" t="s">
        <v>7052</v>
      </c>
      <c r="J1288" s="9" t="s">
        <v>7053</v>
      </c>
      <c r="K1288" s="9" t="s">
        <v>7054</v>
      </c>
      <c r="L1288" s="9" t="s">
        <v>7055</v>
      </c>
      <c r="M1288" s="9" t="s">
        <v>7056</v>
      </c>
      <c r="N1288" s="9" t="s">
        <v>1082</v>
      </c>
      <c r="O1288" s="6">
        <f t="shared" si="26"/>
        <v>2205</v>
      </c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</row>
    <row r="1289" spans="1:27" ht="12.75" x14ac:dyDescent="0.2">
      <c r="A1289" s="5" t="s">
        <v>2937</v>
      </c>
      <c r="B1289" s="5" t="s">
        <v>2937</v>
      </c>
      <c r="C1289" s="4">
        <v>707</v>
      </c>
      <c r="D1289" s="6" t="e">
        <f t="shared" si="25"/>
        <v>#VALUE!</v>
      </c>
      <c r="E1289" s="6" t="s">
        <v>699</v>
      </c>
      <c r="F1289" s="7">
        <v>440</v>
      </c>
      <c r="G1289" s="6" t="s">
        <v>17</v>
      </c>
      <c r="H1289" s="8" t="s">
        <v>7057</v>
      </c>
      <c r="I1289" s="9" t="s">
        <v>7058</v>
      </c>
      <c r="J1289" s="10" t="s">
        <v>7059</v>
      </c>
      <c r="K1289" s="9" t="s">
        <v>7060</v>
      </c>
      <c r="L1289" s="9" t="s">
        <v>7061</v>
      </c>
      <c r="M1289" s="9" t="s">
        <v>7062</v>
      </c>
      <c r="N1289" s="9" t="s">
        <v>1082</v>
      </c>
      <c r="O1289" s="6">
        <f t="shared" si="26"/>
        <v>881.99997019773798</v>
      </c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</row>
    <row r="1290" spans="1:27" ht="12.75" x14ac:dyDescent="0.2">
      <c r="A1290" s="5" t="s">
        <v>2937</v>
      </c>
      <c r="B1290" s="5" t="s">
        <v>2937</v>
      </c>
      <c r="C1290" s="4">
        <v>708</v>
      </c>
      <c r="D1290" s="6" t="e">
        <f t="shared" si="25"/>
        <v>#VALUE!</v>
      </c>
      <c r="E1290" s="6" t="s">
        <v>4166</v>
      </c>
      <c r="F1290" s="7">
        <v>440</v>
      </c>
      <c r="G1290" s="6" t="s">
        <v>21</v>
      </c>
      <c r="H1290" s="11" t="s">
        <v>7063</v>
      </c>
      <c r="I1290" s="9" t="s">
        <v>7064</v>
      </c>
      <c r="J1290" s="9" t="s">
        <v>7065</v>
      </c>
      <c r="K1290" s="9" t="s">
        <v>7066</v>
      </c>
      <c r="L1290" s="9" t="s">
        <v>7067</v>
      </c>
      <c r="M1290" s="9" t="s">
        <v>7068</v>
      </c>
      <c r="N1290" s="9" t="s">
        <v>1082</v>
      </c>
      <c r="O1290" s="6">
        <f t="shared" si="26"/>
        <v>2204.9999334619733</v>
      </c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</row>
    <row r="1291" spans="1:27" ht="12.75" x14ac:dyDescent="0.2">
      <c r="A1291" s="5" t="s">
        <v>2937</v>
      </c>
      <c r="B1291" s="5" t="s">
        <v>2937</v>
      </c>
      <c r="C1291" s="4">
        <v>709</v>
      </c>
      <c r="D1291" s="6" t="e">
        <f t="shared" si="25"/>
        <v>#VALUE!</v>
      </c>
      <c r="E1291" s="6" t="s">
        <v>3078</v>
      </c>
      <c r="F1291" s="7">
        <v>441</v>
      </c>
      <c r="G1291" s="6" t="s">
        <v>21</v>
      </c>
      <c r="H1291" s="11" t="s">
        <v>7069</v>
      </c>
      <c r="I1291" s="9" t="s">
        <v>7070</v>
      </c>
      <c r="J1291" s="9" t="s">
        <v>4388</v>
      </c>
      <c r="K1291" s="9" t="s">
        <v>7071</v>
      </c>
      <c r="L1291" s="9" t="s">
        <v>7072</v>
      </c>
      <c r="M1291" s="9" t="s">
        <v>7073</v>
      </c>
      <c r="N1291" s="9" t="s">
        <v>1082</v>
      </c>
      <c r="O1291" s="6">
        <f t="shared" si="26"/>
        <v>2210.0000883587363</v>
      </c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</row>
    <row r="1292" spans="1:27" ht="12.75" x14ac:dyDescent="0.2">
      <c r="A1292" s="5" t="s">
        <v>2937</v>
      </c>
      <c r="B1292" s="5" t="s">
        <v>2937</v>
      </c>
      <c r="C1292" s="4">
        <v>710</v>
      </c>
      <c r="D1292" s="6" t="e">
        <f t="shared" si="25"/>
        <v>#VALUE!</v>
      </c>
      <c r="E1292" s="6" t="s">
        <v>7074</v>
      </c>
      <c r="F1292" s="7">
        <v>441</v>
      </c>
      <c r="G1292" s="6" t="s">
        <v>21</v>
      </c>
      <c r="H1292" s="11" t="s">
        <v>7075</v>
      </c>
      <c r="I1292" s="9" t="s">
        <v>7076</v>
      </c>
      <c r="J1292" s="9" t="s">
        <v>7077</v>
      </c>
      <c r="K1292" s="9" t="s">
        <v>7078</v>
      </c>
      <c r="L1292" s="9" t="s">
        <v>7079</v>
      </c>
      <c r="M1292" s="9" t="s">
        <v>7080</v>
      </c>
      <c r="N1292" s="9" t="s">
        <v>1082</v>
      </c>
      <c r="O1292" s="6">
        <f t="shared" si="26"/>
        <v>2210.0000882339964</v>
      </c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</row>
    <row r="1293" spans="1:27" ht="12.75" x14ac:dyDescent="0.2">
      <c r="A1293" s="5" t="s">
        <v>2937</v>
      </c>
      <c r="B1293" s="5" t="s">
        <v>2937</v>
      </c>
      <c r="C1293" s="4">
        <v>711</v>
      </c>
      <c r="D1293" s="6" t="e">
        <f t="shared" si="25"/>
        <v>#VALUE!</v>
      </c>
      <c r="E1293" s="6" t="s">
        <v>3293</v>
      </c>
      <c r="F1293" s="7">
        <v>441</v>
      </c>
      <c r="G1293" s="6" t="s">
        <v>21</v>
      </c>
      <c r="H1293" s="11" t="s">
        <v>7081</v>
      </c>
      <c r="I1293" s="9" t="s">
        <v>7082</v>
      </c>
      <c r="J1293" s="9" t="s">
        <v>7083</v>
      </c>
      <c r="K1293" s="9" t="s">
        <v>7084</v>
      </c>
      <c r="L1293" s="9" t="s">
        <v>6747</v>
      </c>
      <c r="M1293" s="9" t="s">
        <v>7085</v>
      </c>
      <c r="N1293" s="9" t="s">
        <v>1082</v>
      </c>
      <c r="O1293" s="6">
        <f t="shared" si="26"/>
        <v>2210.0000881096084</v>
      </c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</row>
    <row r="1294" spans="1:27" ht="12.75" x14ac:dyDescent="0.2">
      <c r="A1294" s="5" t="s">
        <v>2937</v>
      </c>
      <c r="B1294" s="5" t="s">
        <v>2937</v>
      </c>
      <c r="C1294" s="4">
        <v>712</v>
      </c>
      <c r="D1294" s="6" t="e">
        <f t="shared" si="25"/>
        <v>#VALUE!</v>
      </c>
      <c r="E1294" s="6" t="s">
        <v>3437</v>
      </c>
      <c r="F1294" s="7">
        <v>441</v>
      </c>
      <c r="G1294" s="6" t="s">
        <v>17</v>
      </c>
      <c r="H1294" s="8" t="s">
        <v>7086</v>
      </c>
      <c r="I1294" s="9" t="s">
        <v>7087</v>
      </c>
      <c r="J1294" s="10" t="s">
        <v>7088</v>
      </c>
      <c r="K1294" s="9" t="s">
        <v>7089</v>
      </c>
      <c r="L1294" s="9" t="s">
        <v>7090</v>
      </c>
      <c r="M1294" s="9" t="s">
        <v>7091</v>
      </c>
      <c r="N1294" s="9" t="s">
        <v>1082</v>
      </c>
      <c r="O1294" s="6">
        <f t="shared" si="26"/>
        <v>884</v>
      </c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</row>
    <row r="1295" spans="1:27" ht="12.75" x14ac:dyDescent="0.2">
      <c r="A1295" s="5" t="s">
        <v>2937</v>
      </c>
      <c r="B1295" s="5" t="s">
        <v>2937</v>
      </c>
      <c r="C1295" s="4">
        <v>713</v>
      </c>
      <c r="D1295" s="6" t="e">
        <f t="shared" si="25"/>
        <v>#VALUE!</v>
      </c>
      <c r="E1295" s="6" t="s">
        <v>3636</v>
      </c>
      <c r="F1295" s="7">
        <v>442</v>
      </c>
      <c r="G1295" s="6" t="s">
        <v>21</v>
      </c>
      <c r="H1295" s="11" t="s">
        <v>7092</v>
      </c>
      <c r="I1295" s="9" t="s">
        <v>7093</v>
      </c>
      <c r="J1295" s="9" t="s">
        <v>7094</v>
      </c>
      <c r="K1295" s="9" t="s">
        <v>7095</v>
      </c>
      <c r="L1295" s="9" t="s">
        <v>7096</v>
      </c>
      <c r="M1295" s="9" t="s">
        <v>7097</v>
      </c>
      <c r="N1295" s="9" t="s">
        <v>1082</v>
      </c>
      <c r="O1295" s="6">
        <f t="shared" si="26"/>
        <v>2214.9999452252882</v>
      </c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</row>
    <row r="1296" spans="1:27" ht="12.75" x14ac:dyDescent="0.2">
      <c r="A1296" s="5" t="s">
        <v>2937</v>
      </c>
      <c r="B1296" s="5" t="s">
        <v>2937</v>
      </c>
      <c r="C1296" s="4">
        <v>714</v>
      </c>
      <c r="D1296" s="6" t="e">
        <f t="shared" si="25"/>
        <v>#VALUE!</v>
      </c>
      <c r="E1296" s="6" t="s">
        <v>1432</v>
      </c>
      <c r="F1296" s="7">
        <v>442</v>
      </c>
      <c r="G1296" s="6" t="s">
        <v>17</v>
      </c>
      <c r="H1296" s="8" t="s">
        <v>7098</v>
      </c>
      <c r="I1296" s="9" t="s">
        <v>7099</v>
      </c>
      <c r="J1296" s="10" t="s">
        <v>7100</v>
      </c>
      <c r="K1296" s="9" t="s">
        <v>7101</v>
      </c>
      <c r="L1296" s="9" t="s">
        <v>7102</v>
      </c>
      <c r="M1296" s="9" t="s">
        <v>7103</v>
      </c>
      <c r="N1296" s="9" t="s">
        <v>1082</v>
      </c>
      <c r="O1296" s="6">
        <f t="shared" si="26"/>
        <v>886</v>
      </c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</row>
    <row r="1297" spans="1:27" ht="12.75" x14ac:dyDescent="0.2">
      <c r="A1297" s="5" t="s">
        <v>2937</v>
      </c>
      <c r="B1297" s="5" t="s">
        <v>2937</v>
      </c>
      <c r="C1297" s="4">
        <v>715</v>
      </c>
      <c r="D1297" s="6" t="e">
        <f t="shared" si="25"/>
        <v>#VALUE!</v>
      </c>
      <c r="E1297" s="6" t="s">
        <v>292</v>
      </c>
      <c r="F1297" s="7">
        <v>442</v>
      </c>
      <c r="G1297" s="6" t="s">
        <v>28</v>
      </c>
      <c r="H1297" s="8" t="s">
        <v>7104</v>
      </c>
      <c r="I1297" s="10" t="s">
        <v>7105</v>
      </c>
      <c r="J1297" s="9" t="s">
        <v>7106</v>
      </c>
      <c r="K1297" s="9" t="s">
        <v>7107</v>
      </c>
      <c r="L1297" s="9" t="s">
        <v>7108</v>
      </c>
      <c r="M1297" s="9" t="s">
        <v>7109</v>
      </c>
      <c r="N1297" s="9" t="s">
        <v>1082</v>
      </c>
      <c r="O1297" s="6">
        <f t="shared" si="26"/>
        <v>1772.0000581150387</v>
      </c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</row>
    <row r="1298" spans="1:27" ht="12.75" x14ac:dyDescent="0.2">
      <c r="A1298" s="5" t="s">
        <v>2937</v>
      </c>
      <c r="B1298" s="5" t="s">
        <v>2937</v>
      </c>
      <c r="C1298" s="4">
        <v>716</v>
      </c>
      <c r="D1298" s="6" t="e">
        <f t="shared" si="25"/>
        <v>#VALUE!</v>
      </c>
      <c r="E1298" s="6" t="s">
        <v>4777</v>
      </c>
      <c r="F1298" s="7">
        <v>442</v>
      </c>
      <c r="G1298" s="6" t="s">
        <v>21</v>
      </c>
      <c r="H1298" s="11" t="s">
        <v>7110</v>
      </c>
      <c r="I1298" s="9" t="s">
        <v>7111</v>
      </c>
      <c r="J1298" s="9" t="s">
        <v>7112</v>
      </c>
      <c r="K1298" s="9" t="s">
        <v>7113</v>
      </c>
      <c r="L1298" s="9" t="s">
        <v>7114</v>
      </c>
      <c r="M1298" s="9" t="s">
        <v>7115</v>
      </c>
      <c r="N1298" s="9" t="s">
        <v>1082</v>
      </c>
      <c r="O1298" s="6">
        <f t="shared" si="26"/>
        <v>2214.9999454547437</v>
      </c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</row>
    <row r="1299" spans="1:27" ht="12.75" x14ac:dyDescent="0.2">
      <c r="A1299" s="5" t="s">
        <v>2937</v>
      </c>
      <c r="B1299" s="5" t="s">
        <v>2937</v>
      </c>
      <c r="C1299" s="4">
        <v>717</v>
      </c>
      <c r="D1299" s="6" t="e">
        <f t="shared" si="25"/>
        <v>#VALUE!</v>
      </c>
      <c r="E1299" s="6" t="s">
        <v>3495</v>
      </c>
      <c r="F1299" s="7">
        <v>443</v>
      </c>
      <c r="G1299" s="6" t="s">
        <v>17</v>
      </c>
      <c r="H1299" s="8" t="s">
        <v>7116</v>
      </c>
      <c r="I1299" s="9" t="s">
        <v>7117</v>
      </c>
      <c r="J1299" s="10" t="s">
        <v>7118</v>
      </c>
      <c r="K1299" s="9" t="s">
        <v>7119</v>
      </c>
      <c r="L1299" s="9" t="s">
        <v>7120</v>
      </c>
      <c r="M1299" s="9" t="s">
        <v>7121</v>
      </c>
      <c r="N1299" s="9" t="s">
        <v>1082</v>
      </c>
      <c r="O1299" s="6">
        <f t="shared" si="26"/>
        <v>888</v>
      </c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</row>
    <row r="1300" spans="1:27" ht="12.75" x14ac:dyDescent="0.2">
      <c r="A1300" s="5" t="s">
        <v>2937</v>
      </c>
      <c r="B1300" s="5" t="s">
        <v>2937</v>
      </c>
      <c r="C1300" s="4">
        <v>718</v>
      </c>
      <c r="D1300" s="6" t="e">
        <f t="shared" si="25"/>
        <v>#VALUE!</v>
      </c>
      <c r="E1300" s="6" t="s">
        <v>274</v>
      </c>
      <c r="F1300" s="7">
        <v>443</v>
      </c>
      <c r="G1300" s="6" t="s">
        <v>21</v>
      </c>
      <c r="H1300" s="11" t="s">
        <v>7122</v>
      </c>
      <c r="I1300" s="9" t="s">
        <v>7123</v>
      </c>
      <c r="J1300" s="9" t="s">
        <v>7124</v>
      </c>
      <c r="K1300" s="9" t="s">
        <v>7125</v>
      </c>
      <c r="L1300" s="9" t="s">
        <v>7126</v>
      </c>
      <c r="M1300" s="9" t="s">
        <v>7127</v>
      </c>
      <c r="N1300" s="9" t="s">
        <v>1082</v>
      </c>
      <c r="O1300" s="6">
        <f t="shared" si="26"/>
        <v>2220.0000434004232</v>
      </c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</row>
    <row r="1301" spans="1:27" ht="12.75" x14ac:dyDescent="0.2">
      <c r="A1301" s="5" t="s">
        <v>2937</v>
      </c>
      <c r="B1301" s="5" t="s">
        <v>2937</v>
      </c>
      <c r="C1301" s="4">
        <v>719</v>
      </c>
      <c r="D1301" s="6" t="e">
        <f t="shared" si="25"/>
        <v>#VALUE!</v>
      </c>
      <c r="E1301" s="6" t="s">
        <v>3451</v>
      </c>
      <c r="F1301" s="7">
        <v>443</v>
      </c>
      <c r="G1301" s="6" t="s">
        <v>21</v>
      </c>
      <c r="H1301" s="11" t="s">
        <v>7128</v>
      </c>
      <c r="I1301" s="9" t="s">
        <v>7129</v>
      </c>
      <c r="J1301" s="9" t="s">
        <v>7130</v>
      </c>
      <c r="K1301" s="9" t="s">
        <v>7131</v>
      </c>
      <c r="L1301" s="9" t="s">
        <v>7132</v>
      </c>
      <c r="M1301" s="9" t="s">
        <v>7133</v>
      </c>
      <c r="N1301" s="9" t="s">
        <v>1082</v>
      </c>
      <c r="O1301" s="6">
        <f t="shared" si="26"/>
        <v>2220.0000433402315</v>
      </c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</row>
    <row r="1302" spans="1:27" ht="12.75" x14ac:dyDescent="0.2">
      <c r="A1302" s="5" t="s">
        <v>2937</v>
      </c>
      <c r="B1302" s="5" t="s">
        <v>2937</v>
      </c>
      <c r="C1302" s="4">
        <v>720</v>
      </c>
      <c r="D1302" s="6" t="e">
        <f t="shared" si="25"/>
        <v>#VALUE!</v>
      </c>
      <c r="E1302" s="6" t="s">
        <v>3724</v>
      </c>
      <c r="F1302" s="7">
        <v>443</v>
      </c>
      <c r="G1302" s="6" t="s">
        <v>17</v>
      </c>
      <c r="H1302" s="8" t="s">
        <v>7134</v>
      </c>
      <c r="I1302" s="9" t="s">
        <v>7135</v>
      </c>
      <c r="J1302" s="10" t="s">
        <v>7136</v>
      </c>
      <c r="K1302" s="9" t="s">
        <v>7137</v>
      </c>
      <c r="L1302" s="9" t="s">
        <v>7138</v>
      </c>
      <c r="M1302" s="9" t="s">
        <v>7139</v>
      </c>
      <c r="N1302" s="9" t="s">
        <v>1082</v>
      </c>
      <c r="O1302" s="6">
        <f t="shared" si="26"/>
        <v>888</v>
      </c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</row>
    <row r="1303" spans="1:27" ht="12.75" x14ac:dyDescent="0.2">
      <c r="A1303" s="5" t="s">
        <v>2937</v>
      </c>
      <c r="B1303" s="5" t="s">
        <v>2937</v>
      </c>
      <c r="C1303" s="4">
        <v>721</v>
      </c>
      <c r="D1303" s="6" t="e">
        <f t="shared" si="25"/>
        <v>#VALUE!</v>
      </c>
      <c r="E1303" s="6" t="s">
        <v>543</v>
      </c>
      <c r="F1303" s="7">
        <v>444</v>
      </c>
      <c r="G1303" s="6" t="s">
        <v>17</v>
      </c>
      <c r="H1303" s="8" t="s">
        <v>7140</v>
      </c>
      <c r="I1303" s="9" t="s">
        <v>7141</v>
      </c>
      <c r="J1303" s="10" t="s">
        <v>7142</v>
      </c>
      <c r="K1303" s="9" t="s">
        <v>7143</v>
      </c>
      <c r="L1303" s="9" t="s">
        <v>7144</v>
      </c>
      <c r="M1303" s="9" t="s">
        <v>7145</v>
      </c>
      <c r="N1303" s="9" t="s">
        <v>1082</v>
      </c>
      <c r="O1303" s="6">
        <f t="shared" si="26"/>
        <v>889.99997108364062</v>
      </c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</row>
    <row r="1304" spans="1:27" ht="12.75" x14ac:dyDescent="0.2">
      <c r="A1304" s="5" t="s">
        <v>2937</v>
      </c>
      <c r="B1304" s="5" t="s">
        <v>2937</v>
      </c>
      <c r="C1304" s="4">
        <v>722</v>
      </c>
      <c r="D1304" s="6" t="e">
        <f t="shared" si="25"/>
        <v>#VALUE!</v>
      </c>
      <c r="E1304" s="6" t="s">
        <v>6609</v>
      </c>
      <c r="F1304" s="7">
        <v>444</v>
      </c>
      <c r="G1304" s="6" t="s">
        <v>28</v>
      </c>
      <c r="H1304" s="8" t="s">
        <v>7146</v>
      </c>
      <c r="I1304" s="10" t="s">
        <v>7147</v>
      </c>
      <c r="J1304" s="9" t="s">
        <v>7148</v>
      </c>
      <c r="K1304" s="9" t="s">
        <v>7149</v>
      </c>
      <c r="L1304" s="9" t="s">
        <v>7150</v>
      </c>
      <c r="M1304" s="9" t="s">
        <v>7151</v>
      </c>
      <c r="N1304" s="9" t="s">
        <v>1082</v>
      </c>
      <c r="O1304" s="6">
        <f t="shared" si="26"/>
        <v>1780.0000572516353</v>
      </c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</row>
    <row r="1305" spans="1:27" ht="12.75" x14ac:dyDescent="0.2">
      <c r="A1305" s="5" t="s">
        <v>2937</v>
      </c>
      <c r="B1305" s="5" t="s">
        <v>2937</v>
      </c>
      <c r="C1305" s="4">
        <v>723</v>
      </c>
      <c r="D1305" s="6" t="e">
        <f t="shared" si="25"/>
        <v>#VALUE!</v>
      </c>
      <c r="E1305" s="6" t="s">
        <v>3246</v>
      </c>
      <c r="F1305" s="7">
        <v>444</v>
      </c>
      <c r="G1305" s="6" t="s">
        <v>17</v>
      </c>
      <c r="H1305" s="8" t="s">
        <v>7152</v>
      </c>
      <c r="I1305" s="9" t="s">
        <v>7153</v>
      </c>
      <c r="J1305" s="10" t="s">
        <v>7154</v>
      </c>
      <c r="K1305" s="9" t="s">
        <v>7155</v>
      </c>
      <c r="L1305" s="9" t="s">
        <v>7156</v>
      </c>
      <c r="M1305" s="9" t="s">
        <v>7157</v>
      </c>
      <c r="N1305" s="9" t="s">
        <v>1082</v>
      </c>
      <c r="O1305" s="6">
        <f t="shared" si="26"/>
        <v>890</v>
      </c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</row>
    <row r="1306" spans="1:27" ht="12.75" x14ac:dyDescent="0.2">
      <c r="A1306" s="5" t="s">
        <v>2937</v>
      </c>
      <c r="B1306" s="5" t="s">
        <v>2937</v>
      </c>
      <c r="C1306" s="4">
        <v>724</v>
      </c>
      <c r="D1306" s="6" t="e">
        <f t="shared" si="25"/>
        <v>#VALUE!</v>
      </c>
      <c r="E1306" s="6" t="s">
        <v>4210</v>
      </c>
      <c r="F1306" s="7">
        <v>444</v>
      </c>
      <c r="G1306" s="6" t="s">
        <v>28</v>
      </c>
      <c r="H1306" s="8" t="s">
        <v>7158</v>
      </c>
      <c r="I1306" s="10" t="s">
        <v>7159</v>
      </c>
      <c r="J1306" s="9" t="s">
        <v>7160</v>
      </c>
      <c r="K1306" s="9" t="s">
        <v>7161</v>
      </c>
      <c r="L1306" s="9" t="s">
        <v>7162</v>
      </c>
      <c r="M1306" s="9" t="s">
        <v>7163</v>
      </c>
      <c r="N1306" s="9" t="s">
        <v>1082</v>
      </c>
      <c r="O1306" s="6">
        <f t="shared" si="26"/>
        <v>1780</v>
      </c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</row>
    <row r="1307" spans="1:27" ht="12.75" x14ac:dyDescent="0.2">
      <c r="A1307" s="5" t="s">
        <v>2937</v>
      </c>
      <c r="B1307" s="5" t="s">
        <v>2937</v>
      </c>
      <c r="C1307" s="4">
        <v>725</v>
      </c>
      <c r="D1307" s="6" t="e">
        <f t="shared" si="25"/>
        <v>#VALUE!</v>
      </c>
      <c r="E1307" s="6" t="s">
        <v>5550</v>
      </c>
      <c r="F1307" s="7">
        <v>445</v>
      </c>
      <c r="G1307" s="6" t="s">
        <v>28</v>
      </c>
      <c r="H1307" s="8" t="s">
        <v>7164</v>
      </c>
      <c r="I1307" s="10" t="s">
        <v>7165</v>
      </c>
      <c r="J1307" s="9" t="s">
        <v>7166</v>
      </c>
      <c r="K1307" s="9" t="s">
        <v>7167</v>
      </c>
      <c r="L1307" s="9" t="s">
        <v>7168</v>
      </c>
      <c r="M1307" s="9" t="s">
        <v>7169</v>
      </c>
      <c r="N1307" s="9" t="s">
        <v>1082</v>
      </c>
      <c r="O1307" s="6">
        <f t="shared" si="26"/>
        <v>1784</v>
      </c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</row>
    <row r="1308" spans="1:27" ht="12.75" x14ac:dyDescent="0.2">
      <c r="A1308" s="5" t="s">
        <v>2937</v>
      </c>
      <c r="B1308" s="5" t="s">
        <v>2937</v>
      </c>
      <c r="C1308" s="4">
        <v>726</v>
      </c>
      <c r="D1308" s="6" t="e">
        <f t="shared" si="25"/>
        <v>#VALUE!</v>
      </c>
      <c r="E1308" s="6" t="s">
        <v>7170</v>
      </c>
      <c r="F1308" s="7">
        <v>445</v>
      </c>
      <c r="G1308" s="6" t="s">
        <v>17</v>
      </c>
      <c r="H1308" s="8" t="s">
        <v>7171</v>
      </c>
      <c r="I1308" s="9" t="s">
        <v>7172</v>
      </c>
      <c r="J1308" s="10" t="s">
        <v>7173</v>
      </c>
      <c r="K1308" s="9" t="s">
        <v>7174</v>
      </c>
      <c r="L1308" s="9" t="s">
        <v>7175</v>
      </c>
      <c r="M1308" s="9" t="s">
        <v>7176</v>
      </c>
      <c r="N1308" s="9" t="s">
        <v>1082</v>
      </c>
      <c r="O1308" s="6">
        <f t="shared" si="26"/>
        <v>892</v>
      </c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</row>
    <row r="1309" spans="1:27" ht="12.75" x14ac:dyDescent="0.2">
      <c r="A1309" s="5" t="s">
        <v>2937</v>
      </c>
      <c r="B1309" s="5" t="s">
        <v>2937</v>
      </c>
      <c r="C1309" s="4">
        <v>727</v>
      </c>
      <c r="D1309" s="6" t="e">
        <f t="shared" si="25"/>
        <v>#VALUE!</v>
      </c>
      <c r="E1309" s="6" t="s">
        <v>7177</v>
      </c>
      <c r="F1309" s="7">
        <v>445</v>
      </c>
      <c r="G1309" s="6" t="s">
        <v>28</v>
      </c>
      <c r="H1309" s="8" t="s">
        <v>7178</v>
      </c>
      <c r="I1309" s="10" t="s">
        <v>7179</v>
      </c>
      <c r="J1309" s="9" t="s">
        <v>7180</v>
      </c>
      <c r="K1309" s="9" t="s">
        <v>7181</v>
      </c>
      <c r="L1309" s="9" t="s">
        <v>7182</v>
      </c>
      <c r="M1309" s="9" t="s">
        <v>7183</v>
      </c>
      <c r="N1309" s="9" t="s">
        <v>1082</v>
      </c>
      <c r="O1309" s="6">
        <f t="shared" si="26"/>
        <v>1784</v>
      </c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</row>
    <row r="1310" spans="1:27" ht="12.75" x14ac:dyDescent="0.2">
      <c r="A1310" s="5" t="s">
        <v>2937</v>
      </c>
      <c r="B1310" s="5" t="s">
        <v>2937</v>
      </c>
      <c r="C1310" s="4">
        <v>728</v>
      </c>
      <c r="D1310" s="6" t="e">
        <f t="shared" si="25"/>
        <v>#VALUE!</v>
      </c>
      <c r="E1310" s="6" t="s">
        <v>3113</v>
      </c>
      <c r="F1310" s="7">
        <v>445</v>
      </c>
      <c r="G1310" s="6" t="s">
        <v>21</v>
      </c>
      <c r="H1310" s="11" t="s">
        <v>7184</v>
      </c>
      <c r="I1310" s="9" t="s">
        <v>7185</v>
      </c>
      <c r="J1310" s="9" t="s">
        <v>7186</v>
      </c>
      <c r="K1310" s="9" t="s">
        <v>7187</v>
      </c>
      <c r="L1310" s="9" t="s">
        <v>7188</v>
      </c>
      <c r="M1310" s="9" t="s">
        <v>7189</v>
      </c>
      <c r="N1310" s="9" t="s">
        <v>1082</v>
      </c>
      <c r="O1310" s="6">
        <f t="shared" si="26"/>
        <v>2229.9999361274045</v>
      </c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</row>
    <row r="1311" spans="1:27" ht="12.75" x14ac:dyDescent="0.2">
      <c r="A1311" s="5" t="s">
        <v>2937</v>
      </c>
      <c r="B1311" s="5" t="s">
        <v>2937</v>
      </c>
      <c r="C1311" s="4">
        <v>729</v>
      </c>
      <c r="D1311" s="6" t="e">
        <f t="shared" si="25"/>
        <v>#VALUE!</v>
      </c>
      <c r="E1311" s="6" t="s">
        <v>3808</v>
      </c>
      <c r="F1311" s="7">
        <v>446</v>
      </c>
      <c r="G1311" s="6" t="s">
        <v>21</v>
      </c>
      <c r="H1311" s="11" t="s">
        <v>7190</v>
      </c>
      <c r="I1311" s="9" t="s">
        <v>7191</v>
      </c>
      <c r="J1311" s="9" t="s">
        <v>7192</v>
      </c>
      <c r="K1311" s="9" t="s">
        <v>7193</v>
      </c>
      <c r="L1311" s="9" t="s">
        <v>7194</v>
      </c>
      <c r="M1311" s="9" t="s">
        <v>7195</v>
      </c>
      <c r="N1311" s="9" t="s">
        <v>1082</v>
      </c>
      <c r="O1311" s="6">
        <f t="shared" si="26"/>
        <v>2235.0000318096509</v>
      </c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</row>
    <row r="1312" spans="1:27" ht="12.75" x14ac:dyDescent="0.2">
      <c r="A1312" s="5" t="s">
        <v>2937</v>
      </c>
      <c r="B1312" s="5" t="s">
        <v>2937</v>
      </c>
      <c r="C1312" s="4">
        <v>730</v>
      </c>
      <c r="D1312" s="6" t="e">
        <f t="shared" si="25"/>
        <v>#VALUE!</v>
      </c>
      <c r="E1312" s="6" t="s">
        <v>2953</v>
      </c>
      <c r="F1312" s="7">
        <v>446</v>
      </c>
      <c r="G1312" s="6" t="s">
        <v>21</v>
      </c>
      <c r="H1312" s="11" t="s">
        <v>7196</v>
      </c>
      <c r="I1312" s="9" t="s">
        <v>7197</v>
      </c>
      <c r="J1312" s="9" t="s">
        <v>7198</v>
      </c>
      <c r="K1312" s="9" t="s">
        <v>7199</v>
      </c>
      <c r="L1312" s="9" t="s">
        <v>7200</v>
      </c>
      <c r="M1312" s="9" t="s">
        <v>7201</v>
      </c>
      <c r="N1312" s="9" t="s">
        <v>1082</v>
      </c>
      <c r="O1312" s="6">
        <f t="shared" si="26"/>
        <v>2235.0000847098686</v>
      </c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</row>
    <row r="1313" spans="1:27" ht="12.75" x14ac:dyDescent="0.2">
      <c r="A1313" s="5" t="s">
        <v>2937</v>
      </c>
      <c r="B1313" s="5" t="s">
        <v>2937</v>
      </c>
      <c r="C1313" s="4">
        <v>731</v>
      </c>
      <c r="D1313" s="6" t="e">
        <f t="shared" si="25"/>
        <v>#VALUE!</v>
      </c>
      <c r="E1313" s="6" t="s">
        <v>3293</v>
      </c>
      <c r="F1313" s="7">
        <v>446</v>
      </c>
      <c r="G1313" s="6" t="s">
        <v>17</v>
      </c>
      <c r="H1313" s="8" t="s">
        <v>7202</v>
      </c>
      <c r="I1313" s="9" t="s">
        <v>7203</v>
      </c>
      <c r="J1313" s="10" t="s">
        <v>7204</v>
      </c>
      <c r="K1313" s="9" t="s">
        <v>7205</v>
      </c>
      <c r="L1313" s="9" t="s">
        <v>7206</v>
      </c>
      <c r="M1313" s="9" t="s">
        <v>7207</v>
      </c>
      <c r="N1313" s="9" t="s">
        <v>1082</v>
      </c>
      <c r="O1313" s="6">
        <f t="shared" si="26"/>
        <v>894</v>
      </c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</row>
    <row r="1314" spans="1:27" ht="12.75" x14ac:dyDescent="0.2">
      <c r="A1314" s="5" t="s">
        <v>2937</v>
      </c>
      <c r="B1314" s="5" t="s">
        <v>2937</v>
      </c>
      <c r="C1314" s="4">
        <v>732</v>
      </c>
      <c r="D1314" s="6" t="e">
        <f t="shared" si="25"/>
        <v>#VALUE!</v>
      </c>
      <c r="E1314" s="6" t="s">
        <v>6421</v>
      </c>
      <c r="F1314" s="7">
        <v>446</v>
      </c>
      <c r="G1314" s="6" t="s">
        <v>28</v>
      </c>
      <c r="H1314" s="8" t="s">
        <v>7208</v>
      </c>
      <c r="I1314" s="10" t="s">
        <v>7209</v>
      </c>
      <c r="J1314" s="9" t="s">
        <v>7210</v>
      </c>
      <c r="K1314" s="9" t="s">
        <v>7211</v>
      </c>
      <c r="L1314" s="9" t="s">
        <v>7212</v>
      </c>
      <c r="M1314" s="9" t="s">
        <v>7213</v>
      </c>
      <c r="N1314" s="9" t="s">
        <v>1082</v>
      </c>
      <c r="O1314" s="6">
        <f t="shared" si="26"/>
        <v>1787.9999438225918</v>
      </c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</row>
    <row r="1315" spans="1:27" ht="12.75" x14ac:dyDescent="0.2">
      <c r="A1315" s="5" t="s">
        <v>2937</v>
      </c>
      <c r="B1315" s="5" t="s">
        <v>2937</v>
      </c>
      <c r="C1315" s="4">
        <v>733</v>
      </c>
      <c r="D1315" s="6" t="e">
        <f t="shared" si="25"/>
        <v>#VALUE!</v>
      </c>
      <c r="E1315" s="6" t="s">
        <v>4005</v>
      </c>
      <c r="F1315" s="7">
        <v>447</v>
      </c>
      <c r="G1315" s="6" t="s">
        <v>28</v>
      </c>
      <c r="H1315" s="8" t="s">
        <v>7214</v>
      </c>
      <c r="I1315" s="10" t="s">
        <v>7215</v>
      </c>
      <c r="J1315" s="9" t="s">
        <v>7216</v>
      </c>
      <c r="K1315" s="9" t="s">
        <v>7217</v>
      </c>
      <c r="L1315" s="9" t="s">
        <v>7218</v>
      </c>
      <c r="M1315" s="9" t="s">
        <v>7219</v>
      </c>
      <c r="N1315" s="9" t="s">
        <v>1082</v>
      </c>
      <c r="O1315" s="6">
        <f t="shared" si="26"/>
        <v>1792</v>
      </c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</row>
    <row r="1316" spans="1:27" ht="12.75" x14ac:dyDescent="0.2">
      <c r="A1316" s="5" t="s">
        <v>2937</v>
      </c>
      <c r="B1316" s="5" t="s">
        <v>2937</v>
      </c>
      <c r="C1316" s="4">
        <v>734</v>
      </c>
      <c r="D1316" s="6" t="e">
        <f t="shared" si="25"/>
        <v>#VALUE!</v>
      </c>
      <c r="E1316" s="6" t="s">
        <v>3346</v>
      </c>
      <c r="F1316" s="7">
        <v>447</v>
      </c>
      <c r="G1316" s="6" t="s">
        <v>28</v>
      </c>
      <c r="H1316" s="8" t="s">
        <v>7220</v>
      </c>
      <c r="I1316" s="10" t="s">
        <v>7221</v>
      </c>
      <c r="J1316" s="9" t="s">
        <v>7222</v>
      </c>
      <c r="K1316" s="9" t="s">
        <v>7223</v>
      </c>
      <c r="L1316" s="9" t="s">
        <v>7224</v>
      </c>
      <c r="M1316" s="9" t="s">
        <v>7225</v>
      </c>
      <c r="N1316" s="9" t="s">
        <v>1082</v>
      </c>
      <c r="O1316" s="6">
        <f t="shared" si="26"/>
        <v>1792</v>
      </c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</row>
    <row r="1317" spans="1:27" ht="12.75" x14ac:dyDescent="0.2">
      <c r="A1317" s="5" t="s">
        <v>2937</v>
      </c>
      <c r="B1317" s="5" t="s">
        <v>2937</v>
      </c>
      <c r="C1317" s="4">
        <v>735</v>
      </c>
      <c r="D1317" s="6" t="e">
        <f t="shared" si="25"/>
        <v>#VALUE!</v>
      </c>
      <c r="E1317" s="6" t="s">
        <v>198</v>
      </c>
      <c r="F1317" s="7">
        <v>447</v>
      </c>
      <c r="G1317" s="6" t="s">
        <v>17</v>
      </c>
      <c r="H1317" s="8" t="s">
        <v>7226</v>
      </c>
      <c r="I1317" s="9" t="s">
        <v>4407</v>
      </c>
      <c r="J1317" s="10" t="s">
        <v>7227</v>
      </c>
      <c r="K1317" s="9" t="s">
        <v>7228</v>
      </c>
      <c r="L1317" s="9" t="s">
        <v>7229</v>
      </c>
      <c r="M1317" s="9" t="s">
        <v>7230</v>
      </c>
      <c r="N1317" s="9" t="s">
        <v>1082</v>
      </c>
      <c r="O1317" s="6">
        <f t="shared" si="26"/>
        <v>896</v>
      </c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</row>
    <row r="1318" spans="1:27" ht="12.75" x14ac:dyDescent="0.2">
      <c r="A1318" s="5" t="s">
        <v>2937</v>
      </c>
      <c r="B1318" s="5" t="s">
        <v>2937</v>
      </c>
      <c r="C1318" s="4">
        <v>736</v>
      </c>
      <c r="D1318" s="6" t="e">
        <f t="shared" si="25"/>
        <v>#VALUE!</v>
      </c>
      <c r="E1318" s="6" t="s">
        <v>3781</v>
      </c>
      <c r="F1318" s="7">
        <v>447</v>
      </c>
      <c r="G1318" s="6" t="s">
        <v>21</v>
      </c>
      <c r="H1318" s="11" t="s">
        <v>7231</v>
      </c>
      <c r="I1318" s="9" t="s">
        <v>7232</v>
      </c>
      <c r="J1318" s="9" t="s">
        <v>7233</v>
      </c>
      <c r="K1318" s="9" t="s">
        <v>7234</v>
      </c>
      <c r="L1318" s="9" t="s">
        <v>7235</v>
      </c>
      <c r="M1318" s="9" t="s">
        <v>7236</v>
      </c>
      <c r="N1318" s="9" t="s">
        <v>1082</v>
      </c>
      <c r="O1318" s="6">
        <f t="shared" si="26"/>
        <v>2240</v>
      </c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</row>
    <row r="1319" spans="1:27" ht="12.75" x14ac:dyDescent="0.2">
      <c r="A1319" s="5" t="s">
        <v>2937</v>
      </c>
      <c r="B1319" s="5" t="s">
        <v>2937</v>
      </c>
      <c r="C1319" s="4">
        <v>737</v>
      </c>
      <c r="D1319" s="6" t="e">
        <f t="shared" si="25"/>
        <v>#VALUE!</v>
      </c>
      <c r="E1319" s="6" t="s">
        <v>97</v>
      </c>
      <c r="F1319" s="7">
        <v>448</v>
      </c>
      <c r="G1319" s="6" t="s">
        <v>28</v>
      </c>
      <c r="H1319" s="8" t="s">
        <v>7237</v>
      </c>
      <c r="I1319" s="10" t="s">
        <v>7238</v>
      </c>
      <c r="J1319" s="9" t="s">
        <v>6268</v>
      </c>
      <c r="K1319" s="9" t="s">
        <v>7239</v>
      </c>
      <c r="L1319" s="9" t="s">
        <v>7240</v>
      </c>
      <c r="M1319" s="9" t="s">
        <v>7241</v>
      </c>
      <c r="N1319" s="9" t="s">
        <v>1082</v>
      </c>
      <c r="O1319" s="6">
        <f t="shared" si="26"/>
        <v>1796</v>
      </c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</row>
    <row r="1320" spans="1:27" ht="12.75" x14ac:dyDescent="0.2">
      <c r="A1320" s="5" t="s">
        <v>2937</v>
      </c>
      <c r="B1320" s="5" t="s">
        <v>2937</v>
      </c>
      <c r="C1320" s="4">
        <v>738</v>
      </c>
      <c r="D1320" s="6" t="e">
        <f t="shared" si="25"/>
        <v>#VALUE!</v>
      </c>
      <c r="E1320" s="6" t="s">
        <v>7242</v>
      </c>
      <c r="F1320" s="7">
        <v>448</v>
      </c>
      <c r="G1320" s="6" t="s">
        <v>17</v>
      </c>
      <c r="H1320" s="8" t="s">
        <v>7243</v>
      </c>
      <c r="I1320" s="9" t="s">
        <v>5981</v>
      </c>
      <c r="J1320" s="10" t="s">
        <v>7244</v>
      </c>
      <c r="K1320" s="9" t="s">
        <v>7245</v>
      </c>
      <c r="L1320" s="9" t="s">
        <v>7246</v>
      </c>
      <c r="M1320" s="9" t="s">
        <v>7247</v>
      </c>
      <c r="N1320" s="9" t="s">
        <v>1082</v>
      </c>
      <c r="O1320" s="6">
        <f t="shared" si="26"/>
        <v>898.00002795677881</v>
      </c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</row>
    <row r="1321" spans="1:27" ht="12.75" x14ac:dyDescent="0.2">
      <c r="A1321" s="5" t="s">
        <v>2937</v>
      </c>
      <c r="B1321" s="5" t="s">
        <v>2937</v>
      </c>
      <c r="C1321" s="4">
        <v>739</v>
      </c>
      <c r="D1321" s="6" t="e">
        <f t="shared" si="25"/>
        <v>#VALUE!</v>
      </c>
      <c r="E1321" s="6" t="s">
        <v>7177</v>
      </c>
      <c r="F1321" s="7">
        <v>448</v>
      </c>
      <c r="G1321" s="6" t="s">
        <v>21</v>
      </c>
      <c r="H1321" s="11" t="s">
        <v>7248</v>
      </c>
      <c r="I1321" s="9" t="s">
        <v>7249</v>
      </c>
      <c r="J1321" s="9" t="s">
        <v>7250</v>
      </c>
      <c r="K1321" s="9" t="s">
        <v>7251</v>
      </c>
      <c r="L1321" s="9" t="s">
        <v>7252</v>
      </c>
      <c r="M1321" s="9" t="s">
        <v>7253</v>
      </c>
      <c r="N1321" s="9" t="s">
        <v>1082</v>
      </c>
      <c r="O1321" s="6">
        <f t="shared" si="26"/>
        <v>2245.0000728400328</v>
      </c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</row>
    <row r="1322" spans="1:27" ht="12.75" x14ac:dyDescent="0.2">
      <c r="A1322" s="5" t="s">
        <v>2937</v>
      </c>
      <c r="B1322" s="5" t="s">
        <v>2937</v>
      </c>
      <c r="C1322" s="4">
        <v>740</v>
      </c>
      <c r="D1322" s="6" t="e">
        <f t="shared" si="25"/>
        <v>#VALUE!</v>
      </c>
      <c r="E1322" s="6" t="s">
        <v>3239</v>
      </c>
      <c r="F1322" s="7">
        <v>448</v>
      </c>
      <c r="G1322" s="6" t="s">
        <v>28</v>
      </c>
      <c r="H1322" s="8" t="s">
        <v>7254</v>
      </c>
      <c r="I1322" s="10" t="s">
        <v>7255</v>
      </c>
      <c r="J1322" s="9" t="s">
        <v>7256</v>
      </c>
      <c r="K1322" s="9" t="s">
        <v>7257</v>
      </c>
      <c r="L1322" s="9" t="s">
        <v>7258</v>
      </c>
      <c r="M1322" s="9" t="s">
        <v>7259</v>
      </c>
      <c r="N1322" s="9" t="s">
        <v>1082</v>
      </c>
      <c r="O1322" s="6">
        <f t="shared" si="26"/>
        <v>1796</v>
      </c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</row>
    <row r="1323" spans="1:27" ht="12.75" x14ac:dyDescent="0.2">
      <c r="A1323" s="5" t="s">
        <v>2937</v>
      </c>
      <c r="B1323" s="5" t="s">
        <v>2937</v>
      </c>
      <c r="C1323" s="4">
        <v>741</v>
      </c>
      <c r="D1323" s="6" t="e">
        <f t="shared" si="25"/>
        <v>#VALUE!</v>
      </c>
      <c r="E1323" s="6" t="s">
        <v>744</v>
      </c>
      <c r="F1323" s="7">
        <v>449</v>
      </c>
      <c r="G1323" s="6" t="s">
        <v>28</v>
      </c>
      <c r="H1323" s="8" t="s">
        <v>7260</v>
      </c>
      <c r="I1323" s="10" t="s">
        <v>7261</v>
      </c>
      <c r="J1323" s="9" t="s">
        <v>7262</v>
      </c>
      <c r="K1323" s="9" t="s">
        <v>7263</v>
      </c>
      <c r="L1323" s="9" t="s">
        <v>7264</v>
      </c>
      <c r="M1323" s="9" t="s">
        <v>7265</v>
      </c>
      <c r="N1323" s="9" t="s">
        <v>1082</v>
      </c>
      <c r="O1323" s="6">
        <f t="shared" si="26"/>
        <v>1800</v>
      </c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</row>
    <row r="1324" spans="1:27" ht="12.75" x14ac:dyDescent="0.2">
      <c r="A1324" s="5" t="s">
        <v>2937</v>
      </c>
      <c r="B1324" s="5" t="s">
        <v>2937</v>
      </c>
      <c r="C1324" s="4">
        <v>742</v>
      </c>
      <c r="D1324" s="6" t="e">
        <f t="shared" si="25"/>
        <v>#VALUE!</v>
      </c>
      <c r="E1324" s="6" t="s">
        <v>3668</v>
      </c>
      <c r="F1324" s="7">
        <v>449</v>
      </c>
      <c r="G1324" s="6" t="s">
        <v>17</v>
      </c>
      <c r="H1324" s="8" t="s">
        <v>7266</v>
      </c>
      <c r="I1324" s="9" t="s">
        <v>7267</v>
      </c>
      <c r="J1324" s="10" t="s">
        <v>7268</v>
      </c>
      <c r="K1324" s="9" t="s">
        <v>7269</v>
      </c>
      <c r="L1324" s="9" t="s">
        <v>7270</v>
      </c>
      <c r="M1324" s="9" t="s">
        <v>7271</v>
      </c>
      <c r="N1324" s="9" t="s">
        <v>1082</v>
      </c>
      <c r="O1324" s="6">
        <f t="shared" si="26"/>
        <v>900</v>
      </c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</row>
    <row r="1325" spans="1:27" ht="12.75" x14ac:dyDescent="0.2">
      <c r="A1325" s="5" t="s">
        <v>2937</v>
      </c>
      <c r="B1325" s="5" t="s">
        <v>2937</v>
      </c>
      <c r="C1325" s="4">
        <v>743</v>
      </c>
      <c r="D1325" s="6" t="e">
        <f t="shared" si="25"/>
        <v>#VALUE!</v>
      </c>
      <c r="E1325" s="6" t="s">
        <v>6204</v>
      </c>
      <c r="F1325" s="7">
        <v>449</v>
      </c>
      <c r="G1325" s="6" t="s">
        <v>21</v>
      </c>
      <c r="H1325" s="11" t="s">
        <v>7272</v>
      </c>
      <c r="I1325" s="9" t="s">
        <v>5998</v>
      </c>
      <c r="J1325" s="9" t="s">
        <v>7273</v>
      </c>
      <c r="K1325" s="9" t="s">
        <v>7274</v>
      </c>
      <c r="L1325" s="9" t="s">
        <v>7275</v>
      </c>
      <c r="M1325" s="9" t="s">
        <v>7276</v>
      </c>
      <c r="N1325" s="9" t="s">
        <v>1082</v>
      </c>
      <c r="O1325" s="6">
        <f t="shared" si="26"/>
        <v>2249.9999380619588</v>
      </c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</row>
    <row r="1326" spans="1:27" ht="12.75" x14ac:dyDescent="0.2">
      <c r="A1326" s="5" t="s">
        <v>2937</v>
      </c>
      <c r="B1326" s="5" t="s">
        <v>2937</v>
      </c>
      <c r="C1326" s="4">
        <v>744</v>
      </c>
      <c r="D1326" s="6" t="e">
        <f t="shared" si="25"/>
        <v>#VALUE!</v>
      </c>
      <c r="E1326" s="6" t="s">
        <v>3773</v>
      </c>
      <c r="F1326" s="7">
        <v>449</v>
      </c>
      <c r="G1326" s="6" t="s">
        <v>28</v>
      </c>
      <c r="H1326" s="8" t="s">
        <v>7277</v>
      </c>
      <c r="I1326" s="10" t="s">
        <v>7278</v>
      </c>
      <c r="J1326" s="9" t="s">
        <v>7279</v>
      </c>
      <c r="K1326" s="9" t="s">
        <v>7280</v>
      </c>
      <c r="L1326" s="9" t="s">
        <v>7281</v>
      </c>
      <c r="M1326" s="9" t="s">
        <v>7282</v>
      </c>
      <c r="N1326" s="9" t="s">
        <v>1082</v>
      </c>
      <c r="O1326" s="6">
        <f t="shared" si="26"/>
        <v>1800</v>
      </c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</row>
    <row r="1327" spans="1:27" ht="12.75" x14ac:dyDescent="0.2">
      <c r="A1327" s="5" t="s">
        <v>2937</v>
      </c>
      <c r="B1327" s="5" t="s">
        <v>2937</v>
      </c>
      <c r="C1327" s="4">
        <v>745</v>
      </c>
      <c r="D1327" s="6" t="e">
        <f t="shared" si="25"/>
        <v>#VALUE!</v>
      </c>
      <c r="E1327" s="6" t="s">
        <v>7283</v>
      </c>
      <c r="F1327" s="7">
        <v>450</v>
      </c>
      <c r="G1327" s="6" t="s">
        <v>28</v>
      </c>
      <c r="H1327" s="8" t="s">
        <v>7284</v>
      </c>
      <c r="I1327" s="10" t="s">
        <v>7285</v>
      </c>
      <c r="J1327" s="9" t="s">
        <v>7286</v>
      </c>
      <c r="K1327" s="9" t="s">
        <v>7287</v>
      </c>
      <c r="L1327" s="9" t="s">
        <v>7288</v>
      </c>
      <c r="M1327" s="9" t="s">
        <v>7289</v>
      </c>
      <c r="N1327" s="9" t="s">
        <v>1082</v>
      </c>
      <c r="O1327" s="6">
        <f t="shared" si="26"/>
        <v>1803.9999453693713</v>
      </c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</row>
    <row r="1328" spans="1:27" ht="12.75" x14ac:dyDescent="0.2">
      <c r="A1328" s="5" t="s">
        <v>2937</v>
      </c>
      <c r="B1328" s="5" t="s">
        <v>2937</v>
      </c>
      <c r="C1328" s="4">
        <v>746</v>
      </c>
      <c r="D1328" s="6" t="e">
        <f t="shared" si="25"/>
        <v>#VALUE!</v>
      </c>
      <c r="E1328" s="6" t="s">
        <v>2957</v>
      </c>
      <c r="F1328" s="7">
        <v>450</v>
      </c>
      <c r="G1328" s="6" t="s">
        <v>21</v>
      </c>
      <c r="H1328" s="11" t="s">
        <v>7290</v>
      </c>
      <c r="I1328" s="9" t="s">
        <v>7291</v>
      </c>
      <c r="J1328" s="9" t="s">
        <v>7292</v>
      </c>
      <c r="K1328" s="9" t="s">
        <v>7293</v>
      </c>
      <c r="L1328" s="9" t="s">
        <v>7294</v>
      </c>
      <c r="M1328" s="9" t="s">
        <v>7295</v>
      </c>
      <c r="N1328" s="9" t="s">
        <v>1082</v>
      </c>
      <c r="O1328" s="6">
        <f t="shared" si="26"/>
        <v>2254.9999384703733</v>
      </c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</row>
    <row r="1329" spans="1:27" ht="12.75" x14ac:dyDescent="0.2">
      <c r="A1329" s="5" t="s">
        <v>2937</v>
      </c>
      <c r="B1329" s="5" t="s">
        <v>2937</v>
      </c>
      <c r="C1329" s="4">
        <v>747</v>
      </c>
      <c r="D1329" s="6" t="e">
        <f t="shared" si="25"/>
        <v>#VALUE!</v>
      </c>
      <c r="E1329" s="6" t="s">
        <v>7296</v>
      </c>
      <c r="F1329" s="7">
        <v>450</v>
      </c>
      <c r="G1329" s="6" t="s">
        <v>21</v>
      </c>
      <c r="H1329" s="11" t="s">
        <v>7297</v>
      </c>
      <c r="I1329" s="9" t="s">
        <v>7298</v>
      </c>
      <c r="J1329" s="9" t="s">
        <v>7299</v>
      </c>
      <c r="K1329" s="9" t="s">
        <v>7300</v>
      </c>
      <c r="L1329" s="9" t="s">
        <v>7301</v>
      </c>
      <c r="M1329" s="9" t="s">
        <v>7302</v>
      </c>
      <c r="N1329" s="9" t="s">
        <v>1082</v>
      </c>
      <c r="O1329" s="6">
        <f t="shared" si="26"/>
        <v>2254.9999590348611</v>
      </c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</row>
    <row r="1330" spans="1:27" ht="12.75" x14ac:dyDescent="0.2">
      <c r="A1330" s="5" t="s">
        <v>2937</v>
      </c>
      <c r="B1330" s="5" t="s">
        <v>2937</v>
      </c>
      <c r="C1330" s="4">
        <v>748</v>
      </c>
      <c r="D1330" s="6" t="e">
        <f t="shared" si="25"/>
        <v>#VALUE!</v>
      </c>
      <c r="E1330" s="6" t="s">
        <v>2982</v>
      </c>
      <c r="F1330" s="7">
        <v>450</v>
      </c>
      <c r="G1330" s="6" t="s">
        <v>28</v>
      </c>
      <c r="H1330" s="8" t="s">
        <v>7303</v>
      </c>
      <c r="I1330" s="10" t="s">
        <v>7304</v>
      </c>
      <c r="J1330" s="9" t="s">
        <v>7305</v>
      </c>
      <c r="K1330" s="9" t="s">
        <v>7306</v>
      </c>
      <c r="L1330" s="9" t="s">
        <v>7307</v>
      </c>
      <c r="M1330" s="9" t="s">
        <v>7308</v>
      </c>
      <c r="N1330" s="9" t="s">
        <v>1082</v>
      </c>
      <c r="O1330" s="6">
        <f t="shared" si="26"/>
        <v>1804</v>
      </c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</row>
    <row r="1331" spans="1:27" ht="12.75" x14ac:dyDescent="0.2">
      <c r="A1331" s="5" t="s">
        <v>2937</v>
      </c>
      <c r="B1331" s="5" t="s">
        <v>2937</v>
      </c>
      <c r="C1331" s="4">
        <v>749</v>
      </c>
      <c r="D1331" s="6" t="e">
        <f t="shared" si="25"/>
        <v>#VALUE!</v>
      </c>
      <c r="E1331" s="6" t="s">
        <v>24</v>
      </c>
      <c r="F1331" s="7">
        <v>450</v>
      </c>
      <c r="G1331" s="6" t="s">
        <v>21</v>
      </c>
      <c r="H1331" s="11" t="s">
        <v>7309</v>
      </c>
      <c r="I1331" s="9" t="s">
        <v>7310</v>
      </c>
      <c r="J1331" s="9" t="s">
        <v>7311</v>
      </c>
      <c r="K1331" s="9" t="s">
        <v>7312</v>
      </c>
      <c r="L1331" s="9" t="s">
        <v>7313</v>
      </c>
      <c r="M1331" s="9" t="s">
        <v>7314</v>
      </c>
      <c r="N1331" s="9" t="s">
        <v>1082</v>
      </c>
      <c r="O1331" s="6">
        <f t="shared" si="26"/>
        <v>2255.0000102139829</v>
      </c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</row>
    <row r="1332" spans="1:27" ht="12.75" x14ac:dyDescent="0.2">
      <c r="A1332" s="5" t="s">
        <v>2937</v>
      </c>
      <c r="B1332" s="5" t="s">
        <v>2937</v>
      </c>
      <c r="C1332" s="4">
        <v>750</v>
      </c>
      <c r="D1332" s="6" t="e">
        <f t="shared" si="25"/>
        <v>#VALUE!</v>
      </c>
      <c r="E1332" s="6" t="s">
        <v>6113</v>
      </c>
      <c r="F1332" s="7">
        <v>451</v>
      </c>
      <c r="G1332" s="6" t="s">
        <v>21</v>
      </c>
      <c r="H1332" s="11" t="s">
        <v>7315</v>
      </c>
      <c r="I1332" s="9" t="s">
        <v>7316</v>
      </c>
      <c r="J1332" s="9" t="s">
        <v>7317</v>
      </c>
      <c r="K1332" s="9" t="s">
        <v>7318</v>
      </c>
      <c r="L1332" s="9" t="s">
        <v>7319</v>
      </c>
      <c r="M1332" s="9" t="s">
        <v>7320</v>
      </c>
      <c r="N1332" s="9" t="s">
        <v>1082</v>
      </c>
      <c r="O1332" s="6">
        <f t="shared" si="26"/>
        <v>2260</v>
      </c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</row>
    <row r="1333" spans="1:27" ht="12.75" x14ac:dyDescent="0.2">
      <c r="A1333" s="5" t="s">
        <v>2937</v>
      </c>
      <c r="B1333" s="5" t="s">
        <v>2937</v>
      </c>
      <c r="C1333" s="4">
        <v>751</v>
      </c>
      <c r="D1333" s="6" t="e">
        <f t="shared" si="25"/>
        <v>#VALUE!</v>
      </c>
      <c r="E1333" s="6" t="s">
        <v>3385</v>
      </c>
      <c r="F1333" s="7">
        <v>451</v>
      </c>
      <c r="G1333" s="6" t="s">
        <v>21</v>
      </c>
      <c r="H1333" s="11" t="s">
        <v>7321</v>
      </c>
      <c r="I1333" s="9" t="s">
        <v>7322</v>
      </c>
      <c r="J1333" s="9" t="s">
        <v>7323</v>
      </c>
      <c r="K1333" s="9" t="s">
        <v>7324</v>
      </c>
      <c r="L1333" s="9" t="s">
        <v>7325</v>
      </c>
      <c r="M1333" s="9" t="s">
        <v>7326</v>
      </c>
      <c r="N1333" s="9" t="s">
        <v>1082</v>
      </c>
      <c r="O1333" s="6">
        <f t="shared" si="26"/>
        <v>2260.0000406425588</v>
      </c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</row>
    <row r="1334" spans="1:27" ht="12.75" x14ac:dyDescent="0.2">
      <c r="A1334" s="5" t="s">
        <v>2937</v>
      </c>
      <c r="B1334" s="5" t="s">
        <v>2937</v>
      </c>
      <c r="C1334" s="4">
        <v>752</v>
      </c>
      <c r="D1334" s="6" t="e">
        <f t="shared" si="25"/>
        <v>#VALUE!</v>
      </c>
      <c r="E1334" s="6" t="s">
        <v>7327</v>
      </c>
      <c r="F1334" s="7">
        <v>451</v>
      </c>
      <c r="G1334" s="6" t="s">
        <v>28</v>
      </c>
      <c r="H1334" s="8" t="s">
        <v>7328</v>
      </c>
      <c r="I1334" s="10" t="s">
        <v>7329</v>
      </c>
      <c r="J1334" s="9" t="s">
        <v>7330</v>
      </c>
      <c r="K1334" s="9" t="s">
        <v>7331</v>
      </c>
      <c r="L1334" s="9" t="s">
        <v>7332</v>
      </c>
      <c r="M1334" s="9" t="s">
        <v>7333</v>
      </c>
      <c r="N1334" s="9" t="s">
        <v>1082</v>
      </c>
      <c r="O1334" s="6">
        <f t="shared" si="26"/>
        <v>1808</v>
      </c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</row>
    <row r="1335" spans="1:27" ht="12.75" x14ac:dyDescent="0.2">
      <c r="A1335" s="5" t="s">
        <v>2937</v>
      </c>
      <c r="B1335" s="5" t="s">
        <v>2937</v>
      </c>
      <c r="C1335" s="4">
        <v>753</v>
      </c>
      <c r="D1335" s="6" t="e">
        <f t="shared" si="25"/>
        <v>#VALUE!</v>
      </c>
      <c r="E1335" s="6" t="s">
        <v>3820</v>
      </c>
      <c r="F1335" s="7">
        <v>451</v>
      </c>
      <c r="G1335" s="6" t="s">
        <v>17</v>
      </c>
      <c r="H1335" s="8" t="s">
        <v>7334</v>
      </c>
      <c r="I1335" s="9" t="s">
        <v>7335</v>
      </c>
      <c r="J1335" s="10" t="s">
        <v>7336</v>
      </c>
      <c r="K1335" s="9" t="s">
        <v>7337</v>
      </c>
      <c r="L1335" s="9" t="s">
        <v>7338</v>
      </c>
      <c r="M1335" s="9" t="s">
        <v>7339</v>
      </c>
      <c r="N1335" s="9" t="s">
        <v>1082</v>
      </c>
      <c r="O1335" s="6">
        <f t="shared" si="26"/>
        <v>904</v>
      </c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</row>
    <row r="1336" spans="1:27" ht="12.75" x14ac:dyDescent="0.2">
      <c r="A1336" s="5" t="s">
        <v>2937</v>
      </c>
      <c r="B1336" s="5" t="s">
        <v>2937</v>
      </c>
      <c r="C1336" s="4">
        <v>754</v>
      </c>
      <c r="D1336" s="6" t="e">
        <f t="shared" si="25"/>
        <v>#VALUE!</v>
      </c>
      <c r="E1336" s="6" t="s">
        <v>3373</v>
      </c>
      <c r="F1336" s="7">
        <v>451</v>
      </c>
      <c r="G1336" s="6" t="s">
        <v>28</v>
      </c>
      <c r="H1336" s="8" t="s">
        <v>7340</v>
      </c>
      <c r="I1336" s="10" t="s">
        <v>7341</v>
      </c>
      <c r="J1336" s="9" t="s">
        <v>7342</v>
      </c>
      <c r="K1336" s="9" t="s">
        <v>7343</v>
      </c>
      <c r="L1336" s="9" t="s">
        <v>7344</v>
      </c>
      <c r="M1336" s="9" t="s">
        <v>7345</v>
      </c>
      <c r="N1336" s="9" t="s">
        <v>1082</v>
      </c>
      <c r="O1336" s="6">
        <f t="shared" si="26"/>
        <v>1808</v>
      </c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</row>
    <row r="1337" spans="1:27" ht="12.75" x14ac:dyDescent="0.2">
      <c r="A1337" s="5" t="s">
        <v>2937</v>
      </c>
      <c r="B1337" s="5" t="s">
        <v>2937</v>
      </c>
      <c r="C1337" s="4">
        <v>755</v>
      </c>
      <c r="D1337" s="6" t="e">
        <f t="shared" si="25"/>
        <v>#VALUE!</v>
      </c>
      <c r="E1337" s="6" t="s">
        <v>6060</v>
      </c>
      <c r="F1337" s="7">
        <v>452</v>
      </c>
      <c r="G1337" s="6" t="s">
        <v>28</v>
      </c>
      <c r="H1337" s="8" t="s">
        <v>7346</v>
      </c>
      <c r="I1337" s="10" t="s">
        <v>7347</v>
      </c>
      <c r="J1337" s="9" t="s">
        <v>7348</v>
      </c>
      <c r="K1337" s="9" t="s">
        <v>7349</v>
      </c>
      <c r="L1337" s="9" t="s">
        <v>7350</v>
      </c>
      <c r="M1337" s="9" t="s">
        <v>7351</v>
      </c>
      <c r="N1337" s="9" t="s">
        <v>1082</v>
      </c>
      <c r="O1337" s="6">
        <f t="shared" si="26"/>
        <v>1812.0001072644875</v>
      </c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</row>
    <row r="1338" spans="1:27" ht="12.75" x14ac:dyDescent="0.2">
      <c r="A1338" s="5" t="s">
        <v>2937</v>
      </c>
      <c r="B1338" s="5" t="s">
        <v>2937</v>
      </c>
      <c r="C1338" s="4">
        <v>756</v>
      </c>
      <c r="D1338" s="6" t="e">
        <f t="shared" si="25"/>
        <v>#VALUE!</v>
      </c>
      <c r="E1338" s="6" t="s">
        <v>3983</v>
      </c>
      <c r="F1338" s="7">
        <v>452</v>
      </c>
      <c r="G1338" s="6" t="s">
        <v>17</v>
      </c>
      <c r="H1338" s="8" t="s">
        <v>7352</v>
      </c>
      <c r="I1338" s="9" t="s">
        <v>7353</v>
      </c>
      <c r="J1338" s="10" t="s">
        <v>7354</v>
      </c>
      <c r="K1338" s="9" t="s">
        <v>7355</v>
      </c>
      <c r="L1338" s="9" t="s">
        <v>7356</v>
      </c>
      <c r="M1338" s="9" t="s">
        <v>7357</v>
      </c>
      <c r="N1338" s="9" t="s">
        <v>1082</v>
      </c>
      <c r="O1338" s="6">
        <f t="shared" si="26"/>
        <v>906</v>
      </c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</row>
    <row r="1339" spans="1:27" ht="12.75" x14ac:dyDescent="0.2">
      <c r="A1339" s="5" t="s">
        <v>2937</v>
      </c>
      <c r="B1339" s="5" t="s">
        <v>2937</v>
      </c>
      <c r="C1339" s="4">
        <v>757</v>
      </c>
      <c r="D1339" s="6" t="e">
        <f t="shared" si="25"/>
        <v>#VALUE!</v>
      </c>
      <c r="E1339" s="6" t="s">
        <v>529</v>
      </c>
      <c r="F1339" s="7">
        <v>452</v>
      </c>
      <c r="G1339" s="6" t="s">
        <v>28</v>
      </c>
      <c r="H1339" s="8" t="s">
        <v>6436</v>
      </c>
      <c r="I1339" s="10" t="s">
        <v>7358</v>
      </c>
      <c r="J1339" s="9" t="s">
        <v>7359</v>
      </c>
      <c r="K1339" s="9" t="s">
        <v>7360</v>
      </c>
      <c r="L1339" s="9" t="s">
        <v>7361</v>
      </c>
      <c r="M1339" s="9" t="s">
        <v>7362</v>
      </c>
      <c r="N1339" s="9" t="s">
        <v>1082</v>
      </c>
      <c r="O1339" s="6">
        <f t="shared" si="26"/>
        <v>1812</v>
      </c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</row>
    <row r="1340" spans="1:27" ht="12.75" x14ac:dyDescent="0.2">
      <c r="A1340" s="5" t="s">
        <v>2937</v>
      </c>
      <c r="B1340" s="5" t="s">
        <v>2937</v>
      </c>
      <c r="C1340" s="4">
        <v>758</v>
      </c>
      <c r="D1340" s="6" t="e">
        <f t="shared" si="25"/>
        <v>#VALUE!</v>
      </c>
      <c r="E1340" s="6" t="s">
        <v>5192</v>
      </c>
      <c r="F1340" s="7">
        <v>452</v>
      </c>
      <c r="G1340" s="6" t="s">
        <v>28</v>
      </c>
      <c r="H1340" s="8" t="s">
        <v>7363</v>
      </c>
      <c r="I1340" s="10" t="s">
        <v>7364</v>
      </c>
      <c r="J1340" s="9" t="s">
        <v>7365</v>
      </c>
      <c r="K1340" s="9" t="s">
        <v>7366</v>
      </c>
      <c r="L1340" s="9" t="s">
        <v>7367</v>
      </c>
      <c r="M1340" s="9" t="s">
        <v>7368</v>
      </c>
      <c r="N1340" s="9" t="s">
        <v>1082</v>
      </c>
      <c r="O1340" s="6">
        <f t="shared" si="26"/>
        <v>1812.0000534195169</v>
      </c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</row>
    <row r="1341" spans="1:27" ht="12.75" x14ac:dyDescent="0.2">
      <c r="A1341" s="5" t="s">
        <v>2937</v>
      </c>
      <c r="B1341" s="5" t="s">
        <v>2937</v>
      </c>
      <c r="C1341" s="4">
        <v>759</v>
      </c>
      <c r="D1341" s="6" t="e">
        <f t="shared" si="25"/>
        <v>#VALUE!</v>
      </c>
      <c r="E1341" s="6" t="s">
        <v>136</v>
      </c>
      <c r="F1341" s="7">
        <v>452</v>
      </c>
      <c r="G1341" s="6" t="s">
        <v>17</v>
      </c>
      <c r="H1341" s="8" t="s">
        <v>7369</v>
      </c>
      <c r="I1341" s="9" t="s">
        <v>7370</v>
      </c>
      <c r="J1341" s="10" t="s">
        <v>7371</v>
      </c>
      <c r="K1341" s="9" t="s">
        <v>7372</v>
      </c>
      <c r="L1341" s="9" t="s">
        <v>7373</v>
      </c>
      <c r="M1341" s="9" t="s">
        <v>7374</v>
      </c>
      <c r="N1341" s="9" t="s">
        <v>1082</v>
      </c>
      <c r="O1341" s="6">
        <f t="shared" si="26"/>
        <v>906</v>
      </c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</row>
    <row r="1342" spans="1:27" ht="12.75" x14ac:dyDescent="0.2">
      <c r="A1342" s="5" t="s">
        <v>2937</v>
      </c>
      <c r="B1342" s="5" t="s">
        <v>2937</v>
      </c>
      <c r="C1342" s="4">
        <v>760</v>
      </c>
      <c r="D1342" s="6" t="e">
        <f t="shared" si="25"/>
        <v>#VALUE!</v>
      </c>
      <c r="E1342" s="6" t="s">
        <v>6428</v>
      </c>
      <c r="F1342" s="7">
        <v>453</v>
      </c>
      <c r="G1342" s="6" t="s">
        <v>17</v>
      </c>
      <c r="H1342" s="8" t="s">
        <v>7375</v>
      </c>
      <c r="I1342" s="9" t="s">
        <v>7376</v>
      </c>
      <c r="J1342" s="10" t="s">
        <v>7377</v>
      </c>
      <c r="K1342" s="9" t="s">
        <v>7378</v>
      </c>
      <c r="L1342" s="9" t="s">
        <v>7379</v>
      </c>
      <c r="M1342" s="9" t="s">
        <v>7380</v>
      </c>
      <c r="N1342" s="9" t="s">
        <v>1082</v>
      </c>
      <c r="O1342" s="6">
        <f t="shared" si="26"/>
        <v>908.00005359846705</v>
      </c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</row>
    <row r="1343" spans="1:27" ht="12.75" x14ac:dyDescent="0.2">
      <c r="A1343" s="5" t="s">
        <v>2937</v>
      </c>
      <c r="B1343" s="5" t="s">
        <v>2937</v>
      </c>
      <c r="C1343" s="4">
        <v>761</v>
      </c>
      <c r="D1343" s="6" t="e">
        <f t="shared" si="25"/>
        <v>#VALUE!</v>
      </c>
      <c r="E1343" s="6" t="s">
        <v>7381</v>
      </c>
      <c r="F1343" s="7">
        <v>453</v>
      </c>
      <c r="G1343" s="6" t="s">
        <v>21</v>
      </c>
      <c r="H1343" s="11" t="s">
        <v>7382</v>
      </c>
      <c r="I1343" s="9" t="s">
        <v>7383</v>
      </c>
      <c r="J1343" s="9" t="s">
        <v>7384</v>
      </c>
      <c r="K1343" s="9" t="s">
        <v>7385</v>
      </c>
      <c r="L1343" s="9" t="s">
        <v>7386</v>
      </c>
      <c r="M1343" s="9" t="s">
        <v>7387</v>
      </c>
      <c r="N1343" s="9" t="s">
        <v>1082</v>
      </c>
      <c r="O1343" s="6">
        <f t="shared" si="26"/>
        <v>2270</v>
      </c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</row>
    <row r="1344" spans="1:27" ht="12.75" x14ac:dyDescent="0.2">
      <c r="A1344" s="5" t="s">
        <v>2937</v>
      </c>
      <c r="B1344" s="5" t="s">
        <v>2937</v>
      </c>
      <c r="C1344" s="4">
        <v>762</v>
      </c>
      <c r="D1344" s="6" t="e">
        <f t="shared" si="25"/>
        <v>#VALUE!</v>
      </c>
      <c r="E1344" s="6" t="s">
        <v>6552</v>
      </c>
      <c r="F1344" s="7">
        <v>453</v>
      </c>
      <c r="G1344" s="6" t="s">
        <v>17</v>
      </c>
      <c r="H1344" s="8" t="s">
        <v>7388</v>
      </c>
      <c r="I1344" s="9" t="s">
        <v>7389</v>
      </c>
      <c r="J1344" s="10" t="s">
        <v>7390</v>
      </c>
      <c r="K1344" s="9" t="s">
        <v>7391</v>
      </c>
      <c r="L1344" s="9" t="s">
        <v>7392</v>
      </c>
      <c r="M1344" s="9" t="s">
        <v>7393</v>
      </c>
      <c r="N1344" s="9" t="s">
        <v>1082</v>
      </c>
      <c r="O1344" s="6">
        <f t="shared" si="26"/>
        <v>908.00005345806881</v>
      </c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</row>
    <row r="1345" spans="1:27" ht="12.75" x14ac:dyDescent="0.2">
      <c r="A1345" s="5" t="s">
        <v>2937</v>
      </c>
      <c r="B1345" s="5" t="s">
        <v>2937</v>
      </c>
      <c r="C1345" s="4">
        <v>763</v>
      </c>
      <c r="D1345" s="6" t="e">
        <f t="shared" si="25"/>
        <v>#VALUE!</v>
      </c>
      <c r="E1345" s="6" t="s">
        <v>7394</v>
      </c>
      <c r="F1345" s="7">
        <v>453</v>
      </c>
      <c r="G1345" s="6" t="s">
        <v>21</v>
      </c>
      <c r="H1345" s="11" t="s">
        <v>7395</v>
      </c>
      <c r="I1345" s="9" t="s">
        <v>7396</v>
      </c>
      <c r="J1345" s="9" t="s">
        <v>7397</v>
      </c>
      <c r="K1345" s="9" t="s">
        <v>7398</v>
      </c>
      <c r="L1345" s="9" t="s">
        <v>7399</v>
      </c>
      <c r="M1345" s="9" t="s">
        <v>7400</v>
      </c>
      <c r="N1345" s="9" t="s">
        <v>1082</v>
      </c>
      <c r="O1345" s="6">
        <f t="shared" si="26"/>
        <v>2270</v>
      </c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</row>
    <row r="1346" spans="1:27" ht="12.75" x14ac:dyDescent="0.2">
      <c r="A1346" s="5" t="s">
        <v>2937</v>
      </c>
      <c r="B1346" s="5" t="s">
        <v>2937</v>
      </c>
      <c r="C1346" s="4">
        <v>764</v>
      </c>
      <c r="D1346" s="6" t="e">
        <f t="shared" si="25"/>
        <v>#VALUE!</v>
      </c>
      <c r="E1346" s="6" t="s">
        <v>3015</v>
      </c>
      <c r="F1346" s="7">
        <v>453</v>
      </c>
      <c r="G1346" s="6" t="s">
        <v>17</v>
      </c>
      <c r="H1346" s="8" t="s">
        <v>7401</v>
      </c>
      <c r="I1346" s="9" t="s">
        <v>7402</v>
      </c>
      <c r="J1346" s="10" t="s">
        <v>7403</v>
      </c>
      <c r="K1346" s="9" t="s">
        <v>7404</v>
      </c>
      <c r="L1346" s="9" t="s">
        <v>7405</v>
      </c>
      <c r="M1346" s="9" t="s">
        <v>7406</v>
      </c>
      <c r="N1346" s="9" t="s">
        <v>1082</v>
      </c>
      <c r="O1346" s="6">
        <f t="shared" si="26"/>
        <v>908.00005331840418</v>
      </c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</row>
    <row r="1347" spans="1:27" ht="12.75" x14ac:dyDescent="0.2">
      <c r="A1347" s="5" t="s">
        <v>2937</v>
      </c>
      <c r="B1347" s="5" t="s">
        <v>2937</v>
      </c>
      <c r="C1347" s="4">
        <v>765</v>
      </c>
      <c r="D1347" s="6" t="e">
        <f t="shared" si="25"/>
        <v>#VALUE!</v>
      </c>
      <c r="E1347" s="6" t="s">
        <v>3716</v>
      </c>
      <c r="F1347" s="7">
        <v>454</v>
      </c>
      <c r="G1347" s="6" t="s">
        <v>21</v>
      </c>
      <c r="H1347" s="11" t="s">
        <v>7407</v>
      </c>
      <c r="I1347" s="9" t="s">
        <v>7408</v>
      </c>
      <c r="J1347" s="9" t="s">
        <v>7409</v>
      </c>
      <c r="K1347" s="9" t="s">
        <v>7410</v>
      </c>
      <c r="L1347" s="9" t="s">
        <v>7411</v>
      </c>
      <c r="M1347" s="9" t="s">
        <v>7412</v>
      </c>
      <c r="N1347" s="9" t="s">
        <v>1082</v>
      </c>
      <c r="O1347" s="6">
        <f t="shared" ref="O1347:O1410" si="27">M1347/K1347</f>
        <v>2274.9999208046252</v>
      </c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</row>
    <row r="1348" spans="1:27" ht="12.75" x14ac:dyDescent="0.2">
      <c r="A1348" s="5" t="s">
        <v>2937</v>
      </c>
      <c r="B1348" s="5" t="s">
        <v>2937</v>
      </c>
      <c r="C1348" s="4">
        <v>766</v>
      </c>
      <c r="D1348" s="6" t="e">
        <f t="shared" si="25"/>
        <v>#VALUE!</v>
      </c>
      <c r="E1348" s="6" t="s">
        <v>6204</v>
      </c>
      <c r="F1348" s="7">
        <v>454</v>
      </c>
      <c r="G1348" s="6" t="s">
        <v>21</v>
      </c>
      <c r="H1348" s="11" t="s">
        <v>7413</v>
      </c>
      <c r="I1348" s="9" t="s">
        <v>7414</v>
      </c>
      <c r="J1348" s="9" t="s">
        <v>2920</v>
      </c>
      <c r="K1348" s="9" t="s">
        <v>7415</v>
      </c>
      <c r="L1348" s="9" t="s">
        <v>7416</v>
      </c>
      <c r="M1348" s="9" t="s">
        <v>7417</v>
      </c>
      <c r="N1348" s="9" t="s">
        <v>1082</v>
      </c>
      <c r="O1348" s="6">
        <f t="shared" si="27"/>
        <v>2274.9999307951634</v>
      </c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</row>
    <row r="1349" spans="1:27" ht="12.75" x14ac:dyDescent="0.2">
      <c r="A1349" s="5" t="s">
        <v>2937</v>
      </c>
      <c r="B1349" s="5" t="s">
        <v>2937</v>
      </c>
      <c r="C1349" s="4">
        <v>767</v>
      </c>
      <c r="D1349" s="6" t="e">
        <f t="shared" si="25"/>
        <v>#VALUE!</v>
      </c>
      <c r="E1349" s="6" t="s">
        <v>5591</v>
      </c>
      <c r="F1349" s="7">
        <v>454</v>
      </c>
      <c r="G1349" s="6" t="s">
        <v>28</v>
      </c>
      <c r="H1349" s="8" t="s">
        <v>7418</v>
      </c>
      <c r="I1349" s="10" t="s">
        <v>7419</v>
      </c>
      <c r="J1349" s="9" t="s">
        <v>7420</v>
      </c>
      <c r="K1349" s="9" t="s">
        <v>7421</v>
      </c>
      <c r="L1349" s="9" t="s">
        <v>7422</v>
      </c>
      <c r="M1349" s="9" t="s">
        <v>7423</v>
      </c>
      <c r="N1349" s="9" t="s">
        <v>1082</v>
      </c>
      <c r="O1349" s="6">
        <f t="shared" si="27"/>
        <v>1820.0001050502929</v>
      </c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</row>
    <row r="1350" spans="1:27" ht="12.75" x14ac:dyDescent="0.2">
      <c r="A1350" s="5" t="s">
        <v>2937</v>
      </c>
      <c r="B1350" s="5" t="s">
        <v>2937</v>
      </c>
      <c r="C1350" s="4">
        <v>768</v>
      </c>
      <c r="D1350" s="6" t="e">
        <f t="shared" si="25"/>
        <v>#VALUE!</v>
      </c>
      <c r="E1350" s="6" t="s">
        <v>7424</v>
      </c>
      <c r="F1350" s="7">
        <v>454</v>
      </c>
      <c r="G1350" s="6" t="s">
        <v>21</v>
      </c>
      <c r="H1350" s="11" t="s">
        <v>7425</v>
      </c>
      <c r="I1350" s="9" t="s">
        <v>2926</v>
      </c>
      <c r="J1350" s="9" t="s">
        <v>2387</v>
      </c>
      <c r="K1350" s="9" t="s">
        <v>7426</v>
      </c>
      <c r="L1350" s="9" t="s">
        <v>7427</v>
      </c>
      <c r="M1350" s="9" t="s">
        <v>7428</v>
      </c>
      <c r="N1350" s="9" t="s">
        <v>1082</v>
      </c>
      <c r="O1350" s="6">
        <f t="shared" si="27"/>
        <v>2275.0000098606688</v>
      </c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</row>
    <row r="1351" spans="1:27" ht="12.75" x14ac:dyDescent="0.2">
      <c r="A1351" s="5" t="s">
        <v>2937</v>
      </c>
      <c r="B1351" s="5" t="s">
        <v>2937</v>
      </c>
      <c r="C1351" s="4">
        <v>769</v>
      </c>
      <c r="D1351" s="6" t="e">
        <f t="shared" si="25"/>
        <v>#VALUE!</v>
      </c>
      <c r="E1351" s="6" t="s">
        <v>3568</v>
      </c>
      <c r="F1351" s="7">
        <v>454</v>
      </c>
      <c r="G1351" s="6" t="s">
        <v>21</v>
      </c>
      <c r="H1351" s="11" t="s">
        <v>7429</v>
      </c>
      <c r="I1351" s="9" t="s">
        <v>7430</v>
      </c>
      <c r="J1351" s="9" t="s">
        <v>7431</v>
      </c>
      <c r="K1351" s="9" t="s">
        <v>7432</v>
      </c>
      <c r="L1351" s="9" t="s">
        <v>7433</v>
      </c>
      <c r="M1351" s="9" t="s">
        <v>7434</v>
      </c>
      <c r="N1351" s="9" t="s">
        <v>1082</v>
      </c>
      <c r="O1351" s="6">
        <f t="shared" si="27"/>
        <v>2275.0000787835816</v>
      </c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</row>
    <row r="1352" spans="1:27" ht="12.75" x14ac:dyDescent="0.2">
      <c r="A1352" s="5" t="s">
        <v>2937</v>
      </c>
      <c r="B1352" s="5" t="s">
        <v>2937</v>
      </c>
      <c r="C1352" s="4">
        <v>770</v>
      </c>
      <c r="D1352" s="6" t="e">
        <f t="shared" si="25"/>
        <v>#VALUE!</v>
      </c>
      <c r="E1352" s="6" t="s">
        <v>7435</v>
      </c>
      <c r="F1352" s="7">
        <v>455</v>
      </c>
      <c r="G1352" s="6" t="s">
        <v>28</v>
      </c>
      <c r="H1352" s="8" t="s">
        <v>7436</v>
      </c>
      <c r="I1352" s="10" t="s">
        <v>7437</v>
      </c>
      <c r="J1352" s="9" t="s">
        <v>7438</v>
      </c>
      <c r="K1352" s="9" t="s">
        <v>7439</v>
      </c>
      <c r="L1352" s="9" t="s">
        <v>7440</v>
      </c>
      <c r="M1352" s="9" t="s">
        <v>7441</v>
      </c>
      <c r="N1352" s="9" t="s">
        <v>1082</v>
      </c>
      <c r="O1352" s="6">
        <f t="shared" si="27"/>
        <v>1824</v>
      </c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</row>
    <row r="1353" spans="1:27" ht="12.75" x14ac:dyDescent="0.2">
      <c r="A1353" s="5" t="s">
        <v>2937</v>
      </c>
      <c r="B1353" s="5" t="s">
        <v>2937</v>
      </c>
      <c r="C1353" s="4">
        <v>771</v>
      </c>
      <c r="D1353" s="6" t="e">
        <f t="shared" si="25"/>
        <v>#VALUE!</v>
      </c>
      <c r="E1353" s="6" t="s">
        <v>5842</v>
      </c>
      <c r="F1353" s="7">
        <v>455</v>
      </c>
      <c r="G1353" s="6" t="s">
        <v>17</v>
      </c>
      <c r="H1353" s="8" t="s">
        <v>7442</v>
      </c>
      <c r="I1353" s="9" t="s">
        <v>6426</v>
      </c>
      <c r="J1353" s="10" t="s">
        <v>7443</v>
      </c>
      <c r="K1353" s="9" t="s">
        <v>7444</v>
      </c>
      <c r="L1353" s="9" t="s">
        <v>4958</v>
      </c>
      <c r="M1353" s="9" t="s">
        <v>7445</v>
      </c>
      <c r="N1353" s="9" t="s">
        <v>1082</v>
      </c>
      <c r="O1353" s="6">
        <f t="shared" si="27"/>
        <v>912</v>
      </c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</row>
    <row r="1354" spans="1:27" ht="12.75" x14ac:dyDescent="0.2">
      <c r="A1354" s="5" t="s">
        <v>2937</v>
      </c>
      <c r="B1354" s="5" t="s">
        <v>2937</v>
      </c>
      <c r="C1354" s="4">
        <v>772</v>
      </c>
      <c r="D1354" s="6" t="e">
        <f t="shared" si="25"/>
        <v>#VALUE!</v>
      </c>
      <c r="E1354" s="6" t="s">
        <v>3501</v>
      </c>
      <c r="F1354" s="7">
        <v>455</v>
      </c>
      <c r="G1354" s="6" t="s">
        <v>28</v>
      </c>
      <c r="H1354" s="8" t="s">
        <v>7446</v>
      </c>
      <c r="I1354" s="10" t="s">
        <v>7447</v>
      </c>
      <c r="J1354" s="9" t="s">
        <v>7448</v>
      </c>
      <c r="K1354" s="9" t="s">
        <v>7449</v>
      </c>
      <c r="L1354" s="9" t="s">
        <v>7450</v>
      </c>
      <c r="M1354" s="9" t="s">
        <v>7451</v>
      </c>
      <c r="N1354" s="9" t="s">
        <v>1082</v>
      </c>
      <c r="O1354" s="6">
        <f t="shared" si="27"/>
        <v>1824</v>
      </c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</row>
    <row r="1355" spans="1:27" ht="12.75" x14ac:dyDescent="0.2">
      <c r="A1355" s="5" t="s">
        <v>2937</v>
      </c>
      <c r="B1355" s="5" t="s">
        <v>2937</v>
      </c>
      <c r="C1355" s="4">
        <v>773</v>
      </c>
      <c r="D1355" s="6" t="e">
        <f t="shared" si="25"/>
        <v>#VALUE!</v>
      </c>
      <c r="E1355" s="6" t="s">
        <v>3800</v>
      </c>
      <c r="F1355" s="7">
        <v>455</v>
      </c>
      <c r="G1355" s="6" t="s">
        <v>17</v>
      </c>
      <c r="H1355" s="8" t="s">
        <v>7452</v>
      </c>
      <c r="I1355" s="9" t="s">
        <v>7453</v>
      </c>
      <c r="J1355" s="10" t="s">
        <v>7454</v>
      </c>
      <c r="K1355" s="9" t="s">
        <v>7455</v>
      </c>
      <c r="L1355" s="9" t="s">
        <v>7456</v>
      </c>
      <c r="M1355" s="9" t="s">
        <v>7457</v>
      </c>
      <c r="N1355" s="9" t="s">
        <v>1082</v>
      </c>
      <c r="O1355" s="6">
        <f t="shared" si="27"/>
        <v>912</v>
      </c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</row>
    <row r="1356" spans="1:27" ht="12.75" x14ac:dyDescent="0.2">
      <c r="A1356" s="5" t="s">
        <v>2937</v>
      </c>
      <c r="B1356" s="5" t="s">
        <v>2937</v>
      </c>
      <c r="C1356" s="4">
        <v>774</v>
      </c>
      <c r="D1356" s="6" t="e">
        <f t="shared" si="25"/>
        <v>#VALUE!</v>
      </c>
      <c r="E1356" s="6" t="s">
        <v>455</v>
      </c>
      <c r="F1356" s="7">
        <v>455</v>
      </c>
      <c r="G1356" s="6" t="s">
        <v>28</v>
      </c>
      <c r="H1356" s="8" t="s">
        <v>7458</v>
      </c>
      <c r="I1356" s="10" t="s">
        <v>7459</v>
      </c>
      <c r="J1356" s="9" t="s">
        <v>7460</v>
      </c>
      <c r="K1356" s="9" t="s">
        <v>7461</v>
      </c>
      <c r="L1356" s="9" t="s">
        <v>7462</v>
      </c>
      <c r="M1356" s="9" t="s">
        <v>7463</v>
      </c>
      <c r="N1356" s="9" t="s">
        <v>1082</v>
      </c>
      <c r="O1356" s="6">
        <f t="shared" si="27"/>
        <v>1824</v>
      </c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</row>
    <row r="1357" spans="1:27" ht="12.75" x14ac:dyDescent="0.2">
      <c r="A1357" s="5" t="s">
        <v>2937</v>
      </c>
      <c r="B1357" s="5" t="s">
        <v>2937</v>
      </c>
      <c r="C1357" s="4">
        <v>775</v>
      </c>
      <c r="D1357" s="6" t="e">
        <f t="shared" si="25"/>
        <v>#VALUE!</v>
      </c>
      <c r="E1357" s="6" t="s">
        <v>7050</v>
      </c>
      <c r="F1357" s="7">
        <v>456</v>
      </c>
      <c r="G1357" s="6" t="s">
        <v>17</v>
      </c>
      <c r="H1357" s="8" t="s">
        <v>7464</v>
      </c>
      <c r="I1357" s="9" t="s">
        <v>7465</v>
      </c>
      <c r="J1357" s="10" t="s">
        <v>7466</v>
      </c>
      <c r="K1357" s="9" t="s">
        <v>7467</v>
      </c>
      <c r="L1357" s="9" t="s">
        <v>7468</v>
      </c>
      <c r="M1357" s="9" t="s">
        <v>7469</v>
      </c>
      <c r="N1357" s="9" t="s">
        <v>1082</v>
      </c>
      <c r="O1357" s="6">
        <f t="shared" si="27"/>
        <v>914</v>
      </c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</row>
    <row r="1358" spans="1:27" ht="12.75" x14ac:dyDescent="0.2">
      <c r="A1358" s="5" t="s">
        <v>2937</v>
      </c>
      <c r="B1358" s="5" t="s">
        <v>2937</v>
      </c>
      <c r="C1358" s="4">
        <v>776</v>
      </c>
      <c r="D1358" s="6" t="e">
        <f t="shared" si="25"/>
        <v>#VALUE!</v>
      </c>
      <c r="E1358" s="6" t="s">
        <v>3773</v>
      </c>
      <c r="F1358" s="7">
        <v>456</v>
      </c>
      <c r="G1358" s="6" t="s">
        <v>28</v>
      </c>
      <c r="H1358" s="8" t="s">
        <v>7470</v>
      </c>
      <c r="I1358" s="10" t="s">
        <v>7471</v>
      </c>
      <c r="J1358" s="9" t="s">
        <v>7472</v>
      </c>
      <c r="K1358" s="9" t="s">
        <v>7473</v>
      </c>
      <c r="L1358" s="9" t="s">
        <v>7474</v>
      </c>
      <c r="M1358" s="9" t="s">
        <v>7475</v>
      </c>
      <c r="N1358" s="9" t="s">
        <v>1082</v>
      </c>
      <c r="O1358" s="6">
        <f t="shared" si="27"/>
        <v>1828.0000516535595</v>
      </c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</row>
    <row r="1359" spans="1:27" ht="12.75" x14ac:dyDescent="0.2">
      <c r="A1359" s="5" t="s">
        <v>2937</v>
      </c>
      <c r="B1359" s="5" t="s">
        <v>2937</v>
      </c>
      <c r="C1359" s="4">
        <v>777</v>
      </c>
      <c r="D1359" s="6" t="e">
        <f t="shared" si="25"/>
        <v>#VALUE!</v>
      </c>
      <c r="E1359" s="6" t="s">
        <v>6345</v>
      </c>
      <c r="F1359" s="7">
        <v>456</v>
      </c>
      <c r="G1359" s="6" t="s">
        <v>21</v>
      </c>
      <c r="H1359" s="11" t="s">
        <v>7476</v>
      </c>
      <c r="I1359" s="9" t="s">
        <v>7477</v>
      </c>
      <c r="J1359" s="9" t="s">
        <v>7478</v>
      </c>
      <c r="K1359" s="9" t="s">
        <v>7479</v>
      </c>
      <c r="L1359" s="9" t="s">
        <v>7480</v>
      </c>
      <c r="M1359" s="9" t="s">
        <v>7481</v>
      </c>
      <c r="N1359" s="9" t="s">
        <v>1082</v>
      </c>
      <c r="O1359" s="6">
        <f t="shared" si="27"/>
        <v>2284.9999612117449</v>
      </c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</row>
    <row r="1360" spans="1:27" ht="12.75" x14ac:dyDescent="0.2">
      <c r="A1360" s="5" t="s">
        <v>2937</v>
      </c>
      <c r="B1360" s="5" t="s">
        <v>2937</v>
      </c>
      <c r="C1360" s="4">
        <v>778</v>
      </c>
      <c r="D1360" s="6" t="e">
        <f t="shared" si="25"/>
        <v>#VALUE!</v>
      </c>
      <c r="E1360" s="6" t="s">
        <v>3501</v>
      </c>
      <c r="F1360" s="7">
        <v>456</v>
      </c>
      <c r="G1360" s="6" t="s">
        <v>17</v>
      </c>
      <c r="H1360" s="8" t="s">
        <v>7482</v>
      </c>
      <c r="I1360" s="9" t="s">
        <v>7483</v>
      </c>
      <c r="J1360" s="10" t="s">
        <v>7484</v>
      </c>
      <c r="K1360" s="9" t="s">
        <v>7485</v>
      </c>
      <c r="L1360" s="9" t="s">
        <v>7486</v>
      </c>
      <c r="M1360" s="9" t="s">
        <v>7487</v>
      </c>
      <c r="N1360" s="9" t="s">
        <v>1082</v>
      </c>
      <c r="O1360" s="6">
        <f t="shared" si="27"/>
        <v>913.99997402091321</v>
      </c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</row>
    <row r="1361" spans="1:27" ht="12.75" x14ac:dyDescent="0.2">
      <c r="A1361" s="5" t="s">
        <v>2937</v>
      </c>
      <c r="B1361" s="5" t="s">
        <v>2937</v>
      </c>
      <c r="C1361" s="4">
        <v>779</v>
      </c>
      <c r="D1361" s="6" t="e">
        <f t="shared" si="25"/>
        <v>#VALUE!</v>
      </c>
      <c r="E1361" s="6" t="s">
        <v>2970</v>
      </c>
      <c r="F1361" s="7">
        <v>456</v>
      </c>
      <c r="G1361" s="6" t="s">
        <v>17</v>
      </c>
      <c r="H1361" s="8" t="s">
        <v>7488</v>
      </c>
      <c r="I1361" s="9" t="s">
        <v>4146</v>
      </c>
      <c r="J1361" s="10" t="s">
        <v>7489</v>
      </c>
      <c r="K1361" s="9" t="s">
        <v>7490</v>
      </c>
      <c r="L1361" s="9" t="s">
        <v>7491</v>
      </c>
      <c r="M1361" s="9" t="s">
        <v>7492</v>
      </c>
      <c r="N1361" s="9" t="s">
        <v>1082</v>
      </c>
      <c r="O1361" s="6">
        <f t="shared" si="27"/>
        <v>914</v>
      </c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</row>
    <row r="1362" spans="1:27" ht="12.75" x14ac:dyDescent="0.2">
      <c r="A1362" s="5" t="s">
        <v>2937</v>
      </c>
      <c r="B1362" s="5" t="s">
        <v>2937</v>
      </c>
      <c r="C1362" s="4">
        <v>780</v>
      </c>
      <c r="D1362" s="6" t="e">
        <f t="shared" si="25"/>
        <v>#VALUE!</v>
      </c>
      <c r="E1362" s="6" t="s">
        <v>129</v>
      </c>
      <c r="F1362" s="7">
        <v>457</v>
      </c>
      <c r="G1362" s="6" t="s">
        <v>21</v>
      </c>
      <c r="H1362" s="11" t="s">
        <v>7493</v>
      </c>
      <c r="I1362" s="9" t="s">
        <v>7494</v>
      </c>
      <c r="J1362" s="9" t="s">
        <v>7495</v>
      </c>
      <c r="K1362" s="9" t="s">
        <v>7496</v>
      </c>
      <c r="L1362" s="9" t="s">
        <v>7497</v>
      </c>
      <c r="M1362" s="9" t="s">
        <v>7498</v>
      </c>
      <c r="N1362" s="9" t="s">
        <v>1082</v>
      </c>
      <c r="O1362" s="6">
        <f t="shared" si="27"/>
        <v>2290</v>
      </c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</row>
    <row r="1363" spans="1:27" ht="12.75" x14ac:dyDescent="0.2">
      <c r="A1363" s="5" t="s">
        <v>2937</v>
      </c>
      <c r="B1363" s="5" t="s">
        <v>2937</v>
      </c>
      <c r="C1363" s="4">
        <v>781</v>
      </c>
      <c r="D1363" s="6" t="e">
        <f t="shared" si="25"/>
        <v>#VALUE!</v>
      </c>
      <c r="E1363" s="6" t="s">
        <v>3205</v>
      </c>
      <c r="F1363" s="7">
        <v>457</v>
      </c>
      <c r="G1363" s="6" t="s">
        <v>17</v>
      </c>
      <c r="H1363" s="8" t="s">
        <v>7499</v>
      </c>
      <c r="I1363" s="9" t="s">
        <v>7500</v>
      </c>
      <c r="J1363" s="10" t="s">
        <v>7501</v>
      </c>
      <c r="K1363" s="9" t="s">
        <v>7502</v>
      </c>
      <c r="L1363" s="9" t="s">
        <v>7503</v>
      </c>
      <c r="M1363" s="9" t="s">
        <v>7504</v>
      </c>
      <c r="N1363" s="9" t="s">
        <v>1082</v>
      </c>
      <c r="O1363" s="6">
        <f t="shared" si="27"/>
        <v>916</v>
      </c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</row>
    <row r="1364" spans="1:27" ht="12.75" x14ac:dyDescent="0.2">
      <c r="A1364" s="5" t="s">
        <v>2937</v>
      </c>
      <c r="B1364" s="5" t="s">
        <v>2937</v>
      </c>
      <c r="C1364" s="4">
        <v>782</v>
      </c>
      <c r="D1364" s="6" t="e">
        <f t="shared" si="25"/>
        <v>#VALUE!</v>
      </c>
      <c r="E1364" s="6" t="s">
        <v>4568</v>
      </c>
      <c r="F1364" s="7">
        <v>457</v>
      </c>
      <c r="G1364" s="6" t="s">
        <v>28</v>
      </c>
      <c r="H1364" s="8" t="s">
        <v>7505</v>
      </c>
      <c r="I1364" s="10" t="s">
        <v>7506</v>
      </c>
      <c r="J1364" s="9" t="s">
        <v>7507</v>
      </c>
      <c r="K1364" s="9" t="s">
        <v>7508</v>
      </c>
      <c r="L1364" s="9" t="s">
        <v>7509</v>
      </c>
      <c r="M1364" s="9" t="s">
        <v>7510</v>
      </c>
      <c r="N1364" s="9" t="s">
        <v>1082</v>
      </c>
      <c r="O1364" s="6">
        <f t="shared" si="27"/>
        <v>1832</v>
      </c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</row>
    <row r="1365" spans="1:27" ht="12.75" x14ac:dyDescent="0.2">
      <c r="A1365" s="5" t="s">
        <v>2937</v>
      </c>
      <c r="B1365" s="5" t="s">
        <v>2937</v>
      </c>
      <c r="C1365" s="4">
        <v>783</v>
      </c>
      <c r="D1365" s="6" t="e">
        <f t="shared" si="25"/>
        <v>#VALUE!</v>
      </c>
      <c r="E1365" s="6" t="s">
        <v>3533</v>
      </c>
      <c r="F1365" s="7">
        <v>457</v>
      </c>
      <c r="G1365" s="6" t="s">
        <v>28</v>
      </c>
      <c r="H1365" s="8" t="s">
        <v>7511</v>
      </c>
      <c r="I1365" s="10" t="s">
        <v>7512</v>
      </c>
      <c r="J1365" s="9" t="s">
        <v>7513</v>
      </c>
      <c r="K1365" s="9" t="s">
        <v>7514</v>
      </c>
      <c r="L1365" s="9" t="s">
        <v>7515</v>
      </c>
      <c r="M1365" s="9" t="s">
        <v>7516</v>
      </c>
      <c r="N1365" s="9" t="s">
        <v>1082</v>
      </c>
      <c r="O1365" s="6">
        <f t="shared" si="27"/>
        <v>1832</v>
      </c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</row>
    <row r="1366" spans="1:27" ht="12.75" x14ac:dyDescent="0.2">
      <c r="A1366" s="5" t="s">
        <v>2937</v>
      </c>
      <c r="B1366" s="5" t="s">
        <v>2937</v>
      </c>
      <c r="C1366" s="4">
        <v>784</v>
      </c>
      <c r="D1366" s="6" t="e">
        <f t="shared" si="25"/>
        <v>#VALUE!</v>
      </c>
      <c r="E1366" s="6" t="s">
        <v>7517</v>
      </c>
      <c r="F1366" s="7">
        <v>457</v>
      </c>
      <c r="G1366" s="6" t="s">
        <v>17</v>
      </c>
      <c r="H1366" s="8" t="s">
        <v>7518</v>
      </c>
      <c r="I1366" s="9" t="s">
        <v>7519</v>
      </c>
      <c r="J1366" s="10" t="s">
        <v>7520</v>
      </c>
      <c r="K1366" s="9" t="s">
        <v>7521</v>
      </c>
      <c r="L1366" s="9" t="s">
        <v>7522</v>
      </c>
      <c r="M1366" s="9" t="s">
        <v>7523</v>
      </c>
      <c r="N1366" s="9" t="s">
        <v>1082</v>
      </c>
      <c r="O1366" s="6">
        <f t="shared" si="27"/>
        <v>916</v>
      </c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</row>
    <row r="1367" spans="1:27" ht="12.75" x14ac:dyDescent="0.2">
      <c r="A1367" s="5" t="s">
        <v>2937</v>
      </c>
      <c r="B1367" s="5" t="s">
        <v>2937</v>
      </c>
      <c r="C1367" s="4">
        <v>785</v>
      </c>
      <c r="D1367" s="6" t="e">
        <f t="shared" si="25"/>
        <v>#VALUE!</v>
      </c>
      <c r="E1367" s="6" t="s">
        <v>3470</v>
      </c>
      <c r="F1367" s="7">
        <v>458</v>
      </c>
      <c r="G1367" s="6" t="s">
        <v>28</v>
      </c>
      <c r="H1367" s="8" t="s">
        <v>7524</v>
      </c>
      <c r="I1367" s="10" t="s">
        <v>7525</v>
      </c>
      <c r="J1367" s="9" t="s">
        <v>7526</v>
      </c>
      <c r="K1367" s="9" t="s">
        <v>7527</v>
      </c>
      <c r="L1367" s="9" t="s">
        <v>7528</v>
      </c>
      <c r="M1367" s="9" t="s">
        <v>7529</v>
      </c>
      <c r="N1367" s="9" t="s">
        <v>1082</v>
      </c>
      <c r="O1367" s="6">
        <f t="shared" si="27"/>
        <v>1836</v>
      </c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</row>
    <row r="1368" spans="1:27" ht="12.75" x14ac:dyDescent="0.2">
      <c r="A1368" s="5" t="s">
        <v>2937</v>
      </c>
      <c r="B1368" s="5" t="s">
        <v>2937</v>
      </c>
      <c r="C1368" s="4">
        <v>786</v>
      </c>
      <c r="D1368" s="6" t="e">
        <f t="shared" si="25"/>
        <v>#VALUE!</v>
      </c>
      <c r="E1368" s="6" t="s">
        <v>4785</v>
      </c>
      <c r="F1368" s="7">
        <v>458</v>
      </c>
      <c r="G1368" s="6" t="s">
        <v>17</v>
      </c>
      <c r="H1368" s="8" t="s">
        <v>7530</v>
      </c>
      <c r="I1368" s="9" t="s">
        <v>7531</v>
      </c>
      <c r="J1368" s="10" t="s">
        <v>7532</v>
      </c>
      <c r="K1368" s="9" t="s">
        <v>7533</v>
      </c>
      <c r="L1368" s="9" t="s">
        <v>7534</v>
      </c>
      <c r="M1368" s="9" t="s">
        <v>7535</v>
      </c>
      <c r="N1368" s="9" t="s">
        <v>1082</v>
      </c>
      <c r="O1368" s="6">
        <f t="shared" si="27"/>
        <v>918.00002558428105</v>
      </c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</row>
    <row r="1369" spans="1:27" ht="12.75" x14ac:dyDescent="0.2">
      <c r="A1369" s="5" t="s">
        <v>2937</v>
      </c>
      <c r="B1369" s="5" t="s">
        <v>2937</v>
      </c>
      <c r="C1369" s="4">
        <v>787</v>
      </c>
      <c r="D1369" s="6" t="e">
        <f t="shared" si="25"/>
        <v>#VALUE!</v>
      </c>
      <c r="E1369" s="6" t="s">
        <v>4624</v>
      </c>
      <c r="F1369" s="7">
        <v>458</v>
      </c>
      <c r="G1369" s="6" t="s">
        <v>21</v>
      </c>
      <c r="H1369" s="11" t="s">
        <v>7536</v>
      </c>
      <c r="I1369" s="9" t="s">
        <v>7537</v>
      </c>
      <c r="J1369" s="9" t="s">
        <v>7538</v>
      </c>
      <c r="K1369" s="9" t="s">
        <v>7539</v>
      </c>
      <c r="L1369" s="9" t="s">
        <v>7540</v>
      </c>
      <c r="M1369" s="9" t="s">
        <v>7541</v>
      </c>
      <c r="N1369" s="9" t="s">
        <v>1082</v>
      </c>
      <c r="O1369" s="6">
        <f t="shared" si="27"/>
        <v>2294.9999523714268</v>
      </c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</row>
    <row r="1370" spans="1:27" ht="12.75" x14ac:dyDescent="0.2">
      <c r="A1370" s="5" t="s">
        <v>2937</v>
      </c>
      <c r="B1370" s="5" t="s">
        <v>2937</v>
      </c>
      <c r="C1370" s="4">
        <v>788</v>
      </c>
      <c r="D1370" s="6" t="e">
        <f t="shared" si="25"/>
        <v>#VALUE!</v>
      </c>
      <c r="E1370" s="6" t="s">
        <v>3108</v>
      </c>
      <c r="F1370" s="7">
        <v>458</v>
      </c>
      <c r="G1370" s="6" t="s">
        <v>17</v>
      </c>
      <c r="H1370" s="8" t="s">
        <v>7542</v>
      </c>
      <c r="I1370" s="9" t="s">
        <v>7543</v>
      </c>
      <c r="J1370" s="10" t="s">
        <v>7544</v>
      </c>
      <c r="K1370" s="9" t="s">
        <v>7545</v>
      </c>
      <c r="L1370" s="9" t="s">
        <v>7546</v>
      </c>
      <c r="M1370" s="9" t="s">
        <v>7547</v>
      </c>
      <c r="N1370" s="9" t="s">
        <v>1082</v>
      </c>
      <c r="O1370" s="6">
        <f t="shared" si="27"/>
        <v>917.99997448035629</v>
      </c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</row>
    <row r="1371" spans="1:27" ht="12.75" x14ac:dyDescent="0.2">
      <c r="A1371" s="5" t="s">
        <v>2937</v>
      </c>
      <c r="B1371" s="5" t="s">
        <v>2937</v>
      </c>
      <c r="C1371" s="4">
        <v>789</v>
      </c>
      <c r="D1371" s="6" t="e">
        <f t="shared" si="25"/>
        <v>#VALUE!</v>
      </c>
      <c r="E1371" s="6" t="s">
        <v>2949</v>
      </c>
      <c r="F1371" s="7">
        <v>458</v>
      </c>
      <c r="G1371" s="6" t="s">
        <v>21</v>
      </c>
      <c r="H1371" s="11" t="s">
        <v>7548</v>
      </c>
      <c r="I1371" s="9" t="s">
        <v>7549</v>
      </c>
      <c r="J1371" s="9" t="s">
        <v>645</v>
      </c>
      <c r="K1371" s="9" t="s">
        <v>7550</v>
      </c>
      <c r="L1371" s="9" t="s">
        <v>7551</v>
      </c>
      <c r="M1371" s="9" t="s">
        <v>7552</v>
      </c>
      <c r="N1371" s="9" t="s">
        <v>1082</v>
      </c>
      <c r="O1371" s="6">
        <f t="shared" si="27"/>
        <v>2295.0000665102093</v>
      </c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</row>
    <row r="1372" spans="1:27" ht="12.75" x14ac:dyDescent="0.2">
      <c r="A1372" s="5" t="s">
        <v>2937</v>
      </c>
      <c r="B1372" s="5" t="s">
        <v>2937</v>
      </c>
      <c r="C1372" s="4">
        <v>790</v>
      </c>
      <c r="D1372" s="6" t="e">
        <f t="shared" si="25"/>
        <v>#VALUE!</v>
      </c>
      <c r="E1372" s="6" t="s">
        <v>4690</v>
      </c>
      <c r="F1372" s="7">
        <v>459</v>
      </c>
      <c r="G1372" s="6" t="s">
        <v>17</v>
      </c>
      <c r="H1372" s="8" t="s">
        <v>7553</v>
      </c>
      <c r="I1372" s="9" t="s">
        <v>7554</v>
      </c>
      <c r="J1372" s="10" t="s">
        <v>7555</v>
      </c>
      <c r="K1372" s="9" t="s">
        <v>7556</v>
      </c>
      <c r="L1372" s="9" t="s">
        <v>7557</v>
      </c>
      <c r="M1372" s="9" t="s">
        <v>7558</v>
      </c>
      <c r="N1372" s="9" t="s">
        <v>1082</v>
      </c>
      <c r="O1372" s="6">
        <f t="shared" si="27"/>
        <v>920</v>
      </c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</row>
    <row r="1373" spans="1:27" ht="12.75" x14ac:dyDescent="0.2">
      <c r="A1373" s="5" t="s">
        <v>2937</v>
      </c>
      <c r="B1373" s="5" t="s">
        <v>2937</v>
      </c>
      <c r="C1373" s="4">
        <v>791</v>
      </c>
      <c r="D1373" s="6" t="e">
        <f t="shared" si="25"/>
        <v>#VALUE!</v>
      </c>
      <c r="E1373" s="6" t="s">
        <v>7559</v>
      </c>
      <c r="F1373" s="7">
        <v>459</v>
      </c>
      <c r="G1373" s="6" t="s">
        <v>28</v>
      </c>
      <c r="H1373" s="8" t="s">
        <v>7560</v>
      </c>
      <c r="I1373" s="10" t="s">
        <v>7561</v>
      </c>
      <c r="J1373" s="9" t="s">
        <v>7562</v>
      </c>
      <c r="K1373" s="9" t="s">
        <v>7563</v>
      </c>
      <c r="L1373" s="9" t="s">
        <v>7564</v>
      </c>
      <c r="M1373" s="9" t="s">
        <v>7565</v>
      </c>
      <c r="N1373" s="9" t="s">
        <v>1082</v>
      </c>
      <c r="O1373" s="6">
        <f t="shared" si="27"/>
        <v>1840</v>
      </c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</row>
    <row r="1374" spans="1:27" ht="12.75" x14ac:dyDescent="0.2">
      <c r="A1374" s="5" t="s">
        <v>2937</v>
      </c>
      <c r="B1374" s="5" t="s">
        <v>2937</v>
      </c>
      <c r="C1374" s="4">
        <v>792</v>
      </c>
      <c r="D1374" s="6" t="e">
        <f t="shared" si="25"/>
        <v>#VALUE!</v>
      </c>
      <c r="E1374" s="6" t="s">
        <v>7566</v>
      </c>
      <c r="F1374" s="7">
        <v>459</v>
      </c>
      <c r="G1374" s="6" t="s">
        <v>28</v>
      </c>
      <c r="H1374" s="8" t="s">
        <v>7567</v>
      </c>
      <c r="I1374" s="10" t="s">
        <v>7568</v>
      </c>
      <c r="J1374" s="9" t="s">
        <v>7569</v>
      </c>
      <c r="K1374" s="9" t="s">
        <v>7570</v>
      </c>
      <c r="L1374" s="9" t="s">
        <v>7571</v>
      </c>
      <c r="M1374" s="9" t="s">
        <v>7572</v>
      </c>
      <c r="N1374" s="9" t="s">
        <v>1082</v>
      </c>
      <c r="O1374" s="6">
        <f t="shared" si="27"/>
        <v>1840</v>
      </c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</row>
    <row r="1375" spans="1:27" ht="12.75" x14ac:dyDescent="0.2">
      <c r="A1375" s="5" t="s">
        <v>2937</v>
      </c>
      <c r="B1375" s="5" t="s">
        <v>2937</v>
      </c>
      <c r="C1375" s="4">
        <v>793</v>
      </c>
      <c r="D1375" s="6" t="e">
        <f t="shared" si="25"/>
        <v>#VALUE!</v>
      </c>
      <c r="E1375" s="6" t="s">
        <v>5132</v>
      </c>
      <c r="F1375" s="7">
        <v>459</v>
      </c>
      <c r="G1375" s="6" t="s">
        <v>21</v>
      </c>
      <c r="H1375" s="11" t="s">
        <v>7573</v>
      </c>
      <c r="I1375" s="9" t="s">
        <v>7574</v>
      </c>
      <c r="J1375" s="9" t="s">
        <v>7575</v>
      </c>
      <c r="K1375" s="9" t="s">
        <v>7576</v>
      </c>
      <c r="L1375" s="9" t="s">
        <v>7577</v>
      </c>
      <c r="M1375" s="9" t="s">
        <v>7578</v>
      </c>
      <c r="N1375" s="9" t="s">
        <v>1082</v>
      </c>
      <c r="O1375" s="6">
        <f t="shared" si="27"/>
        <v>2299.9999245610397</v>
      </c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</row>
    <row r="1376" spans="1:27" ht="12.75" x14ac:dyDescent="0.2">
      <c r="A1376" s="5" t="s">
        <v>2937</v>
      </c>
      <c r="B1376" s="5" t="s">
        <v>2937</v>
      </c>
      <c r="C1376" s="4">
        <v>794</v>
      </c>
      <c r="D1376" s="6" t="e">
        <f t="shared" si="25"/>
        <v>#VALUE!</v>
      </c>
      <c r="E1376" s="6" t="s">
        <v>7579</v>
      </c>
      <c r="F1376" s="7">
        <v>459</v>
      </c>
      <c r="G1376" s="6" t="s">
        <v>17</v>
      </c>
      <c r="H1376" s="8" t="s">
        <v>7580</v>
      </c>
      <c r="I1376" s="9" t="s">
        <v>7581</v>
      </c>
      <c r="J1376" s="10" t="s">
        <v>7582</v>
      </c>
      <c r="K1376" s="9" t="s">
        <v>7583</v>
      </c>
      <c r="L1376" s="9" t="s">
        <v>7584</v>
      </c>
      <c r="M1376" s="9" t="s">
        <v>7585</v>
      </c>
      <c r="N1376" s="9" t="s">
        <v>1082</v>
      </c>
      <c r="O1376" s="6">
        <f t="shared" si="27"/>
        <v>920</v>
      </c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</row>
    <row r="1377" spans="1:27" ht="12.75" x14ac:dyDescent="0.2">
      <c r="A1377" s="5" t="s">
        <v>2937</v>
      </c>
      <c r="B1377" s="5" t="s">
        <v>2937</v>
      </c>
      <c r="C1377" s="4">
        <v>795</v>
      </c>
      <c r="D1377" s="6" t="e">
        <f t="shared" si="25"/>
        <v>#VALUE!</v>
      </c>
      <c r="E1377" s="6" t="s">
        <v>7586</v>
      </c>
      <c r="F1377" s="7">
        <v>460</v>
      </c>
      <c r="G1377" s="6" t="s">
        <v>17</v>
      </c>
      <c r="H1377" s="8" t="s">
        <v>7587</v>
      </c>
      <c r="I1377" s="9" t="s">
        <v>7588</v>
      </c>
      <c r="J1377" s="10" t="s">
        <v>7589</v>
      </c>
      <c r="K1377" s="9" t="s">
        <v>7590</v>
      </c>
      <c r="L1377" s="9" t="s">
        <v>7591</v>
      </c>
      <c r="M1377" s="9" t="s">
        <v>7592</v>
      </c>
      <c r="N1377" s="9" t="s">
        <v>1082</v>
      </c>
      <c r="O1377" s="6">
        <f t="shared" si="27"/>
        <v>922</v>
      </c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</row>
    <row r="1378" spans="1:27" ht="12.75" x14ac:dyDescent="0.2">
      <c r="A1378" s="5" t="s">
        <v>2937</v>
      </c>
      <c r="B1378" s="5" t="s">
        <v>2937</v>
      </c>
      <c r="C1378" s="4">
        <v>796</v>
      </c>
      <c r="D1378" s="6" t="e">
        <f t="shared" si="25"/>
        <v>#VALUE!</v>
      </c>
      <c r="E1378" s="6" t="s">
        <v>7593</v>
      </c>
      <c r="F1378" s="7">
        <v>460</v>
      </c>
      <c r="G1378" s="6" t="s">
        <v>28</v>
      </c>
      <c r="H1378" s="8" t="s">
        <v>5743</v>
      </c>
      <c r="I1378" s="10" t="s">
        <v>7594</v>
      </c>
      <c r="J1378" s="9" t="s">
        <v>7595</v>
      </c>
      <c r="K1378" s="9" t="s">
        <v>7596</v>
      </c>
      <c r="L1378" s="9" t="s">
        <v>7597</v>
      </c>
      <c r="M1378" s="9" t="s">
        <v>7598</v>
      </c>
      <c r="N1378" s="9" t="s">
        <v>1082</v>
      </c>
      <c r="O1378" s="6">
        <f t="shared" si="27"/>
        <v>1843.9999501476875</v>
      </c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</row>
    <row r="1379" spans="1:27" ht="12.75" x14ac:dyDescent="0.2">
      <c r="A1379" s="5" t="s">
        <v>2937</v>
      </c>
      <c r="B1379" s="5" t="s">
        <v>2937</v>
      </c>
      <c r="C1379" s="4">
        <v>797</v>
      </c>
      <c r="D1379" s="6" t="e">
        <f t="shared" si="25"/>
        <v>#VALUE!</v>
      </c>
      <c r="E1379" s="6" t="s">
        <v>470</v>
      </c>
      <c r="F1379" s="7">
        <v>460</v>
      </c>
      <c r="G1379" s="6" t="s">
        <v>28</v>
      </c>
      <c r="H1379" s="8" t="s">
        <v>7599</v>
      </c>
      <c r="I1379" s="10" t="s">
        <v>7600</v>
      </c>
      <c r="J1379" s="9" t="s">
        <v>7601</v>
      </c>
      <c r="K1379" s="9" t="s">
        <v>7602</v>
      </c>
      <c r="L1379" s="9" t="s">
        <v>7603</v>
      </c>
      <c r="M1379" s="9" t="s">
        <v>7604</v>
      </c>
      <c r="N1379" s="9" t="s">
        <v>1082</v>
      </c>
      <c r="O1379" s="6">
        <f t="shared" si="27"/>
        <v>1843.9999004207225</v>
      </c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</row>
    <row r="1380" spans="1:27" ht="12.75" x14ac:dyDescent="0.2">
      <c r="A1380" s="5" t="s">
        <v>2937</v>
      </c>
      <c r="B1380" s="5" t="s">
        <v>2937</v>
      </c>
      <c r="C1380" s="4">
        <v>798</v>
      </c>
      <c r="D1380" s="6" t="e">
        <f t="shared" si="25"/>
        <v>#VALUE!</v>
      </c>
      <c r="E1380" s="6" t="s">
        <v>691</v>
      </c>
      <c r="F1380" s="7">
        <v>460</v>
      </c>
      <c r="G1380" s="6" t="s">
        <v>17</v>
      </c>
      <c r="H1380" s="8" t="s">
        <v>7605</v>
      </c>
      <c r="I1380" s="9" t="s">
        <v>7606</v>
      </c>
      <c r="J1380" s="10" t="s">
        <v>7607</v>
      </c>
      <c r="K1380" s="9" t="s">
        <v>7608</v>
      </c>
      <c r="L1380" s="9" t="s">
        <v>7609</v>
      </c>
      <c r="M1380" s="9" t="s">
        <v>7610</v>
      </c>
      <c r="N1380" s="9" t="s">
        <v>1082</v>
      </c>
      <c r="O1380" s="6">
        <f t="shared" si="27"/>
        <v>921.99997492760349</v>
      </c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</row>
    <row r="1381" spans="1:27" ht="12.75" x14ac:dyDescent="0.2">
      <c r="A1381" s="5" t="s">
        <v>2937</v>
      </c>
      <c r="B1381" s="5" t="s">
        <v>2937</v>
      </c>
      <c r="C1381" s="4">
        <v>799</v>
      </c>
      <c r="D1381" s="6" t="e">
        <f t="shared" si="25"/>
        <v>#VALUE!</v>
      </c>
      <c r="E1381" s="6" t="s">
        <v>6602</v>
      </c>
      <c r="F1381" s="7">
        <v>460</v>
      </c>
      <c r="G1381" s="6" t="s">
        <v>21</v>
      </c>
      <c r="H1381" s="11" t="s">
        <v>7611</v>
      </c>
      <c r="I1381" s="9" t="s">
        <v>7612</v>
      </c>
      <c r="J1381" s="9" t="s">
        <v>7613</v>
      </c>
      <c r="K1381" s="9" t="s">
        <v>7614</v>
      </c>
      <c r="L1381" s="9" t="s">
        <v>7615</v>
      </c>
      <c r="M1381" s="9" t="s">
        <v>7616</v>
      </c>
      <c r="N1381" s="9" t="s">
        <v>1082</v>
      </c>
      <c r="O1381" s="6">
        <f t="shared" si="27"/>
        <v>2305.0000280067588</v>
      </c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</row>
    <row r="1382" spans="1:27" ht="12.75" x14ac:dyDescent="0.2">
      <c r="A1382" s="5" t="s">
        <v>2937</v>
      </c>
      <c r="B1382" s="5" t="s">
        <v>2937</v>
      </c>
      <c r="C1382" s="4">
        <v>800</v>
      </c>
      <c r="D1382" s="6" t="e">
        <f t="shared" si="25"/>
        <v>#VALUE!</v>
      </c>
      <c r="E1382" s="6" t="s">
        <v>6229</v>
      </c>
      <c r="F1382" s="7">
        <v>461</v>
      </c>
      <c r="G1382" s="6" t="s">
        <v>21</v>
      </c>
      <c r="H1382" s="11" t="s">
        <v>7617</v>
      </c>
      <c r="I1382" s="9" t="s">
        <v>7557</v>
      </c>
      <c r="J1382" s="9" t="s">
        <v>7618</v>
      </c>
      <c r="K1382" s="9" t="s">
        <v>7619</v>
      </c>
      <c r="L1382" s="9" t="s">
        <v>7620</v>
      </c>
      <c r="M1382" s="9" t="s">
        <v>7621</v>
      </c>
      <c r="N1382" s="9" t="s">
        <v>1082</v>
      </c>
      <c r="O1382" s="6">
        <f t="shared" si="27"/>
        <v>2310</v>
      </c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</row>
    <row r="1383" spans="1:27" ht="12.75" x14ac:dyDescent="0.2">
      <c r="A1383" s="5" t="s">
        <v>2937</v>
      </c>
      <c r="B1383" s="5" t="s">
        <v>2937</v>
      </c>
      <c r="C1383" s="4">
        <v>801</v>
      </c>
      <c r="D1383" s="6" t="e">
        <f t="shared" si="25"/>
        <v>#VALUE!</v>
      </c>
      <c r="E1383" s="6" t="s">
        <v>5874</v>
      </c>
      <c r="F1383" s="7">
        <v>461</v>
      </c>
      <c r="G1383" s="6" t="s">
        <v>28</v>
      </c>
      <c r="H1383" s="8" t="s">
        <v>7622</v>
      </c>
      <c r="I1383" s="10" t="s">
        <v>7623</v>
      </c>
      <c r="J1383" s="9" t="s">
        <v>7624</v>
      </c>
      <c r="K1383" s="9" t="s">
        <v>7625</v>
      </c>
      <c r="L1383" s="9" t="s">
        <v>7626</v>
      </c>
      <c r="M1383" s="9" t="s">
        <v>7627</v>
      </c>
      <c r="N1383" s="9" t="s">
        <v>1082</v>
      </c>
      <c r="O1383" s="6">
        <f t="shared" si="27"/>
        <v>1848</v>
      </c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</row>
    <row r="1384" spans="1:27" ht="12.75" x14ac:dyDescent="0.2">
      <c r="A1384" s="5" t="s">
        <v>2937</v>
      </c>
      <c r="B1384" s="5" t="s">
        <v>2937</v>
      </c>
      <c r="C1384" s="4">
        <v>802</v>
      </c>
      <c r="D1384" s="6" t="e">
        <f t="shared" si="25"/>
        <v>#VALUE!</v>
      </c>
      <c r="E1384" s="6" t="s">
        <v>3539</v>
      </c>
      <c r="F1384" s="7">
        <v>461</v>
      </c>
      <c r="G1384" s="6" t="s">
        <v>21</v>
      </c>
      <c r="H1384" s="11" t="s">
        <v>7628</v>
      </c>
      <c r="I1384" s="9" t="s">
        <v>7629</v>
      </c>
      <c r="J1384" s="9" t="s">
        <v>7630</v>
      </c>
      <c r="K1384" s="9" t="s">
        <v>7631</v>
      </c>
      <c r="L1384" s="9" t="s">
        <v>7226</v>
      </c>
      <c r="M1384" s="9" t="s">
        <v>7632</v>
      </c>
      <c r="N1384" s="9" t="s">
        <v>1082</v>
      </c>
      <c r="O1384" s="6">
        <f t="shared" si="27"/>
        <v>2310.0000185547692</v>
      </c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</row>
    <row r="1385" spans="1:27" ht="12.75" x14ac:dyDescent="0.2">
      <c r="A1385" s="5" t="s">
        <v>2937</v>
      </c>
      <c r="B1385" s="5" t="s">
        <v>2937</v>
      </c>
      <c r="C1385" s="4">
        <v>803</v>
      </c>
      <c r="D1385" s="6" t="e">
        <f t="shared" si="25"/>
        <v>#VALUE!</v>
      </c>
      <c r="E1385" s="6" t="s">
        <v>6060</v>
      </c>
      <c r="F1385" s="7">
        <v>461</v>
      </c>
      <c r="G1385" s="6" t="s">
        <v>17</v>
      </c>
      <c r="H1385" s="8" t="s">
        <v>7633</v>
      </c>
      <c r="I1385" s="9" t="s">
        <v>7634</v>
      </c>
      <c r="J1385" s="10" t="s">
        <v>7635</v>
      </c>
      <c r="K1385" s="9" t="s">
        <v>7636</v>
      </c>
      <c r="L1385" s="9" t="s">
        <v>7637</v>
      </c>
      <c r="M1385" s="9" t="s">
        <v>7638</v>
      </c>
      <c r="N1385" s="9" t="s">
        <v>1082</v>
      </c>
      <c r="O1385" s="6">
        <f t="shared" si="27"/>
        <v>924</v>
      </c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</row>
    <row r="1386" spans="1:27" ht="12.75" x14ac:dyDescent="0.2">
      <c r="A1386" s="5" t="s">
        <v>2937</v>
      </c>
      <c r="B1386" s="5" t="s">
        <v>2937</v>
      </c>
      <c r="C1386" s="4">
        <v>804</v>
      </c>
      <c r="D1386" s="6" t="e">
        <f t="shared" si="25"/>
        <v>#VALUE!</v>
      </c>
      <c r="E1386" s="6" t="s">
        <v>3083</v>
      </c>
      <c r="F1386" s="7">
        <v>461</v>
      </c>
      <c r="G1386" s="6" t="s">
        <v>17</v>
      </c>
      <c r="H1386" s="8" t="s">
        <v>7639</v>
      </c>
      <c r="I1386" s="9" t="s">
        <v>7640</v>
      </c>
      <c r="J1386" s="10" t="s">
        <v>7641</v>
      </c>
      <c r="K1386" s="9" t="s">
        <v>7642</v>
      </c>
      <c r="L1386" s="9" t="s">
        <v>7643</v>
      </c>
      <c r="M1386" s="9" t="s">
        <v>7644</v>
      </c>
      <c r="N1386" s="9" t="s">
        <v>1082</v>
      </c>
      <c r="O1386" s="6">
        <f t="shared" si="27"/>
        <v>923.99995035434586</v>
      </c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</row>
    <row r="1387" spans="1:27" ht="12.75" x14ac:dyDescent="0.2">
      <c r="A1387" s="5" t="s">
        <v>2937</v>
      </c>
      <c r="B1387" s="5" t="s">
        <v>2937</v>
      </c>
      <c r="C1387" s="4">
        <v>805</v>
      </c>
      <c r="D1387" s="6" t="e">
        <f t="shared" si="25"/>
        <v>#VALUE!</v>
      </c>
      <c r="E1387" s="6" t="s">
        <v>4460</v>
      </c>
      <c r="F1387" s="7">
        <v>462</v>
      </c>
      <c r="G1387" s="6" t="s">
        <v>17</v>
      </c>
      <c r="H1387" s="8" t="s">
        <v>7645</v>
      </c>
      <c r="I1387" s="9" t="s">
        <v>7646</v>
      </c>
      <c r="J1387" s="10" t="s">
        <v>7647</v>
      </c>
      <c r="K1387" s="9" t="s">
        <v>7648</v>
      </c>
      <c r="L1387" s="9" t="s">
        <v>7649</v>
      </c>
      <c r="M1387" s="9" t="s">
        <v>7650</v>
      </c>
      <c r="N1387" s="9" t="s">
        <v>1082</v>
      </c>
      <c r="O1387" s="6">
        <f t="shared" si="27"/>
        <v>926.0000247301324</v>
      </c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</row>
    <row r="1388" spans="1:27" ht="12.75" x14ac:dyDescent="0.2">
      <c r="A1388" s="5" t="s">
        <v>2937</v>
      </c>
      <c r="B1388" s="5" t="s">
        <v>2937</v>
      </c>
      <c r="C1388" s="4">
        <v>806</v>
      </c>
      <c r="D1388" s="6" t="e">
        <f t="shared" si="25"/>
        <v>#VALUE!</v>
      </c>
      <c r="E1388" s="6" t="s">
        <v>4785</v>
      </c>
      <c r="F1388" s="7">
        <v>462</v>
      </c>
      <c r="G1388" s="6" t="s">
        <v>17</v>
      </c>
      <c r="H1388" s="8" t="s">
        <v>7651</v>
      </c>
      <c r="I1388" s="9" t="s">
        <v>7652</v>
      </c>
      <c r="J1388" s="10" t="s">
        <v>7653</v>
      </c>
      <c r="K1388" s="9" t="s">
        <v>7654</v>
      </c>
      <c r="L1388" s="9" t="s">
        <v>7655</v>
      </c>
      <c r="M1388" s="9" t="s">
        <v>7656</v>
      </c>
      <c r="N1388" s="9" t="s">
        <v>1082</v>
      </c>
      <c r="O1388" s="6">
        <f t="shared" si="27"/>
        <v>925.9999506014276</v>
      </c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</row>
    <row r="1389" spans="1:27" ht="12.75" x14ac:dyDescent="0.2">
      <c r="A1389" s="5" t="s">
        <v>2937</v>
      </c>
      <c r="B1389" s="5" t="s">
        <v>2937</v>
      </c>
      <c r="C1389" s="4">
        <v>807</v>
      </c>
      <c r="D1389" s="6" t="e">
        <f t="shared" si="25"/>
        <v>#VALUE!</v>
      </c>
      <c r="E1389" s="6" t="s">
        <v>1432</v>
      </c>
      <c r="F1389" s="7">
        <v>462</v>
      </c>
      <c r="G1389" s="6" t="s">
        <v>17</v>
      </c>
      <c r="H1389" s="8" t="s">
        <v>7657</v>
      </c>
      <c r="I1389" s="9" t="s">
        <v>7658</v>
      </c>
      <c r="J1389" s="10" t="s">
        <v>7659</v>
      </c>
      <c r="K1389" s="9" t="s">
        <v>7660</v>
      </c>
      <c r="L1389" s="9" t="s">
        <v>7661</v>
      </c>
      <c r="M1389" s="9" t="s">
        <v>7662</v>
      </c>
      <c r="N1389" s="9" t="s">
        <v>1082</v>
      </c>
      <c r="O1389" s="6">
        <f t="shared" si="27"/>
        <v>925.99997533148314</v>
      </c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</row>
    <row r="1390" spans="1:27" ht="12.75" x14ac:dyDescent="0.2">
      <c r="A1390" s="5" t="s">
        <v>2937</v>
      </c>
      <c r="B1390" s="5" t="s">
        <v>2937</v>
      </c>
      <c r="C1390" s="4">
        <v>808</v>
      </c>
      <c r="D1390" s="6" t="e">
        <f t="shared" si="25"/>
        <v>#VALUE!</v>
      </c>
      <c r="E1390" s="6" t="s">
        <v>3246</v>
      </c>
      <c r="F1390" s="7">
        <v>462</v>
      </c>
      <c r="G1390" s="6" t="s">
        <v>28</v>
      </c>
      <c r="H1390" s="8" t="s">
        <v>7663</v>
      </c>
      <c r="I1390" s="10" t="s">
        <v>7664</v>
      </c>
      <c r="J1390" s="9" t="s">
        <v>7665</v>
      </c>
      <c r="K1390" s="9" t="s">
        <v>7666</v>
      </c>
      <c r="L1390" s="9" t="s">
        <v>7667</v>
      </c>
      <c r="M1390" s="9" t="s">
        <v>7668</v>
      </c>
      <c r="N1390" s="9" t="s">
        <v>1082</v>
      </c>
      <c r="O1390" s="6">
        <f t="shared" si="27"/>
        <v>1851.9999022650084</v>
      </c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</row>
    <row r="1391" spans="1:27" ht="12.75" x14ac:dyDescent="0.2">
      <c r="A1391" s="5" t="s">
        <v>2937</v>
      </c>
      <c r="B1391" s="5" t="s">
        <v>2937</v>
      </c>
      <c r="C1391" s="4">
        <v>809</v>
      </c>
      <c r="D1391" s="6" t="e">
        <f t="shared" si="25"/>
        <v>#VALUE!</v>
      </c>
      <c r="E1391" s="6" t="s">
        <v>7669</v>
      </c>
      <c r="F1391" s="7">
        <v>462</v>
      </c>
      <c r="G1391" s="6" t="s">
        <v>17</v>
      </c>
      <c r="H1391" s="8" t="s">
        <v>7670</v>
      </c>
      <c r="I1391" s="9" t="s">
        <v>7671</v>
      </c>
      <c r="J1391" s="10" t="s">
        <v>7672</v>
      </c>
      <c r="K1391" s="9" t="s">
        <v>7673</v>
      </c>
      <c r="L1391" s="9" t="s">
        <v>7674</v>
      </c>
      <c r="M1391" s="9" t="s">
        <v>7675</v>
      </c>
      <c r="N1391" s="9" t="s">
        <v>1082</v>
      </c>
      <c r="O1391" s="6">
        <f t="shared" si="27"/>
        <v>925.99997539218703</v>
      </c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</row>
    <row r="1392" spans="1:27" ht="12.75" x14ac:dyDescent="0.2">
      <c r="A1392" s="5" t="s">
        <v>2937</v>
      </c>
      <c r="B1392" s="5" t="s">
        <v>2937</v>
      </c>
      <c r="C1392" s="4">
        <v>810</v>
      </c>
      <c r="D1392" s="6" t="e">
        <f t="shared" si="25"/>
        <v>#VALUE!</v>
      </c>
      <c r="E1392" s="6" t="s">
        <v>3304</v>
      </c>
      <c r="F1392" s="7">
        <v>463</v>
      </c>
      <c r="G1392" s="6" t="s">
        <v>17</v>
      </c>
      <c r="H1392" s="8" t="s">
        <v>7676</v>
      </c>
      <c r="I1392" s="9" t="s">
        <v>7677</v>
      </c>
      <c r="J1392" s="10" t="s">
        <v>7678</v>
      </c>
      <c r="K1392" s="9" t="s">
        <v>7679</v>
      </c>
      <c r="L1392" s="9" t="s">
        <v>7680</v>
      </c>
      <c r="M1392" s="9" t="s">
        <v>7681</v>
      </c>
      <c r="N1392" s="9" t="s">
        <v>1082</v>
      </c>
      <c r="O1392" s="6">
        <f t="shared" si="27"/>
        <v>928</v>
      </c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</row>
    <row r="1393" spans="1:27" ht="12.75" x14ac:dyDescent="0.2">
      <c r="A1393" s="5" t="s">
        <v>2937</v>
      </c>
      <c r="B1393" s="5" t="s">
        <v>2937</v>
      </c>
      <c r="C1393" s="4">
        <v>811</v>
      </c>
      <c r="D1393" s="6" t="e">
        <f t="shared" si="25"/>
        <v>#VALUE!</v>
      </c>
      <c r="E1393" s="6" t="s">
        <v>7074</v>
      </c>
      <c r="F1393" s="7">
        <v>463</v>
      </c>
      <c r="G1393" s="6" t="s">
        <v>17</v>
      </c>
      <c r="H1393" s="8" t="s">
        <v>7682</v>
      </c>
      <c r="I1393" s="9" t="s">
        <v>7683</v>
      </c>
      <c r="J1393" s="10" t="s">
        <v>7684</v>
      </c>
      <c r="K1393" s="9" t="s">
        <v>7685</v>
      </c>
      <c r="L1393" s="9" t="s">
        <v>7686</v>
      </c>
      <c r="M1393" s="9" t="s">
        <v>7687</v>
      </c>
      <c r="N1393" s="9" t="s">
        <v>1082</v>
      </c>
      <c r="O1393" s="6">
        <f t="shared" si="27"/>
        <v>928</v>
      </c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</row>
    <row r="1394" spans="1:27" ht="12.75" x14ac:dyDescent="0.2">
      <c r="A1394" s="5" t="s">
        <v>2937</v>
      </c>
      <c r="B1394" s="5" t="s">
        <v>2937</v>
      </c>
      <c r="C1394" s="4">
        <v>812</v>
      </c>
      <c r="D1394" s="6" t="e">
        <f t="shared" si="25"/>
        <v>#VALUE!</v>
      </c>
      <c r="E1394" s="6" t="s">
        <v>4744</v>
      </c>
      <c r="F1394" s="7">
        <v>463</v>
      </c>
      <c r="G1394" s="6" t="s">
        <v>17</v>
      </c>
      <c r="H1394" s="8" t="s">
        <v>7688</v>
      </c>
      <c r="I1394" s="9" t="s">
        <v>7689</v>
      </c>
      <c r="J1394" s="10" t="s">
        <v>7690</v>
      </c>
      <c r="K1394" s="9" t="s">
        <v>7691</v>
      </c>
      <c r="L1394" s="9" t="s">
        <v>7692</v>
      </c>
      <c r="M1394" s="9" t="s">
        <v>7693</v>
      </c>
      <c r="N1394" s="9" t="s">
        <v>1082</v>
      </c>
      <c r="O1394" s="6">
        <f t="shared" si="27"/>
        <v>928</v>
      </c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</row>
    <row r="1395" spans="1:27" ht="12.75" x14ac:dyDescent="0.2">
      <c r="A1395" s="5" t="s">
        <v>2937</v>
      </c>
      <c r="B1395" s="5" t="s">
        <v>2937</v>
      </c>
      <c r="C1395" s="4">
        <v>813</v>
      </c>
      <c r="D1395" s="6" t="e">
        <f t="shared" si="25"/>
        <v>#VALUE!</v>
      </c>
      <c r="E1395" s="6" t="s">
        <v>543</v>
      </c>
      <c r="F1395" s="7">
        <v>463</v>
      </c>
      <c r="G1395" s="6" t="s">
        <v>21</v>
      </c>
      <c r="H1395" s="11" t="s">
        <v>7694</v>
      </c>
      <c r="I1395" s="9" t="s">
        <v>7695</v>
      </c>
      <c r="J1395" s="9" t="s">
        <v>7696</v>
      </c>
      <c r="K1395" s="9" t="s">
        <v>7697</v>
      </c>
      <c r="L1395" s="9" t="s">
        <v>5633</v>
      </c>
      <c r="M1395" s="9" t="s">
        <v>7698</v>
      </c>
      <c r="N1395" s="9" t="s">
        <v>1082</v>
      </c>
      <c r="O1395" s="6">
        <f t="shared" si="27"/>
        <v>2320</v>
      </c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</row>
    <row r="1396" spans="1:27" ht="12.75" x14ac:dyDescent="0.2">
      <c r="A1396" s="5" t="s">
        <v>2937</v>
      </c>
      <c r="B1396" s="5" t="s">
        <v>2937</v>
      </c>
      <c r="C1396" s="4">
        <v>814</v>
      </c>
      <c r="D1396" s="6" t="e">
        <f t="shared" si="25"/>
        <v>#VALUE!</v>
      </c>
      <c r="E1396" s="6" t="s">
        <v>6085</v>
      </c>
      <c r="F1396" s="7">
        <v>463</v>
      </c>
      <c r="G1396" s="6" t="s">
        <v>28</v>
      </c>
      <c r="H1396" s="8" t="s">
        <v>7699</v>
      </c>
      <c r="I1396" s="10" t="s">
        <v>7700</v>
      </c>
      <c r="J1396" s="9" t="s">
        <v>7701</v>
      </c>
      <c r="K1396" s="9" t="s">
        <v>7702</v>
      </c>
      <c r="L1396" s="9" t="s">
        <v>7703</v>
      </c>
      <c r="M1396" s="9" t="s">
        <v>7704</v>
      </c>
      <c r="N1396" s="9" t="s">
        <v>1082</v>
      </c>
      <c r="O1396" s="6">
        <f t="shared" si="27"/>
        <v>1856</v>
      </c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</row>
    <row r="1397" spans="1:27" ht="12.75" x14ac:dyDescent="0.2">
      <c r="A1397" s="5" t="s">
        <v>2937</v>
      </c>
      <c r="B1397" s="5" t="s">
        <v>2937</v>
      </c>
      <c r="C1397" s="4">
        <v>815</v>
      </c>
      <c r="D1397" s="6" t="e">
        <f t="shared" si="25"/>
        <v>#VALUE!</v>
      </c>
      <c r="E1397" s="6" t="s">
        <v>3568</v>
      </c>
      <c r="F1397" s="7">
        <v>464</v>
      </c>
      <c r="G1397" s="6" t="s">
        <v>28</v>
      </c>
      <c r="H1397" s="8" t="s">
        <v>7705</v>
      </c>
      <c r="I1397" s="10" t="s">
        <v>7706</v>
      </c>
      <c r="J1397" s="9" t="s">
        <v>7707</v>
      </c>
      <c r="K1397" s="9" t="s">
        <v>7708</v>
      </c>
      <c r="L1397" s="9" t="s">
        <v>7709</v>
      </c>
      <c r="M1397" s="9" t="s">
        <v>7710</v>
      </c>
      <c r="N1397" s="9" t="s">
        <v>1082</v>
      </c>
      <c r="O1397" s="6">
        <f t="shared" si="27"/>
        <v>1859.9999517915467</v>
      </c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</row>
    <row r="1398" spans="1:27" ht="12.75" x14ac:dyDescent="0.2">
      <c r="A1398" s="5" t="s">
        <v>2937</v>
      </c>
      <c r="B1398" s="5" t="s">
        <v>2937</v>
      </c>
      <c r="C1398" s="4">
        <v>816</v>
      </c>
      <c r="D1398" s="6" t="e">
        <f t="shared" si="25"/>
        <v>#VALUE!</v>
      </c>
      <c r="E1398" s="6" t="s">
        <v>3129</v>
      </c>
      <c r="F1398" s="7">
        <v>464</v>
      </c>
      <c r="G1398" s="6" t="s">
        <v>28</v>
      </c>
      <c r="H1398" s="8" t="s">
        <v>7711</v>
      </c>
      <c r="I1398" s="10" t="s">
        <v>7712</v>
      </c>
      <c r="J1398" s="9" t="s">
        <v>6626</v>
      </c>
      <c r="K1398" s="9" t="s">
        <v>7713</v>
      </c>
      <c r="L1398" s="9" t="s">
        <v>7714</v>
      </c>
      <c r="M1398" s="9" t="s">
        <v>7715</v>
      </c>
      <c r="N1398" s="9" t="s">
        <v>1082</v>
      </c>
      <c r="O1398" s="6">
        <f t="shared" si="27"/>
        <v>1860.0000481492627</v>
      </c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</row>
    <row r="1399" spans="1:27" ht="12.75" x14ac:dyDescent="0.2">
      <c r="A1399" s="5" t="s">
        <v>2937</v>
      </c>
      <c r="B1399" s="5" t="s">
        <v>2937</v>
      </c>
      <c r="C1399" s="4">
        <v>817</v>
      </c>
      <c r="D1399" s="6" t="e">
        <f t="shared" si="25"/>
        <v>#VALUE!</v>
      </c>
      <c r="E1399" s="6" t="s">
        <v>3189</v>
      </c>
      <c r="F1399" s="7">
        <v>464</v>
      </c>
      <c r="G1399" s="6" t="s">
        <v>28</v>
      </c>
      <c r="H1399" s="8" t="s">
        <v>7716</v>
      </c>
      <c r="I1399" s="10" t="s">
        <v>7717</v>
      </c>
      <c r="J1399" s="9" t="s">
        <v>7718</v>
      </c>
      <c r="K1399" s="9" t="s">
        <v>7719</v>
      </c>
      <c r="L1399" s="9" t="s">
        <v>7720</v>
      </c>
      <c r="M1399" s="9" t="s">
        <v>7721</v>
      </c>
      <c r="N1399" s="9" t="s">
        <v>1082</v>
      </c>
      <c r="O1399" s="6">
        <f t="shared" si="27"/>
        <v>1859.9999519097828</v>
      </c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</row>
    <row r="1400" spans="1:27" ht="12.75" x14ac:dyDescent="0.2">
      <c r="A1400" s="5" t="s">
        <v>2937</v>
      </c>
      <c r="B1400" s="5" t="s">
        <v>2937</v>
      </c>
      <c r="C1400" s="4">
        <v>818</v>
      </c>
      <c r="D1400" s="6" t="e">
        <f t="shared" si="25"/>
        <v>#VALUE!</v>
      </c>
      <c r="E1400" s="6" t="s">
        <v>6740</v>
      </c>
      <c r="F1400" s="7">
        <v>464</v>
      </c>
      <c r="G1400" s="6" t="s">
        <v>28</v>
      </c>
      <c r="H1400" s="8" t="s">
        <v>7722</v>
      </c>
      <c r="I1400" s="10" t="s">
        <v>7723</v>
      </c>
      <c r="J1400" s="9" t="s">
        <v>7724</v>
      </c>
      <c r="K1400" s="9" t="s">
        <v>7725</v>
      </c>
      <c r="L1400" s="9" t="s">
        <v>7726</v>
      </c>
      <c r="M1400" s="9" t="s">
        <v>7727</v>
      </c>
      <c r="N1400" s="9" t="s">
        <v>1082</v>
      </c>
      <c r="O1400" s="6">
        <f t="shared" si="27"/>
        <v>1860.0000480313165</v>
      </c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</row>
    <row r="1401" spans="1:27" ht="12.75" x14ac:dyDescent="0.2">
      <c r="A1401" s="5" t="s">
        <v>2937</v>
      </c>
      <c r="B1401" s="5" t="s">
        <v>2937</v>
      </c>
      <c r="C1401" s="4">
        <v>819</v>
      </c>
      <c r="D1401" s="6" t="e">
        <f t="shared" si="25"/>
        <v>#VALUE!</v>
      </c>
      <c r="E1401" s="6" t="s">
        <v>3773</v>
      </c>
      <c r="F1401" s="7">
        <v>464</v>
      </c>
      <c r="G1401" s="6" t="s">
        <v>21</v>
      </c>
      <c r="H1401" s="11" t="s">
        <v>7728</v>
      </c>
      <c r="I1401" s="9" t="s">
        <v>7729</v>
      </c>
      <c r="J1401" s="9" t="s">
        <v>7730</v>
      </c>
      <c r="K1401" s="9" t="s">
        <v>7731</v>
      </c>
      <c r="L1401" s="9" t="s">
        <v>7732</v>
      </c>
      <c r="M1401" s="9" t="s">
        <v>7733</v>
      </c>
      <c r="N1401" s="9" t="s">
        <v>1082</v>
      </c>
      <c r="O1401" s="6">
        <f t="shared" si="27"/>
        <v>2325.0000090172139</v>
      </c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</row>
    <row r="1402" spans="1:27" ht="12.75" x14ac:dyDescent="0.2">
      <c r="A1402" s="5" t="s">
        <v>2937</v>
      </c>
      <c r="B1402" s="5" t="s">
        <v>2937</v>
      </c>
      <c r="C1402" s="4">
        <v>820</v>
      </c>
      <c r="D1402" s="6" t="e">
        <f t="shared" si="25"/>
        <v>#VALUE!</v>
      </c>
      <c r="E1402" s="6" t="s">
        <v>7517</v>
      </c>
      <c r="F1402" s="7">
        <v>465</v>
      </c>
      <c r="G1402" s="6" t="s">
        <v>17</v>
      </c>
      <c r="H1402" s="8" t="s">
        <v>7734</v>
      </c>
      <c r="I1402" s="9" t="s">
        <v>7735</v>
      </c>
      <c r="J1402" s="10" t="s">
        <v>7736</v>
      </c>
      <c r="K1402" s="9" t="s">
        <v>7737</v>
      </c>
      <c r="L1402" s="9" t="s">
        <v>7738</v>
      </c>
      <c r="M1402" s="9" t="s">
        <v>7739</v>
      </c>
      <c r="N1402" s="9" t="s">
        <v>1082</v>
      </c>
      <c r="O1402" s="6">
        <f t="shared" si="27"/>
        <v>932</v>
      </c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</row>
    <row r="1403" spans="1:27" ht="12.75" x14ac:dyDescent="0.2">
      <c r="A1403" s="5" t="s">
        <v>2937</v>
      </c>
      <c r="B1403" s="5" t="s">
        <v>2937</v>
      </c>
      <c r="C1403" s="4">
        <v>821</v>
      </c>
      <c r="D1403" s="6" t="e">
        <f t="shared" si="25"/>
        <v>#VALUE!</v>
      </c>
      <c r="E1403" s="6" t="s">
        <v>7740</v>
      </c>
      <c r="F1403" s="7">
        <v>465</v>
      </c>
      <c r="G1403" s="6" t="s">
        <v>28</v>
      </c>
      <c r="H1403" s="8" t="s">
        <v>7741</v>
      </c>
      <c r="I1403" s="10" t="s">
        <v>7742</v>
      </c>
      <c r="J1403" s="9" t="s">
        <v>7743</v>
      </c>
      <c r="K1403" s="9" t="s">
        <v>7744</v>
      </c>
      <c r="L1403" s="9" t="s">
        <v>7745</v>
      </c>
      <c r="M1403" s="9" t="s">
        <v>7746</v>
      </c>
      <c r="N1403" s="9" t="s">
        <v>1082</v>
      </c>
      <c r="O1403" s="6">
        <f t="shared" si="27"/>
        <v>1864.0000954756476</v>
      </c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</row>
    <row r="1404" spans="1:27" ht="12.75" x14ac:dyDescent="0.2">
      <c r="A1404" s="5" t="s">
        <v>2937</v>
      </c>
      <c r="B1404" s="5" t="s">
        <v>2937</v>
      </c>
      <c r="C1404" s="4">
        <v>822</v>
      </c>
      <c r="D1404" s="6" t="e">
        <f t="shared" si="25"/>
        <v>#VALUE!</v>
      </c>
      <c r="E1404" s="6" t="s">
        <v>3205</v>
      </c>
      <c r="F1404" s="7">
        <v>465</v>
      </c>
      <c r="G1404" s="6" t="s">
        <v>21</v>
      </c>
      <c r="H1404" s="11" t="s">
        <v>7747</v>
      </c>
      <c r="I1404" s="9" t="s">
        <v>7748</v>
      </c>
      <c r="J1404" s="9" t="s">
        <v>7749</v>
      </c>
      <c r="K1404" s="9" t="s">
        <v>7750</v>
      </c>
      <c r="L1404" s="9" t="s">
        <v>7751</v>
      </c>
      <c r="M1404" s="9" t="s">
        <v>7752</v>
      </c>
      <c r="N1404" s="9" t="s">
        <v>1082</v>
      </c>
      <c r="O1404" s="6">
        <f t="shared" si="27"/>
        <v>2329.9999820758017</v>
      </c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</row>
    <row r="1405" spans="1:27" ht="12.75" x14ac:dyDescent="0.2">
      <c r="A1405" s="5" t="s">
        <v>2937</v>
      </c>
      <c r="B1405" s="5" t="s">
        <v>2937</v>
      </c>
      <c r="C1405" s="4">
        <v>823</v>
      </c>
      <c r="D1405" s="6" t="e">
        <f t="shared" si="25"/>
        <v>#VALUE!</v>
      </c>
      <c r="E1405" s="6" t="s">
        <v>6602</v>
      </c>
      <c r="F1405" s="7">
        <v>465</v>
      </c>
      <c r="G1405" s="6" t="s">
        <v>17</v>
      </c>
      <c r="H1405" s="8" t="s">
        <v>7753</v>
      </c>
      <c r="I1405" s="9" t="s">
        <v>7754</v>
      </c>
      <c r="J1405" s="10" t="s">
        <v>7755</v>
      </c>
      <c r="K1405" s="9" t="s">
        <v>7756</v>
      </c>
      <c r="L1405" s="9" t="s">
        <v>7757</v>
      </c>
      <c r="M1405" s="9" t="s">
        <v>7758</v>
      </c>
      <c r="N1405" s="9" t="s">
        <v>1082</v>
      </c>
      <c r="O1405" s="6">
        <f t="shared" si="27"/>
        <v>932</v>
      </c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</row>
    <row r="1406" spans="1:27" ht="12.75" x14ac:dyDescent="0.2">
      <c r="A1406" s="5" t="s">
        <v>2937</v>
      </c>
      <c r="B1406" s="5" t="s">
        <v>2937</v>
      </c>
      <c r="C1406" s="4">
        <v>824</v>
      </c>
      <c r="D1406" s="6" t="e">
        <f t="shared" si="25"/>
        <v>#VALUE!</v>
      </c>
      <c r="E1406" s="6" t="s">
        <v>43</v>
      </c>
      <c r="F1406" s="7">
        <v>465</v>
      </c>
      <c r="G1406" s="6" t="s">
        <v>21</v>
      </c>
      <c r="H1406" s="11" t="s">
        <v>7759</v>
      </c>
      <c r="I1406" s="9" t="s">
        <v>7760</v>
      </c>
      <c r="J1406" s="9" t="s">
        <v>7761</v>
      </c>
      <c r="K1406" s="9" t="s">
        <v>7762</v>
      </c>
      <c r="L1406" s="9" t="s">
        <v>7763</v>
      </c>
      <c r="M1406" s="9" t="s">
        <v>7764</v>
      </c>
      <c r="N1406" s="9" t="s">
        <v>1082</v>
      </c>
      <c r="O1406" s="6">
        <f t="shared" si="27"/>
        <v>2329.9999821193887</v>
      </c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</row>
    <row r="1407" spans="1:27" ht="12.75" x14ac:dyDescent="0.2">
      <c r="A1407" s="5" t="s">
        <v>2937</v>
      </c>
      <c r="B1407" s="5" t="s">
        <v>2937</v>
      </c>
      <c r="C1407" s="4">
        <v>825</v>
      </c>
      <c r="D1407" s="6" t="e">
        <f t="shared" si="25"/>
        <v>#VALUE!</v>
      </c>
      <c r="E1407" s="6" t="s">
        <v>3231</v>
      </c>
      <c r="F1407" s="7">
        <v>466</v>
      </c>
      <c r="G1407" s="6" t="s">
        <v>21</v>
      </c>
      <c r="H1407" s="11" t="s">
        <v>7765</v>
      </c>
      <c r="I1407" s="9" t="s">
        <v>7766</v>
      </c>
      <c r="J1407" s="9" t="s">
        <v>7767</v>
      </c>
      <c r="K1407" s="9" t="s">
        <v>7768</v>
      </c>
      <c r="L1407" s="9" t="s">
        <v>7769</v>
      </c>
      <c r="M1407" s="9" t="s">
        <v>7770</v>
      </c>
      <c r="N1407" s="9" t="s">
        <v>1082</v>
      </c>
      <c r="O1407" s="6">
        <f t="shared" si="27"/>
        <v>2334.999946555502</v>
      </c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</row>
    <row r="1408" spans="1:27" ht="12.75" x14ac:dyDescent="0.2">
      <c r="A1408" s="5" t="s">
        <v>2937</v>
      </c>
      <c r="B1408" s="5" t="s">
        <v>2937</v>
      </c>
      <c r="C1408" s="4">
        <v>826</v>
      </c>
      <c r="D1408" s="6" t="e">
        <f t="shared" si="25"/>
        <v>#VALUE!</v>
      </c>
      <c r="E1408" s="6" t="s">
        <v>270</v>
      </c>
      <c r="F1408" s="7">
        <v>466</v>
      </c>
      <c r="G1408" s="6" t="s">
        <v>21</v>
      </c>
      <c r="H1408" s="11" t="s">
        <v>7771</v>
      </c>
      <c r="I1408" s="9" t="s">
        <v>7772</v>
      </c>
      <c r="J1408" s="9" t="s">
        <v>7748</v>
      </c>
      <c r="K1408" s="9" t="s">
        <v>7773</v>
      </c>
      <c r="L1408" s="9" t="s">
        <v>7774</v>
      </c>
      <c r="M1408" s="9" t="s">
        <v>7775</v>
      </c>
      <c r="N1408" s="9" t="s">
        <v>1082</v>
      </c>
      <c r="O1408" s="6">
        <f t="shared" si="27"/>
        <v>2335.0000266896791</v>
      </c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</row>
    <row r="1409" spans="1:27" ht="12.75" x14ac:dyDescent="0.2">
      <c r="A1409" s="5" t="s">
        <v>2937</v>
      </c>
      <c r="B1409" s="5" t="s">
        <v>2937</v>
      </c>
      <c r="C1409" s="4">
        <v>827</v>
      </c>
      <c r="D1409" s="6" t="e">
        <f t="shared" si="25"/>
        <v>#VALUE!</v>
      </c>
      <c r="E1409" s="6" t="s">
        <v>5407</v>
      </c>
      <c r="F1409" s="7">
        <v>466</v>
      </c>
      <c r="G1409" s="6" t="s">
        <v>17</v>
      </c>
      <c r="H1409" s="8" t="s">
        <v>7776</v>
      </c>
      <c r="I1409" s="9" t="s">
        <v>7777</v>
      </c>
      <c r="J1409" s="10" t="s">
        <v>7778</v>
      </c>
      <c r="K1409" s="9" t="s">
        <v>7779</v>
      </c>
      <c r="L1409" s="9" t="s">
        <v>7780</v>
      </c>
      <c r="M1409" s="9" t="s">
        <v>7781</v>
      </c>
      <c r="N1409" s="9" t="s">
        <v>1082</v>
      </c>
      <c r="O1409" s="6">
        <f t="shared" si="27"/>
        <v>934.0000238330731</v>
      </c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</row>
    <row r="1410" spans="1:27" ht="12.75" x14ac:dyDescent="0.2">
      <c r="A1410" s="5" t="s">
        <v>2937</v>
      </c>
      <c r="B1410" s="5" t="s">
        <v>2937</v>
      </c>
      <c r="C1410" s="4">
        <v>828</v>
      </c>
      <c r="D1410" s="6" t="e">
        <f t="shared" si="25"/>
        <v>#VALUE!</v>
      </c>
      <c r="E1410" s="6" t="s">
        <v>492</v>
      </c>
      <c r="F1410" s="7">
        <v>466</v>
      </c>
      <c r="G1410" s="6" t="s">
        <v>17</v>
      </c>
      <c r="H1410" s="8" t="s">
        <v>7782</v>
      </c>
      <c r="I1410" s="9" t="s">
        <v>7783</v>
      </c>
      <c r="J1410" s="10" t="s">
        <v>7784</v>
      </c>
      <c r="K1410" s="9" t="s">
        <v>7785</v>
      </c>
      <c r="L1410" s="9" t="s">
        <v>7786</v>
      </c>
      <c r="M1410" s="9" t="s">
        <v>7787</v>
      </c>
      <c r="N1410" s="9" t="s">
        <v>1082</v>
      </c>
      <c r="O1410" s="6">
        <f t="shared" si="27"/>
        <v>933.99997619586043</v>
      </c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</row>
    <row r="1411" spans="1:27" ht="12.75" x14ac:dyDescent="0.2">
      <c r="A1411" s="5" t="s">
        <v>2937</v>
      </c>
      <c r="B1411" s="5" t="s">
        <v>2937</v>
      </c>
      <c r="C1411" s="4">
        <v>829</v>
      </c>
      <c r="D1411" s="6" t="e">
        <f t="shared" si="25"/>
        <v>#VALUE!</v>
      </c>
      <c r="E1411" s="6" t="s">
        <v>721</v>
      </c>
      <c r="F1411" s="7">
        <v>466</v>
      </c>
      <c r="G1411" s="6" t="s">
        <v>17</v>
      </c>
      <c r="H1411" s="8" t="s">
        <v>7788</v>
      </c>
      <c r="I1411" s="9" t="s">
        <v>7789</v>
      </c>
      <c r="J1411" s="10" t="s">
        <v>7790</v>
      </c>
      <c r="K1411" s="9" t="s">
        <v>7791</v>
      </c>
      <c r="L1411" s="9" t="s">
        <v>7792</v>
      </c>
      <c r="M1411" s="9" t="s">
        <v>7793</v>
      </c>
      <c r="N1411" s="9" t="s">
        <v>1082</v>
      </c>
      <c r="O1411" s="6">
        <f t="shared" ref="O1411:O1474" si="28">M1411/K1411</f>
        <v>934.00002377527608</v>
      </c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</row>
    <row r="1412" spans="1:27" ht="12.75" x14ac:dyDescent="0.2">
      <c r="A1412" s="5" t="s">
        <v>2937</v>
      </c>
      <c r="B1412" s="5" t="s">
        <v>2937</v>
      </c>
      <c r="C1412" s="4">
        <v>830</v>
      </c>
      <c r="D1412" s="6" t="e">
        <f t="shared" si="25"/>
        <v>#VALUE!</v>
      </c>
      <c r="E1412" s="6" t="s">
        <v>82</v>
      </c>
      <c r="F1412" s="7">
        <v>467</v>
      </c>
      <c r="G1412" s="6" t="s">
        <v>21</v>
      </c>
      <c r="H1412" s="11" t="s">
        <v>7794</v>
      </c>
      <c r="I1412" s="9" t="s">
        <v>7738</v>
      </c>
      <c r="J1412" s="9" t="s">
        <v>7795</v>
      </c>
      <c r="K1412" s="9" t="s">
        <v>7796</v>
      </c>
      <c r="L1412" s="9" t="s">
        <v>7797</v>
      </c>
      <c r="M1412" s="9" t="s">
        <v>7798</v>
      </c>
      <c r="N1412" s="9" t="s">
        <v>1082</v>
      </c>
      <c r="O1412" s="6">
        <f t="shared" si="28"/>
        <v>2340</v>
      </c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</row>
    <row r="1413" spans="1:27" ht="12.75" x14ac:dyDescent="0.2">
      <c r="A1413" s="5" t="s">
        <v>2937</v>
      </c>
      <c r="B1413" s="5" t="s">
        <v>2937</v>
      </c>
      <c r="C1413" s="4">
        <v>831</v>
      </c>
      <c r="D1413" s="6" t="e">
        <f t="shared" si="25"/>
        <v>#VALUE!</v>
      </c>
      <c r="E1413" s="6" t="s">
        <v>7799</v>
      </c>
      <c r="F1413" s="7">
        <v>467</v>
      </c>
      <c r="G1413" s="6" t="s">
        <v>28</v>
      </c>
      <c r="H1413" s="8" t="s">
        <v>7800</v>
      </c>
      <c r="I1413" s="10" t="s">
        <v>7801</v>
      </c>
      <c r="J1413" s="9" t="s">
        <v>6742</v>
      </c>
      <c r="K1413" s="9" t="s">
        <v>7802</v>
      </c>
      <c r="L1413" s="9" t="s">
        <v>7803</v>
      </c>
      <c r="M1413" s="9" t="s">
        <v>7804</v>
      </c>
      <c r="N1413" s="9" t="s">
        <v>1082</v>
      </c>
      <c r="O1413" s="6">
        <f t="shared" si="28"/>
        <v>1872</v>
      </c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</row>
    <row r="1414" spans="1:27" ht="12.75" x14ac:dyDescent="0.2">
      <c r="A1414" s="5" t="s">
        <v>2937</v>
      </c>
      <c r="B1414" s="5" t="s">
        <v>2937</v>
      </c>
      <c r="C1414" s="4">
        <v>832</v>
      </c>
      <c r="D1414" s="6" t="e">
        <f t="shared" si="25"/>
        <v>#VALUE!</v>
      </c>
      <c r="E1414" s="6" t="s">
        <v>7283</v>
      </c>
      <c r="F1414" s="7">
        <v>467</v>
      </c>
      <c r="G1414" s="6" t="s">
        <v>17</v>
      </c>
      <c r="H1414" s="8" t="s">
        <v>7805</v>
      </c>
      <c r="I1414" s="9" t="s">
        <v>7806</v>
      </c>
      <c r="J1414" s="10" t="s">
        <v>7807</v>
      </c>
      <c r="K1414" s="9" t="s">
        <v>7808</v>
      </c>
      <c r="L1414" s="9" t="s">
        <v>7809</v>
      </c>
      <c r="M1414" s="9" t="s">
        <v>7810</v>
      </c>
      <c r="N1414" s="9" t="s">
        <v>1082</v>
      </c>
      <c r="O1414" s="6">
        <f t="shared" si="28"/>
        <v>936</v>
      </c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</row>
    <row r="1415" spans="1:27" ht="12.75" x14ac:dyDescent="0.2">
      <c r="A1415" s="5" t="s">
        <v>2937</v>
      </c>
      <c r="B1415" s="5" t="s">
        <v>2937</v>
      </c>
      <c r="C1415" s="4">
        <v>833</v>
      </c>
      <c r="D1415" s="6" t="e">
        <f t="shared" si="25"/>
        <v>#VALUE!</v>
      </c>
      <c r="E1415" s="6" t="s">
        <v>5450</v>
      </c>
      <c r="F1415" s="7">
        <v>467</v>
      </c>
      <c r="G1415" s="6" t="s">
        <v>17</v>
      </c>
      <c r="H1415" s="8" t="s">
        <v>7811</v>
      </c>
      <c r="I1415" s="9" t="s">
        <v>7812</v>
      </c>
      <c r="J1415" s="10" t="s">
        <v>7813</v>
      </c>
      <c r="K1415" s="9" t="s">
        <v>7814</v>
      </c>
      <c r="L1415" s="9" t="s">
        <v>7815</v>
      </c>
      <c r="M1415" s="9" t="s">
        <v>7816</v>
      </c>
      <c r="N1415" s="9" t="s">
        <v>1082</v>
      </c>
      <c r="O1415" s="6">
        <f t="shared" si="28"/>
        <v>936</v>
      </c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</row>
    <row r="1416" spans="1:27" ht="12.75" x14ac:dyDescent="0.2">
      <c r="A1416" s="5" t="s">
        <v>2937</v>
      </c>
      <c r="B1416" s="5" t="s">
        <v>2937</v>
      </c>
      <c r="C1416" s="4">
        <v>834</v>
      </c>
      <c r="D1416" s="6" t="e">
        <f t="shared" si="25"/>
        <v>#VALUE!</v>
      </c>
      <c r="E1416" s="6" t="s">
        <v>7817</v>
      </c>
      <c r="F1416" s="7">
        <v>467</v>
      </c>
      <c r="G1416" s="6" t="s">
        <v>21</v>
      </c>
      <c r="H1416" s="11" t="s">
        <v>7818</v>
      </c>
      <c r="I1416" s="9" t="s">
        <v>7819</v>
      </c>
      <c r="J1416" s="9" t="s">
        <v>7820</v>
      </c>
      <c r="K1416" s="9" t="s">
        <v>7821</v>
      </c>
      <c r="L1416" s="9" t="s">
        <v>7822</v>
      </c>
      <c r="M1416" s="9" t="s">
        <v>7823</v>
      </c>
      <c r="N1416" s="9" t="s">
        <v>1082</v>
      </c>
      <c r="O1416" s="6">
        <f t="shared" si="28"/>
        <v>2339.9999296777482</v>
      </c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</row>
    <row r="1417" spans="1:27" ht="12.75" x14ac:dyDescent="0.2">
      <c r="A1417" s="5" t="s">
        <v>2937</v>
      </c>
      <c r="B1417" s="5" t="s">
        <v>2937</v>
      </c>
      <c r="C1417" s="4">
        <v>835</v>
      </c>
      <c r="D1417" s="6" t="e">
        <f t="shared" si="25"/>
        <v>#VALUE!</v>
      </c>
      <c r="E1417" s="6" t="s">
        <v>7824</v>
      </c>
      <c r="F1417" s="7">
        <v>468</v>
      </c>
      <c r="G1417" s="6" t="s">
        <v>21</v>
      </c>
      <c r="H1417" s="11" t="s">
        <v>7825</v>
      </c>
      <c r="I1417" s="9" t="s">
        <v>7826</v>
      </c>
      <c r="J1417" s="9" t="s">
        <v>7827</v>
      </c>
      <c r="K1417" s="9" t="s">
        <v>7828</v>
      </c>
      <c r="L1417" s="9" t="s">
        <v>7829</v>
      </c>
      <c r="M1417" s="9" t="s">
        <v>7830</v>
      </c>
      <c r="N1417" s="9" t="s">
        <v>1082</v>
      </c>
      <c r="O1417" s="6">
        <f t="shared" si="28"/>
        <v>2345.0000437908898</v>
      </c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</row>
    <row r="1418" spans="1:27" ht="12.75" x14ac:dyDescent="0.2">
      <c r="A1418" s="5" t="s">
        <v>2937</v>
      </c>
      <c r="B1418" s="5" t="s">
        <v>2937</v>
      </c>
      <c r="C1418" s="4">
        <v>836</v>
      </c>
      <c r="D1418" s="6" t="e">
        <f t="shared" si="25"/>
        <v>#VALUE!</v>
      </c>
      <c r="E1418" s="6" t="s">
        <v>7831</v>
      </c>
      <c r="F1418" s="7">
        <v>468</v>
      </c>
      <c r="G1418" s="6" t="s">
        <v>28</v>
      </c>
      <c r="H1418" s="8" t="s">
        <v>7832</v>
      </c>
      <c r="I1418" s="10" t="s">
        <v>7833</v>
      </c>
      <c r="J1418" s="9" t="s">
        <v>7834</v>
      </c>
      <c r="K1418" s="9" t="s">
        <v>7835</v>
      </c>
      <c r="L1418" s="9" t="s">
        <v>7836</v>
      </c>
      <c r="M1418" s="9" t="s">
        <v>7837</v>
      </c>
      <c r="N1418" s="9" t="s">
        <v>1082</v>
      </c>
      <c r="O1418" s="6">
        <f t="shared" si="28"/>
        <v>1875.9999069269609</v>
      </c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</row>
    <row r="1419" spans="1:27" ht="12.75" x14ac:dyDescent="0.2">
      <c r="A1419" s="5" t="s">
        <v>2937</v>
      </c>
      <c r="B1419" s="5" t="s">
        <v>2937</v>
      </c>
      <c r="C1419" s="4">
        <v>837</v>
      </c>
      <c r="D1419" s="6" t="e">
        <f t="shared" si="25"/>
        <v>#VALUE!</v>
      </c>
      <c r="E1419" s="6" t="s">
        <v>3418</v>
      </c>
      <c r="F1419" s="7">
        <v>468</v>
      </c>
      <c r="G1419" s="6" t="s">
        <v>28</v>
      </c>
      <c r="H1419" s="8" t="s">
        <v>7838</v>
      </c>
      <c r="I1419" s="10" t="s">
        <v>7839</v>
      </c>
      <c r="J1419" s="9" t="s">
        <v>7840</v>
      </c>
      <c r="K1419" s="9" t="s">
        <v>7841</v>
      </c>
      <c r="L1419" s="9" t="s">
        <v>7842</v>
      </c>
      <c r="M1419" s="9" t="s">
        <v>7843</v>
      </c>
      <c r="N1419" s="9" t="s">
        <v>1082</v>
      </c>
      <c r="O1419" s="6">
        <f t="shared" si="28"/>
        <v>1875.9999535191791</v>
      </c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</row>
    <row r="1420" spans="1:27" ht="12.75" x14ac:dyDescent="0.2">
      <c r="A1420" s="5" t="s">
        <v>2937</v>
      </c>
      <c r="B1420" s="5" t="s">
        <v>2937</v>
      </c>
      <c r="C1420" s="4">
        <v>838</v>
      </c>
      <c r="D1420" s="6" t="e">
        <f t="shared" si="25"/>
        <v>#VALUE!</v>
      </c>
      <c r="E1420" s="6" t="s">
        <v>4678</v>
      </c>
      <c r="F1420" s="7">
        <v>468</v>
      </c>
      <c r="G1420" s="6" t="s">
        <v>17</v>
      </c>
      <c r="H1420" s="8" t="s">
        <v>7844</v>
      </c>
      <c r="I1420" s="9" t="s">
        <v>7845</v>
      </c>
      <c r="J1420" s="10" t="s">
        <v>7846</v>
      </c>
      <c r="K1420" s="9" t="s">
        <v>7847</v>
      </c>
      <c r="L1420" s="9" t="s">
        <v>7848</v>
      </c>
      <c r="M1420" s="9" t="s">
        <v>7849</v>
      </c>
      <c r="N1420" s="9" t="s">
        <v>1082</v>
      </c>
      <c r="O1420" s="6">
        <f t="shared" si="28"/>
        <v>938</v>
      </c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</row>
    <row r="1421" spans="1:27" ht="12.75" x14ac:dyDescent="0.2">
      <c r="A1421" s="5" t="s">
        <v>2937</v>
      </c>
      <c r="B1421" s="5" t="s">
        <v>2937</v>
      </c>
      <c r="C1421" s="4">
        <v>839</v>
      </c>
      <c r="D1421" s="6" t="e">
        <f t="shared" si="25"/>
        <v>#VALUE!</v>
      </c>
      <c r="E1421" s="6" t="s">
        <v>5063</v>
      </c>
      <c r="F1421" s="7">
        <v>468</v>
      </c>
      <c r="G1421" s="6" t="s">
        <v>17</v>
      </c>
      <c r="H1421" s="8" t="s">
        <v>4663</v>
      </c>
      <c r="I1421" s="9" t="s">
        <v>7850</v>
      </c>
      <c r="J1421" s="10" t="s">
        <v>7851</v>
      </c>
      <c r="K1421" s="9" t="s">
        <v>7852</v>
      </c>
      <c r="L1421" s="9" t="s">
        <v>5174</v>
      </c>
      <c r="M1421" s="9" t="s">
        <v>7853</v>
      </c>
      <c r="N1421" s="9" t="s">
        <v>1082</v>
      </c>
      <c r="O1421" s="6">
        <f t="shared" si="28"/>
        <v>938.00004675191099</v>
      </c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</row>
    <row r="1422" spans="1:27" ht="12.75" x14ac:dyDescent="0.2">
      <c r="A1422" s="5" t="s">
        <v>2937</v>
      </c>
      <c r="B1422" s="5" t="s">
        <v>2937</v>
      </c>
      <c r="C1422" s="4">
        <v>840</v>
      </c>
      <c r="D1422" s="6" t="e">
        <f t="shared" si="25"/>
        <v>#VALUE!</v>
      </c>
      <c r="E1422" s="6" t="s">
        <v>5275</v>
      </c>
      <c r="F1422" s="7">
        <v>469</v>
      </c>
      <c r="G1422" s="6" t="s">
        <v>28</v>
      </c>
      <c r="H1422" s="8" t="s">
        <v>7854</v>
      </c>
      <c r="I1422" s="10" t="s">
        <v>7855</v>
      </c>
      <c r="J1422" s="9" t="s">
        <v>7856</v>
      </c>
      <c r="K1422" s="9" t="s">
        <v>7857</v>
      </c>
      <c r="L1422" s="9" t="s">
        <v>7858</v>
      </c>
      <c r="M1422" s="9" t="s">
        <v>7859</v>
      </c>
      <c r="N1422" s="9" t="s">
        <v>1082</v>
      </c>
      <c r="O1422" s="6">
        <f t="shared" si="28"/>
        <v>1880.0000924032943</v>
      </c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</row>
    <row r="1423" spans="1:27" ht="12.75" x14ac:dyDescent="0.2">
      <c r="A1423" s="5" t="s">
        <v>2937</v>
      </c>
      <c r="B1423" s="5" t="s">
        <v>2937</v>
      </c>
      <c r="C1423" s="4">
        <v>841</v>
      </c>
      <c r="D1423" s="6" t="e">
        <f t="shared" si="25"/>
        <v>#VALUE!</v>
      </c>
      <c r="E1423" s="6" t="s">
        <v>564</v>
      </c>
      <c r="F1423" s="7">
        <v>469</v>
      </c>
      <c r="G1423" s="6" t="s">
        <v>17</v>
      </c>
      <c r="H1423" s="8" t="s">
        <v>7860</v>
      </c>
      <c r="I1423" s="9" t="s">
        <v>7861</v>
      </c>
      <c r="J1423" s="10" t="s">
        <v>7862</v>
      </c>
      <c r="K1423" s="9" t="s">
        <v>7863</v>
      </c>
      <c r="L1423" s="9" t="s">
        <v>7864</v>
      </c>
      <c r="M1423" s="9" t="s">
        <v>7865</v>
      </c>
      <c r="N1423" s="9" t="s">
        <v>1082</v>
      </c>
      <c r="O1423" s="6">
        <f t="shared" si="28"/>
        <v>940</v>
      </c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</row>
    <row r="1424" spans="1:27" ht="12.75" x14ac:dyDescent="0.2">
      <c r="A1424" s="5" t="s">
        <v>2937</v>
      </c>
      <c r="B1424" s="5" t="s">
        <v>2937</v>
      </c>
      <c r="C1424" s="4">
        <v>842</v>
      </c>
      <c r="D1424" s="6" t="e">
        <f t="shared" si="25"/>
        <v>#VALUE!</v>
      </c>
      <c r="E1424" s="6" t="s">
        <v>3385</v>
      </c>
      <c r="F1424" s="7">
        <v>469</v>
      </c>
      <c r="G1424" s="6" t="s">
        <v>21</v>
      </c>
      <c r="H1424" s="11" t="s">
        <v>7866</v>
      </c>
      <c r="I1424" s="9" t="s">
        <v>7867</v>
      </c>
      <c r="J1424" s="9" t="s">
        <v>7868</v>
      </c>
      <c r="K1424" s="9" t="s">
        <v>7869</v>
      </c>
      <c r="L1424" s="9" t="s">
        <v>7870</v>
      </c>
      <c r="M1424" s="9" t="s">
        <v>7871</v>
      </c>
      <c r="N1424" s="9" t="s">
        <v>1082</v>
      </c>
      <c r="O1424" s="6">
        <f t="shared" si="28"/>
        <v>2350.0000519845084</v>
      </c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</row>
    <row r="1425" spans="1:27" ht="12.75" x14ac:dyDescent="0.2">
      <c r="A1425" s="5" t="s">
        <v>2937</v>
      </c>
      <c r="B1425" s="5" t="s">
        <v>2937</v>
      </c>
      <c r="C1425" s="4">
        <v>843</v>
      </c>
      <c r="D1425" s="6" t="e">
        <f t="shared" si="25"/>
        <v>#VALUE!</v>
      </c>
      <c r="E1425" s="6" t="s">
        <v>6204</v>
      </c>
      <c r="F1425" s="7">
        <v>469</v>
      </c>
      <c r="G1425" s="6" t="s">
        <v>28</v>
      </c>
      <c r="H1425" s="8" t="s">
        <v>7872</v>
      </c>
      <c r="I1425" s="10" t="s">
        <v>7873</v>
      </c>
      <c r="J1425" s="9" t="s">
        <v>7874</v>
      </c>
      <c r="K1425" s="9" t="s">
        <v>7875</v>
      </c>
      <c r="L1425" s="9" t="s">
        <v>7876</v>
      </c>
      <c r="M1425" s="9" t="s">
        <v>7877</v>
      </c>
      <c r="N1425" s="9" t="s">
        <v>1082</v>
      </c>
      <c r="O1425" s="6">
        <f t="shared" si="28"/>
        <v>1880</v>
      </c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</row>
    <row r="1426" spans="1:27" ht="12.75" x14ac:dyDescent="0.2">
      <c r="A1426" s="5" t="s">
        <v>2937</v>
      </c>
      <c r="B1426" s="5" t="s">
        <v>2937</v>
      </c>
      <c r="C1426" s="4">
        <v>844</v>
      </c>
      <c r="D1426" s="6" t="e">
        <f t="shared" si="25"/>
        <v>#VALUE!</v>
      </c>
      <c r="E1426" s="6" t="s">
        <v>3006</v>
      </c>
      <c r="F1426" s="7">
        <v>469</v>
      </c>
      <c r="G1426" s="6" t="s">
        <v>28</v>
      </c>
      <c r="H1426" s="8" t="s">
        <v>7878</v>
      </c>
      <c r="I1426" s="10" t="s">
        <v>7879</v>
      </c>
      <c r="J1426" s="9" t="s">
        <v>7880</v>
      </c>
      <c r="K1426" s="9" t="s">
        <v>7881</v>
      </c>
      <c r="L1426" s="9" t="s">
        <v>7882</v>
      </c>
      <c r="M1426" s="9" t="s">
        <v>7883</v>
      </c>
      <c r="N1426" s="9" t="s">
        <v>1082</v>
      </c>
      <c r="O1426" s="6">
        <f t="shared" si="28"/>
        <v>1880.0000919656509</v>
      </c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</row>
    <row r="1427" spans="1:27" ht="12.75" x14ac:dyDescent="0.2">
      <c r="A1427" s="5" t="s">
        <v>2937</v>
      </c>
      <c r="B1427" s="5" t="s">
        <v>2937</v>
      </c>
      <c r="C1427" s="4">
        <v>845</v>
      </c>
      <c r="D1427" s="6" t="e">
        <f t="shared" si="25"/>
        <v>#VALUE!</v>
      </c>
      <c r="E1427" s="6" t="s">
        <v>3800</v>
      </c>
      <c r="F1427" s="7">
        <v>470</v>
      </c>
      <c r="G1427" s="6" t="s">
        <v>17</v>
      </c>
      <c r="H1427" s="8" t="s">
        <v>7884</v>
      </c>
      <c r="I1427" s="9" t="s">
        <v>7885</v>
      </c>
      <c r="J1427" s="10" t="s">
        <v>7886</v>
      </c>
      <c r="K1427" s="9" t="s">
        <v>7887</v>
      </c>
      <c r="L1427" s="9" t="s">
        <v>7888</v>
      </c>
      <c r="M1427" s="9" t="s">
        <v>7889</v>
      </c>
      <c r="N1427" s="9" t="s">
        <v>1082</v>
      </c>
      <c r="O1427" s="6">
        <f t="shared" si="28"/>
        <v>942</v>
      </c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</row>
    <row r="1428" spans="1:27" ht="12.75" x14ac:dyDescent="0.2">
      <c r="A1428" s="5" t="s">
        <v>2937</v>
      </c>
      <c r="B1428" s="5" t="s">
        <v>2937</v>
      </c>
      <c r="C1428" s="4">
        <v>846</v>
      </c>
      <c r="D1428" s="6" t="e">
        <f t="shared" si="25"/>
        <v>#VALUE!</v>
      </c>
      <c r="E1428" s="6" t="s">
        <v>7831</v>
      </c>
      <c r="F1428" s="7">
        <v>470</v>
      </c>
      <c r="G1428" s="6" t="s">
        <v>28</v>
      </c>
      <c r="H1428" s="8" t="s">
        <v>7890</v>
      </c>
      <c r="I1428" s="10" t="s">
        <v>7891</v>
      </c>
      <c r="J1428" s="9" t="s">
        <v>7892</v>
      </c>
      <c r="K1428" s="9" t="s">
        <v>7893</v>
      </c>
      <c r="L1428" s="9" t="s">
        <v>7894</v>
      </c>
      <c r="M1428" s="9" t="s">
        <v>7895</v>
      </c>
      <c r="N1428" s="9" t="s">
        <v>1082</v>
      </c>
      <c r="O1428" s="6">
        <f t="shared" si="28"/>
        <v>1884</v>
      </c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</row>
    <row r="1429" spans="1:27" ht="12.75" x14ac:dyDescent="0.2">
      <c r="A1429" s="5" t="s">
        <v>2937</v>
      </c>
      <c r="B1429" s="5" t="s">
        <v>2937</v>
      </c>
      <c r="C1429" s="4">
        <v>847</v>
      </c>
      <c r="D1429" s="6" t="e">
        <f t="shared" si="25"/>
        <v>#VALUE!</v>
      </c>
      <c r="E1429" s="6" t="s">
        <v>3083</v>
      </c>
      <c r="F1429" s="7">
        <v>470</v>
      </c>
      <c r="G1429" s="6" t="s">
        <v>17</v>
      </c>
      <c r="H1429" s="8" t="s">
        <v>7896</v>
      </c>
      <c r="I1429" s="9" t="s">
        <v>7897</v>
      </c>
      <c r="J1429" s="10" t="s">
        <v>7898</v>
      </c>
      <c r="K1429" s="9" t="s">
        <v>7899</v>
      </c>
      <c r="L1429" s="9" t="s">
        <v>7900</v>
      </c>
      <c r="M1429" s="9" t="s">
        <v>7901</v>
      </c>
      <c r="N1429" s="9" t="s">
        <v>1082</v>
      </c>
      <c r="O1429" s="6">
        <f t="shared" si="28"/>
        <v>942</v>
      </c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</row>
    <row r="1430" spans="1:27" ht="12.75" x14ac:dyDescent="0.2">
      <c r="A1430" s="5" t="s">
        <v>2937</v>
      </c>
      <c r="B1430" s="5" t="s">
        <v>2937</v>
      </c>
      <c r="C1430" s="4">
        <v>848</v>
      </c>
      <c r="D1430" s="6" t="e">
        <f t="shared" si="25"/>
        <v>#VALUE!</v>
      </c>
      <c r="E1430" s="6" t="s">
        <v>7902</v>
      </c>
      <c r="F1430" s="7">
        <v>470</v>
      </c>
      <c r="G1430" s="6" t="s">
        <v>28</v>
      </c>
      <c r="H1430" s="8" t="s">
        <v>7903</v>
      </c>
      <c r="I1430" s="10" t="s">
        <v>7904</v>
      </c>
      <c r="J1430" s="9" t="s">
        <v>7905</v>
      </c>
      <c r="K1430" s="9" t="s">
        <v>7906</v>
      </c>
      <c r="L1430" s="9" t="s">
        <v>7907</v>
      </c>
      <c r="M1430" s="9" t="s">
        <v>7908</v>
      </c>
      <c r="N1430" s="9" t="s">
        <v>1082</v>
      </c>
      <c r="O1430" s="6">
        <f t="shared" si="28"/>
        <v>1883.999954345717</v>
      </c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</row>
    <row r="1431" spans="1:27" ht="12.75" x14ac:dyDescent="0.2">
      <c r="A1431" s="5" t="s">
        <v>2937</v>
      </c>
      <c r="B1431" s="5" t="s">
        <v>2937</v>
      </c>
      <c r="C1431" s="4">
        <v>849</v>
      </c>
      <c r="D1431" s="6" t="e">
        <f t="shared" si="25"/>
        <v>#VALUE!</v>
      </c>
      <c r="E1431" s="6" t="s">
        <v>5132</v>
      </c>
      <c r="F1431" s="7">
        <v>470</v>
      </c>
      <c r="G1431" s="6" t="s">
        <v>28</v>
      </c>
      <c r="H1431" s="8" t="s">
        <v>7909</v>
      </c>
      <c r="I1431" s="10" t="s">
        <v>7910</v>
      </c>
      <c r="J1431" s="9" t="s">
        <v>7911</v>
      </c>
      <c r="K1431" s="9" t="s">
        <v>7912</v>
      </c>
      <c r="L1431" s="9" t="s">
        <v>7913</v>
      </c>
      <c r="M1431" s="9" t="s">
        <v>7914</v>
      </c>
      <c r="N1431" s="9" t="s">
        <v>1082</v>
      </c>
      <c r="O1431" s="6">
        <f t="shared" si="28"/>
        <v>1883.9999543998449</v>
      </c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</row>
    <row r="1432" spans="1:27" ht="12.75" x14ac:dyDescent="0.2">
      <c r="A1432" s="5" t="s">
        <v>2937</v>
      </c>
      <c r="B1432" s="5" t="s">
        <v>2937</v>
      </c>
      <c r="C1432" s="4">
        <v>850</v>
      </c>
      <c r="D1432" s="6" t="e">
        <f t="shared" si="25"/>
        <v>#VALUE!</v>
      </c>
      <c r="E1432" s="6" t="s">
        <v>3731</v>
      </c>
      <c r="F1432" s="7">
        <v>471</v>
      </c>
      <c r="G1432" s="6" t="s">
        <v>17</v>
      </c>
      <c r="H1432" s="8" t="s">
        <v>7915</v>
      </c>
      <c r="I1432" s="9" t="s">
        <v>6786</v>
      </c>
      <c r="J1432" s="10" t="s">
        <v>7916</v>
      </c>
      <c r="K1432" s="9" t="s">
        <v>7917</v>
      </c>
      <c r="L1432" s="9" t="s">
        <v>7918</v>
      </c>
      <c r="M1432" s="9" t="s">
        <v>7919</v>
      </c>
      <c r="N1432" s="9" t="s">
        <v>1082</v>
      </c>
      <c r="O1432" s="6">
        <f t="shared" si="28"/>
        <v>944</v>
      </c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</row>
    <row r="1433" spans="1:27" ht="12.75" x14ac:dyDescent="0.2">
      <c r="A1433" s="5" t="s">
        <v>2937</v>
      </c>
      <c r="B1433" s="5" t="s">
        <v>2937</v>
      </c>
      <c r="C1433" s="4">
        <v>851</v>
      </c>
      <c r="D1433" s="6" t="e">
        <f t="shared" si="25"/>
        <v>#VALUE!</v>
      </c>
      <c r="E1433" s="6" t="s">
        <v>5450</v>
      </c>
      <c r="F1433" s="7">
        <v>471</v>
      </c>
      <c r="G1433" s="6" t="s">
        <v>21</v>
      </c>
      <c r="H1433" s="11" t="s">
        <v>7920</v>
      </c>
      <c r="I1433" s="9" t="s">
        <v>7921</v>
      </c>
      <c r="J1433" s="9" t="s">
        <v>7922</v>
      </c>
      <c r="K1433" s="9" t="s">
        <v>7923</v>
      </c>
      <c r="L1433" s="9" t="s">
        <v>7924</v>
      </c>
      <c r="M1433" s="9" t="s">
        <v>7925</v>
      </c>
      <c r="N1433" s="9" t="s">
        <v>1082</v>
      </c>
      <c r="O1433" s="6">
        <f t="shared" si="28"/>
        <v>2360.0000682448285</v>
      </c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</row>
    <row r="1434" spans="1:27" ht="12.75" x14ac:dyDescent="0.2">
      <c r="A1434" s="5" t="s">
        <v>2937</v>
      </c>
      <c r="B1434" s="5" t="s">
        <v>2937</v>
      </c>
      <c r="C1434" s="4">
        <v>852</v>
      </c>
      <c r="D1434" s="6" t="e">
        <f t="shared" si="25"/>
        <v>#VALUE!</v>
      </c>
      <c r="E1434" s="6" t="s">
        <v>7926</v>
      </c>
      <c r="F1434" s="7">
        <v>471</v>
      </c>
      <c r="G1434" s="6" t="s">
        <v>21</v>
      </c>
      <c r="H1434" s="11" t="s">
        <v>7927</v>
      </c>
      <c r="I1434" s="9" t="s">
        <v>7928</v>
      </c>
      <c r="J1434" s="9" t="s">
        <v>7929</v>
      </c>
      <c r="K1434" s="9" t="s">
        <v>7930</v>
      </c>
      <c r="L1434" s="9" t="s">
        <v>7931</v>
      </c>
      <c r="M1434" s="9" t="s">
        <v>7932</v>
      </c>
      <c r="N1434" s="9" t="s">
        <v>1082</v>
      </c>
      <c r="O1434" s="6">
        <f t="shared" si="28"/>
        <v>2359.9999318354166</v>
      </c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</row>
    <row r="1435" spans="1:27" ht="12.75" x14ac:dyDescent="0.2">
      <c r="A1435" s="5" t="s">
        <v>2937</v>
      </c>
      <c r="B1435" s="5" t="s">
        <v>2937</v>
      </c>
      <c r="C1435" s="4">
        <v>853</v>
      </c>
      <c r="D1435" s="6" t="e">
        <f t="shared" si="25"/>
        <v>#VALUE!</v>
      </c>
      <c r="E1435" s="6" t="s">
        <v>3140</v>
      </c>
      <c r="F1435" s="7">
        <v>471</v>
      </c>
      <c r="G1435" s="6" t="s">
        <v>28</v>
      </c>
      <c r="H1435" s="8" t="s">
        <v>7933</v>
      </c>
      <c r="I1435" s="10" t="s">
        <v>7934</v>
      </c>
      <c r="J1435" s="9" t="s">
        <v>7935</v>
      </c>
      <c r="K1435" s="9" t="s">
        <v>7936</v>
      </c>
      <c r="L1435" s="9" t="s">
        <v>7937</v>
      </c>
      <c r="M1435" s="9" t="s">
        <v>7938</v>
      </c>
      <c r="N1435" s="9" t="s">
        <v>1082</v>
      </c>
      <c r="O1435" s="6">
        <f t="shared" si="28"/>
        <v>1888</v>
      </c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</row>
    <row r="1436" spans="1:27" ht="12.75" x14ac:dyDescent="0.2">
      <c r="A1436" s="5" t="s">
        <v>2937</v>
      </c>
      <c r="B1436" s="5" t="s">
        <v>2937</v>
      </c>
      <c r="C1436" s="4">
        <v>854</v>
      </c>
      <c r="D1436" s="6" t="e">
        <f t="shared" si="25"/>
        <v>#VALUE!</v>
      </c>
      <c r="E1436" s="6" t="s">
        <v>7939</v>
      </c>
      <c r="F1436" s="7">
        <v>471</v>
      </c>
      <c r="G1436" s="6" t="s">
        <v>21</v>
      </c>
      <c r="H1436" s="11" t="s">
        <v>7940</v>
      </c>
      <c r="I1436" s="9" t="s">
        <v>7941</v>
      </c>
      <c r="J1436" s="9" t="s">
        <v>7942</v>
      </c>
      <c r="K1436" s="9" t="s">
        <v>7943</v>
      </c>
      <c r="L1436" s="9" t="s">
        <v>7944</v>
      </c>
      <c r="M1436" s="9" t="s">
        <v>7945</v>
      </c>
      <c r="N1436" s="9" t="s">
        <v>1082</v>
      </c>
      <c r="O1436" s="6">
        <f t="shared" si="28"/>
        <v>2359.9998639895271</v>
      </c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</row>
    <row r="1437" spans="1:27" ht="12.75" x14ac:dyDescent="0.2">
      <c r="A1437" s="5" t="s">
        <v>2937</v>
      </c>
      <c r="B1437" s="5" t="s">
        <v>2937</v>
      </c>
      <c r="C1437" s="4">
        <v>855</v>
      </c>
      <c r="D1437" s="6" t="e">
        <f t="shared" si="25"/>
        <v>#VALUE!</v>
      </c>
      <c r="E1437" s="6" t="s">
        <v>3304</v>
      </c>
      <c r="F1437" s="7">
        <v>472</v>
      </c>
      <c r="G1437" s="6" t="s">
        <v>28</v>
      </c>
      <c r="H1437" s="8" t="s">
        <v>7946</v>
      </c>
      <c r="I1437" s="10" t="s">
        <v>7947</v>
      </c>
      <c r="J1437" s="9" t="s">
        <v>7948</v>
      </c>
      <c r="K1437" s="9" t="s">
        <v>7949</v>
      </c>
      <c r="L1437" s="9" t="s">
        <v>7950</v>
      </c>
      <c r="M1437" s="9" t="s">
        <v>7951</v>
      </c>
      <c r="N1437" s="9" t="s">
        <v>1082</v>
      </c>
      <c r="O1437" s="6">
        <f t="shared" si="28"/>
        <v>1891.9999549392244</v>
      </c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</row>
    <row r="1438" spans="1:27" ht="12.75" x14ac:dyDescent="0.2">
      <c r="A1438" s="5" t="s">
        <v>2937</v>
      </c>
      <c r="B1438" s="5" t="s">
        <v>2937</v>
      </c>
      <c r="C1438" s="4">
        <v>856</v>
      </c>
      <c r="D1438" s="6" t="e">
        <f t="shared" si="25"/>
        <v>#VALUE!</v>
      </c>
      <c r="E1438" s="6" t="s">
        <v>3976</v>
      </c>
      <c r="F1438" s="7">
        <v>472</v>
      </c>
      <c r="G1438" s="6" t="s">
        <v>21</v>
      </c>
      <c r="H1438" s="11" t="s">
        <v>7952</v>
      </c>
      <c r="I1438" s="9" t="s">
        <v>7953</v>
      </c>
      <c r="J1438" s="9" t="s">
        <v>7954</v>
      </c>
      <c r="K1438" s="9" t="s">
        <v>7955</v>
      </c>
      <c r="L1438" s="9" t="s">
        <v>7956</v>
      </c>
      <c r="M1438" s="9" t="s">
        <v>7957</v>
      </c>
      <c r="N1438" s="9" t="s">
        <v>1082</v>
      </c>
      <c r="O1438" s="6">
        <f t="shared" si="28"/>
        <v>2365.0001184413122</v>
      </c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</row>
    <row r="1439" spans="1:27" ht="12.75" x14ac:dyDescent="0.2">
      <c r="A1439" s="5" t="s">
        <v>2937</v>
      </c>
      <c r="B1439" s="5" t="s">
        <v>2937</v>
      </c>
      <c r="C1439" s="4">
        <v>857</v>
      </c>
      <c r="D1439" s="6" t="e">
        <f t="shared" si="25"/>
        <v>#VALUE!</v>
      </c>
      <c r="E1439" s="6" t="s">
        <v>82</v>
      </c>
      <c r="F1439" s="7">
        <v>472</v>
      </c>
      <c r="G1439" s="6" t="s">
        <v>21</v>
      </c>
      <c r="H1439" s="11" t="s">
        <v>7958</v>
      </c>
      <c r="I1439" s="9" t="s">
        <v>7959</v>
      </c>
      <c r="J1439" s="9" t="s">
        <v>7960</v>
      </c>
      <c r="K1439" s="9" t="s">
        <v>7961</v>
      </c>
      <c r="L1439" s="9" t="s">
        <v>1214</v>
      </c>
      <c r="M1439" s="9" t="s">
        <v>7962</v>
      </c>
      <c r="N1439" s="9" t="s">
        <v>1082</v>
      </c>
      <c r="O1439" s="6">
        <f t="shared" si="28"/>
        <v>2365.0000760526959</v>
      </c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</row>
    <row r="1440" spans="1:27" ht="12.75" x14ac:dyDescent="0.2">
      <c r="A1440" s="5" t="s">
        <v>2937</v>
      </c>
      <c r="B1440" s="5" t="s">
        <v>2937</v>
      </c>
      <c r="C1440" s="4">
        <v>858</v>
      </c>
      <c r="D1440" s="6" t="e">
        <f t="shared" si="25"/>
        <v>#VALUE!</v>
      </c>
      <c r="E1440" s="6" t="s">
        <v>3738</v>
      </c>
      <c r="F1440" s="7">
        <v>472</v>
      </c>
      <c r="G1440" s="6" t="s">
        <v>28</v>
      </c>
      <c r="H1440" s="8" t="s">
        <v>7963</v>
      </c>
      <c r="I1440" s="10" t="s">
        <v>7964</v>
      </c>
      <c r="J1440" s="9" t="s">
        <v>7965</v>
      </c>
      <c r="K1440" s="9" t="s">
        <v>7966</v>
      </c>
      <c r="L1440" s="9" t="s">
        <v>7967</v>
      </c>
      <c r="M1440" s="9" t="s">
        <v>7968</v>
      </c>
      <c r="N1440" s="9" t="s">
        <v>1082</v>
      </c>
      <c r="O1440" s="6">
        <f t="shared" si="28"/>
        <v>1891.9999550970465</v>
      </c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</row>
    <row r="1441" spans="1:27" ht="12.75" x14ac:dyDescent="0.2">
      <c r="A1441" s="5" t="s">
        <v>2937</v>
      </c>
      <c r="B1441" s="5" t="s">
        <v>2937</v>
      </c>
      <c r="C1441" s="4">
        <v>859</v>
      </c>
      <c r="D1441" s="6" t="e">
        <f t="shared" si="25"/>
        <v>#VALUE!</v>
      </c>
      <c r="E1441" s="6" t="s">
        <v>6067</v>
      </c>
      <c r="F1441" s="7">
        <v>472</v>
      </c>
      <c r="G1441" s="6" t="s">
        <v>28</v>
      </c>
      <c r="H1441" s="8" t="s">
        <v>7969</v>
      </c>
      <c r="I1441" s="10" t="s">
        <v>7970</v>
      </c>
      <c r="J1441" s="9" t="s">
        <v>7971</v>
      </c>
      <c r="K1441" s="9" t="s">
        <v>7972</v>
      </c>
      <c r="L1441" s="9" t="s">
        <v>5258</v>
      </c>
      <c r="M1441" s="9" t="s">
        <v>7973</v>
      </c>
      <c r="N1441" s="9" t="s">
        <v>1082</v>
      </c>
      <c r="O1441" s="6">
        <f t="shared" si="28"/>
        <v>1891.9999551494086</v>
      </c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</row>
    <row r="1442" spans="1:27" ht="12.75" x14ac:dyDescent="0.2">
      <c r="A1442" s="5" t="s">
        <v>2937</v>
      </c>
      <c r="B1442" s="5" t="s">
        <v>2937</v>
      </c>
      <c r="C1442" s="4">
        <v>860</v>
      </c>
      <c r="D1442" s="6" t="e">
        <f t="shared" si="25"/>
        <v>#VALUE!</v>
      </c>
      <c r="E1442" s="6" t="s">
        <v>6689</v>
      </c>
      <c r="F1442" s="7">
        <v>473</v>
      </c>
      <c r="G1442" s="6" t="s">
        <v>28</v>
      </c>
      <c r="H1442" s="8" t="s">
        <v>7974</v>
      </c>
      <c r="I1442" s="10" t="s">
        <v>7975</v>
      </c>
      <c r="J1442" s="9" t="s">
        <v>7976</v>
      </c>
      <c r="K1442" s="9" t="s">
        <v>7977</v>
      </c>
      <c r="L1442" s="9" t="s">
        <v>7978</v>
      </c>
      <c r="M1442" s="9" t="s">
        <v>7979</v>
      </c>
      <c r="N1442" s="9" t="s">
        <v>1082</v>
      </c>
      <c r="O1442" s="6">
        <f t="shared" si="28"/>
        <v>1895.9999106195185</v>
      </c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</row>
    <row r="1443" spans="1:27" ht="12.75" x14ac:dyDescent="0.2">
      <c r="A1443" s="5" t="s">
        <v>2937</v>
      </c>
      <c r="B1443" s="5" t="s">
        <v>2937</v>
      </c>
      <c r="C1443" s="4">
        <v>861</v>
      </c>
      <c r="D1443" s="6" t="e">
        <f t="shared" si="25"/>
        <v>#VALUE!</v>
      </c>
      <c r="E1443" s="6" t="s">
        <v>3025</v>
      </c>
      <c r="F1443" s="7">
        <v>473</v>
      </c>
      <c r="G1443" s="6" t="s">
        <v>28</v>
      </c>
      <c r="H1443" s="8" t="s">
        <v>7980</v>
      </c>
      <c r="I1443" s="10" t="s">
        <v>7981</v>
      </c>
      <c r="J1443" s="9" t="s">
        <v>7982</v>
      </c>
      <c r="K1443" s="9" t="s">
        <v>7983</v>
      </c>
      <c r="L1443" s="9" t="s">
        <v>7984</v>
      </c>
      <c r="M1443" s="9" t="s">
        <v>7985</v>
      </c>
      <c r="N1443" s="9" t="s">
        <v>1082</v>
      </c>
      <c r="O1443" s="6">
        <f t="shared" si="28"/>
        <v>1895.9999107232532</v>
      </c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</row>
    <row r="1444" spans="1:27" ht="12.75" x14ac:dyDescent="0.2">
      <c r="A1444" s="5" t="s">
        <v>2937</v>
      </c>
      <c r="B1444" s="5" t="s">
        <v>2937</v>
      </c>
      <c r="C1444" s="4">
        <v>862</v>
      </c>
      <c r="D1444" s="6" t="e">
        <f t="shared" si="25"/>
        <v>#VALUE!</v>
      </c>
      <c r="E1444" s="6" t="s">
        <v>7986</v>
      </c>
      <c r="F1444" s="7">
        <v>473</v>
      </c>
      <c r="G1444" s="6" t="s">
        <v>21</v>
      </c>
      <c r="H1444" s="11" t="s">
        <v>7987</v>
      </c>
      <c r="I1444" s="9" t="s">
        <v>7988</v>
      </c>
      <c r="J1444" s="9" t="s">
        <v>7989</v>
      </c>
      <c r="K1444" s="9" t="s">
        <v>7990</v>
      </c>
      <c r="L1444" s="9" t="s">
        <v>7991</v>
      </c>
      <c r="M1444" s="9" t="s">
        <v>7992</v>
      </c>
      <c r="N1444" s="9" t="s">
        <v>1082</v>
      </c>
      <c r="O1444" s="6">
        <f t="shared" si="28"/>
        <v>2369.9998826674714</v>
      </c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</row>
    <row r="1445" spans="1:27" ht="12.75" x14ac:dyDescent="0.2">
      <c r="A1445" s="5" t="s">
        <v>2937</v>
      </c>
      <c r="B1445" s="5" t="s">
        <v>2937</v>
      </c>
      <c r="C1445" s="4">
        <v>863</v>
      </c>
      <c r="D1445" s="6" t="e">
        <f t="shared" si="25"/>
        <v>#VALUE!</v>
      </c>
      <c r="E1445" s="6" t="s">
        <v>4248</v>
      </c>
      <c r="F1445" s="7">
        <v>473</v>
      </c>
      <c r="G1445" s="6" t="s">
        <v>21</v>
      </c>
      <c r="H1445" s="11" t="s">
        <v>7993</v>
      </c>
      <c r="I1445" s="9" t="s">
        <v>7994</v>
      </c>
      <c r="J1445" s="9" t="s">
        <v>7995</v>
      </c>
      <c r="K1445" s="9" t="s">
        <v>7996</v>
      </c>
      <c r="L1445" s="9" t="s">
        <v>7997</v>
      </c>
      <c r="M1445" s="9" t="s">
        <v>7998</v>
      </c>
      <c r="N1445" s="9" t="s">
        <v>1082</v>
      </c>
      <c r="O1445" s="6">
        <f t="shared" si="28"/>
        <v>2369.9999832575741</v>
      </c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</row>
    <row r="1446" spans="1:27" ht="12.75" x14ac:dyDescent="0.2">
      <c r="A1446" s="5" t="s">
        <v>2937</v>
      </c>
      <c r="B1446" s="5" t="s">
        <v>2937</v>
      </c>
      <c r="C1446" s="4">
        <v>864</v>
      </c>
      <c r="D1446" s="6" t="e">
        <f t="shared" si="25"/>
        <v>#VALUE!</v>
      </c>
      <c r="E1446" s="6" t="s">
        <v>760</v>
      </c>
      <c r="F1446" s="7">
        <v>473</v>
      </c>
      <c r="G1446" s="6" t="s">
        <v>17</v>
      </c>
      <c r="H1446" s="8" t="s">
        <v>7999</v>
      </c>
      <c r="I1446" s="9" t="s">
        <v>8000</v>
      </c>
      <c r="J1446" s="10" t="s">
        <v>8001</v>
      </c>
      <c r="K1446" s="9" t="s">
        <v>8002</v>
      </c>
      <c r="L1446" s="9" t="s">
        <v>8003</v>
      </c>
      <c r="M1446" s="9" t="s">
        <v>8004</v>
      </c>
      <c r="N1446" s="9" t="s">
        <v>1082</v>
      </c>
      <c r="O1446" s="6">
        <f t="shared" si="28"/>
        <v>948.00004484556314</v>
      </c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</row>
    <row r="1447" spans="1:27" ht="12.75" x14ac:dyDescent="0.2">
      <c r="A1447" s="5" t="s">
        <v>2937</v>
      </c>
      <c r="B1447" s="5" t="s">
        <v>2937</v>
      </c>
      <c r="C1447" s="4">
        <v>865</v>
      </c>
      <c r="D1447" s="6" t="e">
        <f t="shared" si="25"/>
        <v>#VALUE!</v>
      </c>
      <c r="E1447" s="6" t="s">
        <v>3963</v>
      </c>
      <c r="F1447" s="7">
        <v>474</v>
      </c>
      <c r="G1447" s="6" t="s">
        <v>17</v>
      </c>
      <c r="H1447" s="8" t="s">
        <v>8005</v>
      </c>
      <c r="I1447" s="9" t="s">
        <v>8006</v>
      </c>
      <c r="J1447" s="10" t="s">
        <v>8007</v>
      </c>
      <c r="K1447" s="9" t="s">
        <v>8008</v>
      </c>
      <c r="L1447" s="9" t="s">
        <v>8009</v>
      </c>
      <c r="M1447" s="9" t="s">
        <v>8010</v>
      </c>
      <c r="N1447" s="9" t="s">
        <v>1082</v>
      </c>
      <c r="O1447" s="6">
        <f t="shared" si="28"/>
        <v>950.00002234212491</v>
      </c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</row>
    <row r="1448" spans="1:27" ht="12.75" x14ac:dyDescent="0.2">
      <c r="A1448" s="5" t="s">
        <v>2937</v>
      </c>
      <c r="B1448" s="5" t="s">
        <v>2937</v>
      </c>
      <c r="C1448" s="4">
        <v>866</v>
      </c>
      <c r="D1448" s="6" t="e">
        <f t="shared" si="25"/>
        <v>#VALUE!</v>
      </c>
      <c r="E1448" s="6" t="s">
        <v>323</v>
      </c>
      <c r="F1448" s="7">
        <v>474</v>
      </c>
      <c r="G1448" s="6" t="s">
        <v>17</v>
      </c>
      <c r="H1448" s="8" t="s">
        <v>8011</v>
      </c>
      <c r="I1448" s="9" t="s">
        <v>8012</v>
      </c>
      <c r="J1448" s="10" t="s">
        <v>8013</v>
      </c>
      <c r="K1448" s="9" t="s">
        <v>8014</v>
      </c>
      <c r="L1448" s="9" t="s">
        <v>8015</v>
      </c>
      <c r="M1448" s="9" t="s">
        <v>8016</v>
      </c>
      <c r="N1448" s="9" t="s">
        <v>1082</v>
      </c>
      <c r="O1448" s="6">
        <f t="shared" si="28"/>
        <v>950.00002231619817</v>
      </c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</row>
    <row r="1449" spans="1:27" ht="12.75" x14ac:dyDescent="0.2">
      <c r="A1449" s="5" t="s">
        <v>2937</v>
      </c>
      <c r="B1449" s="5" t="s">
        <v>2937</v>
      </c>
      <c r="C1449" s="4">
        <v>867</v>
      </c>
      <c r="D1449" s="6" t="e">
        <f t="shared" si="25"/>
        <v>#VALUE!</v>
      </c>
      <c r="E1449" s="6" t="s">
        <v>5063</v>
      </c>
      <c r="F1449" s="7">
        <v>474</v>
      </c>
      <c r="G1449" s="6" t="s">
        <v>21</v>
      </c>
      <c r="H1449" s="11" t="s">
        <v>8017</v>
      </c>
      <c r="I1449" s="9" t="s">
        <v>8018</v>
      </c>
      <c r="J1449" s="9" t="s">
        <v>8019</v>
      </c>
      <c r="K1449" s="9" t="s">
        <v>8020</v>
      </c>
      <c r="L1449" s="9" t="s">
        <v>8021</v>
      </c>
      <c r="M1449" s="9" t="s">
        <v>8022</v>
      </c>
      <c r="N1449" s="9" t="s">
        <v>1082</v>
      </c>
      <c r="O1449" s="6">
        <f t="shared" si="28"/>
        <v>2374.999925188898</v>
      </c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</row>
    <row r="1450" spans="1:27" ht="12.75" x14ac:dyDescent="0.2">
      <c r="A1450" s="5" t="s">
        <v>2937</v>
      </c>
      <c r="B1450" s="5" t="s">
        <v>2937</v>
      </c>
      <c r="C1450" s="4">
        <v>868</v>
      </c>
      <c r="D1450" s="6" t="e">
        <f t="shared" si="25"/>
        <v>#VALUE!</v>
      </c>
      <c r="E1450" s="6" t="s">
        <v>5063</v>
      </c>
      <c r="F1450" s="7">
        <v>474</v>
      </c>
      <c r="G1450" s="6" t="s">
        <v>21</v>
      </c>
      <c r="H1450" s="11" t="s">
        <v>8023</v>
      </c>
      <c r="I1450" s="9" t="s">
        <v>8024</v>
      </c>
      <c r="J1450" s="9" t="s">
        <v>8025</v>
      </c>
      <c r="K1450" s="9" t="s">
        <v>8026</v>
      </c>
      <c r="L1450" s="9" t="s">
        <v>8027</v>
      </c>
      <c r="M1450" s="9" t="s">
        <v>8028</v>
      </c>
      <c r="N1450" s="9" t="s">
        <v>1082</v>
      </c>
      <c r="O1450" s="6">
        <f t="shared" si="28"/>
        <v>2374.9998754576932</v>
      </c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</row>
    <row r="1451" spans="1:27" ht="12.75" x14ac:dyDescent="0.2">
      <c r="A1451" s="5" t="s">
        <v>2937</v>
      </c>
      <c r="B1451" s="5" t="s">
        <v>2937</v>
      </c>
      <c r="C1451" s="4">
        <v>869</v>
      </c>
      <c r="D1451" s="6" t="e">
        <f t="shared" si="25"/>
        <v>#VALUE!</v>
      </c>
      <c r="E1451" s="6" t="s">
        <v>5063</v>
      </c>
      <c r="F1451" s="7">
        <v>474</v>
      </c>
      <c r="G1451" s="6" t="s">
        <v>21</v>
      </c>
      <c r="H1451" s="11" t="s">
        <v>8029</v>
      </c>
      <c r="I1451" s="9" t="s">
        <v>8030</v>
      </c>
      <c r="J1451" s="9" t="s">
        <v>8031</v>
      </c>
      <c r="K1451" s="9" t="s">
        <v>8032</v>
      </c>
      <c r="L1451" s="9" t="s">
        <v>8033</v>
      </c>
      <c r="M1451" s="9" t="s">
        <v>8034</v>
      </c>
      <c r="N1451" s="9" t="s">
        <v>1082</v>
      </c>
      <c r="O1451" s="6">
        <f t="shared" si="28"/>
        <v>2375.0000331729971</v>
      </c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</row>
    <row r="1452" spans="1:27" ht="12.75" x14ac:dyDescent="0.2">
      <c r="A1452" s="5" t="s">
        <v>2937</v>
      </c>
      <c r="B1452" s="5" t="s">
        <v>2937</v>
      </c>
      <c r="C1452" s="4">
        <v>870</v>
      </c>
      <c r="D1452" s="6" t="e">
        <f t="shared" si="25"/>
        <v>#VALUE!</v>
      </c>
      <c r="E1452" s="6" t="s">
        <v>5063</v>
      </c>
      <c r="F1452" s="7">
        <v>475</v>
      </c>
      <c r="G1452" s="6" t="s">
        <v>21</v>
      </c>
      <c r="H1452" s="11" t="s">
        <v>8035</v>
      </c>
      <c r="I1452" s="9" t="s">
        <v>8036</v>
      </c>
      <c r="J1452" s="9" t="s">
        <v>8037</v>
      </c>
      <c r="K1452" s="9" t="s">
        <v>8038</v>
      </c>
      <c r="L1452" s="9" t="s">
        <v>8039</v>
      </c>
      <c r="M1452" s="9" t="s">
        <v>8040</v>
      </c>
      <c r="N1452" s="9" t="s">
        <v>1082</v>
      </c>
      <c r="O1452" s="6">
        <f t="shared" si="28"/>
        <v>2379.9999669451536</v>
      </c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</row>
    <row r="1453" spans="1:27" ht="12.75" x14ac:dyDescent="0.2">
      <c r="A1453" s="5" t="s">
        <v>2937</v>
      </c>
      <c r="B1453" s="5" t="s">
        <v>2937</v>
      </c>
      <c r="C1453" s="4">
        <v>871</v>
      </c>
      <c r="D1453" s="6" t="e">
        <f t="shared" si="25"/>
        <v>#VALUE!</v>
      </c>
      <c r="E1453" s="6" t="s">
        <v>5063</v>
      </c>
      <c r="F1453" s="7">
        <v>475</v>
      </c>
      <c r="G1453" s="6" t="s">
        <v>21</v>
      </c>
      <c r="H1453" s="11" t="s">
        <v>8041</v>
      </c>
      <c r="I1453" s="9" t="s">
        <v>8042</v>
      </c>
      <c r="J1453" s="9" t="s">
        <v>8043</v>
      </c>
      <c r="K1453" s="9" t="s">
        <v>8044</v>
      </c>
      <c r="L1453" s="9" t="s">
        <v>8045</v>
      </c>
      <c r="M1453" s="9" t="s">
        <v>8046</v>
      </c>
      <c r="N1453" s="9" t="s">
        <v>1082</v>
      </c>
      <c r="O1453" s="6">
        <f t="shared" si="28"/>
        <v>2379.9999339661576</v>
      </c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</row>
    <row r="1454" spans="1:27" ht="12.75" x14ac:dyDescent="0.2">
      <c r="A1454" s="5" t="s">
        <v>2937</v>
      </c>
      <c r="B1454" s="5" t="s">
        <v>2937</v>
      </c>
      <c r="C1454" s="4">
        <v>872</v>
      </c>
      <c r="D1454" s="6" t="e">
        <f t="shared" si="25"/>
        <v>#VALUE!</v>
      </c>
      <c r="E1454" s="6" t="s">
        <v>5063</v>
      </c>
      <c r="F1454" s="7">
        <v>475</v>
      </c>
      <c r="G1454" s="6" t="s">
        <v>21</v>
      </c>
      <c r="H1454" s="11" t="s">
        <v>8047</v>
      </c>
      <c r="I1454" s="9" t="s">
        <v>8048</v>
      </c>
      <c r="J1454" s="9" t="s">
        <v>8049</v>
      </c>
      <c r="K1454" s="9" t="s">
        <v>8050</v>
      </c>
      <c r="L1454" s="9" t="s">
        <v>8051</v>
      </c>
      <c r="M1454" s="9" t="s">
        <v>8052</v>
      </c>
      <c r="N1454" s="9" t="s">
        <v>1082</v>
      </c>
      <c r="O1454" s="6">
        <f t="shared" si="28"/>
        <v>2380.0000659576222</v>
      </c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</row>
    <row r="1455" spans="1:27" ht="12.75" x14ac:dyDescent="0.2">
      <c r="A1455" s="5" t="s">
        <v>2937</v>
      </c>
      <c r="B1455" s="5" t="s">
        <v>2937</v>
      </c>
      <c r="C1455" s="4">
        <v>873</v>
      </c>
      <c r="D1455" s="6" t="e">
        <f t="shared" si="25"/>
        <v>#VALUE!</v>
      </c>
      <c r="E1455" s="6" t="s">
        <v>5063</v>
      </c>
      <c r="F1455" s="7">
        <v>475</v>
      </c>
      <c r="G1455" s="6" t="s">
        <v>21</v>
      </c>
      <c r="H1455" s="11" t="s">
        <v>8053</v>
      </c>
      <c r="I1455" s="9" t="s">
        <v>8054</v>
      </c>
      <c r="J1455" s="9" t="s">
        <v>8055</v>
      </c>
      <c r="K1455" s="9" t="s">
        <v>8056</v>
      </c>
      <c r="L1455" s="9" t="s">
        <v>8057</v>
      </c>
      <c r="M1455" s="9" t="s">
        <v>8058</v>
      </c>
      <c r="N1455" s="9" t="s">
        <v>1082</v>
      </c>
      <c r="O1455" s="6">
        <f t="shared" si="28"/>
        <v>2380.0001317653259</v>
      </c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</row>
    <row r="1456" spans="1:27" ht="12.75" x14ac:dyDescent="0.2">
      <c r="A1456" s="5" t="s">
        <v>2937</v>
      </c>
      <c r="B1456" s="5" t="s">
        <v>2937</v>
      </c>
      <c r="C1456" s="4">
        <v>874</v>
      </c>
      <c r="D1456" s="6" t="e">
        <f t="shared" si="25"/>
        <v>#VALUE!</v>
      </c>
      <c r="E1456" s="6" t="s">
        <v>5063</v>
      </c>
      <c r="F1456" s="7">
        <v>475</v>
      </c>
      <c r="G1456" s="6" t="s">
        <v>21</v>
      </c>
      <c r="H1456" s="11" t="s">
        <v>8059</v>
      </c>
      <c r="I1456" s="9" t="s">
        <v>8060</v>
      </c>
      <c r="J1456" s="9" t="s">
        <v>8061</v>
      </c>
      <c r="K1456" s="9" t="s">
        <v>8062</v>
      </c>
      <c r="L1456" s="9" t="s">
        <v>8063</v>
      </c>
      <c r="M1456" s="9" t="s">
        <v>8064</v>
      </c>
      <c r="N1456" s="9" t="s">
        <v>1082</v>
      </c>
      <c r="O1456" s="6">
        <f t="shared" si="28"/>
        <v>2380</v>
      </c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</row>
    <row r="1457" spans="1:27" ht="12.75" x14ac:dyDescent="0.2">
      <c r="A1457" s="5" t="s">
        <v>2937</v>
      </c>
      <c r="B1457" s="5" t="s">
        <v>2937</v>
      </c>
      <c r="C1457" s="4">
        <v>875</v>
      </c>
      <c r="D1457" s="6" t="e">
        <f t="shared" si="25"/>
        <v>#VALUE!</v>
      </c>
      <c r="E1457" s="6" t="s">
        <v>5063</v>
      </c>
      <c r="F1457" s="7">
        <v>476</v>
      </c>
      <c r="G1457" s="6" t="s">
        <v>21</v>
      </c>
      <c r="H1457" s="11" t="s">
        <v>8065</v>
      </c>
      <c r="I1457" s="9" t="s">
        <v>8066</v>
      </c>
      <c r="J1457" s="9" t="s">
        <v>8067</v>
      </c>
      <c r="K1457" s="9" t="s">
        <v>8068</v>
      </c>
      <c r="L1457" s="9" t="s">
        <v>8069</v>
      </c>
      <c r="M1457" s="9" t="s">
        <v>8070</v>
      </c>
      <c r="N1457" s="9" t="s">
        <v>1082</v>
      </c>
      <c r="O1457" s="6">
        <f t="shared" si="28"/>
        <v>2384.9999918033459</v>
      </c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</row>
    <row r="1458" spans="1:27" ht="12.75" x14ac:dyDescent="0.2">
      <c r="A1458" s="5" t="s">
        <v>2937</v>
      </c>
      <c r="B1458" s="5" t="s">
        <v>2937</v>
      </c>
      <c r="C1458" s="4">
        <v>876</v>
      </c>
      <c r="D1458" s="6" t="e">
        <f t="shared" si="25"/>
        <v>#VALUE!</v>
      </c>
      <c r="E1458" s="6" t="s">
        <v>24</v>
      </c>
      <c r="F1458" s="7">
        <v>476</v>
      </c>
      <c r="G1458" s="6" t="s">
        <v>21</v>
      </c>
      <c r="H1458" s="11" t="s">
        <v>8071</v>
      </c>
      <c r="I1458" s="9" t="s">
        <v>8072</v>
      </c>
      <c r="J1458" s="9" t="s">
        <v>8073</v>
      </c>
      <c r="K1458" s="9" t="s">
        <v>8074</v>
      </c>
      <c r="L1458" s="9" t="s">
        <v>8075</v>
      </c>
      <c r="M1458" s="9" t="s">
        <v>8076</v>
      </c>
      <c r="N1458" s="9" t="s">
        <v>1082</v>
      </c>
      <c r="O1458" s="6">
        <f t="shared" si="28"/>
        <v>2385.000032749304</v>
      </c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</row>
    <row r="1459" spans="1:27" ht="12.75" x14ac:dyDescent="0.2">
      <c r="A1459" s="5" t="s">
        <v>2937</v>
      </c>
      <c r="B1459" s="5" t="s">
        <v>2937</v>
      </c>
      <c r="C1459" s="4">
        <v>877</v>
      </c>
      <c r="D1459" s="6" t="e">
        <f t="shared" si="25"/>
        <v>#VALUE!</v>
      </c>
      <c r="E1459" s="6" t="s">
        <v>514</v>
      </c>
      <c r="F1459" s="7">
        <v>476</v>
      </c>
      <c r="G1459" s="6" t="s">
        <v>21</v>
      </c>
      <c r="H1459" s="11" t="s">
        <v>8077</v>
      </c>
      <c r="I1459" s="9" t="s">
        <v>8078</v>
      </c>
      <c r="J1459" s="9" t="s">
        <v>8079</v>
      </c>
      <c r="K1459" s="9" t="s">
        <v>8080</v>
      </c>
      <c r="L1459" s="9" t="s">
        <v>8081</v>
      </c>
      <c r="M1459" s="9" t="s">
        <v>8082</v>
      </c>
      <c r="N1459" s="9" t="s">
        <v>1082</v>
      </c>
      <c r="O1459" s="6">
        <f t="shared" si="28"/>
        <v>2384.9999345763822</v>
      </c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</row>
    <row r="1460" spans="1:27" ht="12.75" x14ac:dyDescent="0.2">
      <c r="A1460" s="5" t="s">
        <v>2937</v>
      </c>
      <c r="B1460" s="5" t="s">
        <v>2937</v>
      </c>
      <c r="C1460" s="4">
        <v>878</v>
      </c>
      <c r="D1460" s="6" t="e">
        <f t="shared" si="25"/>
        <v>#VALUE!</v>
      </c>
      <c r="E1460" s="6" t="s">
        <v>3792</v>
      </c>
      <c r="F1460" s="7">
        <v>476</v>
      </c>
      <c r="G1460" s="6" t="s">
        <v>17</v>
      </c>
      <c r="H1460" s="8" t="s">
        <v>8083</v>
      </c>
      <c r="I1460" s="9" t="s">
        <v>8084</v>
      </c>
      <c r="J1460" s="10" t="s">
        <v>8085</v>
      </c>
      <c r="K1460" s="9" t="s">
        <v>8086</v>
      </c>
      <c r="L1460" s="9" t="s">
        <v>8087</v>
      </c>
      <c r="M1460" s="9" t="s">
        <v>8088</v>
      </c>
      <c r="N1460" s="9" t="s">
        <v>1082</v>
      </c>
      <c r="O1460" s="6">
        <f t="shared" si="28"/>
        <v>953.99997809539457</v>
      </c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</row>
    <row r="1461" spans="1:27" ht="12.75" x14ac:dyDescent="0.2">
      <c r="A1461" s="5" t="s">
        <v>2937</v>
      </c>
      <c r="B1461" s="5" t="s">
        <v>2937</v>
      </c>
      <c r="C1461" s="4">
        <v>879</v>
      </c>
      <c r="D1461" s="6" t="e">
        <f t="shared" si="25"/>
        <v>#VALUE!</v>
      </c>
      <c r="E1461" s="6" t="s">
        <v>3687</v>
      </c>
      <c r="F1461" s="7">
        <v>476</v>
      </c>
      <c r="G1461" s="6" t="s">
        <v>21</v>
      </c>
      <c r="H1461" s="11" t="s">
        <v>8089</v>
      </c>
      <c r="I1461" s="9" t="s">
        <v>8090</v>
      </c>
      <c r="J1461" s="9" t="s">
        <v>8091</v>
      </c>
      <c r="K1461" s="9" t="s">
        <v>8092</v>
      </c>
      <c r="L1461" s="9" t="s">
        <v>8093</v>
      </c>
      <c r="M1461" s="9" t="s">
        <v>8094</v>
      </c>
      <c r="N1461" s="9" t="s">
        <v>1082</v>
      </c>
      <c r="O1461" s="6">
        <f t="shared" si="28"/>
        <v>2385.0000163188042</v>
      </c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</row>
    <row r="1462" spans="1:27" ht="12.75" x14ac:dyDescent="0.2">
      <c r="A1462" s="5" t="s">
        <v>2937</v>
      </c>
      <c r="B1462" s="5" t="s">
        <v>2937</v>
      </c>
      <c r="C1462" s="4">
        <v>880</v>
      </c>
      <c r="D1462" s="6" t="e">
        <f t="shared" si="25"/>
        <v>#VALUE!</v>
      </c>
      <c r="E1462" s="6" t="s">
        <v>85</v>
      </c>
      <c r="F1462" s="7">
        <v>477</v>
      </c>
      <c r="G1462" s="6" t="s">
        <v>28</v>
      </c>
      <c r="H1462" s="8" t="s">
        <v>8095</v>
      </c>
      <c r="I1462" s="10" t="s">
        <v>8096</v>
      </c>
      <c r="J1462" s="9" t="s">
        <v>8097</v>
      </c>
      <c r="K1462" s="9" t="s">
        <v>8098</v>
      </c>
      <c r="L1462" s="9" t="s">
        <v>8099</v>
      </c>
      <c r="M1462" s="9" t="s">
        <v>8100</v>
      </c>
      <c r="N1462" s="9" t="s">
        <v>1082</v>
      </c>
      <c r="O1462" s="6">
        <f t="shared" si="28"/>
        <v>1912</v>
      </c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</row>
    <row r="1463" spans="1:27" ht="12.75" x14ac:dyDescent="0.2">
      <c r="A1463" s="5" t="s">
        <v>2937</v>
      </c>
      <c r="B1463" s="5" t="s">
        <v>2937</v>
      </c>
      <c r="C1463" s="4">
        <v>881</v>
      </c>
      <c r="D1463" s="6" t="e">
        <f t="shared" si="25"/>
        <v>#VALUE!</v>
      </c>
      <c r="E1463" s="6" t="s">
        <v>7296</v>
      </c>
      <c r="F1463" s="7">
        <v>477</v>
      </c>
      <c r="G1463" s="6" t="s">
        <v>21</v>
      </c>
      <c r="H1463" s="11" t="s">
        <v>8101</v>
      </c>
      <c r="I1463" s="9" t="s">
        <v>8102</v>
      </c>
      <c r="J1463" s="9" t="s">
        <v>8103</v>
      </c>
      <c r="K1463" s="9" t="s">
        <v>8104</v>
      </c>
      <c r="L1463" s="9" t="s">
        <v>8105</v>
      </c>
      <c r="M1463" s="9" t="s">
        <v>8106</v>
      </c>
      <c r="N1463" s="9" t="s">
        <v>1082</v>
      </c>
      <c r="O1463" s="6">
        <f t="shared" si="28"/>
        <v>2390.0000974548052</v>
      </c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</row>
    <row r="1464" spans="1:27" ht="12.75" x14ac:dyDescent="0.2">
      <c r="A1464" s="5" t="s">
        <v>2937</v>
      </c>
      <c r="B1464" s="5" t="s">
        <v>2937</v>
      </c>
      <c r="C1464" s="4">
        <v>882</v>
      </c>
      <c r="D1464" s="6" t="e">
        <f t="shared" si="25"/>
        <v>#VALUE!</v>
      </c>
      <c r="E1464" s="6" t="s">
        <v>3668</v>
      </c>
      <c r="F1464" s="7">
        <v>477</v>
      </c>
      <c r="G1464" s="6" t="s">
        <v>28</v>
      </c>
      <c r="H1464" s="8" t="s">
        <v>8107</v>
      </c>
      <c r="I1464" s="10" t="s">
        <v>8108</v>
      </c>
      <c r="J1464" s="9" t="s">
        <v>8109</v>
      </c>
      <c r="K1464" s="9" t="s">
        <v>8110</v>
      </c>
      <c r="L1464" s="9" t="s">
        <v>8111</v>
      </c>
      <c r="M1464" s="9" t="s">
        <v>8112</v>
      </c>
      <c r="N1464" s="9" t="s">
        <v>1082</v>
      </c>
      <c r="O1464" s="6">
        <f t="shared" si="28"/>
        <v>1912.0000863138587</v>
      </c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</row>
    <row r="1465" spans="1:27" ht="12.75" x14ac:dyDescent="0.2">
      <c r="A1465" s="5" t="s">
        <v>2937</v>
      </c>
      <c r="B1465" s="5" t="s">
        <v>2937</v>
      </c>
      <c r="C1465" s="4">
        <v>883</v>
      </c>
      <c r="D1465" s="6" t="e">
        <f t="shared" si="25"/>
        <v>#VALUE!</v>
      </c>
      <c r="E1465" s="6" t="s">
        <v>3644</v>
      </c>
      <c r="F1465" s="7">
        <v>477</v>
      </c>
      <c r="G1465" s="6" t="s">
        <v>21</v>
      </c>
      <c r="H1465" s="11" t="s">
        <v>8113</v>
      </c>
      <c r="I1465" s="9" t="s">
        <v>8114</v>
      </c>
      <c r="J1465" s="9" t="s">
        <v>8115</v>
      </c>
      <c r="K1465" s="9" t="s">
        <v>8116</v>
      </c>
      <c r="L1465" s="9" t="s">
        <v>8117</v>
      </c>
      <c r="M1465" s="9" t="s">
        <v>8118</v>
      </c>
      <c r="N1465" s="9" t="s">
        <v>1082</v>
      </c>
      <c r="O1465" s="6">
        <f t="shared" si="28"/>
        <v>2389.9998865597627</v>
      </c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</row>
    <row r="1466" spans="1:27" ht="12.75" x14ac:dyDescent="0.2">
      <c r="A1466" s="5" t="s">
        <v>2937</v>
      </c>
      <c r="B1466" s="5" t="s">
        <v>2937</v>
      </c>
      <c r="C1466" s="4">
        <v>884</v>
      </c>
      <c r="D1466" s="6" t="e">
        <f t="shared" si="25"/>
        <v>#VALUE!</v>
      </c>
      <c r="E1466" s="6" t="s">
        <v>4988</v>
      </c>
      <c r="F1466" s="7">
        <v>477</v>
      </c>
      <c r="G1466" s="6" t="s">
        <v>28</v>
      </c>
      <c r="H1466" s="8" t="s">
        <v>8119</v>
      </c>
      <c r="I1466" s="10" t="s">
        <v>8120</v>
      </c>
      <c r="J1466" s="9" t="s">
        <v>8121</v>
      </c>
      <c r="K1466" s="9" t="s">
        <v>8122</v>
      </c>
      <c r="L1466" s="9" t="s">
        <v>8123</v>
      </c>
      <c r="M1466" s="9" t="s">
        <v>8124</v>
      </c>
      <c r="N1466" s="9" t="s">
        <v>1082</v>
      </c>
      <c r="O1466" s="6">
        <f t="shared" si="28"/>
        <v>1911.9999138812639</v>
      </c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</row>
    <row r="1467" spans="1:27" ht="12.75" x14ac:dyDescent="0.2">
      <c r="A1467" s="5" t="s">
        <v>2937</v>
      </c>
      <c r="B1467" s="5" t="s">
        <v>2937</v>
      </c>
      <c r="C1467" s="4">
        <v>885</v>
      </c>
      <c r="D1467" s="6" t="e">
        <f t="shared" si="25"/>
        <v>#VALUE!</v>
      </c>
      <c r="E1467" s="6" t="s">
        <v>6280</v>
      </c>
      <c r="F1467" s="7">
        <v>478</v>
      </c>
      <c r="G1467" s="6" t="s">
        <v>28</v>
      </c>
      <c r="H1467" s="8" t="s">
        <v>8125</v>
      </c>
      <c r="I1467" s="10" t="s">
        <v>8126</v>
      </c>
      <c r="J1467" s="9" t="s">
        <v>8127</v>
      </c>
      <c r="K1467" s="9" t="s">
        <v>8128</v>
      </c>
      <c r="L1467" s="9" t="s">
        <v>8129</v>
      </c>
      <c r="M1467" s="9" t="s">
        <v>8130</v>
      </c>
      <c r="N1467" s="9" t="s">
        <v>1082</v>
      </c>
      <c r="O1467" s="6">
        <f t="shared" si="28"/>
        <v>1915.9999141833473</v>
      </c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</row>
    <row r="1468" spans="1:27" ht="12.75" x14ac:dyDescent="0.2">
      <c r="A1468" s="5" t="s">
        <v>2937</v>
      </c>
      <c r="B1468" s="5" t="s">
        <v>2937</v>
      </c>
      <c r="C1468" s="4">
        <v>886</v>
      </c>
      <c r="D1468" s="6" t="e">
        <f t="shared" si="25"/>
        <v>#VALUE!</v>
      </c>
      <c r="E1468" s="6" t="s">
        <v>498</v>
      </c>
      <c r="F1468" s="7">
        <v>478</v>
      </c>
      <c r="G1468" s="6" t="s">
        <v>21</v>
      </c>
      <c r="H1468" s="11" t="s">
        <v>8131</v>
      </c>
      <c r="I1468" s="9" t="s">
        <v>8132</v>
      </c>
      <c r="J1468" s="9" t="s">
        <v>8133</v>
      </c>
      <c r="K1468" s="9" t="s">
        <v>8134</v>
      </c>
      <c r="L1468" s="9" t="s">
        <v>4587</v>
      </c>
      <c r="M1468" s="9" t="s">
        <v>8135</v>
      </c>
      <c r="N1468" s="9" t="s">
        <v>1082</v>
      </c>
      <c r="O1468" s="6">
        <f t="shared" si="28"/>
        <v>2395.0000805607024</v>
      </c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</row>
    <row r="1469" spans="1:27" ht="12.75" x14ac:dyDescent="0.2">
      <c r="A1469" s="5" t="s">
        <v>2937</v>
      </c>
      <c r="B1469" s="5" t="s">
        <v>2937</v>
      </c>
      <c r="C1469" s="4">
        <v>887</v>
      </c>
      <c r="D1469" s="6" t="e">
        <f t="shared" si="25"/>
        <v>#VALUE!</v>
      </c>
      <c r="E1469" s="6" t="s">
        <v>3873</v>
      </c>
      <c r="F1469" s="7">
        <v>478</v>
      </c>
      <c r="G1469" s="6" t="s">
        <v>28</v>
      </c>
      <c r="H1469" s="8" t="s">
        <v>8136</v>
      </c>
      <c r="I1469" s="10" t="s">
        <v>8137</v>
      </c>
      <c r="J1469" s="9" t="s">
        <v>8138</v>
      </c>
      <c r="K1469" s="9" t="s">
        <v>8139</v>
      </c>
      <c r="L1469" s="9" t="s">
        <v>8140</v>
      </c>
      <c r="M1469" s="9" t="s">
        <v>8141</v>
      </c>
      <c r="N1469" s="9" t="s">
        <v>1082</v>
      </c>
      <c r="O1469" s="6">
        <f t="shared" si="28"/>
        <v>1916.0000428114263</v>
      </c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</row>
    <row r="1470" spans="1:27" ht="12.75" x14ac:dyDescent="0.2">
      <c r="A1470" s="5" t="s">
        <v>2937</v>
      </c>
      <c r="B1470" s="5" t="s">
        <v>2937</v>
      </c>
      <c r="C1470" s="4">
        <v>888</v>
      </c>
      <c r="D1470" s="6" t="e">
        <f t="shared" si="25"/>
        <v>#VALUE!</v>
      </c>
      <c r="E1470" s="6" t="s">
        <v>8142</v>
      </c>
      <c r="F1470" s="7">
        <v>478</v>
      </c>
      <c r="G1470" s="6" t="s">
        <v>17</v>
      </c>
      <c r="H1470" s="8" t="s">
        <v>8143</v>
      </c>
      <c r="I1470" s="9" t="s">
        <v>4793</v>
      </c>
      <c r="J1470" s="10" t="s">
        <v>8144</v>
      </c>
      <c r="K1470" s="9" t="s">
        <v>8145</v>
      </c>
      <c r="L1470" s="9" t="s">
        <v>8146</v>
      </c>
      <c r="M1470" s="9" t="s">
        <v>8147</v>
      </c>
      <c r="N1470" s="9" t="s">
        <v>1082</v>
      </c>
      <c r="O1470" s="6">
        <f t="shared" si="28"/>
        <v>958.00002155334994</v>
      </c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</row>
    <row r="1471" spans="1:27" ht="12.75" x14ac:dyDescent="0.2">
      <c r="A1471" s="5" t="s">
        <v>2937</v>
      </c>
      <c r="B1471" s="5" t="s">
        <v>2937</v>
      </c>
      <c r="C1471" s="4">
        <v>889</v>
      </c>
      <c r="D1471" s="6" t="e">
        <f t="shared" si="25"/>
        <v>#VALUE!</v>
      </c>
      <c r="E1471" s="6" t="s">
        <v>8148</v>
      </c>
      <c r="F1471" s="7">
        <v>478</v>
      </c>
      <c r="G1471" s="6" t="s">
        <v>28</v>
      </c>
      <c r="H1471" s="8" t="s">
        <v>8149</v>
      </c>
      <c r="I1471" s="10" t="s">
        <v>8150</v>
      </c>
      <c r="J1471" s="9" t="s">
        <v>8151</v>
      </c>
      <c r="K1471" s="9" t="s">
        <v>8152</v>
      </c>
      <c r="L1471" s="9" t="s">
        <v>8153</v>
      </c>
      <c r="M1471" s="9" t="s">
        <v>8154</v>
      </c>
      <c r="N1471" s="9" t="s">
        <v>1082</v>
      </c>
      <c r="O1471" s="6">
        <f t="shared" si="28"/>
        <v>1915.9999572845809</v>
      </c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</row>
    <row r="1472" spans="1:27" ht="12.75" x14ac:dyDescent="0.2">
      <c r="A1472" s="5" t="s">
        <v>2937</v>
      </c>
      <c r="B1472" s="5" t="s">
        <v>2937</v>
      </c>
      <c r="C1472" s="4">
        <v>890</v>
      </c>
      <c r="D1472" s="6" t="e">
        <f t="shared" si="25"/>
        <v>#VALUE!</v>
      </c>
      <c r="E1472" s="6" t="s">
        <v>4197</v>
      </c>
      <c r="F1472" s="7">
        <v>479</v>
      </c>
      <c r="G1472" s="6" t="s">
        <v>21</v>
      </c>
      <c r="H1472" s="11" t="s">
        <v>8155</v>
      </c>
      <c r="I1472" s="9" t="s">
        <v>8156</v>
      </c>
      <c r="J1472" s="9" t="s">
        <v>8157</v>
      </c>
      <c r="K1472" s="9" t="s">
        <v>8158</v>
      </c>
      <c r="L1472" s="9" t="s">
        <v>8159</v>
      </c>
      <c r="M1472" s="9" t="s">
        <v>8160</v>
      </c>
      <c r="N1472" s="9" t="s">
        <v>1082</v>
      </c>
      <c r="O1472" s="6">
        <f t="shared" si="28"/>
        <v>2400</v>
      </c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</row>
    <row r="1473" spans="1:27" ht="12.75" x14ac:dyDescent="0.2">
      <c r="A1473" s="5" t="s">
        <v>2937</v>
      </c>
      <c r="B1473" s="5" t="s">
        <v>2937</v>
      </c>
      <c r="C1473" s="4">
        <v>891</v>
      </c>
      <c r="D1473" s="6" t="e">
        <f t="shared" si="25"/>
        <v>#VALUE!</v>
      </c>
      <c r="E1473" s="6" t="s">
        <v>3759</v>
      </c>
      <c r="F1473" s="7">
        <v>479</v>
      </c>
      <c r="G1473" s="6" t="s">
        <v>21</v>
      </c>
      <c r="H1473" s="11" t="s">
        <v>8161</v>
      </c>
      <c r="I1473" s="9" t="s">
        <v>8162</v>
      </c>
      <c r="J1473" s="9" t="s">
        <v>8163</v>
      </c>
      <c r="K1473" s="9" t="s">
        <v>8164</v>
      </c>
      <c r="L1473" s="9" t="s">
        <v>8165</v>
      </c>
      <c r="M1473" s="9" t="s">
        <v>8166</v>
      </c>
      <c r="N1473" s="9" t="s">
        <v>1082</v>
      </c>
      <c r="O1473" s="6">
        <f t="shared" si="28"/>
        <v>2400</v>
      </c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</row>
    <row r="1474" spans="1:27" ht="12.75" x14ac:dyDescent="0.2">
      <c r="A1474" s="5" t="s">
        <v>2937</v>
      </c>
      <c r="B1474" s="5" t="s">
        <v>2937</v>
      </c>
      <c r="C1474" s="4">
        <v>892</v>
      </c>
      <c r="D1474" s="6" t="e">
        <f t="shared" si="25"/>
        <v>#VALUE!</v>
      </c>
      <c r="E1474" s="6" t="s">
        <v>2998</v>
      </c>
      <c r="F1474" s="7">
        <v>479</v>
      </c>
      <c r="G1474" s="6" t="s">
        <v>21</v>
      </c>
      <c r="H1474" s="11" t="s">
        <v>8167</v>
      </c>
      <c r="I1474" s="9" t="s">
        <v>8168</v>
      </c>
      <c r="J1474" s="9" t="s">
        <v>8169</v>
      </c>
      <c r="K1474" s="9" t="s">
        <v>8170</v>
      </c>
      <c r="L1474" s="9" t="s">
        <v>8171</v>
      </c>
      <c r="M1474" s="9" t="s">
        <v>8172</v>
      </c>
      <c r="N1474" s="9" t="s">
        <v>1082</v>
      </c>
      <c r="O1474" s="6">
        <f t="shared" si="28"/>
        <v>2400</v>
      </c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</row>
    <row r="1475" spans="1:27" ht="12.75" x14ac:dyDescent="0.2">
      <c r="A1475" s="5" t="s">
        <v>2937</v>
      </c>
      <c r="B1475" s="5" t="s">
        <v>2937</v>
      </c>
      <c r="C1475" s="4">
        <v>893</v>
      </c>
      <c r="D1475" s="6" t="e">
        <f t="shared" si="25"/>
        <v>#VALUE!</v>
      </c>
      <c r="E1475" s="6" t="s">
        <v>136</v>
      </c>
      <c r="F1475" s="7">
        <v>479</v>
      </c>
      <c r="G1475" s="6" t="s">
        <v>21</v>
      </c>
      <c r="H1475" s="11" t="s">
        <v>8173</v>
      </c>
      <c r="I1475" s="9" t="s">
        <v>8174</v>
      </c>
      <c r="J1475" s="9" t="s">
        <v>8175</v>
      </c>
      <c r="K1475" s="9" t="s">
        <v>8176</v>
      </c>
      <c r="L1475" s="9" t="s">
        <v>8177</v>
      </c>
      <c r="M1475" s="9" t="s">
        <v>8178</v>
      </c>
      <c r="N1475" s="9" t="s">
        <v>1082</v>
      </c>
      <c r="O1475" s="6">
        <f t="shared" ref="O1475:O1538" si="29">M1475/K1475</f>
        <v>2400</v>
      </c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</row>
    <row r="1476" spans="1:27" ht="12.75" x14ac:dyDescent="0.2">
      <c r="A1476" s="5" t="s">
        <v>2937</v>
      </c>
      <c r="B1476" s="5" t="s">
        <v>2937</v>
      </c>
      <c r="C1476" s="4">
        <v>894</v>
      </c>
      <c r="D1476" s="6" t="e">
        <f t="shared" si="25"/>
        <v>#VALUE!</v>
      </c>
      <c r="E1476" s="6" t="s">
        <v>6977</v>
      </c>
      <c r="F1476" s="7">
        <v>479</v>
      </c>
      <c r="G1476" s="6" t="s">
        <v>17</v>
      </c>
      <c r="H1476" s="8" t="s">
        <v>8179</v>
      </c>
      <c r="I1476" s="9" t="s">
        <v>2357</v>
      </c>
      <c r="J1476" s="10" t="s">
        <v>8180</v>
      </c>
      <c r="K1476" s="9" t="s">
        <v>8181</v>
      </c>
      <c r="L1476" s="9" t="s">
        <v>8182</v>
      </c>
      <c r="M1476" s="9" t="s">
        <v>8183</v>
      </c>
      <c r="N1476" s="9" t="s">
        <v>1082</v>
      </c>
      <c r="O1476" s="6">
        <f t="shared" si="29"/>
        <v>960</v>
      </c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</row>
    <row r="1477" spans="1:27" ht="12.75" x14ac:dyDescent="0.2">
      <c r="A1477" s="5" t="s">
        <v>2937</v>
      </c>
      <c r="B1477" s="5" t="s">
        <v>2937</v>
      </c>
      <c r="C1477" s="4">
        <v>895</v>
      </c>
      <c r="D1477" s="6" t="e">
        <f t="shared" si="25"/>
        <v>#VALUE!</v>
      </c>
      <c r="E1477" s="6" t="s">
        <v>5576</v>
      </c>
      <c r="F1477" s="7">
        <v>480</v>
      </c>
      <c r="G1477" s="6" t="s">
        <v>28</v>
      </c>
      <c r="H1477" s="8" t="s">
        <v>7052</v>
      </c>
      <c r="I1477" s="10" t="s">
        <v>8184</v>
      </c>
      <c r="J1477" s="9" t="s">
        <v>8185</v>
      </c>
      <c r="K1477" s="9" t="s">
        <v>8186</v>
      </c>
      <c r="L1477" s="9" t="s">
        <v>8187</v>
      </c>
      <c r="M1477" s="9" t="s">
        <v>8188</v>
      </c>
      <c r="N1477" s="9" t="s">
        <v>1082</v>
      </c>
      <c r="O1477" s="6">
        <f t="shared" si="29"/>
        <v>1924.0000422266091</v>
      </c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</row>
    <row r="1478" spans="1:27" ht="12.75" x14ac:dyDescent="0.2">
      <c r="A1478" s="5" t="s">
        <v>2937</v>
      </c>
      <c r="B1478" s="5" t="s">
        <v>2937</v>
      </c>
      <c r="C1478" s="4">
        <v>896</v>
      </c>
      <c r="D1478" s="6" t="e">
        <f t="shared" si="25"/>
        <v>#VALUE!</v>
      </c>
      <c r="E1478" s="6" t="s">
        <v>161</v>
      </c>
      <c r="F1478" s="7">
        <v>480</v>
      </c>
      <c r="G1478" s="6" t="s">
        <v>28</v>
      </c>
      <c r="H1478" s="8" t="s">
        <v>8189</v>
      </c>
      <c r="I1478" s="10" t="s">
        <v>8190</v>
      </c>
      <c r="J1478" s="9" t="s">
        <v>8191</v>
      </c>
      <c r="K1478" s="9" t="s">
        <v>8192</v>
      </c>
      <c r="L1478" s="9" t="s">
        <v>8193</v>
      </c>
      <c r="M1478" s="9" t="s">
        <v>8194</v>
      </c>
      <c r="N1478" s="9" t="s">
        <v>1082</v>
      </c>
      <c r="O1478" s="6">
        <f t="shared" si="29"/>
        <v>1923.9999578205898</v>
      </c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</row>
    <row r="1479" spans="1:27" ht="12.75" x14ac:dyDescent="0.2">
      <c r="A1479" s="5" t="s">
        <v>2937</v>
      </c>
      <c r="B1479" s="5" t="s">
        <v>2937</v>
      </c>
      <c r="C1479" s="4">
        <v>897</v>
      </c>
      <c r="D1479" s="6" t="e">
        <f t="shared" si="25"/>
        <v>#VALUE!</v>
      </c>
      <c r="E1479" s="6" t="s">
        <v>8195</v>
      </c>
      <c r="F1479" s="7">
        <v>480</v>
      </c>
      <c r="G1479" s="6" t="s">
        <v>21</v>
      </c>
      <c r="H1479" s="11" t="s">
        <v>8196</v>
      </c>
      <c r="I1479" s="9" t="s">
        <v>8197</v>
      </c>
      <c r="J1479" s="9" t="s">
        <v>8198</v>
      </c>
      <c r="K1479" s="9" t="s">
        <v>8199</v>
      </c>
      <c r="L1479" s="9" t="s">
        <v>8200</v>
      </c>
      <c r="M1479" s="9" t="s">
        <v>8201</v>
      </c>
      <c r="N1479" s="9" t="s">
        <v>1082</v>
      </c>
      <c r="O1479" s="6">
        <f t="shared" si="29"/>
        <v>2405.0000237595532</v>
      </c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</row>
    <row r="1480" spans="1:27" ht="12.75" x14ac:dyDescent="0.2">
      <c r="A1480" s="5" t="s">
        <v>2937</v>
      </c>
      <c r="B1480" s="5" t="s">
        <v>2937</v>
      </c>
      <c r="C1480" s="4">
        <v>898</v>
      </c>
      <c r="D1480" s="6" t="e">
        <f t="shared" si="25"/>
        <v>#VALUE!</v>
      </c>
      <c r="E1480" s="6" t="s">
        <v>4968</v>
      </c>
      <c r="F1480" s="7">
        <v>480</v>
      </c>
      <c r="G1480" s="6" t="s">
        <v>21</v>
      </c>
      <c r="H1480" s="11" t="s">
        <v>8202</v>
      </c>
      <c r="I1480" s="9" t="s">
        <v>8203</v>
      </c>
      <c r="J1480" s="9" t="s">
        <v>8204</v>
      </c>
      <c r="K1480" s="9" t="s">
        <v>8205</v>
      </c>
      <c r="L1480" s="9" t="s">
        <v>8206</v>
      </c>
      <c r="M1480" s="9" t="s">
        <v>8207</v>
      </c>
      <c r="N1480" s="9" t="s">
        <v>1082</v>
      </c>
      <c r="O1480" s="6">
        <f t="shared" si="29"/>
        <v>2405.0000553775562</v>
      </c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</row>
    <row r="1481" spans="1:27" ht="12.75" x14ac:dyDescent="0.2">
      <c r="A1481" s="5" t="s">
        <v>2937</v>
      </c>
      <c r="B1481" s="5" t="s">
        <v>2937</v>
      </c>
      <c r="C1481" s="4">
        <v>899</v>
      </c>
      <c r="D1481" s="6" t="e">
        <f t="shared" si="25"/>
        <v>#VALUE!</v>
      </c>
      <c r="E1481" s="6" t="s">
        <v>8208</v>
      </c>
      <c r="F1481" s="7">
        <v>480</v>
      </c>
      <c r="G1481" s="6" t="s">
        <v>28</v>
      </c>
      <c r="H1481" s="8" t="s">
        <v>8209</v>
      </c>
      <c r="I1481" s="10" t="s">
        <v>8210</v>
      </c>
      <c r="J1481" s="9" t="s">
        <v>8211</v>
      </c>
      <c r="K1481" s="9" t="s">
        <v>8212</v>
      </c>
      <c r="L1481" s="9" t="s">
        <v>8213</v>
      </c>
      <c r="M1481" s="9" t="s">
        <v>8214</v>
      </c>
      <c r="N1481" s="9" t="s">
        <v>1082</v>
      </c>
      <c r="O1481" s="6">
        <f t="shared" si="29"/>
        <v>1924.000084077772</v>
      </c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</row>
    <row r="1482" spans="1:27" ht="12.75" x14ac:dyDescent="0.2">
      <c r="A1482" s="5" t="s">
        <v>2937</v>
      </c>
      <c r="B1482" s="5" t="s">
        <v>2937</v>
      </c>
      <c r="C1482" s="4">
        <v>900</v>
      </c>
      <c r="D1482" s="6" t="e">
        <f t="shared" si="25"/>
        <v>#VALUE!</v>
      </c>
      <c r="E1482" s="6" t="s">
        <v>4131</v>
      </c>
      <c r="F1482" s="7">
        <v>481</v>
      </c>
      <c r="G1482" s="6" t="s">
        <v>28</v>
      </c>
      <c r="H1482" s="8" t="s">
        <v>8215</v>
      </c>
      <c r="I1482" s="10" t="s">
        <v>8216</v>
      </c>
      <c r="J1482" s="9" t="s">
        <v>8217</v>
      </c>
      <c r="K1482" s="9" t="s">
        <v>8218</v>
      </c>
      <c r="L1482" s="9" t="s">
        <v>8219</v>
      </c>
      <c r="M1482" s="9" t="s">
        <v>8220</v>
      </c>
      <c r="N1482" s="9" t="s">
        <v>1082</v>
      </c>
      <c r="O1482" s="6">
        <f t="shared" si="29"/>
        <v>1928.000083784548</v>
      </c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</row>
    <row r="1483" spans="1:27" ht="12.75" x14ac:dyDescent="0.2">
      <c r="A1483" s="5" t="s">
        <v>2937</v>
      </c>
      <c r="B1483" s="5" t="s">
        <v>2937</v>
      </c>
      <c r="C1483" s="4">
        <v>901</v>
      </c>
      <c r="D1483" s="6" t="e">
        <f t="shared" si="25"/>
        <v>#VALUE!</v>
      </c>
      <c r="E1483" s="6" t="s">
        <v>4533</v>
      </c>
      <c r="F1483" s="7">
        <v>481</v>
      </c>
      <c r="G1483" s="6" t="s">
        <v>28</v>
      </c>
      <c r="H1483" s="8" t="s">
        <v>2219</v>
      </c>
      <c r="I1483" s="10" t="s">
        <v>8221</v>
      </c>
      <c r="J1483" s="9" t="s">
        <v>8222</v>
      </c>
      <c r="K1483" s="9" t="s">
        <v>8223</v>
      </c>
      <c r="L1483" s="9" t="s">
        <v>8224</v>
      </c>
      <c r="M1483" s="9" t="s">
        <v>8225</v>
      </c>
      <c r="N1483" s="9" t="s">
        <v>1082</v>
      </c>
      <c r="O1483" s="6">
        <f t="shared" si="29"/>
        <v>1927.9999163083619</v>
      </c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</row>
    <row r="1484" spans="1:27" ht="12.75" x14ac:dyDescent="0.2">
      <c r="A1484" s="5" t="s">
        <v>2937</v>
      </c>
      <c r="B1484" s="5" t="s">
        <v>2937</v>
      </c>
      <c r="C1484" s="4">
        <v>902</v>
      </c>
      <c r="D1484" s="6" t="e">
        <f t="shared" si="25"/>
        <v>#VALUE!</v>
      </c>
      <c r="E1484" s="6" t="s">
        <v>6280</v>
      </c>
      <c r="F1484" s="7">
        <v>481</v>
      </c>
      <c r="G1484" s="6" t="s">
        <v>21</v>
      </c>
      <c r="H1484" s="11" t="s">
        <v>8226</v>
      </c>
      <c r="I1484" s="9" t="s">
        <v>8227</v>
      </c>
      <c r="J1484" s="9" t="s">
        <v>8228</v>
      </c>
      <c r="K1484" s="9" t="s">
        <v>8229</v>
      </c>
      <c r="L1484" s="9" t="s">
        <v>8230</v>
      </c>
      <c r="M1484" s="9" t="s">
        <v>8231</v>
      </c>
      <c r="N1484" s="9" t="s">
        <v>1082</v>
      </c>
      <c r="O1484" s="6">
        <f t="shared" si="29"/>
        <v>2409.9998742849957</v>
      </c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</row>
    <row r="1485" spans="1:27" ht="12.75" x14ac:dyDescent="0.2">
      <c r="A1485" s="5" t="s">
        <v>2937</v>
      </c>
      <c r="B1485" s="5" t="s">
        <v>2937</v>
      </c>
      <c r="C1485" s="4">
        <v>903</v>
      </c>
      <c r="D1485" s="6" t="e">
        <f t="shared" si="25"/>
        <v>#VALUE!</v>
      </c>
      <c r="E1485" s="6" t="s">
        <v>4223</v>
      </c>
      <c r="F1485" s="7">
        <v>481</v>
      </c>
      <c r="G1485" s="6" t="s">
        <v>21</v>
      </c>
      <c r="H1485" s="11" t="s">
        <v>8232</v>
      </c>
      <c r="I1485" s="9" t="s">
        <v>8233</v>
      </c>
      <c r="J1485" s="9" t="s">
        <v>8234</v>
      </c>
      <c r="K1485" s="9" t="s">
        <v>121</v>
      </c>
      <c r="L1485" s="9" t="s">
        <v>4626</v>
      </c>
      <c r="M1485" s="9" t="s">
        <v>8235</v>
      </c>
      <c r="N1485" s="9" t="s">
        <v>1082</v>
      </c>
      <c r="O1485" s="6">
        <f t="shared" si="29"/>
        <v>2409.9999372115658</v>
      </c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</row>
    <row r="1486" spans="1:27" ht="12.75" x14ac:dyDescent="0.2">
      <c r="A1486" s="5" t="s">
        <v>2937</v>
      </c>
      <c r="B1486" s="5" t="s">
        <v>2937</v>
      </c>
      <c r="C1486" s="4">
        <v>904</v>
      </c>
      <c r="D1486" s="6" t="e">
        <f t="shared" si="25"/>
        <v>#VALUE!</v>
      </c>
      <c r="E1486" s="6" t="s">
        <v>8236</v>
      </c>
      <c r="F1486" s="7">
        <v>481</v>
      </c>
      <c r="G1486" s="6" t="s">
        <v>21</v>
      </c>
      <c r="H1486" s="11" t="s">
        <v>8237</v>
      </c>
      <c r="I1486" s="9" t="s">
        <v>8238</v>
      </c>
      <c r="J1486" s="9" t="s">
        <v>8239</v>
      </c>
      <c r="K1486" s="9" t="s">
        <v>8240</v>
      </c>
      <c r="L1486" s="9" t="s">
        <v>8241</v>
      </c>
      <c r="M1486" s="9" t="s">
        <v>8242</v>
      </c>
      <c r="N1486" s="9" t="s">
        <v>1082</v>
      </c>
      <c r="O1486" s="6">
        <f t="shared" si="29"/>
        <v>2410.0000940778023</v>
      </c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</row>
    <row r="1487" spans="1:27" ht="12.75" x14ac:dyDescent="0.2">
      <c r="A1487" s="5" t="s">
        <v>2937</v>
      </c>
      <c r="B1487" s="5" t="s">
        <v>2937</v>
      </c>
      <c r="C1487" s="4">
        <v>905</v>
      </c>
      <c r="D1487" s="6" t="e">
        <f t="shared" si="25"/>
        <v>#VALUE!</v>
      </c>
      <c r="E1487" s="6" t="s">
        <v>3129</v>
      </c>
      <c r="F1487" s="7">
        <v>482</v>
      </c>
      <c r="G1487" s="6" t="s">
        <v>28</v>
      </c>
      <c r="H1487" s="8" t="s">
        <v>8243</v>
      </c>
      <c r="I1487" s="10" t="s">
        <v>8244</v>
      </c>
      <c r="J1487" s="9" t="s">
        <v>8245</v>
      </c>
      <c r="K1487" s="9" t="s">
        <v>8246</v>
      </c>
      <c r="L1487" s="9" t="s">
        <v>8247</v>
      </c>
      <c r="M1487" s="9" t="s">
        <v>8248</v>
      </c>
      <c r="N1487" s="9" t="s">
        <v>1082</v>
      </c>
      <c r="O1487" s="6">
        <f t="shared" si="29"/>
        <v>1932.0000415623279</v>
      </c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</row>
    <row r="1488" spans="1:27" ht="12.75" x14ac:dyDescent="0.2">
      <c r="A1488" s="5" t="s">
        <v>2937</v>
      </c>
      <c r="B1488" s="5" t="s">
        <v>2937</v>
      </c>
      <c r="C1488" s="4">
        <v>906</v>
      </c>
      <c r="D1488" s="6" t="e">
        <f t="shared" si="25"/>
        <v>#VALUE!</v>
      </c>
      <c r="E1488" s="6" t="s">
        <v>5556</v>
      </c>
      <c r="F1488" s="7">
        <v>482</v>
      </c>
      <c r="G1488" s="6" t="s">
        <v>28</v>
      </c>
      <c r="H1488" s="8" t="s">
        <v>7124</v>
      </c>
      <c r="I1488" s="10" t="s">
        <v>8249</v>
      </c>
      <c r="J1488" s="9" t="s">
        <v>8250</v>
      </c>
      <c r="K1488" s="9" t="s">
        <v>8251</v>
      </c>
      <c r="L1488" s="9" t="s">
        <v>8252</v>
      </c>
      <c r="M1488" s="9" t="s">
        <v>8253</v>
      </c>
      <c r="N1488" s="9" t="s">
        <v>1082</v>
      </c>
      <c r="O1488" s="6">
        <f t="shared" si="29"/>
        <v>1932</v>
      </c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</row>
    <row r="1489" spans="1:27" ht="12.75" x14ac:dyDescent="0.2">
      <c r="A1489" s="5" t="s">
        <v>2937</v>
      </c>
      <c r="B1489" s="5" t="s">
        <v>2937</v>
      </c>
      <c r="C1489" s="4">
        <v>907</v>
      </c>
      <c r="D1489" s="6" t="e">
        <f t="shared" si="25"/>
        <v>#VALUE!</v>
      </c>
      <c r="E1489" s="6" t="s">
        <v>5550</v>
      </c>
      <c r="F1489" s="7">
        <v>482</v>
      </c>
      <c r="G1489" s="6" t="s">
        <v>21</v>
      </c>
      <c r="H1489" s="11" t="s">
        <v>8254</v>
      </c>
      <c r="I1489" s="9" t="s">
        <v>8255</v>
      </c>
      <c r="J1489" s="9" t="s">
        <v>8256</v>
      </c>
      <c r="K1489" s="9" t="s">
        <v>8257</v>
      </c>
      <c r="L1489" s="9" t="s">
        <v>8258</v>
      </c>
      <c r="M1489" s="9" t="s">
        <v>8259</v>
      </c>
      <c r="N1489" s="9" t="s">
        <v>1082</v>
      </c>
      <c r="O1489" s="6">
        <f t="shared" si="29"/>
        <v>2414.9999532280444</v>
      </c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</row>
    <row r="1490" spans="1:27" ht="12.75" x14ac:dyDescent="0.2">
      <c r="A1490" s="5" t="s">
        <v>2937</v>
      </c>
      <c r="B1490" s="5" t="s">
        <v>2937</v>
      </c>
      <c r="C1490" s="4">
        <v>908</v>
      </c>
      <c r="D1490" s="6" t="e">
        <f t="shared" si="25"/>
        <v>#VALUE!</v>
      </c>
      <c r="E1490" s="6" t="s">
        <v>8260</v>
      </c>
      <c r="F1490" s="7">
        <v>482</v>
      </c>
      <c r="G1490" s="6" t="s">
        <v>28</v>
      </c>
      <c r="H1490" s="8" t="s">
        <v>8261</v>
      </c>
      <c r="I1490" s="10" t="s">
        <v>8262</v>
      </c>
      <c r="J1490" s="9" t="s">
        <v>8263</v>
      </c>
      <c r="K1490" s="9" t="s">
        <v>8264</v>
      </c>
      <c r="L1490" s="9" t="s">
        <v>8265</v>
      </c>
      <c r="M1490" s="9" t="s">
        <v>8266</v>
      </c>
      <c r="N1490" s="9" t="s">
        <v>1082</v>
      </c>
      <c r="O1490" s="6">
        <f t="shared" si="29"/>
        <v>1932</v>
      </c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</row>
    <row r="1491" spans="1:27" ht="12.75" x14ac:dyDescent="0.2">
      <c r="A1491" s="5" t="s">
        <v>2937</v>
      </c>
      <c r="B1491" s="5" t="s">
        <v>2937</v>
      </c>
      <c r="C1491" s="4">
        <v>909</v>
      </c>
      <c r="D1491" s="6" t="e">
        <f t="shared" si="25"/>
        <v>#VALUE!</v>
      </c>
      <c r="E1491" s="6" t="s">
        <v>4357</v>
      </c>
      <c r="F1491" s="7">
        <v>482</v>
      </c>
      <c r="G1491" s="6" t="s">
        <v>17</v>
      </c>
      <c r="H1491" s="8" t="s">
        <v>8267</v>
      </c>
      <c r="I1491" s="9" t="s">
        <v>8268</v>
      </c>
      <c r="J1491" s="10" t="s">
        <v>8269</v>
      </c>
      <c r="K1491" s="9" t="s">
        <v>8270</v>
      </c>
      <c r="L1491" s="9" t="s">
        <v>8271</v>
      </c>
      <c r="M1491" s="9" t="s">
        <v>8272</v>
      </c>
      <c r="N1491" s="9" t="s">
        <v>1082</v>
      </c>
      <c r="O1491" s="6">
        <f t="shared" si="29"/>
        <v>965.99997914559503</v>
      </c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</row>
    <row r="1492" spans="1:27" ht="12.75" x14ac:dyDescent="0.2">
      <c r="A1492" s="5" t="s">
        <v>2937</v>
      </c>
      <c r="B1492" s="5" t="s">
        <v>2937</v>
      </c>
      <c r="C1492" s="4">
        <v>910</v>
      </c>
      <c r="D1492" s="6" t="e">
        <f t="shared" si="25"/>
        <v>#VALUE!</v>
      </c>
      <c r="E1492" s="6" t="s">
        <v>6280</v>
      </c>
      <c r="F1492" s="7">
        <v>483</v>
      </c>
      <c r="G1492" s="6" t="s">
        <v>17</v>
      </c>
      <c r="H1492" s="8" t="s">
        <v>8273</v>
      </c>
      <c r="I1492" s="9" t="s">
        <v>8274</v>
      </c>
      <c r="J1492" s="10" t="s">
        <v>8275</v>
      </c>
      <c r="K1492" s="9" t="s">
        <v>8276</v>
      </c>
      <c r="L1492" s="9" t="s">
        <v>8277</v>
      </c>
      <c r="M1492" s="9" t="s">
        <v>8278</v>
      </c>
      <c r="N1492" s="9" t="s">
        <v>1082</v>
      </c>
      <c r="O1492" s="6">
        <f t="shared" si="29"/>
        <v>968</v>
      </c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</row>
    <row r="1493" spans="1:27" ht="12.75" x14ac:dyDescent="0.2">
      <c r="A1493" s="5" t="s">
        <v>2937</v>
      </c>
      <c r="B1493" s="5" t="s">
        <v>2937</v>
      </c>
      <c r="C1493" s="4">
        <v>911</v>
      </c>
      <c r="D1493" s="6" t="e">
        <f t="shared" si="25"/>
        <v>#VALUE!</v>
      </c>
      <c r="E1493" s="6" t="s">
        <v>8279</v>
      </c>
      <c r="F1493" s="7">
        <v>483</v>
      </c>
      <c r="G1493" s="6" t="s">
        <v>21</v>
      </c>
      <c r="H1493" s="11" t="s">
        <v>8280</v>
      </c>
      <c r="I1493" s="9" t="s">
        <v>8281</v>
      </c>
      <c r="J1493" s="9" t="s">
        <v>8187</v>
      </c>
      <c r="K1493" s="9" t="s">
        <v>8282</v>
      </c>
      <c r="L1493" s="9" t="s">
        <v>8283</v>
      </c>
      <c r="M1493" s="9" t="s">
        <v>8284</v>
      </c>
      <c r="N1493" s="9" t="s">
        <v>1082</v>
      </c>
      <c r="O1493" s="6">
        <f t="shared" si="29"/>
        <v>2420.0000929130565</v>
      </c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</row>
    <row r="1494" spans="1:27" ht="12.75" x14ac:dyDescent="0.2">
      <c r="A1494" s="5" t="s">
        <v>2937</v>
      </c>
      <c r="B1494" s="5" t="s">
        <v>2937</v>
      </c>
      <c r="C1494" s="4">
        <v>912</v>
      </c>
      <c r="D1494" s="6" t="e">
        <f t="shared" si="25"/>
        <v>#VALUE!</v>
      </c>
      <c r="E1494" s="6" t="s">
        <v>2949</v>
      </c>
      <c r="F1494" s="7">
        <v>483</v>
      </c>
      <c r="G1494" s="6" t="s">
        <v>17</v>
      </c>
      <c r="H1494" s="8" t="s">
        <v>8285</v>
      </c>
      <c r="I1494" s="9" t="s">
        <v>8286</v>
      </c>
      <c r="J1494" s="10" t="s">
        <v>8287</v>
      </c>
      <c r="K1494" s="9" t="s">
        <v>8288</v>
      </c>
      <c r="L1494" s="9" t="s">
        <v>8289</v>
      </c>
      <c r="M1494" s="9" t="s">
        <v>8290</v>
      </c>
      <c r="N1494" s="9" t="s">
        <v>1082</v>
      </c>
      <c r="O1494" s="6">
        <f t="shared" si="29"/>
        <v>968</v>
      </c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</row>
    <row r="1495" spans="1:27" ht="12.75" x14ac:dyDescent="0.2">
      <c r="A1495" s="5" t="s">
        <v>2937</v>
      </c>
      <c r="B1495" s="5" t="s">
        <v>2937</v>
      </c>
      <c r="C1495" s="4">
        <v>913</v>
      </c>
      <c r="D1495" s="6" t="e">
        <f t="shared" si="25"/>
        <v>#VALUE!</v>
      </c>
      <c r="E1495" s="6" t="s">
        <v>3135</v>
      </c>
      <c r="F1495" s="7">
        <v>483</v>
      </c>
      <c r="G1495" s="6" t="s">
        <v>28</v>
      </c>
      <c r="H1495" s="8" t="s">
        <v>8291</v>
      </c>
      <c r="I1495" s="10" t="s">
        <v>8292</v>
      </c>
      <c r="J1495" s="9" t="s">
        <v>8293</v>
      </c>
      <c r="K1495" s="9" t="s">
        <v>8294</v>
      </c>
      <c r="L1495" s="9" t="s">
        <v>8295</v>
      </c>
      <c r="M1495" s="9" t="s">
        <v>8296</v>
      </c>
      <c r="N1495" s="9" t="s">
        <v>1082</v>
      </c>
      <c r="O1495" s="6">
        <f t="shared" si="29"/>
        <v>1936</v>
      </c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</row>
    <row r="1496" spans="1:27" ht="12.75" x14ac:dyDescent="0.2">
      <c r="A1496" s="5" t="s">
        <v>2937</v>
      </c>
      <c r="B1496" s="5" t="s">
        <v>2937</v>
      </c>
      <c r="C1496" s="4">
        <v>914</v>
      </c>
      <c r="D1496" s="6" t="e">
        <f t="shared" si="25"/>
        <v>#VALUE!</v>
      </c>
      <c r="E1496" s="6" t="s">
        <v>8297</v>
      </c>
      <c r="F1496" s="7">
        <v>483</v>
      </c>
      <c r="G1496" s="6" t="s">
        <v>21</v>
      </c>
      <c r="H1496" s="11" t="s">
        <v>8298</v>
      </c>
      <c r="I1496" s="9" t="s">
        <v>8299</v>
      </c>
      <c r="J1496" s="9" t="s">
        <v>8300</v>
      </c>
      <c r="K1496" s="9" t="s">
        <v>8301</v>
      </c>
      <c r="L1496" s="9" t="s">
        <v>8302</v>
      </c>
      <c r="M1496" s="9" t="s">
        <v>8303</v>
      </c>
      <c r="N1496" s="9" t="s">
        <v>1082</v>
      </c>
      <c r="O1496" s="6">
        <f t="shared" si="29"/>
        <v>2419.9999382611245</v>
      </c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</row>
    <row r="1497" spans="1:27" ht="12.75" x14ac:dyDescent="0.2">
      <c r="A1497" s="5" t="s">
        <v>2937</v>
      </c>
      <c r="B1497" s="5" t="s">
        <v>2937</v>
      </c>
      <c r="C1497" s="4">
        <v>915</v>
      </c>
      <c r="D1497" s="6" t="e">
        <f t="shared" si="25"/>
        <v>#VALUE!</v>
      </c>
      <c r="E1497" s="6" t="s">
        <v>2974</v>
      </c>
      <c r="F1497" s="7">
        <v>484</v>
      </c>
      <c r="G1497" s="6" t="s">
        <v>21</v>
      </c>
      <c r="H1497" s="11" t="s">
        <v>8304</v>
      </c>
      <c r="I1497" s="9" t="s">
        <v>8305</v>
      </c>
      <c r="J1497" s="9" t="s">
        <v>8281</v>
      </c>
      <c r="K1497" s="9" t="s">
        <v>8306</v>
      </c>
      <c r="L1497" s="9" t="s">
        <v>8307</v>
      </c>
      <c r="M1497" s="9" t="s">
        <v>8308</v>
      </c>
      <c r="N1497" s="9" t="s">
        <v>1082</v>
      </c>
      <c r="O1497" s="6">
        <f t="shared" si="29"/>
        <v>2424.9999077121852</v>
      </c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</row>
    <row r="1498" spans="1:27" ht="12.75" x14ac:dyDescent="0.2">
      <c r="A1498" s="5" t="s">
        <v>2937</v>
      </c>
      <c r="B1498" s="5" t="s">
        <v>2937</v>
      </c>
      <c r="C1498" s="4">
        <v>916</v>
      </c>
      <c r="D1498" s="6" t="e">
        <f t="shared" si="25"/>
        <v>#VALUE!</v>
      </c>
      <c r="E1498" s="6" t="s">
        <v>4931</v>
      </c>
      <c r="F1498" s="7">
        <v>484</v>
      </c>
      <c r="G1498" s="6" t="s">
        <v>28</v>
      </c>
      <c r="H1498" s="8" t="s">
        <v>8309</v>
      </c>
      <c r="I1498" s="10" t="s">
        <v>8310</v>
      </c>
      <c r="J1498" s="9" t="s">
        <v>8311</v>
      </c>
      <c r="K1498" s="9" t="s">
        <v>8312</v>
      </c>
      <c r="L1498" s="9" t="s">
        <v>8313</v>
      </c>
      <c r="M1498" s="9" t="s">
        <v>8314</v>
      </c>
      <c r="N1498" s="9" t="s">
        <v>1082</v>
      </c>
      <c r="O1498" s="6">
        <f t="shared" si="29"/>
        <v>1939.9999591307103</v>
      </c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</row>
    <row r="1499" spans="1:27" ht="12.75" x14ac:dyDescent="0.2">
      <c r="A1499" s="5" t="s">
        <v>2937</v>
      </c>
      <c r="B1499" s="5" t="s">
        <v>2937</v>
      </c>
      <c r="C1499" s="4">
        <v>917</v>
      </c>
      <c r="D1499" s="6" t="e">
        <f t="shared" si="25"/>
        <v>#VALUE!</v>
      </c>
      <c r="E1499" s="6" t="s">
        <v>8315</v>
      </c>
      <c r="F1499" s="7">
        <v>484</v>
      </c>
      <c r="G1499" s="6" t="s">
        <v>28</v>
      </c>
      <c r="H1499" s="8" t="s">
        <v>8316</v>
      </c>
      <c r="I1499" s="10" t="s">
        <v>8317</v>
      </c>
      <c r="J1499" s="9" t="s">
        <v>8318</v>
      </c>
      <c r="K1499" s="9" t="s">
        <v>8319</v>
      </c>
      <c r="L1499" s="9" t="s">
        <v>8320</v>
      </c>
      <c r="M1499" s="9" t="s">
        <v>8321</v>
      </c>
      <c r="N1499" s="9" t="s">
        <v>1082</v>
      </c>
      <c r="O1499" s="6">
        <f t="shared" si="29"/>
        <v>1940</v>
      </c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</row>
    <row r="1500" spans="1:27" ht="12.75" x14ac:dyDescent="0.2">
      <c r="A1500" s="5" t="s">
        <v>2937</v>
      </c>
      <c r="B1500" s="5" t="s">
        <v>2937</v>
      </c>
      <c r="C1500" s="4">
        <v>918</v>
      </c>
      <c r="D1500" s="6" t="e">
        <f t="shared" si="25"/>
        <v>#VALUE!</v>
      </c>
      <c r="E1500" s="6" t="s">
        <v>5426</v>
      </c>
      <c r="F1500" s="7">
        <v>484</v>
      </c>
      <c r="G1500" s="6" t="s">
        <v>17</v>
      </c>
      <c r="H1500" s="8" t="s">
        <v>8322</v>
      </c>
      <c r="I1500" s="9" t="s">
        <v>8323</v>
      </c>
      <c r="J1500" s="10" t="s">
        <v>8324</v>
      </c>
      <c r="K1500" s="9" t="s">
        <v>8325</v>
      </c>
      <c r="L1500" s="9" t="s">
        <v>8326</v>
      </c>
      <c r="M1500" s="9" t="s">
        <v>8327</v>
      </c>
      <c r="N1500" s="9" t="s">
        <v>1082</v>
      </c>
      <c r="O1500" s="6">
        <f t="shared" si="29"/>
        <v>970.00002055181631</v>
      </c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</row>
    <row r="1501" spans="1:27" ht="12.75" x14ac:dyDescent="0.2">
      <c r="A1501" s="5" t="s">
        <v>2937</v>
      </c>
      <c r="B1501" s="5" t="s">
        <v>2937</v>
      </c>
      <c r="C1501" s="4">
        <v>919</v>
      </c>
      <c r="D1501" s="6" t="e">
        <f t="shared" si="25"/>
        <v>#VALUE!</v>
      </c>
      <c r="E1501" s="6" t="s">
        <v>4131</v>
      </c>
      <c r="F1501" s="7">
        <v>484</v>
      </c>
      <c r="G1501" s="6" t="s">
        <v>17</v>
      </c>
      <c r="H1501" s="8" t="s">
        <v>8328</v>
      </c>
      <c r="I1501" s="9" t="s">
        <v>8329</v>
      </c>
      <c r="J1501" s="10" t="s">
        <v>8330</v>
      </c>
      <c r="K1501" s="9" t="s">
        <v>8331</v>
      </c>
      <c r="L1501" s="9" t="s">
        <v>8332</v>
      </c>
      <c r="M1501" s="9" t="s">
        <v>8333</v>
      </c>
      <c r="N1501" s="9" t="s">
        <v>1082</v>
      </c>
      <c r="O1501" s="6">
        <f t="shared" si="29"/>
        <v>969.99997947054533</v>
      </c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</row>
    <row r="1502" spans="1:27" ht="12.75" x14ac:dyDescent="0.2">
      <c r="A1502" s="5" t="s">
        <v>2937</v>
      </c>
      <c r="B1502" s="5" t="s">
        <v>2937</v>
      </c>
      <c r="C1502" s="4">
        <v>920</v>
      </c>
      <c r="D1502" s="6" t="e">
        <f t="shared" si="25"/>
        <v>#VALUE!</v>
      </c>
      <c r="E1502" s="6" t="s">
        <v>8334</v>
      </c>
      <c r="F1502" s="7">
        <v>485</v>
      </c>
      <c r="G1502" s="6" t="s">
        <v>28</v>
      </c>
      <c r="H1502" s="8" t="s">
        <v>8335</v>
      </c>
      <c r="I1502" s="10" t="s">
        <v>8336</v>
      </c>
      <c r="J1502" s="9" t="s">
        <v>8337</v>
      </c>
      <c r="K1502" s="9" t="s">
        <v>8338</v>
      </c>
      <c r="L1502" s="9" t="s">
        <v>8339</v>
      </c>
      <c r="M1502" s="9" t="s">
        <v>8340</v>
      </c>
      <c r="N1502" s="9" t="s">
        <v>1082</v>
      </c>
      <c r="O1502" s="6">
        <f t="shared" si="29"/>
        <v>1944</v>
      </c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</row>
    <row r="1503" spans="1:27" ht="12.75" x14ac:dyDescent="0.2">
      <c r="A1503" s="5" t="s">
        <v>2937</v>
      </c>
      <c r="B1503" s="5" t="s">
        <v>2937</v>
      </c>
      <c r="C1503" s="4">
        <v>921</v>
      </c>
      <c r="D1503" s="6" t="e">
        <f t="shared" si="25"/>
        <v>#VALUE!</v>
      </c>
      <c r="E1503" s="6" t="s">
        <v>3668</v>
      </c>
      <c r="F1503" s="7">
        <v>485</v>
      </c>
      <c r="G1503" s="6" t="s">
        <v>28</v>
      </c>
      <c r="H1503" s="8" t="s">
        <v>8341</v>
      </c>
      <c r="I1503" s="10" t="s">
        <v>8342</v>
      </c>
      <c r="J1503" s="9" t="s">
        <v>8343</v>
      </c>
      <c r="K1503" s="9" t="s">
        <v>8344</v>
      </c>
      <c r="L1503" s="9" t="s">
        <v>8345</v>
      </c>
      <c r="M1503" s="9" t="s">
        <v>8346</v>
      </c>
      <c r="N1503" s="9" t="s">
        <v>1082</v>
      </c>
      <c r="O1503" s="6">
        <f t="shared" si="29"/>
        <v>1943.999918896177</v>
      </c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</row>
    <row r="1504" spans="1:27" ht="12.75" x14ac:dyDescent="0.2">
      <c r="A1504" s="5" t="s">
        <v>2937</v>
      </c>
      <c r="B1504" s="5" t="s">
        <v>2937</v>
      </c>
      <c r="C1504" s="4">
        <v>922</v>
      </c>
      <c r="D1504" s="6" t="e">
        <f t="shared" si="25"/>
        <v>#VALUE!</v>
      </c>
      <c r="E1504" s="6" t="s">
        <v>3716</v>
      </c>
      <c r="F1504" s="7">
        <v>485</v>
      </c>
      <c r="G1504" s="6" t="s">
        <v>21</v>
      </c>
      <c r="H1504" s="11" t="s">
        <v>8347</v>
      </c>
      <c r="I1504" s="9" t="s">
        <v>8348</v>
      </c>
      <c r="J1504" s="9" t="s">
        <v>8349</v>
      </c>
      <c r="K1504" s="9" t="s">
        <v>8350</v>
      </c>
      <c r="L1504" s="9" t="s">
        <v>8351</v>
      </c>
      <c r="M1504" s="9" t="s">
        <v>8352</v>
      </c>
      <c r="N1504" s="9" t="s">
        <v>1082</v>
      </c>
      <c r="O1504" s="6">
        <f t="shared" si="29"/>
        <v>2430.0000761423253</v>
      </c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</row>
    <row r="1505" spans="1:27" ht="12.75" x14ac:dyDescent="0.2">
      <c r="A1505" s="5" t="s">
        <v>2937</v>
      </c>
      <c r="B1505" s="5" t="s">
        <v>2937</v>
      </c>
      <c r="C1505" s="4">
        <v>923</v>
      </c>
      <c r="D1505" s="6" t="e">
        <f t="shared" si="25"/>
        <v>#VALUE!</v>
      </c>
      <c r="E1505" s="6" t="s">
        <v>6916</v>
      </c>
      <c r="F1505" s="7">
        <v>485</v>
      </c>
      <c r="G1505" s="6" t="s">
        <v>21</v>
      </c>
      <c r="H1505" s="11" t="s">
        <v>8353</v>
      </c>
      <c r="I1505" s="9" t="s">
        <v>8354</v>
      </c>
      <c r="J1505" s="9" t="s">
        <v>8355</v>
      </c>
      <c r="K1505" s="9" t="s">
        <v>8356</v>
      </c>
      <c r="L1505" s="9" t="s">
        <v>8357</v>
      </c>
      <c r="M1505" s="9" t="s">
        <v>8358</v>
      </c>
      <c r="N1505" s="9" t="s">
        <v>1082</v>
      </c>
      <c r="O1505" s="6">
        <f t="shared" si="29"/>
        <v>2430.0000456360526</v>
      </c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</row>
    <row r="1506" spans="1:27" ht="12.75" x14ac:dyDescent="0.2">
      <c r="A1506" s="5" t="s">
        <v>2937</v>
      </c>
      <c r="B1506" s="5" t="s">
        <v>2937</v>
      </c>
      <c r="C1506" s="4">
        <v>924</v>
      </c>
      <c r="D1506" s="6" t="e">
        <f t="shared" si="25"/>
        <v>#VALUE!</v>
      </c>
      <c r="E1506" s="6" t="s">
        <v>3276</v>
      </c>
      <c r="F1506" s="7">
        <v>485</v>
      </c>
      <c r="G1506" s="6" t="s">
        <v>28</v>
      </c>
      <c r="H1506" s="8" t="s">
        <v>7185</v>
      </c>
      <c r="I1506" s="10" t="s">
        <v>8359</v>
      </c>
      <c r="J1506" s="9" t="s">
        <v>8360</v>
      </c>
      <c r="K1506" s="9" t="s">
        <v>8361</v>
      </c>
      <c r="L1506" s="9" t="s">
        <v>8362</v>
      </c>
      <c r="M1506" s="9" t="s">
        <v>8363</v>
      </c>
      <c r="N1506" s="9" t="s">
        <v>1082</v>
      </c>
      <c r="O1506" s="6">
        <f t="shared" si="29"/>
        <v>1944</v>
      </c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</row>
    <row r="1507" spans="1:27" ht="12.75" x14ac:dyDescent="0.2">
      <c r="A1507" s="5" t="s">
        <v>2937</v>
      </c>
      <c r="B1507" s="5" t="s">
        <v>2937</v>
      </c>
      <c r="C1507" s="4">
        <v>925</v>
      </c>
      <c r="D1507" s="6" t="e">
        <f t="shared" si="25"/>
        <v>#VALUE!</v>
      </c>
      <c r="E1507" s="6" t="s">
        <v>8364</v>
      </c>
      <c r="F1507" s="7">
        <v>486</v>
      </c>
      <c r="G1507" s="6" t="s">
        <v>28</v>
      </c>
      <c r="H1507" s="8" t="s">
        <v>8365</v>
      </c>
      <c r="I1507" s="10" t="s">
        <v>8366</v>
      </c>
      <c r="J1507" s="9" t="s">
        <v>8367</v>
      </c>
      <c r="K1507" s="9" t="s">
        <v>8368</v>
      </c>
      <c r="L1507" s="9" t="s">
        <v>8369</v>
      </c>
      <c r="M1507" s="9" t="s">
        <v>8370</v>
      </c>
      <c r="N1507" s="9" t="s">
        <v>1082</v>
      </c>
      <c r="O1507" s="6">
        <f t="shared" si="29"/>
        <v>1948.0000402815681</v>
      </c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</row>
    <row r="1508" spans="1:27" ht="12.75" x14ac:dyDescent="0.2">
      <c r="A1508" s="5" t="s">
        <v>2937</v>
      </c>
      <c r="B1508" s="5" t="s">
        <v>2937</v>
      </c>
      <c r="C1508" s="4">
        <v>926</v>
      </c>
      <c r="D1508" s="6" t="e">
        <f t="shared" si="25"/>
        <v>#VALUE!</v>
      </c>
      <c r="E1508" s="6" t="s">
        <v>3488</v>
      </c>
      <c r="F1508" s="7">
        <v>486</v>
      </c>
      <c r="G1508" s="6" t="s">
        <v>21</v>
      </c>
      <c r="H1508" s="11" t="s">
        <v>8371</v>
      </c>
      <c r="I1508" s="9" t="s">
        <v>8372</v>
      </c>
      <c r="J1508" s="9" t="s">
        <v>8373</v>
      </c>
      <c r="K1508" s="9" t="s">
        <v>8374</v>
      </c>
      <c r="L1508" s="9" t="s">
        <v>8375</v>
      </c>
      <c r="M1508" s="9" t="s">
        <v>8376</v>
      </c>
      <c r="N1508" s="9" t="s">
        <v>1082</v>
      </c>
      <c r="O1508" s="6">
        <f t="shared" si="29"/>
        <v>2435.0000075635526</v>
      </c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</row>
    <row r="1509" spans="1:27" ht="12.75" x14ac:dyDescent="0.2">
      <c r="A1509" s="5" t="s">
        <v>2937</v>
      </c>
      <c r="B1509" s="5" t="s">
        <v>2937</v>
      </c>
      <c r="C1509" s="4">
        <v>927</v>
      </c>
      <c r="D1509" s="6" t="e">
        <f t="shared" si="25"/>
        <v>#VALUE!</v>
      </c>
      <c r="E1509" s="6" t="s">
        <v>7381</v>
      </c>
      <c r="F1509" s="7">
        <v>486</v>
      </c>
      <c r="G1509" s="6" t="s">
        <v>21</v>
      </c>
      <c r="H1509" s="11" t="s">
        <v>8377</v>
      </c>
      <c r="I1509" s="9" t="s">
        <v>8378</v>
      </c>
      <c r="J1509" s="9" t="s">
        <v>2631</v>
      </c>
      <c r="K1509" s="9" t="s">
        <v>8379</v>
      </c>
      <c r="L1509" s="9" t="s">
        <v>8380</v>
      </c>
      <c r="M1509" s="9" t="s">
        <v>8381</v>
      </c>
      <c r="N1509" s="9" t="s">
        <v>1082</v>
      </c>
      <c r="O1509" s="6">
        <f t="shared" si="29"/>
        <v>2434.9999093354286</v>
      </c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</row>
    <row r="1510" spans="1:27" ht="12.75" x14ac:dyDescent="0.2">
      <c r="A1510" s="5" t="s">
        <v>2937</v>
      </c>
      <c r="B1510" s="5" t="s">
        <v>2937</v>
      </c>
      <c r="C1510" s="4">
        <v>928</v>
      </c>
      <c r="D1510" s="6" t="e">
        <f t="shared" si="25"/>
        <v>#VALUE!</v>
      </c>
      <c r="E1510" s="6" t="s">
        <v>5962</v>
      </c>
      <c r="F1510" s="7">
        <v>486</v>
      </c>
      <c r="G1510" s="6" t="s">
        <v>21</v>
      </c>
      <c r="H1510" s="11" t="s">
        <v>8382</v>
      </c>
      <c r="I1510" s="9" t="s">
        <v>8383</v>
      </c>
      <c r="J1510" s="9" t="s">
        <v>8384</v>
      </c>
      <c r="K1510" s="9" t="s">
        <v>8385</v>
      </c>
      <c r="L1510" s="9" t="s">
        <v>8386</v>
      </c>
      <c r="M1510" s="9" t="s">
        <v>8387</v>
      </c>
      <c r="N1510" s="9" t="s">
        <v>1082</v>
      </c>
      <c r="O1510" s="6">
        <f t="shared" si="29"/>
        <v>2435.0000754728371</v>
      </c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</row>
    <row r="1511" spans="1:27" ht="12.75" x14ac:dyDescent="0.2">
      <c r="A1511" s="5" t="s">
        <v>2937</v>
      </c>
      <c r="B1511" s="5" t="s">
        <v>2937</v>
      </c>
      <c r="C1511" s="4">
        <v>929</v>
      </c>
      <c r="D1511" s="6" t="e">
        <f t="shared" si="25"/>
        <v>#VALUE!</v>
      </c>
      <c r="E1511" s="6" t="s">
        <v>3451</v>
      </c>
      <c r="F1511" s="7">
        <v>486</v>
      </c>
      <c r="G1511" s="6" t="s">
        <v>17</v>
      </c>
      <c r="H1511" s="8" t="s">
        <v>8388</v>
      </c>
      <c r="I1511" s="9" t="s">
        <v>8389</v>
      </c>
      <c r="J1511" s="10" t="s">
        <v>8390</v>
      </c>
      <c r="K1511" s="9" t="s">
        <v>8391</v>
      </c>
      <c r="L1511" s="9" t="s">
        <v>8392</v>
      </c>
      <c r="M1511" s="9" t="s">
        <v>8393</v>
      </c>
      <c r="N1511" s="9" t="s">
        <v>1082</v>
      </c>
      <c r="O1511" s="6">
        <f t="shared" si="29"/>
        <v>973.99995957554324</v>
      </c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</row>
    <row r="1512" spans="1:27" ht="12.75" x14ac:dyDescent="0.2">
      <c r="A1512" s="5" t="s">
        <v>2937</v>
      </c>
      <c r="B1512" s="5" t="s">
        <v>2937</v>
      </c>
      <c r="C1512" s="4">
        <v>930</v>
      </c>
      <c r="D1512" s="6" t="e">
        <f t="shared" si="25"/>
        <v>#VALUE!</v>
      </c>
      <c r="E1512" s="6" t="s">
        <v>6970</v>
      </c>
      <c r="F1512" s="7">
        <v>487</v>
      </c>
      <c r="G1512" s="6" t="s">
        <v>28</v>
      </c>
      <c r="H1512" s="8" t="s">
        <v>8394</v>
      </c>
      <c r="I1512" s="10" t="s">
        <v>8395</v>
      </c>
      <c r="J1512" s="9" t="s">
        <v>8396</v>
      </c>
      <c r="K1512" s="9" t="s">
        <v>8397</v>
      </c>
      <c r="L1512" s="9" t="s">
        <v>8398</v>
      </c>
      <c r="M1512" s="9" t="s">
        <v>8399</v>
      </c>
      <c r="N1512" s="9" t="s">
        <v>1082</v>
      </c>
      <c r="O1512" s="6">
        <f t="shared" si="29"/>
        <v>1952</v>
      </c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</row>
    <row r="1513" spans="1:27" ht="12.75" x14ac:dyDescent="0.2">
      <c r="A1513" s="5" t="s">
        <v>2937</v>
      </c>
      <c r="B1513" s="5" t="s">
        <v>2937</v>
      </c>
      <c r="C1513" s="4">
        <v>931</v>
      </c>
      <c r="D1513" s="6" t="e">
        <f t="shared" si="25"/>
        <v>#VALUE!</v>
      </c>
      <c r="E1513" s="6" t="s">
        <v>4005</v>
      </c>
      <c r="F1513" s="7">
        <v>487</v>
      </c>
      <c r="G1513" s="6" t="s">
        <v>21</v>
      </c>
      <c r="H1513" s="11" t="s">
        <v>8400</v>
      </c>
      <c r="I1513" s="9" t="s">
        <v>8401</v>
      </c>
      <c r="J1513" s="9" t="s">
        <v>8402</v>
      </c>
      <c r="K1513" s="9" t="s">
        <v>8403</v>
      </c>
      <c r="L1513" s="9" t="s">
        <v>8404</v>
      </c>
      <c r="M1513" s="9" t="s">
        <v>8405</v>
      </c>
      <c r="N1513" s="9" t="s">
        <v>1082</v>
      </c>
      <c r="O1513" s="6">
        <f t="shared" si="29"/>
        <v>2440</v>
      </c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</row>
    <row r="1514" spans="1:27" ht="12.75" x14ac:dyDescent="0.2">
      <c r="A1514" s="5" t="s">
        <v>2937</v>
      </c>
      <c r="B1514" s="5" t="s">
        <v>2937</v>
      </c>
      <c r="C1514" s="4">
        <v>932</v>
      </c>
      <c r="D1514" s="6" t="e">
        <f t="shared" si="25"/>
        <v>#VALUE!</v>
      </c>
      <c r="E1514" s="6" t="s">
        <v>3239</v>
      </c>
      <c r="F1514" s="7">
        <v>487</v>
      </c>
      <c r="G1514" s="6" t="s">
        <v>17</v>
      </c>
      <c r="H1514" s="8" t="s">
        <v>8406</v>
      </c>
      <c r="I1514" s="9" t="s">
        <v>8407</v>
      </c>
      <c r="J1514" s="10" t="s">
        <v>8408</v>
      </c>
      <c r="K1514" s="9" t="s">
        <v>8409</v>
      </c>
      <c r="L1514" s="9" t="s">
        <v>8410</v>
      </c>
      <c r="M1514" s="9" t="s">
        <v>8411</v>
      </c>
      <c r="N1514" s="9" t="s">
        <v>1082</v>
      </c>
      <c r="O1514" s="6">
        <f t="shared" si="29"/>
        <v>976</v>
      </c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</row>
    <row r="1515" spans="1:27" ht="12.75" x14ac:dyDescent="0.2">
      <c r="A1515" s="5" t="s">
        <v>2937</v>
      </c>
      <c r="B1515" s="5" t="s">
        <v>2937</v>
      </c>
      <c r="C1515" s="4">
        <v>933</v>
      </c>
      <c r="D1515" s="6" t="e">
        <f t="shared" si="25"/>
        <v>#VALUE!</v>
      </c>
      <c r="E1515" s="6" t="s">
        <v>1432</v>
      </c>
      <c r="F1515" s="7">
        <v>487</v>
      </c>
      <c r="G1515" s="6" t="s">
        <v>28</v>
      </c>
      <c r="H1515" s="8" t="s">
        <v>8412</v>
      </c>
      <c r="I1515" s="10" t="s">
        <v>8413</v>
      </c>
      <c r="J1515" s="9" t="s">
        <v>8414</v>
      </c>
      <c r="K1515" s="9" t="s">
        <v>8415</v>
      </c>
      <c r="L1515" s="9" t="s">
        <v>8416</v>
      </c>
      <c r="M1515" s="9" t="s">
        <v>8417</v>
      </c>
      <c r="N1515" s="9" t="s">
        <v>1082</v>
      </c>
      <c r="O1515" s="6">
        <f t="shared" si="29"/>
        <v>1952</v>
      </c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</row>
    <row r="1516" spans="1:27" ht="12.75" x14ac:dyDescent="0.2">
      <c r="A1516" s="5" t="s">
        <v>2937</v>
      </c>
      <c r="B1516" s="5" t="s">
        <v>2937</v>
      </c>
      <c r="C1516" s="4">
        <v>934</v>
      </c>
      <c r="D1516" s="6" t="e">
        <f t="shared" si="25"/>
        <v>#VALUE!</v>
      </c>
      <c r="E1516" s="6" t="s">
        <v>3668</v>
      </c>
      <c r="F1516" s="7">
        <v>487</v>
      </c>
      <c r="G1516" s="6" t="s">
        <v>21</v>
      </c>
      <c r="H1516" s="11" t="s">
        <v>8418</v>
      </c>
      <c r="I1516" s="9" t="s">
        <v>8419</v>
      </c>
      <c r="J1516" s="9" t="s">
        <v>8420</v>
      </c>
      <c r="K1516" s="9" t="s">
        <v>8421</v>
      </c>
      <c r="L1516" s="9" t="s">
        <v>8422</v>
      </c>
      <c r="M1516" s="9" t="s">
        <v>8423</v>
      </c>
      <c r="N1516" s="9" t="s">
        <v>1082</v>
      </c>
      <c r="O1516" s="6">
        <f t="shared" si="29"/>
        <v>2439.9999401506707</v>
      </c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</row>
    <row r="1517" spans="1:27" ht="12.75" x14ac:dyDescent="0.2">
      <c r="A1517" s="5" t="s">
        <v>2937</v>
      </c>
      <c r="B1517" s="5" t="s">
        <v>2937</v>
      </c>
      <c r="C1517" s="4">
        <v>935</v>
      </c>
      <c r="D1517" s="6" t="e">
        <f t="shared" si="25"/>
        <v>#VALUE!</v>
      </c>
      <c r="E1517" s="6" t="s">
        <v>4785</v>
      </c>
      <c r="F1517" s="7">
        <v>488</v>
      </c>
      <c r="G1517" s="6" t="s">
        <v>21</v>
      </c>
      <c r="H1517" s="11" t="s">
        <v>8424</v>
      </c>
      <c r="I1517" s="9" t="s">
        <v>8425</v>
      </c>
      <c r="J1517" s="9" t="s">
        <v>8426</v>
      </c>
      <c r="K1517" s="9" t="s">
        <v>8427</v>
      </c>
      <c r="L1517" s="9" t="s">
        <v>8428</v>
      </c>
      <c r="M1517" s="9" t="s">
        <v>8429</v>
      </c>
      <c r="N1517" s="9" t="s">
        <v>1082</v>
      </c>
      <c r="O1517" s="6">
        <f t="shared" si="29"/>
        <v>2444.9999776331388</v>
      </c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</row>
    <row r="1518" spans="1:27" ht="12.75" x14ac:dyDescent="0.2">
      <c r="A1518" s="5" t="s">
        <v>2937</v>
      </c>
      <c r="B1518" s="5" t="s">
        <v>2937</v>
      </c>
      <c r="C1518" s="4">
        <v>936</v>
      </c>
      <c r="D1518" s="6" t="e">
        <f t="shared" si="25"/>
        <v>#VALUE!</v>
      </c>
      <c r="E1518" s="6" t="s">
        <v>2982</v>
      </c>
      <c r="F1518" s="7">
        <v>488</v>
      </c>
      <c r="G1518" s="6" t="s">
        <v>21</v>
      </c>
      <c r="H1518" s="11" t="s">
        <v>8430</v>
      </c>
      <c r="I1518" s="9" t="s">
        <v>8431</v>
      </c>
      <c r="J1518" s="9" t="s">
        <v>8432</v>
      </c>
      <c r="K1518" s="9" t="s">
        <v>8433</v>
      </c>
      <c r="L1518" s="9" t="s">
        <v>6792</v>
      </c>
      <c r="M1518" s="9" t="s">
        <v>8434</v>
      </c>
      <c r="N1518" s="9" t="s">
        <v>1082</v>
      </c>
      <c r="O1518" s="6">
        <f t="shared" si="29"/>
        <v>2444.9999553139196</v>
      </c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</row>
    <row r="1519" spans="1:27" ht="12.75" x14ac:dyDescent="0.2">
      <c r="A1519" s="5" t="s">
        <v>2937</v>
      </c>
      <c r="B1519" s="5" t="s">
        <v>2937</v>
      </c>
      <c r="C1519" s="4">
        <v>937</v>
      </c>
      <c r="D1519" s="6" t="e">
        <f t="shared" si="25"/>
        <v>#VALUE!</v>
      </c>
      <c r="E1519" s="6" t="s">
        <v>85</v>
      </c>
      <c r="F1519" s="7">
        <v>488</v>
      </c>
      <c r="G1519" s="6" t="s">
        <v>21</v>
      </c>
      <c r="H1519" s="11" t="s">
        <v>8435</v>
      </c>
      <c r="I1519" s="9" t="s">
        <v>8369</v>
      </c>
      <c r="J1519" s="9" t="s">
        <v>8436</v>
      </c>
      <c r="K1519" s="9" t="s">
        <v>8437</v>
      </c>
      <c r="L1519" s="9" t="s">
        <v>8438</v>
      </c>
      <c r="M1519" s="9" t="s">
        <v>8439</v>
      </c>
      <c r="N1519" s="9" t="s">
        <v>1082</v>
      </c>
      <c r="O1519" s="6">
        <f t="shared" si="29"/>
        <v>2445.0000743970122</v>
      </c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</row>
    <row r="1520" spans="1:27" ht="12.75" x14ac:dyDescent="0.2">
      <c r="A1520" s="5" t="s">
        <v>2937</v>
      </c>
      <c r="B1520" s="5" t="s">
        <v>2937</v>
      </c>
      <c r="C1520" s="4">
        <v>938</v>
      </c>
      <c r="D1520" s="6" t="e">
        <f t="shared" si="25"/>
        <v>#VALUE!</v>
      </c>
      <c r="E1520" s="6" t="s">
        <v>3036</v>
      </c>
      <c r="F1520" s="7">
        <v>488</v>
      </c>
      <c r="G1520" s="6" t="s">
        <v>21</v>
      </c>
      <c r="H1520" s="11" t="s">
        <v>8440</v>
      </c>
      <c r="I1520" s="9" t="s">
        <v>8441</v>
      </c>
      <c r="J1520" s="9" t="s">
        <v>8442</v>
      </c>
      <c r="K1520" s="9" t="s">
        <v>8443</v>
      </c>
      <c r="L1520" s="9" t="s">
        <v>8444</v>
      </c>
      <c r="M1520" s="9" t="s">
        <v>8445</v>
      </c>
      <c r="N1520" s="9" t="s">
        <v>1082</v>
      </c>
      <c r="O1520" s="6">
        <f t="shared" si="29"/>
        <v>2444.999955409563</v>
      </c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</row>
    <row r="1521" spans="1:27" ht="12.75" x14ac:dyDescent="0.2">
      <c r="A1521" s="5" t="s">
        <v>2937</v>
      </c>
      <c r="B1521" s="5" t="s">
        <v>2937</v>
      </c>
      <c r="C1521" s="4">
        <v>939</v>
      </c>
      <c r="D1521" s="6" t="e">
        <f t="shared" si="25"/>
        <v>#VALUE!</v>
      </c>
      <c r="E1521" s="6" t="s">
        <v>3250</v>
      </c>
      <c r="F1521" s="7">
        <v>488</v>
      </c>
      <c r="G1521" s="6" t="s">
        <v>21</v>
      </c>
      <c r="H1521" s="11" t="s">
        <v>8446</v>
      </c>
      <c r="I1521" s="9" t="s">
        <v>8447</v>
      </c>
      <c r="J1521" s="9" t="s">
        <v>8448</v>
      </c>
      <c r="K1521" s="9" t="s">
        <v>8449</v>
      </c>
      <c r="L1521" s="9" t="s">
        <v>8450</v>
      </c>
      <c r="M1521" s="9" t="s">
        <v>8451</v>
      </c>
      <c r="N1521" s="9" t="s">
        <v>1082</v>
      </c>
      <c r="O1521" s="6">
        <f t="shared" si="29"/>
        <v>2445.00002969562</v>
      </c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</row>
    <row r="1522" spans="1:27" ht="12.75" x14ac:dyDescent="0.2">
      <c r="A1522" s="5" t="s">
        <v>2937</v>
      </c>
      <c r="B1522" s="5" t="s">
        <v>2937</v>
      </c>
      <c r="C1522" s="4">
        <v>940</v>
      </c>
      <c r="D1522" s="6" t="e">
        <f t="shared" si="25"/>
        <v>#VALUE!</v>
      </c>
      <c r="E1522" s="6" t="s">
        <v>4606</v>
      </c>
      <c r="F1522" s="7">
        <v>489</v>
      </c>
      <c r="G1522" s="6" t="s">
        <v>17</v>
      </c>
      <c r="H1522" s="8" t="s">
        <v>8452</v>
      </c>
      <c r="I1522" s="9" t="s">
        <v>8453</v>
      </c>
      <c r="J1522" s="10" t="s">
        <v>8454</v>
      </c>
      <c r="K1522" s="9" t="s">
        <v>8455</v>
      </c>
      <c r="L1522" s="9" t="s">
        <v>8456</v>
      </c>
      <c r="M1522" s="9" t="s">
        <v>8457</v>
      </c>
      <c r="N1522" s="9" t="s">
        <v>1082</v>
      </c>
      <c r="O1522" s="6">
        <f t="shared" si="29"/>
        <v>980</v>
      </c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</row>
    <row r="1523" spans="1:27" ht="12.75" x14ac:dyDescent="0.2">
      <c r="A1523" s="5" t="s">
        <v>2937</v>
      </c>
      <c r="B1523" s="5" t="s">
        <v>2937</v>
      </c>
      <c r="C1523" s="4">
        <v>941</v>
      </c>
      <c r="D1523" s="6" t="e">
        <f t="shared" si="25"/>
        <v>#VALUE!</v>
      </c>
      <c r="E1523" s="6" t="s">
        <v>7902</v>
      </c>
      <c r="F1523" s="7">
        <v>489</v>
      </c>
      <c r="G1523" s="6" t="s">
        <v>21</v>
      </c>
      <c r="H1523" s="11" t="s">
        <v>8458</v>
      </c>
      <c r="I1523" s="9" t="s">
        <v>8459</v>
      </c>
      <c r="J1523" s="9" t="s">
        <v>8460</v>
      </c>
      <c r="K1523" s="9" t="s">
        <v>8461</v>
      </c>
      <c r="L1523" s="9" t="s">
        <v>8462</v>
      </c>
      <c r="M1523" s="9" t="s">
        <v>8463</v>
      </c>
      <c r="N1523" s="9" t="s">
        <v>1082</v>
      </c>
      <c r="O1523" s="6">
        <f t="shared" si="29"/>
        <v>2449.9998817477681</v>
      </c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</row>
    <row r="1524" spans="1:27" ht="12.75" x14ac:dyDescent="0.2">
      <c r="A1524" s="5" t="s">
        <v>2937</v>
      </c>
      <c r="B1524" s="5" t="s">
        <v>2937</v>
      </c>
      <c r="C1524" s="4">
        <v>942</v>
      </c>
      <c r="D1524" s="6" t="e">
        <f t="shared" si="25"/>
        <v>#VALUE!</v>
      </c>
      <c r="E1524" s="6" t="s">
        <v>4759</v>
      </c>
      <c r="F1524" s="7">
        <v>489</v>
      </c>
      <c r="G1524" s="6" t="s">
        <v>17</v>
      </c>
      <c r="H1524" s="8" t="s">
        <v>8464</v>
      </c>
      <c r="I1524" s="9" t="s">
        <v>8465</v>
      </c>
      <c r="J1524" s="10" t="s">
        <v>8466</v>
      </c>
      <c r="K1524" s="9" t="s">
        <v>8467</v>
      </c>
      <c r="L1524" s="9" t="s">
        <v>8468</v>
      </c>
      <c r="M1524" s="9" t="s">
        <v>8469</v>
      </c>
      <c r="N1524" s="9" t="s">
        <v>1082</v>
      </c>
      <c r="O1524" s="6">
        <f t="shared" si="29"/>
        <v>980.00003958553941</v>
      </c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</row>
    <row r="1525" spans="1:27" ht="12.75" x14ac:dyDescent="0.2">
      <c r="A1525" s="5" t="s">
        <v>2937</v>
      </c>
      <c r="B1525" s="5" t="s">
        <v>2937</v>
      </c>
      <c r="C1525" s="4">
        <v>943</v>
      </c>
      <c r="D1525" s="6" t="e">
        <f t="shared" si="25"/>
        <v>#VALUE!</v>
      </c>
      <c r="E1525" s="6" t="s">
        <v>73</v>
      </c>
      <c r="F1525" s="7">
        <v>489</v>
      </c>
      <c r="G1525" s="6" t="s">
        <v>17</v>
      </c>
      <c r="H1525" s="8" t="s">
        <v>8470</v>
      </c>
      <c r="I1525" s="9" t="s">
        <v>8471</v>
      </c>
      <c r="J1525" s="10" t="s">
        <v>8472</v>
      </c>
      <c r="K1525" s="9" t="s">
        <v>8473</v>
      </c>
      <c r="L1525" s="9" t="s">
        <v>8474</v>
      </c>
      <c r="M1525" s="9" t="s">
        <v>8475</v>
      </c>
      <c r="N1525" s="9" t="s">
        <v>1082</v>
      </c>
      <c r="O1525" s="6">
        <f t="shared" si="29"/>
        <v>980</v>
      </c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</row>
    <row r="1526" spans="1:27" ht="12.75" x14ac:dyDescent="0.2">
      <c r="A1526" s="5" t="s">
        <v>2937</v>
      </c>
      <c r="B1526" s="5" t="s">
        <v>2937</v>
      </c>
      <c r="C1526" s="4">
        <v>944</v>
      </c>
      <c r="D1526" s="6" t="e">
        <f t="shared" si="25"/>
        <v>#VALUE!</v>
      </c>
      <c r="E1526" s="6" t="s">
        <v>6113</v>
      </c>
      <c r="F1526" s="7">
        <v>489</v>
      </c>
      <c r="G1526" s="6" t="s">
        <v>28</v>
      </c>
      <c r="H1526" s="8" t="s">
        <v>5998</v>
      </c>
      <c r="I1526" s="10" t="s">
        <v>8476</v>
      </c>
      <c r="J1526" s="9" t="s">
        <v>8477</v>
      </c>
      <c r="K1526" s="9" t="s">
        <v>8478</v>
      </c>
      <c r="L1526" s="9" t="s">
        <v>8479</v>
      </c>
      <c r="M1526" s="9" t="s">
        <v>8480</v>
      </c>
      <c r="N1526" s="9" t="s">
        <v>1082</v>
      </c>
      <c r="O1526" s="6">
        <f t="shared" si="29"/>
        <v>1960</v>
      </c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</row>
    <row r="1527" spans="1:27" ht="12.75" x14ac:dyDescent="0.2">
      <c r="A1527" s="5" t="s">
        <v>2937</v>
      </c>
      <c r="B1527" s="5" t="s">
        <v>2937</v>
      </c>
      <c r="C1527" s="4">
        <v>945</v>
      </c>
      <c r="D1527" s="6" t="e">
        <f t="shared" si="25"/>
        <v>#VALUE!</v>
      </c>
      <c r="E1527" s="6" t="s">
        <v>241</v>
      </c>
      <c r="F1527" s="7">
        <v>490</v>
      </c>
      <c r="G1527" s="6" t="s">
        <v>28</v>
      </c>
      <c r="H1527" s="8" t="s">
        <v>8481</v>
      </c>
      <c r="I1527" s="10" t="s">
        <v>8482</v>
      </c>
      <c r="J1527" s="9" t="s">
        <v>8483</v>
      </c>
      <c r="K1527" s="9" t="s">
        <v>8484</v>
      </c>
      <c r="L1527" s="9" t="s">
        <v>8485</v>
      </c>
      <c r="M1527" s="9" t="s">
        <v>8486</v>
      </c>
      <c r="N1527" s="9" t="s">
        <v>1082</v>
      </c>
      <c r="O1527" s="6">
        <f t="shared" si="29"/>
        <v>1964</v>
      </c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</row>
    <row r="1528" spans="1:27" ht="12.75" x14ac:dyDescent="0.2">
      <c r="A1528" s="5" t="s">
        <v>2937</v>
      </c>
      <c r="B1528" s="5" t="s">
        <v>2937</v>
      </c>
      <c r="C1528" s="4">
        <v>946</v>
      </c>
      <c r="D1528" s="6" t="e">
        <f t="shared" si="25"/>
        <v>#VALUE!</v>
      </c>
      <c r="E1528" s="6" t="s">
        <v>3160</v>
      </c>
      <c r="F1528" s="7">
        <v>490</v>
      </c>
      <c r="G1528" s="6" t="s">
        <v>28</v>
      </c>
      <c r="H1528" s="8" t="s">
        <v>8487</v>
      </c>
      <c r="I1528" s="10" t="s">
        <v>8488</v>
      </c>
      <c r="J1528" s="9" t="s">
        <v>7218</v>
      </c>
      <c r="K1528" s="9" t="s">
        <v>8489</v>
      </c>
      <c r="L1528" s="9" t="s">
        <v>8490</v>
      </c>
      <c r="M1528" s="9" t="s">
        <v>8491</v>
      </c>
      <c r="N1528" s="9" t="s">
        <v>1082</v>
      </c>
      <c r="O1528" s="6">
        <f t="shared" si="29"/>
        <v>1964</v>
      </c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</row>
    <row r="1529" spans="1:27" ht="12.75" x14ac:dyDescent="0.2">
      <c r="A1529" s="5" t="s">
        <v>2937</v>
      </c>
      <c r="B1529" s="5" t="s">
        <v>2937</v>
      </c>
      <c r="C1529" s="4">
        <v>947</v>
      </c>
      <c r="D1529" s="6" t="e">
        <f t="shared" si="25"/>
        <v>#VALUE!</v>
      </c>
      <c r="E1529" s="6" t="s">
        <v>4820</v>
      </c>
      <c r="F1529" s="7">
        <v>490</v>
      </c>
      <c r="G1529" s="6" t="s">
        <v>21</v>
      </c>
      <c r="H1529" s="11" t="s">
        <v>8492</v>
      </c>
      <c r="I1529" s="9" t="s">
        <v>8493</v>
      </c>
      <c r="J1529" s="9" t="s">
        <v>8494</v>
      </c>
      <c r="K1529" s="9" t="s">
        <v>8495</v>
      </c>
      <c r="L1529" s="9" t="s">
        <v>8496</v>
      </c>
      <c r="M1529" s="9" t="s">
        <v>8497</v>
      </c>
      <c r="N1529" s="9" t="s">
        <v>1082</v>
      </c>
      <c r="O1529" s="6">
        <f t="shared" si="29"/>
        <v>2455.0000293074645</v>
      </c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</row>
    <row r="1530" spans="1:27" ht="12.75" x14ac:dyDescent="0.2">
      <c r="A1530" s="5" t="s">
        <v>2937</v>
      </c>
      <c r="B1530" s="5" t="s">
        <v>2937</v>
      </c>
      <c r="C1530" s="4">
        <v>948</v>
      </c>
      <c r="D1530" s="6" t="e">
        <f t="shared" si="25"/>
        <v>#VALUE!</v>
      </c>
      <c r="E1530" s="6" t="s">
        <v>8498</v>
      </c>
      <c r="F1530" s="7">
        <v>490</v>
      </c>
      <c r="G1530" s="6" t="s">
        <v>28</v>
      </c>
      <c r="H1530" s="8" t="s">
        <v>8499</v>
      </c>
      <c r="I1530" s="10" t="s">
        <v>8500</v>
      </c>
      <c r="J1530" s="9" t="s">
        <v>8501</v>
      </c>
      <c r="K1530" s="9" t="s">
        <v>8502</v>
      </c>
      <c r="L1530" s="9" t="s">
        <v>8503</v>
      </c>
      <c r="M1530" s="9" t="s">
        <v>8504</v>
      </c>
      <c r="N1530" s="9" t="s">
        <v>1082</v>
      </c>
      <c r="O1530" s="6">
        <f t="shared" si="29"/>
        <v>1963.9999221229289</v>
      </c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</row>
    <row r="1531" spans="1:27" ht="12.75" x14ac:dyDescent="0.2">
      <c r="A1531" s="5" t="s">
        <v>2937</v>
      </c>
      <c r="B1531" s="5" t="s">
        <v>2937</v>
      </c>
      <c r="C1531" s="4">
        <v>949</v>
      </c>
      <c r="D1531" s="6" t="e">
        <f t="shared" si="25"/>
        <v>#VALUE!</v>
      </c>
      <c r="E1531" s="6" t="s">
        <v>6440</v>
      </c>
      <c r="F1531" s="7">
        <v>490</v>
      </c>
      <c r="G1531" s="6" t="s">
        <v>28</v>
      </c>
      <c r="H1531" s="8" t="s">
        <v>8505</v>
      </c>
      <c r="I1531" s="10" t="s">
        <v>8506</v>
      </c>
      <c r="J1531" s="9" t="s">
        <v>8507</v>
      </c>
      <c r="K1531" s="9" t="s">
        <v>8508</v>
      </c>
      <c r="L1531" s="9" t="s">
        <v>8509</v>
      </c>
      <c r="M1531" s="9" t="s">
        <v>8510</v>
      </c>
      <c r="N1531" s="9" t="s">
        <v>1082</v>
      </c>
      <c r="O1531" s="6">
        <f t="shared" si="29"/>
        <v>1964.0000777952816</v>
      </c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</row>
    <row r="1532" spans="1:27" ht="12.75" x14ac:dyDescent="0.2">
      <c r="A1532" s="5" t="s">
        <v>2937</v>
      </c>
      <c r="B1532" s="5" t="s">
        <v>2937</v>
      </c>
      <c r="C1532" s="4">
        <v>950</v>
      </c>
      <c r="D1532" s="6" t="e">
        <f t="shared" ref="D1532:D1582" si="30">CONCATENATE(A1532:C1532)</f>
        <v>#VALUE!</v>
      </c>
      <c r="E1532" s="6" t="s">
        <v>8511</v>
      </c>
      <c r="F1532" s="7">
        <v>491</v>
      </c>
      <c r="G1532" s="6" t="s">
        <v>21</v>
      </c>
      <c r="H1532" s="11" t="s">
        <v>8512</v>
      </c>
      <c r="I1532" s="9" t="s">
        <v>8513</v>
      </c>
      <c r="J1532" s="9" t="s">
        <v>8514</v>
      </c>
      <c r="K1532" s="9" t="s">
        <v>8515</v>
      </c>
      <c r="L1532" s="9" t="s">
        <v>8516</v>
      </c>
      <c r="M1532" s="9" t="s">
        <v>8517</v>
      </c>
      <c r="N1532" s="9" t="s">
        <v>1082</v>
      </c>
      <c r="O1532" s="6">
        <f t="shared" si="29"/>
        <v>2460.0001165874842</v>
      </c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</row>
    <row r="1533" spans="1:27" ht="12.75" x14ac:dyDescent="0.2">
      <c r="A1533" s="5" t="s">
        <v>2937</v>
      </c>
      <c r="B1533" s="5" t="s">
        <v>2937</v>
      </c>
      <c r="C1533" s="4">
        <v>951</v>
      </c>
      <c r="D1533" s="6" t="e">
        <f t="shared" si="30"/>
        <v>#VALUE!</v>
      </c>
      <c r="E1533" s="6" t="s">
        <v>3296</v>
      </c>
      <c r="F1533" s="7">
        <v>491</v>
      </c>
      <c r="G1533" s="6" t="s">
        <v>28</v>
      </c>
      <c r="H1533" s="8" t="s">
        <v>8518</v>
      </c>
      <c r="I1533" s="10" t="s">
        <v>8519</v>
      </c>
      <c r="J1533" s="9" t="s">
        <v>8520</v>
      </c>
      <c r="K1533" s="9" t="s">
        <v>8521</v>
      </c>
      <c r="L1533" s="9" t="s">
        <v>8522</v>
      </c>
      <c r="M1533" s="9" t="s">
        <v>8523</v>
      </c>
      <c r="N1533" s="9" t="s">
        <v>1082</v>
      </c>
      <c r="O1533" s="6">
        <f t="shared" si="29"/>
        <v>1968</v>
      </c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</row>
    <row r="1534" spans="1:27" ht="12.75" x14ac:dyDescent="0.2">
      <c r="A1534" s="5" t="s">
        <v>2937</v>
      </c>
      <c r="B1534" s="5" t="s">
        <v>2937</v>
      </c>
      <c r="C1534" s="4">
        <v>952</v>
      </c>
      <c r="D1534" s="6" t="e">
        <f t="shared" si="30"/>
        <v>#VALUE!</v>
      </c>
      <c r="E1534" s="6" t="s">
        <v>8524</v>
      </c>
      <c r="F1534" s="7">
        <v>491</v>
      </c>
      <c r="G1534" s="6" t="s">
        <v>21</v>
      </c>
      <c r="H1534" s="11" t="s">
        <v>8525</v>
      </c>
      <c r="I1534" s="9" t="s">
        <v>8526</v>
      </c>
      <c r="J1534" s="9" t="s">
        <v>8527</v>
      </c>
      <c r="K1534" s="9" t="s">
        <v>8528</v>
      </c>
      <c r="L1534" s="9" t="s">
        <v>8529</v>
      </c>
      <c r="M1534" s="9" t="s">
        <v>8530</v>
      </c>
      <c r="N1534" s="9" t="s">
        <v>1082</v>
      </c>
      <c r="O1534" s="6">
        <f t="shared" si="29"/>
        <v>2459.9999127431374</v>
      </c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</row>
    <row r="1535" spans="1:27" ht="12.75" x14ac:dyDescent="0.2">
      <c r="A1535" s="5" t="s">
        <v>2937</v>
      </c>
      <c r="B1535" s="5" t="s">
        <v>2937</v>
      </c>
      <c r="C1535" s="4">
        <v>953</v>
      </c>
      <c r="D1535" s="6" t="e">
        <f t="shared" si="30"/>
        <v>#VALUE!</v>
      </c>
      <c r="E1535" s="6" t="s">
        <v>3554</v>
      </c>
      <c r="F1535" s="7">
        <v>491</v>
      </c>
      <c r="G1535" s="6" t="s">
        <v>21</v>
      </c>
      <c r="H1535" s="11" t="s">
        <v>8531</v>
      </c>
      <c r="I1535" s="9" t="s">
        <v>8532</v>
      </c>
      <c r="J1535" s="9" t="s">
        <v>8533</v>
      </c>
      <c r="K1535" s="9" t="s">
        <v>8534</v>
      </c>
      <c r="L1535" s="9" t="s">
        <v>8535</v>
      </c>
      <c r="M1535" s="9" t="s">
        <v>8536</v>
      </c>
      <c r="N1535" s="9" t="s">
        <v>1082</v>
      </c>
      <c r="O1535" s="6">
        <f t="shared" si="29"/>
        <v>2459.999941890027</v>
      </c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</row>
    <row r="1536" spans="1:27" ht="12.75" x14ac:dyDescent="0.2">
      <c r="A1536" s="5" t="s">
        <v>2937</v>
      </c>
      <c r="B1536" s="5" t="s">
        <v>2937</v>
      </c>
      <c r="C1536" s="4">
        <v>954</v>
      </c>
      <c r="D1536" s="6" t="e">
        <f t="shared" si="30"/>
        <v>#VALUE!</v>
      </c>
      <c r="E1536" s="6" t="s">
        <v>5635</v>
      </c>
      <c r="F1536" s="7">
        <v>491</v>
      </c>
      <c r="G1536" s="6" t="s">
        <v>21</v>
      </c>
      <c r="H1536" s="11" t="s">
        <v>8537</v>
      </c>
      <c r="I1536" s="9" t="s">
        <v>8538</v>
      </c>
      <c r="J1536" s="9" t="s">
        <v>8539</v>
      </c>
      <c r="K1536" s="9" t="s">
        <v>8540</v>
      </c>
      <c r="L1536" s="9" t="s">
        <v>5883</v>
      </c>
      <c r="M1536" s="9" t="s">
        <v>8541</v>
      </c>
      <c r="N1536" s="9" t="s">
        <v>1082</v>
      </c>
      <c r="O1536" s="6">
        <f t="shared" si="29"/>
        <v>2459.9999419507453</v>
      </c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</row>
    <row r="1537" spans="1:27" ht="12.75" x14ac:dyDescent="0.2">
      <c r="A1537" s="5" t="s">
        <v>2937</v>
      </c>
      <c r="B1537" s="5" t="s">
        <v>2937</v>
      </c>
      <c r="C1537" s="4">
        <v>955</v>
      </c>
      <c r="D1537" s="6" t="e">
        <f t="shared" si="30"/>
        <v>#VALUE!</v>
      </c>
      <c r="E1537" s="6" t="s">
        <v>7435</v>
      </c>
      <c r="F1537" s="7">
        <v>492</v>
      </c>
      <c r="G1537" s="6" t="s">
        <v>28</v>
      </c>
      <c r="H1537" s="8" t="s">
        <v>8542</v>
      </c>
      <c r="I1537" s="10" t="s">
        <v>8543</v>
      </c>
      <c r="J1537" s="9" t="s">
        <v>8544</v>
      </c>
      <c r="K1537" s="9" t="s">
        <v>8545</v>
      </c>
      <c r="L1537" s="9" t="s">
        <v>8546</v>
      </c>
      <c r="M1537" s="9" t="s">
        <v>8547</v>
      </c>
      <c r="N1537" s="9" t="s">
        <v>1082</v>
      </c>
      <c r="O1537" s="6">
        <f t="shared" si="29"/>
        <v>1971.9999615255133</v>
      </c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</row>
    <row r="1538" spans="1:27" ht="12.75" x14ac:dyDescent="0.2">
      <c r="A1538" s="5" t="s">
        <v>2937</v>
      </c>
      <c r="B1538" s="5" t="s">
        <v>2937</v>
      </c>
      <c r="C1538" s="4">
        <v>956</v>
      </c>
      <c r="D1538" s="6" t="e">
        <f t="shared" si="30"/>
        <v>#VALUE!</v>
      </c>
      <c r="E1538" s="6" t="s">
        <v>5689</v>
      </c>
      <c r="F1538" s="7">
        <v>492</v>
      </c>
      <c r="G1538" s="6" t="s">
        <v>28</v>
      </c>
      <c r="H1538" s="8" t="s">
        <v>8548</v>
      </c>
      <c r="I1538" s="10" t="s">
        <v>8549</v>
      </c>
      <c r="J1538" s="9" t="s">
        <v>8550</v>
      </c>
      <c r="K1538" s="9" t="s">
        <v>8551</v>
      </c>
      <c r="L1538" s="9" t="s">
        <v>8552</v>
      </c>
      <c r="M1538" s="9" t="s">
        <v>8553</v>
      </c>
      <c r="N1538" s="9" t="s">
        <v>1082</v>
      </c>
      <c r="O1538" s="6">
        <f t="shared" si="29"/>
        <v>1971.9999231316178</v>
      </c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</row>
    <row r="1539" spans="1:27" ht="12.75" x14ac:dyDescent="0.2">
      <c r="A1539" s="5" t="s">
        <v>2937</v>
      </c>
      <c r="B1539" s="5" t="s">
        <v>2937</v>
      </c>
      <c r="C1539" s="4">
        <v>957</v>
      </c>
      <c r="D1539" s="6" t="e">
        <f t="shared" si="30"/>
        <v>#VALUE!</v>
      </c>
      <c r="E1539" s="6" t="s">
        <v>323</v>
      </c>
      <c r="F1539" s="7">
        <v>492</v>
      </c>
      <c r="G1539" s="6" t="s">
        <v>21</v>
      </c>
      <c r="H1539" s="11" t="s">
        <v>8554</v>
      </c>
      <c r="I1539" s="9" t="s">
        <v>8555</v>
      </c>
      <c r="J1539" s="9" t="s">
        <v>8556</v>
      </c>
      <c r="K1539" s="9" t="s">
        <v>8557</v>
      </c>
      <c r="L1539" s="9" t="s">
        <v>8558</v>
      </c>
      <c r="M1539" s="9" t="s">
        <v>8559</v>
      </c>
      <c r="N1539" s="9" t="s">
        <v>1082</v>
      </c>
      <c r="O1539" s="6">
        <f t="shared" ref="O1539:O1582" si="31">M1539/K1539</f>
        <v>2465.000007217142</v>
      </c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</row>
    <row r="1540" spans="1:27" ht="12.75" x14ac:dyDescent="0.2">
      <c r="A1540" s="5" t="s">
        <v>2937</v>
      </c>
      <c r="B1540" s="5" t="s">
        <v>2937</v>
      </c>
      <c r="C1540" s="4">
        <v>958</v>
      </c>
      <c r="D1540" s="6" t="e">
        <f t="shared" si="30"/>
        <v>#VALUE!</v>
      </c>
      <c r="E1540" s="6" t="s">
        <v>5450</v>
      </c>
      <c r="F1540" s="7">
        <v>492</v>
      </c>
      <c r="G1540" s="6" t="s">
        <v>21</v>
      </c>
      <c r="H1540" s="11" t="s">
        <v>8560</v>
      </c>
      <c r="I1540" s="9" t="s">
        <v>8561</v>
      </c>
      <c r="J1540" s="9" t="s">
        <v>8562</v>
      </c>
      <c r="K1540" s="9" t="s">
        <v>8563</v>
      </c>
      <c r="L1540" s="9" t="s">
        <v>8564</v>
      </c>
      <c r="M1540" s="9" t="s">
        <v>8565</v>
      </c>
      <c r="N1540" s="9" t="s">
        <v>1082</v>
      </c>
      <c r="O1540" s="6">
        <f t="shared" si="31"/>
        <v>2464.9998846464414</v>
      </c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</row>
    <row r="1541" spans="1:27" ht="12.75" x14ac:dyDescent="0.2">
      <c r="A1541" s="5" t="s">
        <v>2937</v>
      </c>
      <c r="B1541" s="5" t="s">
        <v>2937</v>
      </c>
      <c r="C1541" s="4">
        <v>959</v>
      </c>
      <c r="D1541" s="6" t="e">
        <f t="shared" si="30"/>
        <v>#VALUE!</v>
      </c>
      <c r="E1541" s="6" t="s">
        <v>6552</v>
      </c>
      <c r="F1541" s="7">
        <v>492</v>
      </c>
      <c r="G1541" s="6" t="s">
        <v>21</v>
      </c>
      <c r="H1541" s="11" t="s">
        <v>8566</v>
      </c>
      <c r="I1541" s="9" t="s">
        <v>8567</v>
      </c>
      <c r="J1541" s="9" t="s">
        <v>8568</v>
      </c>
      <c r="K1541" s="9" t="s">
        <v>8569</v>
      </c>
      <c r="L1541" s="9" t="s">
        <v>8570</v>
      </c>
      <c r="M1541" s="9" t="s">
        <v>8571</v>
      </c>
      <c r="N1541" s="9" t="s">
        <v>1082</v>
      </c>
      <c r="O1541" s="6">
        <f t="shared" si="31"/>
        <v>2464.9999927979316</v>
      </c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</row>
    <row r="1542" spans="1:27" ht="12.75" x14ac:dyDescent="0.2">
      <c r="A1542" s="5" t="s">
        <v>2937</v>
      </c>
      <c r="B1542" s="5" t="s">
        <v>2937</v>
      </c>
      <c r="C1542" s="4">
        <v>960</v>
      </c>
      <c r="D1542" s="6" t="e">
        <f t="shared" si="30"/>
        <v>#VALUE!</v>
      </c>
      <c r="E1542" s="6" t="s">
        <v>5251</v>
      </c>
      <c r="F1542" s="7">
        <v>493</v>
      </c>
      <c r="G1542" s="6" t="s">
        <v>28</v>
      </c>
      <c r="H1542" s="8" t="s">
        <v>8572</v>
      </c>
      <c r="I1542" s="10" t="s">
        <v>8573</v>
      </c>
      <c r="J1542" s="9" t="s">
        <v>8574</v>
      </c>
      <c r="K1542" s="9" t="s">
        <v>8575</v>
      </c>
      <c r="L1542" s="9" t="s">
        <v>8576</v>
      </c>
      <c r="M1542" s="9" t="s">
        <v>8577</v>
      </c>
      <c r="N1542" s="9" t="s">
        <v>1082</v>
      </c>
      <c r="O1542" s="6">
        <f t="shared" si="31"/>
        <v>1975.9999236284141</v>
      </c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</row>
    <row r="1543" spans="1:27" ht="12.75" x14ac:dyDescent="0.2">
      <c r="A1543" s="5" t="s">
        <v>2937</v>
      </c>
      <c r="B1543" s="5" t="s">
        <v>2937</v>
      </c>
      <c r="C1543" s="4">
        <v>961</v>
      </c>
      <c r="D1543" s="6" t="e">
        <f t="shared" si="30"/>
        <v>#VALUE!</v>
      </c>
      <c r="E1543" s="6" t="s">
        <v>5842</v>
      </c>
      <c r="F1543" s="7">
        <v>493</v>
      </c>
      <c r="G1543" s="6" t="s">
        <v>28</v>
      </c>
      <c r="H1543" s="8" t="s">
        <v>8578</v>
      </c>
      <c r="I1543" s="10" t="s">
        <v>8579</v>
      </c>
      <c r="J1543" s="9" t="s">
        <v>8580</v>
      </c>
      <c r="K1543" s="9" t="s">
        <v>8581</v>
      </c>
      <c r="L1543" s="9" t="s">
        <v>8582</v>
      </c>
      <c r="M1543" s="9" t="s">
        <v>8583</v>
      </c>
      <c r="N1543" s="9" t="s">
        <v>1082</v>
      </c>
      <c r="O1543" s="6">
        <f t="shared" si="31"/>
        <v>1976</v>
      </c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</row>
    <row r="1544" spans="1:27" ht="12.75" x14ac:dyDescent="0.2">
      <c r="A1544" s="5" t="s">
        <v>2937</v>
      </c>
      <c r="B1544" s="5" t="s">
        <v>2937</v>
      </c>
      <c r="C1544" s="4">
        <v>962</v>
      </c>
      <c r="D1544" s="6" t="e">
        <f t="shared" si="30"/>
        <v>#VALUE!</v>
      </c>
      <c r="E1544" s="6" t="s">
        <v>455</v>
      </c>
      <c r="F1544" s="7">
        <v>493</v>
      </c>
      <c r="G1544" s="6" t="s">
        <v>21</v>
      </c>
      <c r="H1544" s="11" t="s">
        <v>8584</v>
      </c>
      <c r="I1544" s="9" t="s">
        <v>8585</v>
      </c>
      <c r="J1544" s="9" t="s">
        <v>8586</v>
      </c>
      <c r="K1544" s="9" t="s">
        <v>8587</v>
      </c>
      <c r="L1544" s="9" t="s">
        <v>8588</v>
      </c>
      <c r="M1544" s="9" t="s">
        <v>8589</v>
      </c>
      <c r="N1544" s="9" t="s">
        <v>1082</v>
      </c>
      <c r="O1544" s="6">
        <f t="shared" si="31"/>
        <v>2469.9999713479365</v>
      </c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</row>
    <row r="1545" spans="1:27" ht="12.75" x14ac:dyDescent="0.2">
      <c r="A1545" s="5" t="s">
        <v>2937</v>
      </c>
      <c r="B1545" s="5" t="s">
        <v>2937</v>
      </c>
      <c r="C1545" s="4">
        <v>963</v>
      </c>
      <c r="D1545" s="6" t="e">
        <f t="shared" si="30"/>
        <v>#VALUE!</v>
      </c>
      <c r="E1545" s="6" t="s">
        <v>234</v>
      </c>
      <c r="F1545" s="7">
        <v>493</v>
      </c>
      <c r="G1545" s="6" t="s">
        <v>17</v>
      </c>
      <c r="H1545" s="8" t="s">
        <v>8590</v>
      </c>
      <c r="I1545" s="9" t="s">
        <v>7397</v>
      </c>
      <c r="J1545" s="10" t="s">
        <v>8591</v>
      </c>
      <c r="K1545" s="9" t="s">
        <v>8592</v>
      </c>
      <c r="L1545" s="9" t="s">
        <v>8593</v>
      </c>
      <c r="M1545" s="9" t="s">
        <v>8594</v>
      </c>
      <c r="N1545" s="9" t="s">
        <v>1082</v>
      </c>
      <c r="O1545" s="6">
        <f t="shared" si="31"/>
        <v>988</v>
      </c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</row>
    <row r="1546" spans="1:27" ht="12.75" x14ac:dyDescent="0.2">
      <c r="A1546" s="5" t="s">
        <v>2937</v>
      </c>
      <c r="B1546" s="5" t="s">
        <v>2937</v>
      </c>
      <c r="C1546" s="4">
        <v>964</v>
      </c>
      <c r="D1546" s="6" t="e">
        <f t="shared" si="30"/>
        <v>#VALUE!</v>
      </c>
      <c r="E1546" s="6" t="s">
        <v>3902</v>
      </c>
      <c r="F1546" s="7">
        <v>493</v>
      </c>
      <c r="G1546" s="6" t="s">
        <v>21</v>
      </c>
      <c r="H1546" s="11" t="s">
        <v>8595</v>
      </c>
      <c r="I1546" s="9" t="s">
        <v>8596</v>
      </c>
      <c r="J1546" s="9" t="s">
        <v>8597</v>
      </c>
      <c r="K1546" s="9" t="s">
        <v>8598</v>
      </c>
      <c r="L1546" s="9" t="s">
        <v>8599</v>
      </c>
      <c r="M1546" s="9" t="s">
        <v>8600</v>
      </c>
      <c r="N1546" s="9" t="s">
        <v>1082</v>
      </c>
      <c r="O1546" s="6">
        <f t="shared" si="31"/>
        <v>2469.9998856293246</v>
      </c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</row>
    <row r="1547" spans="1:27" ht="12.75" x14ac:dyDescent="0.2">
      <c r="A1547" s="5" t="s">
        <v>2937</v>
      </c>
      <c r="B1547" s="5" t="s">
        <v>2937</v>
      </c>
      <c r="C1547" s="4">
        <v>965</v>
      </c>
      <c r="D1547" s="6" t="e">
        <f t="shared" si="30"/>
        <v>#VALUE!</v>
      </c>
      <c r="E1547" s="6" t="s">
        <v>3834</v>
      </c>
      <c r="F1547" s="7">
        <v>494</v>
      </c>
      <c r="G1547" s="6" t="s">
        <v>17</v>
      </c>
      <c r="H1547" s="8" t="s">
        <v>8601</v>
      </c>
      <c r="I1547" s="9" t="s">
        <v>8602</v>
      </c>
      <c r="J1547" s="10" t="s">
        <v>8603</v>
      </c>
      <c r="K1547" s="9" t="s">
        <v>8604</v>
      </c>
      <c r="L1547" s="9" t="s">
        <v>8605</v>
      </c>
      <c r="M1547" s="9" t="s">
        <v>8606</v>
      </c>
      <c r="N1547" s="9" t="s">
        <v>1082</v>
      </c>
      <c r="O1547" s="6">
        <f t="shared" si="31"/>
        <v>990.00001909690729</v>
      </c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</row>
    <row r="1548" spans="1:27" ht="12.75" x14ac:dyDescent="0.2">
      <c r="A1548" s="5" t="s">
        <v>2937</v>
      </c>
      <c r="B1548" s="5" t="s">
        <v>2937</v>
      </c>
      <c r="C1548" s="4">
        <v>966</v>
      </c>
      <c r="D1548" s="6" t="e">
        <f t="shared" si="30"/>
        <v>#VALUE!</v>
      </c>
      <c r="E1548" s="6" t="s">
        <v>7296</v>
      </c>
      <c r="F1548" s="7">
        <v>494</v>
      </c>
      <c r="G1548" s="6" t="s">
        <v>28</v>
      </c>
      <c r="H1548" s="8" t="s">
        <v>8607</v>
      </c>
      <c r="I1548" s="10" t="s">
        <v>8608</v>
      </c>
      <c r="J1548" s="9" t="s">
        <v>8609</v>
      </c>
      <c r="K1548" s="9" t="s">
        <v>8610</v>
      </c>
      <c r="L1548" s="9" t="s">
        <v>8611</v>
      </c>
      <c r="M1548" s="9" t="s">
        <v>8612</v>
      </c>
      <c r="N1548" s="9" t="s">
        <v>1082</v>
      </c>
      <c r="O1548" s="6">
        <f t="shared" si="31"/>
        <v>1980.0000757217226</v>
      </c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</row>
    <row r="1549" spans="1:27" ht="12.75" x14ac:dyDescent="0.2">
      <c r="A1549" s="5" t="s">
        <v>2937</v>
      </c>
      <c r="B1549" s="5" t="s">
        <v>2937</v>
      </c>
      <c r="C1549" s="4">
        <v>967</v>
      </c>
      <c r="D1549" s="6" t="e">
        <f t="shared" si="30"/>
        <v>#VALUE!</v>
      </c>
      <c r="E1549" s="6" t="s">
        <v>4197</v>
      </c>
      <c r="F1549" s="7">
        <v>494</v>
      </c>
      <c r="G1549" s="6" t="s">
        <v>28</v>
      </c>
      <c r="H1549" s="8" t="s">
        <v>8613</v>
      </c>
      <c r="I1549" s="10" t="s">
        <v>8614</v>
      </c>
      <c r="J1549" s="9" t="s">
        <v>8615</v>
      </c>
      <c r="K1549" s="9" t="s">
        <v>8616</v>
      </c>
      <c r="L1549" s="9" t="s">
        <v>8617</v>
      </c>
      <c r="M1549" s="9" t="s">
        <v>8618</v>
      </c>
      <c r="N1549" s="9" t="s">
        <v>1082</v>
      </c>
      <c r="O1549" s="6">
        <f t="shared" si="31"/>
        <v>1979.9999621781599</v>
      </c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</row>
    <row r="1550" spans="1:27" ht="12.75" x14ac:dyDescent="0.2">
      <c r="A1550" s="5" t="s">
        <v>2937</v>
      </c>
      <c r="B1550" s="5" t="s">
        <v>2937</v>
      </c>
      <c r="C1550" s="4">
        <v>968</v>
      </c>
      <c r="D1550" s="6" t="e">
        <f t="shared" si="30"/>
        <v>#VALUE!</v>
      </c>
      <c r="E1550" s="6" t="s">
        <v>3781</v>
      </c>
      <c r="F1550" s="7">
        <v>494</v>
      </c>
      <c r="G1550" s="6" t="s">
        <v>28</v>
      </c>
      <c r="H1550" s="8" t="s">
        <v>8619</v>
      </c>
      <c r="I1550" s="10" t="s">
        <v>8620</v>
      </c>
      <c r="J1550" s="9" t="s">
        <v>8621</v>
      </c>
      <c r="K1550" s="9" t="s">
        <v>8622</v>
      </c>
      <c r="L1550" s="9" t="s">
        <v>8623</v>
      </c>
      <c r="M1550" s="9" t="s">
        <v>8624</v>
      </c>
      <c r="N1550" s="9" t="s">
        <v>1082</v>
      </c>
      <c r="O1550" s="6">
        <f t="shared" si="31"/>
        <v>1980</v>
      </c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</row>
    <row r="1551" spans="1:27" ht="12.75" x14ac:dyDescent="0.2">
      <c r="A1551" s="5" t="s">
        <v>2937</v>
      </c>
      <c r="B1551" s="5" t="s">
        <v>2937</v>
      </c>
      <c r="C1551" s="4">
        <v>969</v>
      </c>
      <c r="D1551" s="6" t="e">
        <f t="shared" si="30"/>
        <v>#VALUE!</v>
      </c>
      <c r="E1551" s="6" t="s">
        <v>3129</v>
      </c>
      <c r="F1551" s="7">
        <v>494</v>
      </c>
      <c r="G1551" s="6" t="s">
        <v>28</v>
      </c>
      <c r="H1551" s="8" t="s">
        <v>8625</v>
      </c>
      <c r="I1551" s="10" t="s">
        <v>8626</v>
      </c>
      <c r="J1551" s="9" t="s">
        <v>8627</v>
      </c>
      <c r="K1551" s="9" t="s">
        <v>8628</v>
      </c>
      <c r="L1551" s="9" t="s">
        <v>8629</v>
      </c>
      <c r="M1551" s="9" t="s">
        <v>8630</v>
      </c>
      <c r="N1551" s="9" t="s">
        <v>1082</v>
      </c>
      <c r="O1551" s="6">
        <f t="shared" si="31"/>
        <v>1980.0000754873654</v>
      </c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</row>
    <row r="1552" spans="1:27" ht="12.75" x14ac:dyDescent="0.2">
      <c r="A1552" s="5" t="s">
        <v>2937</v>
      </c>
      <c r="B1552" s="5" t="s">
        <v>2937</v>
      </c>
      <c r="C1552" s="4">
        <v>970</v>
      </c>
      <c r="D1552" s="6" t="e">
        <f t="shared" si="30"/>
        <v>#VALUE!</v>
      </c>
      <c r="E1552" s="6" t="s">
        <v>4217</v>
      </c>
      <c r="F1552" s="7">
        <v>495</v>
      </c>
      <c r="G1552" s="6" t="s">
        <v>17</v>
      </c>
      <c r="H1552" s="8" t="s">
        <v>8631</v>
      </c>
      <c r="I1552" s="9" t="s">
        <v>8632</v>
      </c>
      <c r="J1552" s="10" t="s">
        <v>8633</v>
      </c>
      <c r="K1552" s="9" t="s">
        <v>8634</v>
      </c>
      <c r="L1552" s="9" t="s">
        <v>8635</v>
      </c>
      <c r="M1552" s="9" t="s">
        <v>8636</v>
      </c>
      <c r="N1552" s="9" t="s">
        <v>1082</v>
      </c>
      <c r="O1552" s="6">
        <f t="shared" si="31"/>
        <v>992</v>
      </c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</row>
    <row r="1553" spans="1:27" ht="12.75" x14ac:dyDescent="0.2">
      <c r="A1553" s="5" t="s">
        <v>2937</v>
      </c>
      <c r="B1553" s="5" t="s">
        <v>2937</v>
      </c>
      <c r="C1553" s="4">
        <v>971</v>
      </c>
      <c r="D1553" s="6" t="e">
        <f t="shared" si="30"/>
        <v>#VALUE!</v>
      </c>
      <c r="E1553" s="6" t="s">
        <v>5511</v>
      </c>
      <c r="F1553" s="7">
        <v>495</v>
      </c>
      <c r="G1553" s="6" t="s">
        <v>17</v>
      </c>
      <c r="H1553" s="8" t="s">
        <v>7409</v>
      </c>
      <c r="I1553" s="9" t="s">
        <v>2313</v>
      </c>
      <c r="J1553" s="10" t="s">
        <v>8637</v>
      </c>
      <c r="K1553" s="9" t="s">
        <v>8638</v>
      </c>
      <c r="L1553" s="9" t="s">
        <v>8639</v>
      </c>
      <c r="M1553" s="9" t="s">
        <v>8640</v>
      </c>
      <c r="N1553" s="9" t="s">
        <v>1082</v>
      </c>
      <c r="O1553" s="6">
        <f t="shared" si="31"/>
        <v>992</v>
      </c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</row>
    <row r="1554" spans="1:27" ht="12.75" x14ac:dyDescent="0.2">
      <c r="A1554" s="5" t="s">
        <v>2937</v>
      </c>
      <c r="B1554" s="5" t="s">
        <v>2937</v>
      </c>
      <c r="C1554" s="4">
        <v>972</v>
      </c>
      <c r="D1554" s="6" t="e">
        <f t="shared" si="30"/>
        <v>#VALUE!</v>
      </c>
      <c r="E1554" s="6" t="s">
        <v>334</v>
      </c>
      <c r="F1554" s="7">
        <v>495</v>
      </c>
      <c r="G1554" s="6" t="s">
        <v>21</v>
      </c>
      <c r="H1554" s="11" t="s">
        <v>8641</v>
      </c>
      <c r="I1554" s="9" t="s">
        <v>8642</v>
      </c>
      <c r="J1554" s="9" t="s">
        <v>8643</v>
      </c>
      <c r="K1554" s="9" t="s">
        <v>8644</v>
      </c>
      <c r="L1554" s="9" t="s">
        <v>8645</v>
      </c>
      <c r="M1554" s="9" t="s">
        <v>8646</v>
      </c>
      <c r="N1554" s="9" t="s">
        <v>1082</v>
      </c>
      <c r="O1554" s="6">
        <f t="shared" si="31"/>
        <v>2480</v>
      </c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</row>
    <row r="1555" spans="1:27" ht="12.75" x14ac:dyDescent="0.2">
      <c r="A1555" s="5" t="s">
        <v>2937</v>
      </c>
      <c r="B1555" s="5" t="s">
        <v>2937</v>
      </c>
      <c r="C1555" s="4">
        <v>973</v>
      </c>
      <c r="D1555" s="6" t="e">
        <f t="shared" si="30"/>
        <v>#VALUE!</v>
      </c>
      <c r="E1555" s="6" t="s">
        <v>8647</v>
      </c>
      <c r="F1555" s="7">
        <v>495</v>
      </c>
      <c r="G1555" s="6" t="s">
        <v>28</v>
      </c>
      <c r="H1555" s="8" t="s">
        <v>8648</v>
      </c>
      <c r="I1555" s="10" t="s">
        <v>8649</v>
      </c>
      <c r="J1555" s="9" t="s">
        <v>8650</v>
      </c>
      <c r="K1555" s="9" t="s">
        <v>8651</v>
      </c>
      <c r="L1555" s="9" t="s">
        <v>8652</v>
      </c>
      <c r="M1555" s="9" t="s">
        <v>8653</v>
      </c>
      <c r="N1555" s="9" t="s">
        <v>1082</v>
      </c>
      <c r="O1555" s="6">
        <f t="shared" si="31"/>
        <v>1984</v>
      </c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</row>
    <row r="1556" spans="1:27" ht="12.75" x14ac:dyDescent="0.2">
      <c r="A1556" s="5" t="s">
        <v>2937</v>
      </c>
      <c r="B1556" s="5" t="s">
        <v>2937</v>
      </c>
      <c r="C1556" s="4">
        <v>974</v>
      </c>
      <c r="D1556" s="6" t="e">
        <f t="shared" si="30"/>
        <v>#VALUE!</v>
      </c>
      <c r="E1556" s="6" t="s">
        <v>184</v>
      </c>
      <c r="F1556" s="7">
        <v>495</v>
      </c>
      <c r="G1556" s="6" t="s">
        <v>21</v>
      </c>
      <c r="H1556" s="11" t="s">
        <v>8654</v>
      </c>
      <c r="I1556" s="9" t="s">
        <v>5566</v>
      </c>
      <c r="J1556" s="9" t="s">
        <v>8655</v>
      </c>
      <c r="K1556" s="9" t="s">
        <v>8656</v>
      </c>
      <c r="L1556" s="9" t="s">
        <v>8657</v>
      </c>
      <c r="M1556" s="9" t="s">
        <v>8658</v>
      </c>
      <c r="N1556" s="9" t="s">
        <v>1082</v>
      </c>
      <c r="O1556" s="6">
        <f t="shared" si="31"/>
        <v>2480</v>
      </c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</row>
    <row r="1557" spans="1:27" ht="12.75" x14ac:dyDescent="0.2">
      <c r="A1557" s="5" t="s">
        <v>2937</v>
      </c>
      <c r="B1557" s="5" t="s">
        <v>2937</v>
      </c>
      <c r="C1557" s="4">
        <v>975</v>
      </c>
      <c r="D1557" s="6" t="e">
        <f t="shared" si="30"/>
        <v>#VALUE!</v>
      </c>
      <c r="E1557" s="6" t="s">
        <v>8511</v>
      </c>
      <c r="F1557" s="7">
        <v>496</v>
      </c>
      <c r="G1557" s="6" t="s">
        <v>21</v>
      </c>
      <c r="H1557" s="11" t="s">
        <v>8659</v>
      </c>
      <c r="I1557" s="9" t="s">
        <v>8660</v>
      </c>
      <c r="J1557" s="9" t="s">
        <v>8661</v>
      </c>
      <c r="K1557" s="9" t="s">
        <v>8662</v>
      </c>
      <c r="L1557" s="9" t="s">
        <v>6956</v>
      </c>
      <c r="M1557" s="9" t="s">
        <v>8663</v>
      </c>
      <c r="N1557" s="9" t="s">
        <v>1082</v>
      </c>
      <c r="O1557" s="6">
        <f t="shared" si="31"/>
        <v>2485.0000280749036</v>
      </c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</row>
    <row r="1558" spans="1:27" ht="12.75" x14ac:dyDescent="0.2">
      <c r="A1558" s="5" t="s">
        <v>2937</v>
      </c>
      <c r="B1558" s="5" t="s">
        <v>2937</v>
      </c>
      <c r="C1558" s="4">
        <v>976</v>
      </c>
      <c r="D1558" s="6" t="e">
        <f t="shared" si="30"/>
        <v>#VALUE!</v>
      </c>
      <c r="E1558" s="6" t="s">
        <v>4237</v>
      </c>
      <c r="F1558" s="7">
        <v>496</v>
      </c>
      <c r="G1558" s="6" t="s">
        <v>17</v>
      </c>
      <c r="H1558" s="8" t="s">
        <v>8664</v>
      </c>
      <c r="I1558" s="9" t="s">
        <v>8665</v>
      </c>
      <c r="J1558" s="10" t="s">
        <v>8666</v>
      </c>
      <c r="K1558" s="9" t="s">
        <v>8667</v>
      </c>
      <c r="L1558" s="9" t="s">
        <v>8668</v>
      </c>
      <c r="M1558" s="9" t="s">
        <v>8669</v>
      </c>
      <c r="N1558" s="9" t="s">
        <v>1082</v>
      </c>
      <c r="O1558" s="6">
        <f t="shared" si="31"/>
        <v>994.00001879434285</v>
      </c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</row>
    <row r="1559" spans="1:27" ht="12.75" x14ac:dyDescent="0.2">
      <c r="A1559" s="5" t="s">
        <v>2937</v>
      </c>
      <c r="B1559" s="5" t="s">
        <v>2937</v>
      </c>
      <c r="C1559" s="4">
        <v>977</v>
      </c>
      <c r="D1559" s="6" t="e">
        <f t="shared" si="30"/>
        <v>#VALUE!</v>
      </c>
      <c r="E1559" s="6" t="s">
        <v>5489</v>
      </c>
      <c r="F1559" s="7">
        <v>496</v>
      </c>
      <c r="G1559" s="6" t="s">
        <v>28</v>
      </c>
      <c r="H1559" s="8" t="s">
        <v>8670</v>
      </c>
      <c r="I1559" s="10" t="s">
        <v>8671</v>
      </c>
      <c r="J1559" s="9" t="s">
        <v>7367</v>
      </c>
      <c r="K1559" s="9" t="s">
        <v>8672</v>
      </c>
      <c r="L1559" s="9" t="s">
        <v>8673</v>
      </c>
      <c r="M1559" s="9" t="s">
        <v>8674</v>
      </c>
      <c r="N1559" s="9" t="s">
        <v>1082</v>
      </c>
      <c r="O1559" s="6">
        <f t="shared" si="31"/>
        <v>1987.9999627369696</v>
      </c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</row>
    <row r="1560" spans="1:27" ht="12.75" x14ac:dyDescent="0.2">
      <c r="A1560" s="5" t="s">
        <v>2937</v>
      </c>
      <c r="B1560" s="5" t="s">
        <v>2937</v>
      </c>
      <c r="C1560" s="4">
        <v>978</v>
      </c>
      <c r="D1560" s="6" t="e">
        <f t="shared" si="30"/>
        <v>#VALUE!</v>
      </c>
      <c r="E1560" s="6" t="s">
        <v>8675</v>
      </c>
      <c r="F1560" s="7">
        <v>496</v>
      </c>
      <c r="G1560" s="6" t="s">
        <v>21</v>
      </c>
      <c r="H1560" s="11" t="s">
        <v>8676</v>
      </c>
      <c r="I1560" s="9" t="s">
        <v>8677</v>
      </c>
      <c r="J1560" s="9" t="s">
        <v>8678</v>
      </c>
      <c r="K1560" s="9" t="s">
        <v>8679</v>
      </c>
      <c r="L1560" s="9" t="s">
        <v>8680</v>
      </c>
      <c r="M1560" s="9" t="s">
        <v>8681</v>
      </c>
      <c r="N1560" s="9" t="s">
        <v>1082</v>
      </c>
      <c r="O1560" s="6">
        <f t="shared" si="31"/>
        <v>2485.000076969905</v>
      </c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</row>
    <row r="1561" spans="1:27" ht="12.75" x14ac:dyDescent="0.2">
      <c r="A1561" s="5" t="s">
        <v>2937</v>
      </c>
      <c r="B1561" s="5" t="s">
        <v>2937</v>
      </c>
      <c r="C1561" s="4">
        <v>979</v>
      </c>
      <c r="D1561" s="6" t="e">
        <f t="shared" si="30"/>
        <v>#VALUE!</v>
      </c>
      <c r="E1561" s="6" t="s">
        <v>3661</v>
      </c>
      <c r="F1561" s="7">
        <v>496</v>
      </c>
      <c r="G1561" s="6" t="s">
        <v>21</v>
      </c>
      <c r="H1561" s="11" t="s">
        <v>8682</v>
      </c>
      <c r="I1561" s="9" t="s">
        <v>8683</v>
      </c>
      <c r="J1561" s="9" t="s">
        <v>8684</v>
      </c>
      <c r="K1561" s="9" t="s">
        <v>8685</v>
      </c>
      <c r="L1561" s="9" t="s">
        <v>8686</v>
      </c>
      <c r="M1561" s="9" t="s">
        <v>8687</v>
      </c>
      <c r="N1561" s="9" t="s">
        <v>1082</v>
      </c>
      <c r="O1561" s="6">
        <f t="shared" si="31"/>
        <v>2484.9998951481557</v>
      </c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</row>
    <row r="1562" spans="1:27" ht="12.75" x14ac:dyDescent="0.2">
      <c r="A1562" s="5" t="s">
        <v>2937</v>
      </c>
      <c r="B1562" s="5" t="s">
        <v>2937</v>
      </c>
      <c r="C1562" s="4">
        <v>980</v>
      </c>
      <c r="D1562" s="6" t="e">
        <f t="shared" si="30"/>
        <v>#VALUE!</v>
      </c>
      <c r="E1562" s="6" t="s">
        <v>6491</v>
      </c>
      <c r="F1562" s="7">
        <v>497</v>
      </c>
      <c r="G1562" s="6" t="s">
        <v>21</v>
      </c>
      <c r="H1562" s="11" t="s">
        <v>8688</v>
      </c>
      <c r="I1562" s="9" t="s">
        <v>8689</v>
      </c>
      <c r="J1562" s="9" t="s">
        <v>8690</v>
      </c>
      <c r="K1562" s="9" t="s">
        <v>8691</v>
      </c>
      <c r="L1562" s="9" t="s">
        <v>8692</v>
      </c>
      <c r="M1562" s="9" t="s">
        <v>8693</v>
      </c>
      <c r="N1562" s="9" t="s">
        <v>1082</v>
      </c>
      <c r="O1562" s="6">
        <f t="shared" si="31"/>
        <v>2489.9999581983488</v>
      </c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</row>
    <row r="1563" spans="1:27" ht="12.75" x14ac:dyDescent="0.2">
      <c r="A1563" s="5" t="s">
        <v>2937</v>
      </c>
      <c r="B1563" s="5" t="s">
        <v>2937</v>
      </c>
      <c r="C1563" s="4">
        <v>981</v>
      </c>
      <c r="D1563" s="6" t="e">
        <f t="shared" si="30"/>
        <v>#VALUE!</v>
      </c>
      <c r="E1563" s="6" t="s">
        <v>8694</v>
      </c>
      <c r="F1563" s="7">
        <v>497</v>
      </c>
      <c r="G1563" s="6" t="s">
        <v>21</v>
      </c>
      <c r="H1563" s="11" t="s">
        <v>8695</v>
      </c>
      <c r="I1563" s="9" t="s">
        <v>8696</v>
      </c>
      <c r="J1563" s="9" t="s">
        <v>8697</v>
      </c>
      <c r="K1563" s="9" t="s">
        <v>8698</v>
      </c>
      <c r="L1563" s="9" t="s">
        <v>8699</v>
      </c>
      <c r="M1563" s="9" t="s">
        <v>8700</v>
      </c>
      <c r="N1563" s="9" t="s">
        <v>1082</v>
      </c>
      <c r="O1563" s="6">
        <f t="shared" si="31"/>
        <v>2490.0000835177684</v>
      </c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</row>
    <row r="1564" spans="1:27" ht="12.75" x14ac:dyDescent="0.2">
      <c r="A1564" s="5" t="s">
        <v>2937</v>
      </c>
      <c r="B1564" s="5" t="s">
        <v>2937</v>
      </c>
      <c r="C1564" s="4">
        <v>982</v>
      </c>
      <c r="D1564" s="6" t="e">
        <f t="shared" si="30"/>
        <v>#VALUE!</v>
      </c>
      <c r="E1564" s="6" t="s">
        <v>5828</v>
      </c>
      <c r="F1564" s="7">
        <v>497</v>
      </c>
      <c r="G1564" s="6" t="s">
        <v>17</v>
      </c>
      <c r="H1564" s="8" t="s">
        <v>8701</v>
      </c>
      <c r="I1564" s="9" t="s">
        <v>8702</v>
      </c>
      <c r="J1564" s="10" t="s">
        <v>8703</v>
      </c>
      <c r="K1564" s="9" t="s">
        <v>8704</v>
      </c>
      <c r="L1564" s="9" t="s">
        <v>8705</v>
      </c>
      <c r="M1564" s="9" t="s">
        <v>8706</v>
      </c>
      <c r="N1564" s="9" t="s">
        <v>1082</v>
      </c>
      <c r="O1564" s="6">
        <f t="shared" si="31"/>
        <v>995.99996272724729</v>
      </c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</row>
    <row r="1565" spans="1:27" ht="12.75" x14ac:dyDescent="0.2">
      <c r="A1565" s="5" t="s">
        <v>2937</v>
      </c>
      <c r="B1565" s="5" t="s">
        <v>2937</v>
      </c>
      <c r="C1565" s="4">
        <v>983</v>
      </c>
      <c r="D1565" s="6" t="e">
        <f t="shared" si="30"/>
        <v>#VALUE!</v>
      </c>
      <c r="E1565" s="6" t="s">
        <v>8707</v>
      </c>
      <c r="F1565" s="7">
        <v>497</v>
      </c>
      <c r="G1565" s="6" t="s">
        <v>21</v>
      </c>
      <c r="H1565" s="11" t="s">
        <v>8708</v>
      </c>
      <c r="I1565" s="9" t="s">
        <v>8709</v>
      </c>
      <c r="J1565" s="9" t="s">
        <v>8710</v>
      </c>
      <c r="K1565" s="9" t="s">
        <v>8711</v>
      </c>
      <c r="L1565" s="9" t="s">
        <v>7065</v>
      </c>
      <c r="M1565" s="9" t="s">
        <v>8712</v>
      </c>
      <c r="N1565" s="9" t="s">
        <v>1082</v>
      </c>
      <c r="O1565" s="6">
        <f t="shared" si="31"/>
        <v>2490.0000694565028</v>
      </c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</row>
    <row r="1566" spans="1:27" ht="12.75" x14ac:dyDescent="0.2">
      <c r="A1566" s="5" t="s">
        <v>2937</v>
      </c>
      <c r="B1566" s="5" t="s">
        <v>2937</v>
      </c>
      <c r="C1566" s="4">
        <v>984</v>
      </c>
      <c r="D1566" s="6" t="e">
        <f t="shared" si="30"/>
        <v>#VALUE!</v>
      </c>
      <c r="E1566" s="6" t="s">
        <v>8713</v>
      </c>
      <c r="F1566" s="7">
        <v>497</v>
      </c>
      <c r="G1566" s="6" t="s">
        <v>17</v>
      </c>
      <c r="H1566" s="8" t="s">
        <v>8714</v>
      </c>
      <c r="I1566" s="9" t="s">
        <v>8715</v>
      </c>
      <c r="J1566" s="10" t="s">
        <v>8716</v>
      </c>
      <c r="K1566" s="9" t="s">
        <v>8717</v>
      </c>
      <c r="L1566" s="9" t="s">
        <v>8718</v>
      </c>
      <c r="M1566" s="9" t="s">
        <v>8719</v>
      </c>
      <c r="N1566" s="9" t="s">
        <v>1082</v>
      </c>
      <c r="O1566" s="6">
        <f t="shared" si="31"/>
        <v>996</v>
      </c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</row>
    <row r="1567" spans="1:27" ht="12.75" x14ac:dyDescent="0.2">
      <c r="A1567" s="5" t="s">
        <v>2937</v>
      </c>
      <c r="B1567" s="5" t="s">
        <v>2937</v>
      </c>
      <c r="C1567" s="4">
        <v>985</v>
      </c>
      <c r="D1567" s="6" t="e">
        <f t="shared" si="30"/>
        <v>#VALUE!</v>
      </c>
      <c r="E1567" s="6" t="s">
        <v>4378</v>
      </c>
      <c r="F1567" s="7">
        <v>498</v>
      </c>
      <c r="G1567" s="6" t="s">
        <v>28</v>
      </c>
      <c r="H1567" s="8" t="s">
        <v>8720</v>
      </c>
      <c r="I1567" s="10" t="s">
        <v>8721</v>
      </c>
      <c r="J1567" s="9" t="s">
        <v>8722</v>
      </c>
      <c r="K1567" s="9" t="s">
        <v>8723</v>
      </c>
      <c r="L1567" s="9" t="s">
        <v>8724</v>
      </c>
      <c r="M1567" s="9" t="s">
        <v>8725</v>
      </c>
      <c r="N1567" s="9" t="s">
        <v>1082</v>
      </c>
      <c r="O1567" s="6">
        <f t="shared" si="31"/>
        <v>1996</v>
      </c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</row>
    <row r="1568" spans="1:27" ht="12.75" x14ac:dyDescent="0.2">
      <c r="A1568" s="5" t="s">
        <v>2937</v>
      </c>
      <c r="B1568" s="5" t="s">
        <v>2937</v>
      </c>
      <c r="C1568" s="4">
        <v>986</v>
      </c>
      <c r="D1568" s="6" t="e">
        <f t="shared" si="30"/>
        <v>#VALUE!</v>
      </c>
      <c r="E1568" s="6" t="s">
        <v>7824</v>
      </c>
      <c r="F1568" s="7">
        <v>498</v>
      </c>
      <c r="G1568" s="6" t="s">
        <v>21</v>
      </c>
      <c r="H1568" s="11" t="s">
        <v>8726</v>
      </c>
      <c r="I1568" s="9" t="s">
        <v>5608</v>
      </c>
      <c r="J1568" s="9" t="s">
        <v>8727</v>
      </c>
      <c r="K1568" s="9" t="s">
        <v>8728</v>
      </c>
      <c r="L1568" s="9" t="s">
        <v>7052</v>
      </c>
      <c r="M1568" s="9" t="s">
        <v>8729</v>
      </c>
      <c r="N1568" s="9" t="s">
        <v>1082</v>
      </c>
      <c r="O1568" s="6">
        <f t="shared" si="31"/>
        <v>2495.0000690865377</v>
      </c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</row>
    <row r="1569" spans="1:27" ht="12.75" x14ac:dyDescent="0.2">
      <c r="A1569" s="5" t="s">
        <v>2937</v>
      </c>
      <c r="B1569" s="5" t="s">
        <v>2937</v>
      </c>
      <c r="C1569" s="4">
        <v>987</v>
      </c>
      <c r="D1569" s="6" t="e">
        <f t="shared" si="30"/>
        <v>#VALUE!</v>
      </c>
      <c r="E1569" s="6" t="s">
        <v>5765</v>
      </c>
      <c r="F1569" s="7">
        <v>498</v>
      </c>
      <c r="G1569" s="6" t="s">
        <v>28</v>
      </c>
      <c r="H1569" s="8" t="s">
        <v>8730</v>
      </c>
      <c r="I1569" s="10" t="s">
        <v>8731</v>
      </c>
      <c r="J1569" s="9" t="s">
        <v>7495</v>
      </c>
      <c r="K1569" s="9" t="s">
        <v>8732</v>
      </c>
      <c r="L1569" s="9" t="s">
        <v>8733</v>
      </c>
      <c r="M1569" s="9" t="s">
        <v>8734</v>
      </c>
      <c r="N1569" s="9" t="s">
        <v>1082</v>
      </c>
      <c r="O1569" s="6">
        <f t="shared" si="31"/>
        <v>1996.0000367171222</v>
      </c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</row>
    <row r="1570" spans="1:27" ht="12.75" x14ac:dyDescent="0.2">
      <c r="A1570" s="5" t="s">
        <v>2937</v>
      </c>
      <c r="B1570" s="5" t="s">
        <v>2937</v>
      </c>
      <c r="C1570" s="4">
        <v>988</v>
      </c>
      <c r="D1570" s="6" t="e">
        <f t="shared" si="30"/>
        <v>#VALUE!</v>
      </c>
      <c r="E1570" s="6" t="s">
        <v>67</v>
      </c>
      <c r="F1570" s="7">
        <v>498</v>
      </c>
      <c r="G1570" s="6" t="s">
        <v>17</v>
      </c>
      <c r="H1570" s="8" t="s">
        <v>8735</v>
      </c>
      <c r="I1570" s="9" t="s">
        <v>8736</v>
      </c>
      <c r="J1570" s="10" t="s">
        <v>8737</v>
      </c>
      <c r="K1570" s="9" t="s">
        <v>8738</v>
      </c>
      <c r="L1570" s="9" t="s">
        <v>8739</v>
      </c>
      <c r="M1570" s="9" t="s">
        <v>8740</v>
      </c>
      <c r="N1570" s="9" t="s">
        <v>1082</v>
      </c>
      <c r="O1570" s="6">
        <f t="shared" si="31"/>
        <v>998.00001848070156</v>
      </c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</row>
    <row r="1571" spans="1:27" ht="12.75" x14ac:dyDescent="0.2">
      <c r="A1571" s="5" t="s">
        <v>2937</v>
      </c>
      <c r="B1571" s="5" t="s">
        <v>2937</v>
      </c>
      <c r="C1571" s="4">
        <v>989</v>
      </c>
      <c r="D1571" s="6" t="e">
        <f t="shared" si="30"/>
        <v>#VALUE!</v>
      </c>
      <c r="E1571" s="6" t="s">
        <v>6695</v>
      </c>
      <c r="F1571" s="7">
        <v>498</v>
      </c>
      <c r="G1571" s="6" t="s">
        <v>28</v>
      </c>
      <c r="H1571" s="8" t="s">
        <v>8741</v>
      </c>
      <c r="I1571" s="10" t="s">
        <v>8742</v>
      </c>
      <c r="J1571" s="9" t="s">
        <v>8743</v>
      </c>
      <c r="K1571" s="9" t="s">
        <v>8744</v>
      </c>
      <c r="L1571" s="9" t="s">
        <v>8745</v>
      </c>
      <c r="M1571" s="9" t="s">
        <v>8746</v>
      </c>
      <c r="N1571" s="9" t="s">
        <v>1082</v>
      </c>
      <c r="O1571" s="6">
        <f t="shared" si="31"/>
        <v>1996.0000732855756</v>
      </c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</row>
    <row r="1572" spans="1:27" ht="12.75" x14ac:dyDescent="0.2">
      <c r="A1572" s="5" t="s">
        <v>2937</v>
      </c>
      <c r="B1572" s="5" t="s">
        <v>2937</v>
      </c>
      <c r="C1572" s="4">
        <v>990</v>
      </c>
      <c r="D1572" s="6" t="e">
        <f t="shared" si="30"/>
        <v>#VALUE!</v>
      </c>
      <c r="E1572" s="6" t="s">
        <v>6457</v>
      </c>
      <c r="F1572" s="7">
        <v>499</v>
      </c>
      <c r="G1572" s="6" t="s">
        <v>21</v>
      </c>
      <c r="H1572" s="11" t="s">
        <v>8747</v>
      </c>
      <c r="I1572" s="9" t="s">
        <v>8748</v>
      </c>
      <c r="J1572" s="9" t="s">
        <v>8749</v>
      </c>
      <c r="K1572" s="9" t="s">
        <v>8750</v>
      </c>
      <c r="L1572" s="9" t="s">
        <v>8751</v>
      </c>
      <c r="M1572" s="9" t="s">
        <v>8752</v>
      </c>
      <c r="N1572" s="9" t="s">
        <v>1082</v>
      </c>
      <c r="O1572" s="6">
        <f t="shared" si="31"/>
        <v>2499.9999725397315</v>
      </c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</row>
    <row r="1573" spans="1:27" ht="12.75" x14ac:dyDescent="0.2">
      <c r="A1573" s="5" t="s">
        <v>2937</v>
      </c>
      <c r="B1573" s="5" t="s">
        <v>2937</v>
      </c>
      <c r="C1573" s="4">
        <v>991</v>
      </c>
      <c r="D1573" s="6" t="e">
        <f t="shared" si="30"/>
        <v>#VALUE!</v>
      </c>
      <c r="E1573" s="6" t="s">
        <v>2957</v>
      </c>
      <c r="F1573" s="7">
        <v>499</v>
      </c>
      <c r="G1573" s="6" t="s">
        <v>21</v>
      </c>
      <c r="H1573" s="11" t="s">
        <v>8753</v>
      </c>
      <c r="I1573" s="9" t="s">
        <v>8754</v>
      </c>
      <c r="J1573" s="9" t="s">
        <v>8755</v>
      </c>
      <c r="K1573" s="9" t="s">
        <v>8756</v>
      </c>
      <c r="L1573" s="9" t="s">
        <v>8757</v>
      </c>
      <c r="M1573" s="9" t="s">
        <v>8758</v>
      </c>
      <c r="N1573" s="9" t="s">
        <v>1082</v>
      </c>
      <c r="O1573" s="6">
        <f t="shared" si="31"/>
        <v>2499.9998902696625</v>
      </c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</row>
    <row r="1574" spans="1:27" ht="12.75" x14ac:dyDescent="0.2">
      <c r="A1574" s="5" t="s">
        <v>2937</v>
      </c>
      <c r="B1574" s="5" t="s">
        <v>2937</v>
      </c>
      <c r="C1574" s="4">
        <v>992</v>
      </c>
      <c r="D1574" s="6" t="e">
        <f t="shared" si="30"/>
        <v>#VALUE!</v>
      </c>
      <c r="E1574" s="6" t="s">
        <v>7831</v>
      </c>
      <c r="F1574" s="7">
        <v>499</v>
      </c>
      <c r="G1574" s="6" t="s">
        <v>28</v>
      </c>
      <c r="H1574" s="8" t="s">
        <v>8759</v>
      </c>
      <c r="I1574" s="10" t="s">
        <v>8760</v>
      </c>
      <c r="J1574" s="9" t="s">
        <v>7494</v>
      </c>
      <c r="K1574" s="9" t="s">
        <v>8761</v>
      </c>
      <c r="L1574" s="9" t="s">
        <v>8762</v>
      </c>
      <c r="M1574" s="9" t="s">
        <v>8763</v>
      </c>
      <c r="N1574" s="9" t="s">
        <v>1082</v>
      </c>
      <c r="O1574" s="6">
        <f t="shared" si="31"/>
        <v>2000</v>
      </c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</row>
    <row r="1575" spans="1:27" ht="12.75" x14ac:dyDescent="0.2">
      <c r="A1575" s="5" t="s">
        <v>2937</v>
      </c>
      <c r="B1575" s="5" t="s">
        <v>2937</v>
      </c>
      <c r="C1575" s="4">
        <v>993</v>
      </c>
      <c r="D1575" s="6" t="e">
        <f t="shared" si="30"/>
        <v>#VALUE!</v>
      </c>
      <c r="E1575" s="6" t="s">
        <v>5821</v>
      </c>
      <c r="F1575" s="7">
        <v>499</v>
      </c>
      <c r="G1575" s="6" t="s">
        <v>28</v>
      </c>
      <c r="H1575" s="8" t="s">
        <v>8764</v>
      </c>
      <c r="I1575" s="10" t="s">
        <v>8765</v>
      </c>
      <c r="J1575" s="9" t="s">
        <v>8766</v>
      </c>
      <c r="K1575" s="9" t="s">
        <v>8767</v>
      </c>
      <c r="L1575" s="9" t="s">
        <v>8768</v>
      </c>
      <c r="M1575" s="9" t="s">
        <v>8769</v>
      </c>
      <c r="N1575" s="9" t="s">
        <v>1082</v>
      </c>
      <c r="O1575" s="6">
        <f t="shared" si="31"/>
        <v>2000</v>
      </c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</row>
    <row r="1576" spans="1:27" ht="12.75" x14ac:dyDescent="0.2">
      <c r="A1576" s="5" t="s">
        <v>2937</v>
      </c>
      <c r="B1576" s="5" t="s">
        <v>2937</v>
      </c>
      <c r="C1576" s="4">
        <v>994</v>
      </c>
      <c r="D1576" s="6" t="e">
        <f t="shared" si="30"/>
        <v>#VALUE!</v>
      </c>
      <c r="E1576" s="6" t="s">
        <v>2938</v>
      </c>
      <c r="F1576" s="7">
        <v>499</v>
      </c>
      <c r="G1576" s="6" t="s">
        <v>21</v>
      </c>
      <c r="H1576" s="11" t="s">
        <v>8770</v>
      </c>
      <c r="I1576" s="9" t="s">
        <v>8771</v>
      </c>
      <c r="J1576" s="9" t="s">
        <v>8772</v>
      </c>
      <c r="K1576" s="9" t="s">
        <v>8773</v>
      </c>
      <c r="L1576" s="9" t="s">
        <v>8774</v>
      </c>
      <c r="M1576" s="9" t="s">
        <v>8775</v>
      </c>
      <c r="N1576" s="9" t="s">
        <v>1082</v>
      </c>
      <c r="O1576" s="6">
        <f t="shared" si="31"/>
        <v>2500.0000820495989</v>
      </c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</row>
    <row r="1577" spans="1:27" ht="12.75" x14ac:dyDescent="0.2">
      <c r="A1577" s="5" t="s">
        <v>2937</v>
      </c>
      <c r="B1577" s="5" t="s">
        <v>2937</v>
      </c>
      <c r="C1577" s="4">
        <v>995</v>
      </c>
      <c r="D1577" s="6" t="e">
        <f t="shared" si="30"/>
        <v>#VALUE!</v>
      </c>
      <c r="E1577" s="6" t="s">
        <v>4304</v>
      </c>
      <c r="F1577" s="7">
        <v>500</v>
      </c>
      <c r="G1577" s="6" t="s">
        <v>21</v>
      </c>
      <c r="H1577" s="11" t="s">
        <v>8776</v>
      </c>
      <c r="I1577" s="9" t="s">
        <v>8777</v>
      </c>
      <c r="J1577" s="9" t="s">
        <v>8778</v>
      </c>
      <c r="K1577" s="9" t="s">
        <v>8779</v>
      </c>
      <c r="L1577" s="9" t="s">
        <v>8780</v>
      </c>
      <c r="M1577" s="9" t="s">
        <v>8781</v>
      </c>
      <c r="N1577" s="9" t="s">
        <v>1082</v>
      </c>
      <c r="O1577" s="6">
        <f t="shared" si="31"/>
        <v>2504.9999522949533</v>
      </c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</row>
    <row r="1578" spans="1:27" ht="12.75" x14ac:dyDescent="0.2">
      <c r="A1578" s="5" t="s">
        <v>2937</v>
      </c>
      <c r="B1578" s="5" t="s">
        <v>2937</v>
      </c>
      <c r="C1578" s="4">
        <v>996</v>
      </c>
      <c r="D1578" s="6" t="e">
        <f t="shared" si="30"/>
        <v>#VALUE!</v>
      </c>
      <c r="E1578" s="6" t="s">
        <v>3293</v>
      </c>
      <c r="F1578" s="7">
        <v>500</v>
      </c>
      <c r="G1578" s="6" t="s">
        <v>17</v>
      </c>
      <c r="H1578" s="8" t="s">
        <v>8782</v>
      </c>
      <c r="I1578" s="9" t="s">
        <v>8783</v>
      </c>
      <c r="J1578" s="10" t="s">
        <v>8784</v>
      </c>
      <c r="K1578" s="9" t="s">
        <v>8785</v>
      </c>
      <c r="L1578" s="9" t="s">
        <v>8786</v>
      </c>
      <c r="M1578" s="9" t="s">
        <v>8787</v>
      </c>
      <c r="N1578" s="9" t="s">
        <v>1082</v>
      </c>
      <c r="O1578" s="6">
        <f t="shared" si="31"/>
        <v>1002</v>
      </c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</row>
    <row r="1579" spans="1:27" ht="12.75" x14ac:dyDescent="0.2">
      <c r="A1579" s="5" t="s">
        <v>2937</v>
      </c>
      <c r="B1579" s="5" t="s">
        <v>2937</v>
      </c>
      <c r="C1579" s="4">
        <v>997</v>
      </c>
      <c r="D1579" s="6" t="e">
        <f t="shared" si="30"/>
        <v>#VALUE!</v>
      </c>
      <c r="E1579" s="6" t="s">
        <v>4751</v>
      </c>
      <c r="F1579" s="7">
        <v>500</v>
      </c>
      <c r="G1579" s="6" t="s">
        <v>28</v>
      </c>
      <c r="H1579" s="8" t="s">
        <v>8788</v>
      </c>
      <c r="I1579" s="10" t="s">
        <v>8789</v>
      </c>
      <c r="J1579" s="9" t="s">
        <v>8790</v>
      </c>
      <c r="K1579" s="9" t="s">
        <v>8791</v>
      </c>
      <c r="L1579" s="9" t="s">
        <v>8792</v>
      </c>
      <c r="M1579" s="9" t="s">
        <v>8793</v>
      </c>
      <c r="N1579" s="9" t="s">
        <v>1082</v>
      </c>
      <c r="O1579" s="6">
        <f t="shared" si="31"/>
        <v>2004.0000361837047</v>
      </c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</row>
    <row r="1580" spans="1:27" ht="12.75" x14ac:dyDescent="0.2">
      <c r="A1580" s="5" t="s">
        <v>2937</v>
      </c>
      <c r="B1580" s="5" t="s">
        <v>2937</v>
      </c>
      <c r="C1580" s="4">
        <v>998</v>
      </c>
      <c r="D1580" s="6" t="e">
        <f t="shared" si="30"/>
        <v>#VALUE!</v>
      </c>
      <c r="E1580" s="6" t="s">
        <v>7586</v>
      </c>
      <c r="F1580" s="7">
        <v>500</v>
      </c>
      <c r="G1580" s="6" t="s">
        <v>21</v>
      </c>
      <c r="H1580" s="11" t="s">
        <v>8794</v>
      </c>
      <c r="I1580" s="9" t="s">
        <v>8795</v>
      </c>
      <c r="J1580" s="9" t="s">
        <v>8796</v>
      </c>
      <c r="K1580" s="9" t="s">
        <v>8797</v>
      </c>
      <c r="L1580" s="9" t="s">
        <v>8798</v>
      </c>
      <c r="M1580" s="9" t="s">
        <v>8799</v>
      </c>
      <c r="N1580" s="9" t="s">
        <v>1082</v>
      </c>
      <c r="O1580" s="6">
        <f t="shared" si="31"/>
        <v>2505.0001019180986</v>
      </c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</row>
    <row r="1581" spans="1:27" ht="12.75" x14ac:dyDescent="0.2">
      <c r="A1581" s="5" t="s">
        <v>2937</v>
      </c>
      <c r="B1581" s="5" t="s">
        <v>2937</v>
      </c>
      <c r="C1581" s="4">
        <v>999</v>
      </c>
      <c r="D1581" s="6" t="e">
        <f t="shared" si="30"/>
        <v>#VALUE!</v>
      </c>
      <c r="E1581" s="6" t="s">
        <v>8675</v>
      </c>
      <c r="F1581" s="7">
        <v>500</v>
      </c>
      <c r="G1581" s="6" t="s">
        <v>21</v>
      </c>
      <c r="H1581" s="11" t="s">
        <v>8800</v>
      </c>
      <c r="I1581" s="9" t="s">
        <v>8801</v>
      </c>
      <c r="J1581" s="9" t="s">
        <v>8802</v>
      </c>
      <c r="K1581" s="9" t="s">
        <v>8803</v>
      </c>
      <c r="L1581" s="9" t="s">
        <v>8804</v>
      </c>
      <c r="M1581" s="9" t="s">
        <v>8805</v>
      </c>
      <c r="N1581" s="9" t="s">
        <v>1082</v>
      </c>
      <c r="O1581" s="6">
        <f t="shared" si="31"/>
        <v>2504.9999049726457</v>
      </c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</row>
    <row r="1582" spans="1:27" ht="12.75" x14ac:dyDescent="0.2">
      <c r="A1582" s="5" t="s">
        <v>2937</v>
      </c>
      <c r="B1582" s="5" t="s">
        <v>2937</v>
      </c>
      <c r="C1582" s="4">
        <v>1000</v>
      </c>
      <c r="D1582" s="6" t="e">
        <f t="shared" si="30"/>
        <v>#VALUE!</v>
      </c>
      <c r="E1582" s="6" t="s">
        <v>7740</v>
      </c>
      <c r="F1582" s="7">
        <v>501</v>
      </c>
      <c r="G1582" s="6" t="s">
        <v>28</v>
      </c>
      <c r="H1582" s="8" t="s">
        <v>8806</v>
      </c>
      <c r="I1582" s="10" t="s">
        <v>8807</v>
      </c>
      <c r="J1582" s="9" t="s">
        <v>8808</v>
      </c>
      <c r="K1582" s="9" t="s">
        <v>8809</v>
      </c>
      <c r="L1582" s="9" t="s">
        <v>8810</v>
      </c>
      <c r="M1582" s="9" t="s">
        <v>8811</v>
      </c>
      <c r="N1582" s="9" t="s">
        <v>1082</v>
      </c>
      <c r="O1582" s="6">
        <f t="shared" si="31"/>
        <v>2007.9999424108269</v>
      </c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</row>
  </sheetData>
  <customSheetViews>
    <customSheetView guid="{68F25849-E3F6-4A90-868A-9561616BC73B}" filter="1" showAutoFilter="1">
      <pageMargins left="0.7" right="0.7" top="0.78740157499999996" bottom="0.78740157499999996" header="0.3" footer="0.3"/>
      <autoFilter ref="B1:B1682" xr:uid="{73FD4C6B-044B-4DB8-BB36-4A5E77937920}">
        <filterColumn colId="0">
          <filters>
            <filter val="28-Monster Grotto"/>
          </filters>
        </filterColumn>
      </autoFilter>
    </customSheetView>
  </customSheetViews>
  <conditionalFormatting sqref="M3:N121 M142:N151 M162:M401 N162:N191 N202:N401 M422:N431 M442:N471 M482:N601">
    <cfRule type="cellIs" dxfId="0" priority="1" operator="equal">
      <formula>"O:=XX"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C287-F072-481B-BF0B-810E943ECB02}">
  <sheetPr codeName="Tabelle2"/>
  <dimension ref="A1:AD707"/>
  <sheetViews>
    <sheetView tabSelected="1" topLeftCell="A293" zoomScale="130" zoomScaleNormal="130" workbookViewId="0">
      <selection activeCell="AD314" sqref="AD314"/>
    </sheetView>
  </sheetViews>
  <sheetFormatPr baseColWidth="10" defaultRowHeight="12.75" x14ac:dyDescent="0.2"/>
  <cols>
    <col min="1" max="1" width="35.28515625" style="29" customWidth="1"/>
    <col min="2" max="2" width="8" style="29" customWidth="1"/>
    <col min="3" max="3" width="0.42578125" style="29" customWidth="1"/>
    <col min="4" max="4" width="5.5703125" style="29" customWidth="1"/>
    <col min="5" max="5" width="8.85546875" style="29" hidden="1" customWidth="1"/>
    <col min="6" max="6" width="9.42578125" style="29" hidden="1" customWidth="1"/>
    <col min="7" max="7" width="10" style="29" hidden="1" customWidth="1"/>
    <col min="8" max="8" width="10.5703125" style="29" hidden="1" customWidth="1"/>
    <col min="9" max="9" width="9.140625" style="29" hidden="1" customWidth="1"/>
    <col min="10" max="10" width="15.42578125" style="29" hidden="1" customWidth="1"/>
    <col min="11" max="11" width="7.85546875" style="29" hidden="1" customWidth="1"/>
    <col min="12" max="12" width="8.28515625" style="29" hidden="1" customWidth="1"/>
    <col min="13" max="13" width="10.5703125" style="29" hidden="1" customWidth="1"/>
    <col min="14" max="14" width="8.5703125" style="29" hidden="1" customWidth="1"/>
    <col min="15" max="15" width="12.85546875" style="29" hidden="1" customWidth="1"/>
    <col min="16" max="16" width="10" style="32" hidden="1" customWidth="1"/>
    <col min="17" max="17" width="9.140625" style="32" hidden="1" customWidth="1"/>
    <col min="18" max="18" width="11.5703125" style="33" hidden="1" customWidth="1"/>
    <col min="19" max="19" width="14.5703125" style="29" hidden="1" customWidth="1"/>
    <col min="20" max="20" width="11.42578125" style="33" hidden="1" customWidth="1"/>
    <col min="21" max="22" width="14.7109375" style="29" hidden="1" customWidth="1"/>
    <col min="23" max="23" width="19.7109375" style="29" hidden="1" customWidth="1"/>
    <col min="24" max="24" width="11.42578125" style="33" hidden="1" customWidth="1"/>
    <col min="25" max="26" width="0" style="33" hidden="1" customWidth="1"/>
    <col min="27" max="27" width="0" style="29" hidden="1" customWidth="1"/>
    <col min="28" max="28" width="11.42578125" style="33"/>
    <col min="29" max="29" width="9.42578125" style="29" customWidth="1"/>
    <col min="30" max="30" width="10.140625" style="46" customWidth="1"/>
    <col min="31" max="16384" width="11.42578125" style="29"/>
  </cols>
  <sheetData>
    <row r="1" spans="1:30" ht="13.5" thickBot="1" x14ac:dyDescent="0.25">
      <c r="A1" s="35"/>
      <c r="B1" s="35" t="s">
        <v>8834</v>
      </c>
      <c r="C1" s="35" t="s">
        <v>6</v>
      </c>
      <c r="D1" s="35" t="s">
        <v>5</v>
      </c>
      <c r="E1" s="35" t="s">
        <v>7</v>
      </c>
      <c r="F1" s="35" t="s">
        <v>8</v>
      </c>
      <c r="G1" s="35" t="s">
        <v>9</v>
      </c>
      <c r="H1" s="35" t="s">
        <v>10</v>
      </c>
      <c r="I1" s="35" t="s">
        <v>11</v>
      </c>
      <c r="J1" s="35" t="s">
        <v>8835</v>
      </c>
      <c r="K1" s="35" t="s">
        <v>8836</v>
      </c>
      <c r="L1" s="35" t="s">
        <v>8837</v>
      </c>
      <c r="M1" s="35" t="s">
        <v>8838</v>
      </c>
      <c r="N1" s="36" t="s">
        <v>8839</v>
      </c>
      <c r="O1" s="35" t="s">
        <v>8868</v>
      </c>
      <c r="P1" s="37" t="s">
        <v>8869</v>
      </c>
      <c r="Q1" s="38" t="s">
        <v>8870</v>
      </c>
      <c r="R1" s="39" t="s">
        <v>8871</v>
      </c>
      <c r="S1" s="36" t="s">
        <v>8872</v>
      </c>
      <c r="T1" s="39" t="s">
        <v>8873</v>
      </c>
      <c r="U1" s="35" t="s">
        <v>8874</v>
      </c>
      <c r="V1" s="43" t="s">
        <v>8877</v>
      </c>
      <c r="W1" s="35" t="s">
        <v>8875</v>
      </c>
      <c r="X1" s="40" t="s">
        <v>8876</v>
      </c>
      <c r="Y1" s="35" t="s">
        <v>8878</v>
      </c>
      <c r="Z1" s="35" t="s">
        <v>8879</v>
      </c>
      <c r="AA1" s="35" t="s">
        <v>5</v>
      </c>
      <c r="AB1" s="39">
        <v>3</v>
      </c>
      <c r="AC1" s="35" t="s">
        <v>8880</v>
      </c>
      <c r="AD1" s="45" t="s">
        <v>8879</v>
      </c>
    </row>
    <row r="2" spans="1:30" x14ac:dyDescent="0.2">
      <c r="A2" s="30" t="s">
        <v>8840</v>
      </c>
      <c r="B2" s="29">
        <v>1</v>
      </c>
      <c r="C2" s="29">
        <v>2</v>
      </c>
      <c r="D2" s="29">
        <v>10</v>
      </c>
      <c r="E2" s="29">
        <v>48</v>
      </c>
      <c r="F2" s="29">
        <v>52</v>
      </c>
      <c r="G2" s="29">
        <v>104</v>
      </c>
      <c r="H2" s="29">
        <v>77</v>
      </c>
      <c r="I2" s="29">
        <v>47</v>
      </c>
      <c r="J2" s="29">
        <v>1694</v>
      </c>
      <c r="K2" s="29">
        <v>29</v>
      </c>
      <c r="L2" s="29">
        <v>52</v>
      </c>
      <c r="N2" s="34"/>
      <c r="O2" s="29">
        <f t="shared" ref="O2:O65" si="0">AVERAGE(K2, L2)</f>
        <v>40.5</v>
      </c>
      <c r="P2" s="32" cm="1">
        <f t="array" ref="P2">WPNFACTOR(C2)</f>
        <v>4.5</v>
      </c>
      <c r="Q2" s="34" cm="1">
        <f t="array" ref="Q2">HPFACTOr(C2)</f>
        <v>2</v>
      </c>
      <c r="R2" s="33">
        <f t="shared" ref="R2:R65" si="1">O2/P2</f>
        <v>9</v>
      </c>
      <c r="S2" s="34">
        <f t="shared" ref="S2:S65" si="2">J2/Q2</f>
        <v>847</v>
      </c>
      <c r="T2" s="33">
        <f t="shared" ref="T2:T65" si="3">R2*(1 + (N2/400))</f>
        <v>9</v>
      </c>
      <c r="U2" s="42">
        <f t="shared" ref="U2:U65" si="4">S2*1.6/(1 + (0.6*(1 - (M2/100))))</f>
        <v>847</v>
      </c>
      <c r="V2" s="44"/>
      <c r="W2" s="29">
        <f>T2*U2</f>
        <v>7623</v>
      </c>
      <c r="X2" s="41">
        <f t="shared" ref="X2:X65" si="5">LOG(W2, 2)</f>
        <v>12.896143160774511</v>
      </c>
      <c r="Y2" s="33">
        <f>POWER(W2, 1/4)</f>
        <v>9.3439709580633572</v>
      </c>
      <c r="Z2" s="33">
        <v>1.33</v>
      </c>
      <c r="AA2" s="29">
        <f>Y2*Z2</f>
        <v>12.427481374224266</v>
      </c>
      <c r="AB2" s="33">
        <f>POWER(W2, 1/$AB$1)</f>
        <v>19.68076489194457</v>
      </c>
      <c r="AC2" s="29">
        <v>10</v>
      </c>
      <c r="AD2" s="46">
        <f>IF(AC2 = "", ,AC2/AB2)</f>
        <v>0.50811033285058183</v>
      </c>
    </row>
    <row r="3" spans="1:30" x14ac:dyDescent="0.2">
      <c r="A3" s="30" t="s">
        <v>8840</v>
      </c>
      <c r="B3" s="29">
        <v>2</v>
      </c>
      <c r="C3" s="29">
        <v>1</v>
      </c>
      <c r="D3" s="29">
        <v>12</v>
      </c>
      <c r="E3" s="29">
        <v>120</v>
      </c>
      <c r="F3" s="29">
        <v>68</v>
      </c>
      <c r="G3" s="29">
        <v>59</v>
      </c>
      <c r="H3" s="29">
        <v>101</v>
      </c>
      <c r="I3" s="29">
        <v>51</v>
      </c>
      <c r="J3" s="29">
        <v>6565</v>
      </c>
      <c r="K3" s="29">
        <v>13</v>
      </c>
      <c r="L3" s="29">
        <v>28</v>
      </c>
      <c r="N3" s="34"/>
      <c r="O3" s="29">
        <f t="shared" si="0"/>
        <v>20.5</v>
      </c>
      <c r="P3" s="32" cm="1">
        <f t="array" ref="P3">WPNFACTOR(C3)</f>
        <v>2</v>
      </c>
      <c r="Q3" s="34" cm="1">
        <f t="array" ref="Q3">HPFACTOr(C3)</f>
        <v>5</v>
      </c>
      <c r="R3" s="33">
        <f t="shared" si="1"/>
        <v>10.25</v>
      </c>
      <c r="S3" s="34">
        <f t="shared" si="2"/>
        <v>1313</v>
      </c>
      <c r="T3" s="33">
        <f t="shared" si="3"/>
        <v>10.25</v>
      </c>
      <c r="U3" s="42">
        <f t="shared" si="4"/>
        <v>1313</v>
      </c>
      <c r="V3" s="44"/>
      <c r="W3" s="29">
        <f t="shared" ref="W3:W66" si="6">T3*U3</f>
        <v>13458.25</v>
      </c>
      <c r="X3" s="41">
        <f t="shared" si="5"/>
        <v>13.71620320551097</v>
      </c>
      <c r="Y3" s="33">
        <f t="shared" ref="Y3:Y66" si="7">POWER(W3, 1/4)</f>
        <v>10.770779817194285</v>
      </c>
      <c r="Z3" s="33">
        <v>1.33</v>
      </c>
      <c r="AA3" s="29">
        <f t="shared" ref="AA3:AA66" si="8">Y3*Z3</f>
        <v>14.325137156868399</v>
      </c>
      <c r="AB3" s="33">
        <f t="shared" ref="AB3:AB66" si="9">POWER(W3, 1/$AB$1)</f>
        <v>23.78644450877114</v>
      </c>
      <c r="AC3" s="29">
        <v>10</v>
      </c>
      <c r="AD3" s="46">
        <f t="shared" ref="AD3:AD66" si="10">IF(AC3 = "", ,AC3/AB3)</f>
        <v>0.4204075138809647</v>
      </c>
    </row>
    <row r="4" spans="1:30" x14ac:dyDescent="0.2">
      <c r="A4" s="30" t="s">
        <v>8840</v>
      </c>
      <c r="B4" s="29">
        <v>3</v>
      </c>
      <c r="C4" s="29">
        <v>1</v>
      </c>
      <c r="D4" s="29">
        <v>14</v>
      </c>
      <c r="E4" s="29">
        <v>149</v>
      </c>
      <c r="F4" s="29">
        <v>78</v>
      </c>
      <c r="G4" s="29">
        <v>69</v>
      </c>
      <c r="H4" s="29">
        <v>124</v>
      </c>
      <c r="I4" s="29">
        <v>65</v>
      </c>
      <c r="J4" s="29">
        <v>9300</v>
      </c>
      <c r="K4" s="29">
        <v>17</v>
      </c>
      <c r="L4" s="29">
        <v>34</v>
      </c>
      <c r="N4" s="34"/>
      <c r="O4" s="29">
        <f t="shared" si="0"/>
        <v>25.5</v>
      </c>
      <c r="P4" s="32" cm="1">
        <f t="array" ref="P4">WPNFACTOR(C4)</f>
        <v>2</v>
      </c>
      <c r="Q4" s="34" cm="1">
        <f t="array" ref="Q4">HPFACTOr(C4)</f>
        <v>5</v>
      </c>
      <c r="R4" s="33">
        <f t="shared" si="1"/>
        <v>12.75</v>
      </c>
      <c r="S4" s="34">
        <f t="shared" si="2"/>
        <v>1860</v>
      </c>
      <c r="T4" s="33">
        <f t="shared" si="3"/>
        <v>12.75</v>
      </c>
      <c r="U4" s="42">
        <f t="shared" si="4"/>
        <v>1860</v>
      </c>
      <c r="V4" s="44"/>
      <c r="W4" s="29">
        <f t="shared" si="6"/>
        <v>23715</v>
      </c>
      <c r="X4" s="41">
        <f t="shared" si="5"/>
        <v>14.53351224796689</v>
      </c>
      <c r="Y4" s="33">
        <f t="shared" si="7"/>
        <v>12.409542828506099</v>
      </c>
      <c r="Z4" s="33">
        <v>1.33</v>
      </c>
      <c r="AA4" s="29">
        <f t="shared" si="8"/>
        <v>16.504691961913114</v>
      </c>
      <c r="AB4" s="33">
        <f t="shared" si="9"/>
        <v>28.730358354762643</v>
      </c>
      <c r="AC4" s="29">
        <v>10</v>
      </c>
      <c r="AD4" s="46">
        <f t="shared" si="10"/>
        <v>0.3480638799043137</v>
      </c>
    </row>
    <row r="5" spans="1:30" x14ac:dyDescent="0.2">
      <c r="A5" s="30" t="s">
        <v>8840</v>
      </c>
      <c r="B5" s="29">
        <v>4</v>
      </c>
      <c r="C5" s="29">
        <v>3</v>
      </c>
      <c r="D5" s="29">
        <v>16</v>
      </c>
      <c r="E5" s="29">
        <v>84</v>
      </c>
      <c r="F5" s="29">
        <v>195</v>
      </c>
      <c r="G5" s="29">
        <v>83</v>
      </c>
      <c r="H5" s="29">
        <v>131</v>
      </c>
      <c r="I5" s="29">
        <v>94</v>
      </c>
      <c r="J5" s="29">
        <v>8908</v>
      </c>
      <c r="K5" s="29">
        <v>26</v>
      </c>
      <c r="L5" s="29">
        <v>47</v>
      </c>
      <c r="N5" s="34"/>
      <c r="O5" s="29">
        <f t="shared" si="0"/>
        <v>36.5</v>
      </c>
      <c r="P5" s="32" cm="1">
        <f t="array" ref="P5">WPNFACTOR(C5)</f>
        <v>2.5</v>
      </c>
      <c r="Q5" s="34" cm="1">
        <f t="array" ref="Q5">HPFACTOr(C5)</f>
        <v>4</v>
      </c>
      <c r="R5" s="33">
        <f t="shared" si="1"/>
        <v>14.6</v>
      </c>
      <c r="S5" s="34">
        <f t="shared" si="2"/>
        <v>2227</v>
      </c>
      <c r="T5" s="33">
        <f t="shared" si="3"/>
        <v>14.6</v>
      </c>
      <c r="U5" s="42">
        <f t="shared" si="4"/>
        <v>2227</v>
      </c>
      <c r="V5" s="44"/>
      <c r="W5" s="29">
        <f t="shared" si="6"/>
        <v>32514.2</v>
      </c>
      <c r="X5" s="41">
        <f t="shared" si="5"/>
        <v>14.988782306780445</v>
      </c>
      <c r="Y5" s="33">
        <f t="shared" si="7"/>
        <v>13.428214445195518</v>
      </c>
      <c r="Z5" s="33">
        <v>1.33</v>
      </c>
      <c r="AA5" s="29">
        <f t="shared" si="8"/>
        <v>17.859525212110039</v>
      </c>
      <c r="AB5" s="33">
        <f t="shared" si="9"/>
        <v>31.917168589918671</v>
      </c>
      <c r="AC5" s="29">
        <v>10</v>
      </c>
      <c r="AD5" s="46">
        <f t="shared" si="10"/>
        <v>0.31331099974696974</v>
      </c>
    </row>
    <row r="6" spans="1:30" x14ac:dyDescent="0.2">
      <c r="A6" s="30" t="s">
        <v>8840</v>
      </c>
      <c r="B6" s="29">
        <v>5</v>
      </c>
      <c r="C6" s="29">
        <v>1</v>
      </c>
      <c r="D6" s="29">
        <v>18</v>
      </c>
      <c r="E6" s="29">
        <v>214</v>
      </c>
      <c r="F6" s="29">
        <v>101</v>
      </c>
      <c r="G6" s="29">
        <v>89</v>
      </c>
      <c r="H6" s="29">
        <v>169</v>
      </c>
      <c r="I6" s="29">
        <v>93</v>
      </c>
      <c r="J6" s="29">
        <v>16055</v>
      </c>
      <c r="K6" s="29">
        <v>25</v>
      </c>
      <c r="L6" s="29">
        <v>43</v>
      </c>
      <c r="N6" s="34"/>
      <c r="O6" s="29">
        <f t="shared" si="0"/>
        <v>34</v>
      </c>
      <c r="P6" s="32" cm="1">
        <f t="array" ref="P6">WPNFACTOR(C6)</f>
        <v>2</v>
      </c>
      <c r="Q6" s="34" cm="1">
        <f t="array" ref="Q6">HPFACTOr(C6)</f>
        <v>5</v>
      </c>
      <c r="R6" s="33">
        <f t="shared" si="1"/>
        <v>17</v>
      </c>
      <c r="S6" s="34">
        <f t="shared" si="2"/>
        <v>3211</v>
      </c>
      <c r="T6" s="33">
        <f t="shared" si="3"/>
        <v>17</v>
      </c>
      <c r="U6" s="42">
        <f t="shared" si="4"/>
        <v>3211</v>
      </c>
      <c r="V6" s="44"/>
      <c r="W6" s="29">
        <f t="shared" si="6"/>
        <v>54587</v>
      </c>
      <c r="X6" s="41">
        <f t="shared" si="5"/>
        <v>15.73626979097611</v>
      </c>
      <c r="Y6" s="33">
        <f t="shared" si="7"/>
        <v>15.285241569008603</v>
      </c>
      <c r="Z6" s="33">
        <v>1.33</v>
      </c>
      <c r="AA6" s="29">
        <f t="shared" si="8"/>
        <v>20.329371286781441</v>
      </c>
      <c r="AB6" s="33">
        <f t="shared" si="9"/>
        <v>37.934096295067057</v>
      </c>
      <c r="AC6" s="29">
        <v>11</v>
      </c>
      <c r="AD6" s="46">
        <f t="shared" si="10"/>
        <v>0.28997659294259864</v>
      </c>
    </row>
    <row r="7" spans="1:30" x14ac:dyDescent="0.2">
      <c r="A7" s="30" t="s">
        <v>8840</v>
      </c>
      <c r="B7" s="29">
        <v>6</v>
      </c>
      <c r="C7" s="29">
        <v>2</v>
      </c>
      <c r="D7" s="29">
        <v>22</v>
      </c>
      <c r="E7" s="29">
        <v>97</v>
      </c>
      <c r="F7" s="29">
        <v>99</v>
      </c>
      <c r="G7" s="29">
        <v>303</v>
      </c>
      <c r="H7" s="29">
        <v>198</v>
      </c>
      <c r="I7" s="29">
        <v>137</v>
      </c>
      <c r="J7" s="29">
        <v>9108</v>
      </c>
      <c r="K7" s="29">
        <v>71</v>
      </c>
      <c r="L7" s="29">
        <v>116</v>
      </c>
      <c r="N7" s="34"/>
      <c r="O7" s="29">
        <f t="shared" si="0"/>
        <v>93.5</v>
      </c>
      <c r="P7" s="32" cm="1">
        <f t="array" ref="P7">WPNFACTOR(C7)</f>
        <v>4.5</v>
      </c>
      <c r="Q7" s="34" cm="1">
        <f t="array" ref="Q7">HPFACTOr(C7)</f>
        <v>2</v>
      </c>
      <c r="R7" s="33">
        <f t="shared" si="1"/>
        <v>20.777777777777779</v>
      </c>
      <c r="S7" s="34">
        <f t="shared" si="2"/>
        <v>4554</v>
      </c>
      <c r="T7" s="33">
        <f t="shared" si="3"/>
        <v>20.777777777777779</v>
      </c>
      <c r="U7" s="42">
        <f t="shared" si="4"/>
        <v>4554</v>
      </c>
      <c r="V7" s="44"/>
      <c r="W7" s="29">
        <f t="shared" si="6"/>
        <v>94622</v>
      </c>
      <c r="X7" s="41">
        <f t="shared" si="5"/>
        <v>16.529888034581948</v>
      </c>
      <c r="Y7" s="33">
        <f t="shared" si="7"/>
        <v>17.538725495041259</v>
      </c>
      <c r="Z7" s="33">
        <v>1.33</v>
      </c>
      <c r="AA7" s="29">
        <f t="shared" si="8"/>
        <v>23.326504908404875</v>
      </c>
      <c r="AB7" s="33">
        <f t="shared" si="9"/>
        <v>45.56842741121504</v>
      </c>
      <c r="AC7" s="29">
        <v>11</v>
      </c>
      <c r="AD7" s="46">
        <f t="shared" si="10"/>
        <v>0.24139520771113429</v>
      </c>
    </row>
    <row r="8" spans="1:30" x14ac:dyDescent="0.2">
      <c r="A8" s="30" t="s">
        <v>8840</v>
      </c>
      <c r="B8" s="29">
        <v>7</v>
      </c>
      <c r="C8" s="29">
        <v>1</v>
      </c>
      <c r="D8" s="29">
        <v>26</v>
      </c>
      <c r="E8" s="29">
        <v>359</v>
      </c>
      <c r="F8" s="29">
        <v>135</v>
      </c>
      <c r="G8" s="29">
        <v>122</v>
      </c>
      <c r="H8" s="29">
        <v>260</v>
      </c>
      <c r="I8" s="29">
        <v>142</v>
      </c>
      <c r="J8" s="29">
        <v>35100</v>
      </c>
      <c r="K8" s="29">
        <v>33</v>
      </c>
      <c r="L8" s="29">
        <v>63</v>
      </c>
      <c r="N8" s="34"/>
      <c r="O8" s="29">
        <f t="shared" si="0"/>
        <v>48</v>
      </c>
      <c r="P8" s="32" cm="1">
        <f t="array" ref="P8">WPNFACTOR(C8)</f>
        <v>2</v>
      </c>
      <c r="Q8" s="34" cm="1">
        <f t="array" ref="Q8">HPFACTOr(C8)</f>
        <v>5</v>
      </c>
      <c r="R8" s="33">
        <f t="shared" si="1"/>
        <v>24</v>
      </c>
      <c r="S8" s="34">
        <f t="shared" si="2"/>
        <v>7020</v>
      </c>
      <c r="T8" s="33">
        <f t="shared" si="3"/>
        <v>24</v>
      </c>
      <c r="U8" s="42">
        <f t="shared" si="4"/>
        <v>7020</v>
      </c>
      <c r="V8" s="44"/>
      <c r="W8" s="29">
        <f t="shared" si="6"/>
        <v>168480</v>
      </c>
      <c r="X8" s="41">
        <f t="shared" si="5"/>
        <v>17.36221781591308</v>
      </c>
      <c r="Y8" s="33">
        <f t="shared" si="7"/>
        <v>20.259890252311088</v>
      </c>
      <c r="Z8" s="33">
        <v>1.33</v>
      </c>
      <c r="AA8" s="29">
        <f t="shared" si="8"/>
        <v>26.945654035573749</v>
      </c>
      <c r="AB8" s="33">
        <f t="shared" si="9"/>
        <v>55.230984495095306</v>
      </c>
      <c r="AC8" s="29">
        <v>15</v>
      </c>
      <c r="AD8" s="46">
        <f t="shared" si="10"/>
        <v>0.27158668521166862</v>
      </c>
    </row>
    <row r="9" spans="1:30" x14ac:dyDescent="0.2">
      <c r="A9" s="30" t="s">
        <v>8840</v>
      </c>
      <c r="B9" s="29">
        <v>8</v>
      </c>
      <c r="C9" s="29">
        <v>2</v>
      </c>
      <c r="D9" s="29">
        <v>30</v>
      </c>
      <c r="E9" s="29">
        <v>126</v>
      </c>
      <c r="F9" s="29">
        <v>130</v>
      </c>
      <c r="G9" s="29">
        <v>460</v>
      </c>
      <c r="H9" s="29">
        <v>279</v>
      </c>
      <c r="I9" s="29">
        <v>193</v>
      </c>
      <c r="J9" s="29">
        <v>17298</v>
      </c>
      <c r="K9" s="29">
        <v>97</v>
      </c>
      <c r="L9" s="29">
        <v>160</v>
      </c>
      <c r="N9" s="34"/>
      <c r="O9" s="29">
        <f t="shared" si="0"/>
        <v>128.5</v>
      </c>
      <c r="P9" s="32" cm="1">
        <f t="array" ref="P9">WPNFACTOR(C9)</f>
        <v>4.5</v>
      </c>
      <c r="Q9" s="34" cm="1">
        <f t="array" ref="Q9">HPFACTOr(C9)</f>
        <v>2</v>
      </c>
      <c r="R9" s="33">
        <f t="shared" si="1"/>
        <v>28.555555555555557</v>
      </c>
      <c r="S9" s="34">
        <f t="shared" si="2"/>
        <v>8649</v>
      </c>
      <c r="T9" s="33">
        <f t="shared" si="3"/>
        <v>28.555555555555557</v>
      </c>
      <c r="U9" s="42">
        <f t="shared" si="4"/>
        <v>8649</v>
      </c>
      <c r="V9" s="44"/>
      <c r="W9" s="29">
        <f t="shared" si="6"/>
        <v>246977</v>
      </c>
      <c r="X9" s="41">
        <f t="shared" si="5"/>
        <v>17.914017169967629</v>
      </c>
      <c r="Y9" s="33">
        <f t="shared" si="7"/>
        <v>22.29277474426015</v>
      </c>
      <c r="Z9" s="33">
        <v>1.33</v>
      </c>
      <c r="AA9" s="29">
        <f t="shared" si="8"/>
        <v>29.649390409866001</v>
      </c>
      <c r="AB9" s="33">
        <f t="shared" si="9"/>
        <v>62.741106023468205</v>
      </c>
      <c r="AC9" s="29">
        <v>15</v>
      </c>
      <c r="AD9" s="46">
        <f t="shared" si="10"/>
        <v>0.23907771078165685</v>
      </c>
    </row>
    <row r="10" spans="1:30" x14ac:dyDescent="0.2">
      <c r="A10" s="30" t="s">
        <v>8840</v>
      </c>
      <c r="B10" s="29">
        <v>9</v>
      </c>
      <c r="C10" s="29">
        <v>1</v>
      </c>
      <c r="D10" s="29">
        <v>40</v>
      </c>
      <c r="E10" s="29">
        <v>614</v>
      </c>
      <c r="F10" s="29">
        <v>207</v>
      </c>
      <c r="G10" s="29">
        <v>191</v>
      </c>
      <c r="H10" s="29">
        <v>445</v>
      </c>
      <c r="I10" s="29">
        <v>238</v>
      </c>
      <c r="J10" s="29">
        <v>91225</v>
      </c>
      <c r="K10" s="29">
        <v>54</v>
      </c>
      <c r="L10" s="29">
        <v>95</v>
      </c>
      <c r="N10" s="34"/>
      <c r="O10" s="29">
        <f t="shared" si="0"/>
        <v>74.5</v>
      </c>
      <c r="P10" s="32" cm="1">
        <f t="array" ref="P10">WPNFACTOR(C10)</f>
        <v>2</v>
      </c>
      <c r="Q10" s="34" cm="1">
        <f t="array" ref="Q10">HPFACTOr(C10)</f>
        <v>5</v>
      </c>
      <c r="R10" s="33">
        <f t="shared" si="1"/>
        <v>37.25</v>
      </c>
      <c r="S10" s="34">
        <f t="shared" si="2"/>
        <v>18245</v>
      </c>
      <c r="T10" s="33">
        <f t="shared" si="3"/>
        <v>37.25</v>
      </c>
      <c r="U10" s="42">
        <f t="shared" si="4"/>
        <v>18245</v>
      </c>
      <c r="V10" s="44"/>
      <c r="W10" s="29">
        <f t="shared" si="6"/>
        <v>679626.25</v>
      </c>
      <c r="X10" s="41">
        <f t="shared" si="5"/>
        <v>19.374382050934006</v>
      </c>
      <c r="Y10" s="33">
        <f t="shared" si="7"/>
        <v>28.712270456218089</v>
      </c>
      <c r="Z10" s="33">
        <v>1.33</v>
      </c>
      <c r="AA10" s="29">
        <f t="shared" si="8"/>
        <v>38.187319706770062</v>
      </c>
      <c r="AB10" s="33">
        <f t="shared" si="9"/>
        <v>87.920479558310788</v>
      </c>
      <c r="AC10" s="29">
        <v>27</v>
      </c>
      <c r="AD10" s="46">
        <f t="shared" si="10"/>
        <v>0.30709568618871114</v>
      </c>
    </row>
    <row r="11" spans="1:30" x14ac:dyDescent="0.2">
      <c r="A11" s="30" t="s">
        <v>8840</v>
      </c>
      <c r="B11" s="29">
        <v>10</v>
      </c>
      <c r="C11" s="29">
        <v>3</v>
      </c>
      <c r="D11" s="29">
        <v>50</v>
      </c>
      <c r="E11" s="29">
        <v>221</v>
      </c>
      <c r="F11" s="29">
        <v>847</v>
      </c>
      <c r="G11" s="31">
        <v>213</v>
      </c>
      <c r="H11" s="29">
        <v>561</v>
      </c>
      <c r="I11" s="29">
        <v>292</v>
      </c>
      <c r="J11" s="29">
        <v>114444</v>
      </c>
      <c r="K11" s="29">
        <v>86</v>
      </c>
      <c r="L11" s="29">
        <v>151</v>
      </c>
      <c r="N11" s="34"/>
      <c r="O11" s="29">
        <f t="shared" si="0"/>
        <v>118.5</v>
      </c>
      <c r="P11" s="32" cm="1">
        <f t="array" ref="P11">WPNFACTOR(C11)</f>
        <v>2.5</v>
      </c>
      <c r="Q11" s="34" cm="1">
        <f t="array" ref="Q11">HPFACTOr(C11)</f>
        <v>4</v>
      </c>
      <c r="R11" s="33">
        <f t="shared" si="1"/>
        <v>47.4</v>
      </c>
      <c r="S11" s="34">
        <f t="shared" si="2"/>
        <v>28611</v>
      </c>
      <c r="T11" s="33">
        <f t="shared" si="3"/>
        <v>47.4</v>
      </c>
      <c r="U11" s="42">
        <f t="shared" si="4"/>
        <v>28611.000000000004</v>
      </c>
      <c r="V11" s="44"/>
      <c r="W11" s="29">
        <f t="shared" si="6"/>
        <v>1356161.4000000001</v>
      </c>
      <c r="X11" s="41">
        <f t="shared" si="5"/>
        <v>20.371097456591187</v>
      </c>
      <c r="Y11" s="33">
        <f t="shared" si="7"/>
        <v>34.125407394595008</v>
      </c>
      <c r="Z11" s="33">
        <v>1.33</v>
      </c>
      <c r="AA11" s="29">
        <f t="shared" si="8"/>
        <v>45.386791834811362</v>
      </c>
      <c r="AB11" s="33">
        <f t="shared" si="9"/>
        <v>110.68882900766111</v>
      </c>
      <c r="AC11" s="29">
        <v>27</v>
      </c>
      <c r="AD11" s="46">
        <f t="shared" si="10"/>
        <v>0.24392705426607456</v>
      </c>
    </row>
    <row r="12" spans="1:30" x14ac:dyDescent="0.2">
      <c r="A12" s="30" t="s">
        <v>8841</v>
      </c>
      <c r="B12" s="29">
        <v>1</v>
      </c>
      <c r="C12" s="29">
        <v>3</v>
      </c>
      <c r="D12" s="29">
        <v>20</v>
      </c>
      <c r="E12" s="29">
        <v>101</v>
      </c>
      <c r="F12" s="29">
        <v>264</v>
      </c>
      <c r="G12" s="29">
        <v>101</v>
      </c>
      <c r="H12" s="29">
        <v>174</v>
      </c>
      <c r="I12" s="29">
        <v>119</v>
      </c>
      <c r="J12" s="29">
        <v>14616</v>
      </c>
      <c r="K12" s="29">
        <v>35</v>
      </c>
      <c r="L12" s="29">
        <v>58</v>
      </c>
      <c r="N12" s="34"/>
      <c r="O12" s="29">
        <f t="shared" si="0"/>
        <v>46.5</v>
      </c>
      <c r="P12" s="32" cm="1">
        <f t="array" ref="P12">WPNFACTOR(C12)</f>
        <v>2.5</v>
      </c>
      <c r="Q12" s="34" cm="1">
        <f t="array" ref="Q12">HPFACTOr(C12)</f>
        <v>4</v>
      </c>
      <c r="R12" s="33">
        <f t="shared" si="1"/>
        <v>18.600000000000001</v>
      </c>
      <c r="S12" s="34">
        <f t="shared" si="2"/>
        <v>3654</v>
      </c>
      <c r="T12" s="33">
        <f t="shared" si="3"/>
        <v>18.600000000000001</v>
      </c>
      <c r="U12" s="42">
        <f t="shared" si="4"/>
        <v>3654</v>
      </c>
      <c r="V12" s="44"/>
      <c r="W12" s="29">
        <f t="shared" si="6"/>
        <v>67964.400000000009</v>
      </c>
      <c r="X12" s="41">
        <f t="shared" si="5"/>
        <v>16.05249163484816</v>
      </c>
      <c r="Y12" s="33">
        <f t="shared" si="7"/>
        <v>16.146201639634786</v>
      </c>
      <c r="Z12" s="33">
        <v>1.33</v>
      </c>
      <c r="AA12" s="29">
        <f t="shared" si="8"/>
        <v>21.474448180714266</v>
      </c>
      <c r="AB12" s="33">
        <f t="shared" si="9"/>
        <v>40.809426887482878</v>
      </c>
      <c r="AC12" s="29">
        <v>20</v>
      </c>
      <c r="AD12" s="46">
        <f t="shared" si="10"/>
        <v>0.49008284421985909</v>
      </c>
    </row>
    <row r="13" spans="1:30" x14ac:dyDescent="0.2">
      <c r="A13" s="30" t="s">
        <v>8841</v>
      </c>
      <c r="B13" s="29">
        <v>2</v>
      </c>
      <c r="C13" s="29">
        <v>1</v>
      </c>
      <c r="D13" s="29">
        <v>24</v>
      </c>
      <c r="E13" s="29">
        <v>317</v>
      </c>
      <c r="F13" s="29">
        <v>126</v>
      </c>
      <c r="G13" s="29">
        <v>117</v>
      </c>
      <c r="H13" s="29">
        <v>238</v>
      </c>
      <c r="I13" s="29">
        <v>130</v>
      </c>
      <c r="J13" s="29">
        <v>29750</v>
      </c>
      <c r="K13" s="29">
        <v>33</v>
      </c>
      <c r="L13" s="29">
        <v>58</v>
      </c>
      <c r="N13" s="34"/>
      <c r="O13" s="29">
        <f t="shared" si="0"/>
        <v>45.5</v>
      </c>
      <c r="P13" s="32" cm="1">
        <f t="array" ref="P13">WPNFACTOR(C13)</f>
        <v>2</v>
      </c>
      <c r="Q13" s="34" cm="1">
        <f t="array" ref="Q13">HPFACTOr(C13)</f>
        <v>5</v>
      </c>
      <c r="R13" s="33">
        <f t="shared" si="1"/>
        <v>22.75</v>
      </c>
      <c r="S13" s="34">
        <f t="shared" si="2"/>
        <v>5950</v>
      </c>
      <c r="T13" s="33">
        <f t="shared" si="3"/>
        <v>22.75</v>
      </c>
      <c r="U13" s="42">
        <f t="shared" si="4"/>
        <v>5950</v>
      </c>
      <c r="V13" s="44"/>
      <c r="W13" s="29">
        <f t="shared" si="6"/>
        <v>135362.5</v>
      </c>
      <c r="X13" s="41">
        <f t="shared" si="5"/>
        <v>17.046468593281364</v>
      </c>
      <c r="Y13" s="33">
        <f t="shared" si="7"/>
        <v>19.181147794866213</v>
      </c>
      <c r="Z13" s="33">
        <v>1.33</v>
      </c>
      <c r="AA13" s="29">
        <f t="shared" si="8"/>
        <v>25.510926567172064</v>
      </c>
      <c r="AB13" s="33">
        <f t="shared" si="9"/>
        <v>51.34515338461707</v>
      </c>
      <c r="AC13" s="29">
        <v>20</v>
      </c>
      <c r="AD13" s="46">
        <f t="shared" si="10"/>
        <v>0.38952069828643204</v>
      </c>
    </row>
    <row r="14" spans="1:30" x14ac:dyDescent="0.2">
      <c r="A14" s="30" t="s">
        <v>8841</v>
      </c>
      <c r="B14" s="29">
        <v>3</v>
      </c>
      <c r="C14" s="29">
        <v>1</v>
      </c>
      <c r="D14" s="29">
        <v>28</v>
      </c>
      <c r="E14" s="29">
        <v>393</v>
      </c>
      <c r="F14" s="29">
        <v>138</v>
      </c>
      <c r="G14" s="29">
        <v>125</v>
      </c>
      <c r="H14" s="29">
        <v>284</v>
      </c>
      <c r="I14" s="29">
        <v>152</v>
      </c>
      <c r="J14" s="29">
        <v>41180</v>
      </c>
      <c r="K14" s="29">
        <v>40</v>
      </c>
      <c r="L14" s="29">
        <v>68</v>
      </c>
      <c r="N14" s="34"/>
      <c r="O14" s="29">
        <f t="shared" si="0"/>
        <v>54</v>
      </c>
      <c r="P14" s="32" cm="1">
        <f t="array" ref="P14">WPNFACTOR(C14)</f>
        <v>2</v>
      </c>
      <c r="Q14" s="34" cm="1">
        <f t="array" ref="Q14">HPFACTOr(C14)</f>
        <v>5</v>
      </c>
      <c r="R14" s="33">
        <f t="shared" si="1"/>
        <v>27</v>
      </c>
      <c r="S14" s="34">
        <f t="shared" si="2"/>
        <v>8236</v>
      </c>
      <c r="T14" s="33">
        <f t="shared" si="3"/>
        <v>27</v>
      </c>
      <c r="U14" s="42">
        <f t="shared" si="4"/>
        <v>8236</v>
      </c>
      <c r="V14" s="44"/>
      <c r="W14" s="29">
        <f t="shared" si="6"/>
        <v>222372</v>
      </c>
      <c r="X14" s="41">
        <f t="shared" si="5"/>
        <v>17.762615616795724</v>
      </c>
      <c r="Y14" s="33">
        <f t="shared" si="7"/>
        <v>21.715509603854233</v>
      </c>
      <c r="Z14" s="33">
        <v>1.33</v>
      </c>
      <c r="AA14" s="29">
        <f t="shared" si="8"/>
        <v>28.88162777312613</v>
      </c>
      <c r="AB14" s="33">
        <f t="shared" si="9"/>
        <v>60.584291585787554</v>
      </c>
      <c r="AC14" s="29">
        <v>21</v>
      </c>
      <c r="AD14" s="46">
        <f t="shared" si="10"/>
        <v>0.34662450365147757</v>
      </c>
    </row>
    <row r="15" spans="1:30" x14ac:dyDescent="0.2">
      <c r="A15" s="30" t="s">
        <v>8841</v>
      </c>
      <c r="B15" s="29">
        <v>4</v>
      </c>
      <c r="C15" s="29">
        <v>3</v>
      </c>
      <c r="D15" s="29">
        <v>34</v>
      </c>
      <c r="E15" s="29">
        <v>143</v>
      </c>
      <c r="F15" s="29">
        <v>554</v>
      </c>
      <c r="G15" s="29">
        <v>144</v>
      </c>
      <c r="H15" s="29">
        <v>303</v>
      </c>
      <c r="I15" s="29">
        <v>216</v>
      </c>
      <c r="J15" s="29">
        <v>42420</v>
      </c>
      <c r="K15" s="29">
        <v>64</v>
      </c>
      <c r="L15" s="29">
        <v>98</v>
      </c>
      <c r="N15" s="34"/>
      <c r="O15" s="29">
        <f t="shared" si="0"/>
        <v>81</v>
      </c>
      <c r="P15" s="32" cm="1">
        <f t="array" ref="P15">WPNFACTOR(C15)</f>
        <v>2.5</v>
      </c>
      <c r="Q15" s="34" cm="1">
        <f t="array" ref="Q15">HPFACTOr(C15)</f>
        <v>4</v>
      </c>
      <c r="R15" s="33">
        <f t="shared" si="1"/>
        <v>32.4</v>
      </c>
      <c r="S15" s="34">
        <f t="shared" si="2"/>
        <v>10605</v>
      </c>
      <c r="T15" s="33">
        <f t="shared" si="3"/>
        <v>32.4</v>
      </c>
      <c r="U15" s="42">
        <f t="shared" si="4"/>
        <v>10605</v>
      </c>
      <c r="V15" s="44"/>
      <c r="W15" s="29">
        <f t="shared" si="6"/>
        <v>343602</v>
      </c>
      <c r="X15" s="41">
        <f t="shared" si="5"/>
        <v>18.39037890841518</v>
      </c>
      <c r="Y15" s="33">
        <f t="shared" si="7"/>
        <v>24.21106651028856</v>
      </c>
      <c r="Z15" s="33">
        <v>1.33</v>
      </c>
      <c r="AA15" s="29">
        <f t="shared" si="8"/>
        <v>32.200718458683788</v>
      </c>
      <c r="AB15" s="33">
        <f t="shared" si="9"/>
        <v>70.040928445750225</v>
      </c>
      <c r="AC15" s="29">
        <v>21</v>
      </c>
      <c r="AD15" s="46">
        <f t="shared" si="10"/>
        <v>0.29982469487487479</v>
      </c>
    </row>
    <row r="16" spans="1:30" x14ac:dyDescent="0.2">
      <c r="A16" s="30" t="s">
        <v>8841</v>
      </c>
      <c r="B16" s="29">
        <v>5</v>
      </c>
      <c r="C16" s="29">
        <v>1</v>
      </c>
      <c r="D16" s="29">
        <v>38</v>
      </c>
      <c r="E16" s="29">
        <v>592</v>
      </c>
      <c r="F16" s="29">
        <v>178</v>
      </c>
      <c r="G16" s="29">
        <v>162</v>
      </c>
      <c r="H16" s="29">
        <v>398</v>
      </c>
      <c r="I16" s="29">
        <v>195</v>
      </c>
      <c r="J16" s="29">
        <v>77610</v>
      </c>
      <c r="K16" s="29">
        <v>58</v>
      </c>
      <c r="L16" s="29">
        <v>89</v>
      </c>
      <c r="N16" s="34"/>
      <c r="O16" s="29">
        <f t="shared" si="0"/>
        <v>73.5</v>
      </c>
      <c r="P16" s="32" cm="1">
        <f t="array" ref="P16">WPNFACTOR(C16)</f>
        <v>2</v>
      </c>
      <c r="Q16" s="34" cm="1">
        <f t="array" ref="Q16">HPFACTOr(C16)</f>
        <v>5</v>
      </c>
      <c r="R16" s="33">
        <f t="shared" si="1"/>
        <v>36.75</v>
      </c>
      <c r="S16" s="34">
        <f t="shared" si="2"/>
        <v>15522</v>
      </c>
      <c r="T16" s="33">
        <f t="shared" si="3"/>
        <v>36.75</v>
      </c>
      <c r="U16" s="42">
        <f t="shared" si="4"/>
        <v>15522</v>
      </c>
      <c r="V16" s="44"/>
      <c r="W16" s="29">
        <f t="shared" si="6"/>
        <v>570433.5</v>
      </c>
      <c r="X16" s="41">
        <f t="shared" si="5"/>
        <v>19.121699184242264</v>
      </c>
      <c r="Y16" s="33">
        <f t="shared" si="7"/>
        <v>27.482184799445744</v>
      </c>
      <c r="Z16" s="33">
        <v>1.33</v>
      </c>
      <c r="AA16" s="29">
        <f t="shared" si="8"/>
        <v>36.551305783262841</v>
      </c>
      <c r="AB16" s="33">
        <f t="shared" si="9"/>
        <v>82.934457377391524</v>
      </c>
      <c r="AC16" s="29">
        <v>25</v>
      </c>
      <c r="AD16" s="46">
        <f t="shared" si="10"/>
        <v>0.30144285970592438</v>
      </c>
    </row>
    <row r="17" spans="1:30" x14ac:dyDescent="0.2">
      <c r="A17" s="30" t="s">
        <v>8841</v>
      </c>
      <c r="B17" s="29">
        <v>6</v>
      </c>
      <c r="C17" s="29">
        <v>2</v>
      </c>
      <c r="D17" s="29">
        <v>44</v>
      </c>
      <c r="E17" s="29">
        <v>191</v>
      </c>
      <c r="F17" s="29">
        <v>190</v>
      </c>
      <c r="G17" s="29">
        <v>780</v>
      </c>
      <c r="H17" s="29">
        <v>411</v>
      </c>
      <c r="I17" s="29">
        <v>259</v>
      </c>
      <c r="J17" s="29">
        <v>36990</v>
      </c>
      <c r="K17" s="29">
        <v>143</v>
      </c>
      <c r="L17" s="29">
        <v>241</v>
      </c>
      <c r="N17" s="34"/>
      <c r="O17" s="29">
        <f t="shared" si="0"/>
        <v>192</v>
      </c>
      <c r="P17" s="32" cm="1">
        <f t="array" ref="P17">WPNFACTOR(C17)</f>
        <v>4.5</v>
      </c>
      <c r="Q17" s="34" cm="1">
        <f t="array" ref="Q17">HPFACTOr(C17)</f>
        <v>2</v>
      </c>
      <c r="R17" s="33">
        <f t="shared" si="1"/>
        <v>42.666666666666664</v>
      </c>
      <c r="S17" s="34">
        <f t="shared" si="2"/>
        <v>18495</v>
      </c>
      <c r="T17" s="33">
        <f t="shared" si="3"/>
        <v>42.666666666666664</v>
      </c>
      <c r="U17" s="42">
        <f t="shared" si="4"/>
        <v>18495</v>
      </c>
      <c r="V17" s="44"/>
      <c r="W17" s="29">
        <f t="shared" si="6"/>
        <v>789120</v>
      </c>
      <c r="X17" s="41">
        <f t="shared" si="5"/>
        <v>19.589885179290203</v>
      </c>
      <c r="Y17" s="33">
        <f t="shared" si="7"/>
        <v>29.804769167357154</v>
      </c>
      <c r="Z17" s="33">
        <v>1.33</v>
      </c>
      <c r="AA17" s="29">
        <f t="shared" si="8"/>
        <v>39.640342992585019</v>
      </c>
      <c r="AB17" s="33">
        <f t="shared" si="9"/>
        <v>92.409016942049291</v>
      </c>
      <c r="AC17" s="29">
        <v>26</v>
      </c>
      <c r="AD17" s="46">
        <f t="shared" si="10"/>
        <v>0.28135782481383698</v>
      </c>
    </row>
    <row r="18" spans="1:30" x14ac:dyDescent="0.2">
      <c r="A18" s="30" t="s">
        <v>8841</v>
      </c>
      <c r="B18" s="29">
        <v>7</v>
      </c>
      <c r="C18" s="29">
        <v>1</v>
      </c>
      <c r="D18" s="29">
        <v>48</v>
      </c>
      <c r="E18" s="29">
        <v>744</v>
      </c>
      <c r="F18" s="29">
        <v>243</v>
      </c>
      <c r="G18" s="29">
        <v>230</v>
      </c>
      <c r="H18" s="29">
        <v>563</v>
      </c>
      <c r="I18" s="29">
        <v>246</v>
      </c>
      <c r="J18" s="29">
        <v>137935</v>
      </c>
      <c r="K18" s="29">
        <v>69</v>
      </c>
      <c r="L18" s="29">
        <v>122</v>
      </c>
      <c r="N18" s="34"/>
      <c r="O18" s="29">
        <f t="shared" si="0"/>
        <v>95.5</v>
      </c>
      <c r="P18" s="32" cm="1">
        <f t="array" ref="P18">WPNFACTOR(C18)</f>
        <v>2</v>
      </c>
      <c r="Q18" s="34" cm="1">
        <f t="array" ref="Q18">HPFACTOr(C18)</f>
        <v>5</v>
      </c>
      <c r="R18" s="33">
        <f t="shared" si="1"/>
        <v>47.75</v>
      </c>
      <c r="S18" s="34">
        <f t="shared" si="2"/>
        <v>27587</v>
      </c>
      <c r="T18" s="33">
        <f t="shared" si="3"/>
        <v>47.75</v>
      </c>
      <c r="U18" s="42">
        <f t="shared" si="4"/>
        <v>27587</v>
      </c>
      <c r="V18" s="44"/>
      <c r="W18" s="29">
        <f t="shared" si="6"/>
        <v>1317279.25</v>
      </c>
      <c r="X18" s="41">
        <f t="shared" si="5"/>
        <v>20.329129784231188</v>
      </c>
      <c r="Y18" s="33">
        <f t="shared" si="7"/>
        <v>33.878132535401896</v>
      </c>
      <c r="Z18" s="33">
        <v>1.33</v>
      </c>
      <c r="AA18" s="29">
        <f t="shared" si="8"/>
        <v>45.057916272084526</v>
      </c>
      <c r="AB18" s="33">
        <f t="shared" si="9"/>
        <v>109.62071159407733</v>
      </c>
      <c r="AC18" s="29">
        <v>29</v>
      </c>
      <c r="AD18" s="46">
        <f t="shared" si="10"/>
        <v>0.26454854724339183</v>
      </c>
    </row>
    <row r="19" spans="1:30" x14ac:dyDescent="0.2">
      <c r="A19" s="30" t="s">
        <v>8841</v>
      </c>
      <c r="B19" s="29">
        <v>8</v>
      </c>
      <c r="C19" s="29">
        <v>3</v>
      </c>
      <c r="D19" s="29">
        <v>56</v>
      </c>
      <c r="E19" s="29">
        <v>250</v>
      </c>
      <c r="F19" s="29">
        <v>960</v>
      </c>
      <c r="G19" s="29">
        <v>240</v>
      </c>
      <c r="H19" s="29">
        <v>680</v>
      </c>
      <c r="I19" s="29">
        <v>345</v>
      </c>
      <c r="J19" s="29">
        <v>155040</v>
      </c>
      <c r="K19" s="29">
        <v>92</v>
      </c>
      <c r="L19" s="29">
        <v>160</v>
      </c>
      <c r="N19" s="34"/>
      <c r="O19" s="29">
        <f t="shared" si="0"/>
        <v>126</v>
      </c>
      <c r="P19" s="32" cm="1">
        <f t="array" ref="P19">WPNFACTOR(C19)</f>
        <v>2.5</v>
      </c>
      <c r="Q19" s="34" cm="1">
        <f t="array" ref="Q19">HPFACTOr(C19)</f>
        <v>4</v>
      </c>
      <c r="R19" s="33">
        <f t="shared" si="1"/>
        <v>50.4</v>
      </c>
      <c r="S19" s="34">
        <f t="shared" si="2"/>
        <v>38760</v>
      </c>
      <c r="T19" s="33">
        <f t="shared" si="3"/>
        <v>50.4</v>
      </c>
      <c r="U19" s="42">
        <f t="shared" si="4"/>
        <v>38760</v>
      </c>
      <c r="V19" s="44"/>
      <c r="W19" s="29">
        <f t="shared" si="6"/>
        <v>1953504</v>
      </c>
      <c r="X19" s="41">
        <f t="shared" si="5"/>
        <v>20.897632778914996</v>
      </c>
      <c r="Y19" s="33">
        <f t="shared" si="7"/>
        <v>37.385532957578249</v>
      </c>
      <c r="Z19" s="33">
        <v>1.33</v>
      </c>
      <c r="AA19" s="29">
        <f t="shared" si="8"/>
        <v>49.722758833579071</v>
      </c>
      <c r="AB19" s="33">
        <f t="shared" si="9"/>
        <v>125.00808481040869</v>
      </c>
      <c r="AC19" s="29">
        <v>29</v>
      </c>
      <c r="AD19" s="46">
        <f t="shared" si="10"/>
        <v>0.23198499556234575</v>
      </c>
    </row>
    <row r="20" spans="1:30" x14ac:dyDescent="0.2">
      <c r="A20" s="30" t="s">
        <v>8841</v>
      </c>
      <c r="B20" s="29">
        <v>9</v>
      </c>
      <c r="C20" s="29">
        <v>3</v>
      </c>
      <c r="D20" s="29">
        <v>66</v>
      </c>
      <c r="E20" s="29">
        <v>300</v>
      </c>
      <c r="F20" s="29">
        <v>1160</v>
      </c>
      <c r="G20" s="29">
        <v>290</v>
      </c>
      <c r="H20" s="29">
        <v>880</v>
      </c>
      <c r="I20" s="29">
        <v>420</v>
      </c>
      <c r="J20" s="29">
        <v>235840</v>
      </c>
      <c r="K20" s="29">
        <v>102</v>
      </c>
      <c r="L20" s="29">
        <v>175</v>
      </c>
      <c r="N20" s="34"/>
      <c r="O20" s="29">
        <f t="shared" si="0"/>
        <v>138.5</v>
      </c>
      <c r="P20" s="32" cm="1">
        <f t="array" ref="P20">WPNFACTOR(C20)</f>
        <v>2.5</v>
      </c>
      <c r="Q20" s="34" cm="1">
        <f t="array" ref="Q20">HPFACTOr(C20)</f>
        <v>4</v>
      </c>
      <c r="R20" s="33">
        <f t="shared" si="1"/>
        <v>55.4</v>
      </c>
      <c r="S20" s="34">
        <f t="shared" si="2"/>
        <v>58960</v>
      </c>
      <c r="T20" s="33">
        <f t="shared" si="3"/>
        <v>55.4</v>
      </c>
      <c r="U20" s="42">
        <f t="shared" si="4"/>
        <v>58960</v>
      </c>
      <c r="V20" s="44"/>
      <c r="W20" s="29">
        <f t="shared" si="6"/>
        <v>3266384</v>
      </c>
      <c r="X20" s="41">
        <f t="shared" si="5"/>
        <v>21.639262975144259</v>
      </c>
      <c r="Y20" s="33">
        <f t="shared" si="7"/>
        <v>42.512516147134839</v>
      </c>
      <c r="Z20" s="33">
        <v>1.33</v>
      </c>
      <c r="AA20" s="29">
        <f t="shared" si="8"/>
        <v>56.54164647568934</v>
      </c>
      <c r="AB20" s="33">
        <f t="shared" si="9"/>
        <v>148.37329675513445</v>
      </c>
      <c r="AC20" s="29">
        <v>35</v>
      </c>
      <c r="AD20" s="46">
        <f t="shared" si="10"/>
        <v>0.23589150315748328</v>
      </c>
    </row>
    <row r="21" spans="1:30" x14ac:dyDescent="0.2">
      <c r="A21" s="30" t="s">
        <v>8841</v>
      </c>
      <c r="B21" s="29">
        <v>10</v>
      </c>
      <c r="C21" s="29">
        <v>1</v>
      </c>
      <c r="D21" s="29">
        <v>70</v>
      </c>
      <c r="E21" s="29">
        <v>1240</v>
      </c>
      <c r="F21" s="29">
        <v>385</v>
      </c>
      <c r="G21" s="29">
        <v>360</v>
      </c>
      <c r="H21" s="29">
        <v>960</v>
      </c>
      <c r="I21" s="29">
        <v>340</v>
      </c>
      <c r="J21" s="29">
        <v>340800</v>
      </c>
      <c r="K21" s="29">
        <v>85</v>
      </c>
      <c r="L21" s="29">
        <v>143</v>
      </c>
      <c r="N21" s="34"/>
      <c r="O21" s="29">
        <f t="shared" si="0"/>
        <v>114</v>
      </c>
      <c r="P21" s="32" cm="1">
        <f t="array" ref="P21">WPNFACTOR(C21)</f>
        <v>2</v>
      </c>
      <c r="Q21" s="34" cm="1">
        <f t="array" ref="Q21">HPFACTOr(C21)</f>
        <v>5</v>
      </c>
      <c r="R21" s="33">
        <f t="shared" si="1"/>
        <v>57</v>
      </c>
      <c r="S21" s="34">
        <f t="shared" si="2"/>
        <v>68160</v>
      </c>
      <c r="T21" s="33">
        <f t="shared" si="3"/>
        <v>57</v>
      </c>
      <c r="U21" s="42">
        <f t="shared" si="4"/>
        <v>68160</v>
      </c>
      <c r="V21" s="44"/>
      <c r="W21" s="29">
        <f t="shared" si="6"/>
        <v>3885120</v>
      </c>
      <c r="X21" s="41">
        <f t="shared" si="5"/>
        <v>21.88952772927794</v>
      </c>
      <c r="Y21" s="33">
        <f t="shared" si="7"/>
        <v>44.396742842071276</v>
      </c>
      <c r="Z21" s="33">
        <v>1.33</v>
      </c>
      <c r="AA21" s="29">
        <f t="shared" si="8"/>
        <v>59.047667979954802</v>
      </c>
      <c r="AB21" s="33">
        <f t="shared" si="9"/>
        <v>157.20564826353703</v>
      </c>
      <c r="AC21" s="29">
        <v>38</v>
      </c>
      <c r="AD21" s="46">
        <f t="shared" si="10"/>
        <v>0.24172159473747029</v>
      </c>
    </row>
    <row r="22" spans="1:30" x14ac:dyDescent="0.2">
      <c r="A22" s="30" t="s">
        <v>8842</v>
      </c>
      <c r="B22" s="29">
        <v>1</v>
      </c>
      <c r="C22" s="29">
        <v>3</v>
      </c>
      <c r="D22" s="29">
        <v>32</v>
      </c>
      <c r="E22" s="29">
        <v>155</v>
      </c>
      <c r="F22" s="29">
        <v>486</v>
      </c>
      <c r="G22" s="29">
        <v>161</v>
      </c>
      <c r="H22" s="29">
        <v>276</v>
      </c>
      <c r="I22" s="29">
        <v>205</v>
      </c>
      <c r="J22" s="29">
        <v>36432</v>
      </c>
      <c r="K22" s="29">
        <v>58</v>
      </c>
      <c r="L22" s="29">
        <v>95</v>
      </c>
      <c r="N22" s="34"/>
      <c r="O22" s="29">
        <f t="shared" si="0"/>
        <v>76.5</v>
      </c>
      <c r="P22" s="32" cm="1">
        <f t="array" ref="P22">WPNFACTOR(C22)</f>
        <v>2.5</v>
      </c>
      <c r="Q22" s="34" cm="1">
        <f t="array" ref="Q22">HPFACTOr(C22)</f>
        <v>4</v>
      </c>
      <c r="R22" s="33">
        <f t="shared" si="1"/>
        <v>30.6</v>
      </c>
      <c r="S22" s="34">
        <f t="shared" si="2"/>
        <v>9108</v>
      </c>
      <c r="T22" s="33">
        <f t="shared" si="3"/>
        <v>30.6</v>
      </c>
      <c r="U22" s="42">
        <f t="shared" si="4"/>
        <v>9108</v>
      </c>
      <c r="V22" s="44"/>
      <c r="W22" s="29">
        <f t="shared" si="6"/>
        <v>278704.8</v>
      </c>
      <c r="X22" s="41">
        <f t="shared" si="5"/>
        <v>18.088378323941914</v>
      </c>
      <c r="Y22" s="33">
        <f t="shared" si="7"/>
        <v>22.976618434237416</v>
      </c>
      <c r="Z22" s="33">
        <v>1.33</v>
      </c>
      <c r="AA22" s="29">
        <f t="shared" si="8"/>
        <v>30.558902517535763</v>
      </c>
      <c r="AB22" s="33">
        <f t="shared" si="9"/>
        <v>65.320296811165491</v>
      </c>
      <c r="AC22" s="29">
        <v>31</v>
      </c>
      <c r="AD22" s="46">
        <f t="shared" si="10"/>
        <v>0.47458449384603885</v>
      </c>
    </row>
    <row r="23" spans="1:30" x14ac:dyDescent="0.2">
      <c r="A23" s="30" t="s">
        <v>8842</v>
      </c>
      <c r="B23" s="29">
        <v>2</v>
      </c>
      <c r="C23" s="29">
        <v>3</v>
      </c>
      <c r="D23" s="29">
        <v>36</v>
      </c>
      <c r="E23" s="29">
        <v>141</v>
      </c>
      <c r="F23" s="29">
        <v>602</v>
      </c>
      <c r="G23" s="29">
        <v>149</v>
      </c>
      <c r="H23" s="29">
        <v>344</v>
      </c>
      <c r="I23" s="29">
        <v>230</v>
      </c>
      <c r="J23" s="29">
        <v>50912</v>
      </c>
      <c r="K23" s="29">
        <v>60</v>
      </c>
      <c r="L23" s="29">
        <v>108</v>
      </c>
      <c r="N23" s="34"/>
      <c r="O23" s="29">
        <f t="shared" si="0"/>
        <v>84</v>
      </c>
      <c r="P23" s="32" cm="1">
        <f t="array" ref="P23">WPNFACTOR(C23)</f>
        <v>2.5</v>
      </c>
      <c r="Q23" s="34" cm="1">
        <f t="array" ref="Q23">HPFACTOr(C23)</f>
        <v>4</v>
      </c>
      <c r="R23" s="33">
        <f t="shared" si="1"/>
        <v>33.6</v>
      </c>
      <c r="S23" s="34">
        <f t="shared" si="2"/>
        <v>12728</v>
      </c>
      <c r="T23" s="33">
        <f t="shared" si="3"/>
        <v>33.6</v>
      </c>
      <c r="U23" s="42">
        <f t="shared" si="4"/>
        <v>12728.000000000002</v>
      </c>
      <c r="V23" s="44"/>
      <c r="W23" s="29">
        <f t="shared" si="6"/>
        <v>427660.8000000001</v>
      </c>
      <c r="X23" s="41">
        <f t="shared" si="5"/>
        <v>18.706107448222447</v>
      </c>
      <c r="Y23" s="33">
        <f t="shared" si="7"/>
        <v>25.572598553988072</v>
      </c>
      <c r="Z23" s="33">
        <v>1.33</v>
      </c>
      <c r="AA23" s="29">
        <f t="shared" si="8"/>
        <v>34.011556076804141</v>
      </c>
      <c r="AB23" s="33">
        <f t="shared" si="9"/>
        <v>75.34130666296376</v>
      </c>
      <c r="AC23" s="29">
        <v>31</v>
      </c>
      <c r="AD23" s="46">
        <f t="shared" si="10"/>
        <v>0.41146087548862442</v>
      </c>
    </row>
    <row r="24" spans="1:30" x14ac:dyDescent="0.2">
      <c r="A24" s="30" t="s">
        <v>8842</v>
      </c>
      <c r="B24" s="29">
        <v>3</v>
      </c>
      <c r="C24" s="29">
        <v>3</v>
      </c>
      <c r="D24" s="29">
        <v>42</v>
      </c>
      <c r="E24" s="29">
        <v>205</v>
      </c>
      <c r="F24" s="29">
        <v>726</v>
      </c>
      <c r="G24" s="29">
        <v>224</v>
      </c>
      <c r="H24" s="29">
        <v>403</v>
      </c>
      <c r="I24" s="29">
        <v>247</v>
      </c>
      <c r="J24" s="29">
        <v>69316</v>
      </c>
      <c r="K24" s="29">
        <v>71</v>
      </c>
      <c r="L24" s="29">
        <v>124</v>
      </c>
      <c r="N24" s="34"/>
      <c r="O24" s="29">
        <f t="shared" si="0"/>
        <v>97.5</v>
      </c>
      <c r="P24" s="32" cm="1">
        <f t="array" ref="P24">WPNFACTOR(C24)</f>
        <v>2.5</v>
      </c>
      <c r="Q24" s="34" cm="1">
        <f t="array" ref="Q24">HPFACTOr(C24)</f>
        <v>4</v>
      </c>
      <c r="R24" s="33">
        <f t="shared" si="1"/>
        <v>39</v>
      </c>
      <c r="S24" s="34">
        <f t="shared" si="2"/>
        <v>17329</v>
      </c>
      <c r="T24" s="33">
        <f t="shared" si="3"/>
        <v>39</v>
      </c>
      <c r="U24" s="42">
        <f t="shared" si="4"/>
        <v>17329</v>
      </c>
      <c r="V24" s="44"/>
      <c r="W24" s="29">
        <f t="shared" si="6"/>
        <v>675831</v>
      </c>
      <c r="X24" s="41">
        <f t="shared" si="5"/>
        <v>19.366303002092316</v>
      </c>
      <c r="Y24" s="33">
        <f t="shared" si="7"/>
        <v>28.672101618047531</v>
      </c>
      <c r="Z24" s="33">
        <v>1.33</v>
      </c>
      <c r="AA24" s="29">
        <f t="shared" si="8"/>
        <v>38.13389515200322</v>
      </c>
      <c r="AB24" s="33">
        <f t="shared" si="9"/>
        <v>87.756515291272791</v>
      </c>
      <c r="AC24" s="29">
        <v>31</v>
      </c>
      <c r="AD24" s="46">
        <f t="shared" si="10"/>
        <v>0.35325012504322728</v>
      </c>
    </row>
    <row r="25" spans="1:30" x14ac:dyDescent="0.2">
      <c r="A25" s="30" t="s">
        <v>8842</v>
      </c>
      <c r="B25" s="29">
        <v>4</v>
      </c>
      <c r="C25" s="29">
        <v>1</v>
      </c>
      <c r="D25" s="29">
        <v>46</v>
      </c>
      <c r="E25" s="29">
        <v>768</v>
      </c>
      <c r="F25" s="29">
        <v>215</v>
      </c>
      <c r="G25" s="29">
        <v>183</v>
      </c>
      <c r="H25" s="29">
        <v>539</v>
      </c>
      <c r="I25" s="29">
        <v>249</v>
      </c>
      <c r="J25" s="29">
        <v>126665</v>
      </c>
      <c r="K25" s="29">
        <v>66</v>
      </c>
      <c r="L25" s="29">
        <v>115</v>
      </c>
      <c r="N25" s="34"/>
      <c r="O25" s="29">
        <f t="shared" si="0"/>
        <v>90.5</v>
      </c>
      <c r="P25" s="32" cm="1">
        <f t="array" ref="P25">WPNFACTOR(C25)</f>
        <v>2</v>
      </c>
      <c r="Q25" s="34" cm="1">
        <f t="array" ref="Q25">HPFACTOr(C25)</f>
        <v>5</v>
      </c>
      <c r="R25" s="33">
        <f t="shared" si="1"/>
        <v>45.25</v>
      </c>
      <c r="S25" s="34">
        <f t="shared" si="2"/>
        <v>25333</v>
      </c>
      <c r="T25" s="33">
        <f t="shared" si="3"/>
        <v>45.25</v>
      </c>
      <c r="U25" s="42">
        <f t="shared" si="4"/>
        <v>25333</v>
      </c>
      <c r="V25" s="44"/>
      <c r="W25" s="29">
        <f t="shared" si="6"/>
        <v>1146318.25</v>
      </c>
      <c r="X25" s="41">
        <f t="shared" si="5"/>
        <v>20.128576201513351</v>
      </c>
      <c r="Y25" s="33">
        <f t="shared" si="7"/>
        <v>32.720979944537362</v>
      </c>
      <c r="Z25" s="33">
        <v>1.33</v>
      </c>
      <c r="AA25" s="29">
        <f t="shared" si="8"/>
        <v>43.518903326234692</v>
      </c>
      <c r="AB25" s="33">
        <f t="shared" si="9"/>
        <v>104.65702909128979</v>
      </c>
      <c r="AC25" s="29">
        <v>32</v>
      </c>
      <c r="AD25" s="46">
        <f t="shared" si="10"/>
        <v>0.30576063813245813</v>
      </c>
    </row>
    <row r="26" spans="1:30" x14ac:dyDescent="0.2">
      <c r="A26" s="30" t="s">
        <v>8842</v>
      </c>
      <c r="B26" s="29">
        <v>5</v>
      </c>
      <c r="C26" s="29">
        <v>1</v>
      </c>
      <c r="D26" s="29">
        <v>54</v>
      </c>
      <c r="E26" s="29">
        <v>920</v>
      </c>
      <c r="F26" s="29">
        <v>265</v>
      </c>
      <c r="G26" s="29">
        <v>240</v>
      </c>
      <c r="H26" s="29">
        <v>640</v>
      </c>
      <c r="I26" s="29">
        <v>260</v>
      </c>
      <c r="J26" s="29">
        <v>176000</v>
      </c>
      <c r="K26" s="29">
        <v>69</v>
      </c>
      <c r="L26" s="29">
        <v>127</v>
      </c>
      <c r="N26" s="34"/>
      <c r="O26" s="29">
        <f t="shared" si="0"/>
        <v>98</v>
      </c>
      <c r="P26" s="32" cm="1">
        <f t="array" ref="P26">WPNFACTOR(C26)</f>
        <v>2</v>
      </c>
      <c r="Q26" s="34" cm="1">
        <f t="array" ref="Q26">HPFACTOr(C26)</f>
        <v>5</v>
      </c>
      <c r="R26" s="33">
        <f t="shared" si="1"/>
        <v>49</v>
      </c>
      <c r="S26" s="34">
        <f t="shared" si="2"/>
        <v>35200</v>
      </c>
      <c r="T26" s="33">
        <f t="shared" si="3"/>
        <v>49</v>
      </c>
      <c r="U26" s="42">
        <f t="shared" si="4"/>
        <v>35200</v>
      </c>
      <c r="V26" s="44"/>
      <c r="W26" s="29">
        <f t="shared" si="6"/>
        <v>1724800</v>
      </c>
      <c r="X26" s="41">
        <f t="shared" si="5"/>
        <v>20.717997652527231</v>
      </c>
      <c r="Y26" s="33">
        <f t="shared" si="7"/>
        <v>36.239707680258128</v>
      </c>
      <c r="Z26" s="33">
        <v>1.33</v>
      </c>
      <c r="AA26" s="29">
        <f t="shared" si="8"/>
        <v>48.198811214743316</v>
      </c>
      <c r="AB26" s="33">
        <f t="shared" si="9"/>
        <v>119.92588015408876</v>
      </c>
      <c r="AC26" s="29">
        <v>32</v>
      </c>
      <c r="AD26" s="46">
        <f t="shared" si="10"/>
        <v>0.266831479234376</v>
      </c>
    </row>
    <row r="27" spans="1:30" x14ac:dyDescent="0.2">
      <c r="A27" s="30" t="s">
        <v>8842</v>
      </c>
      <c r="B27" s="29">
        <v>6</v>
      </c>
      <c r="C27" s="29">
        <v>3</v>
      </c>
      <c r="D27" s="29">
        <v>60</v>
      </c>
      <c r="E27" s="29">
        <v>270</v>
      </c>
      <c r="F27" s="29">
        <v>1040</v>
      </c>
      <c r="G27" s="29">
        <v>260</v>
      </c>
      <c r="H27" s="29">
        <v>760</v>
      </c>
      <c r="I27" s="29">
        <v>375</v>
      </c>
      <c r="J27" s="29">
        <v>185440</v>
      </c>
      <c r="K27" s="29">
        <v>97</v>
      </c>
      <c r="L27" s="29">
        <v>165</v>
      </c>
      <c r="N27" s="34"/>
      <c r="O27" s="29">
        <f t="shared" si="0"/>
        <v>131</v>
      </c>
      <c r="P27" s="32" cm="1">
        <f t="array" ref="P27">WPNFACTOR(C27)</f>
        <v>2.5</v>
      </c>
      <c r="Q27" s="34" cm="1">
        <f t="array" ref="Q27">HPFACTOr(C27)</f>
        <v>4</v>
      </c>
      <c r="R27" s="33">
        <f t="shared" si="1"/>
        <v>52.4</v>
      </c>
      <c r="S27" s="34">
        <f t="shared" si="2"/>
        <v>46360</v>
      </c>
      <c r="T27" s="33">
        <f t="shared" si="3"/>
        <v>52.4</v>
      </c>
      <c r="U27" s="42">
        <f t="shared" si="4"/>
        <v>46360</v>
      </c>
      <c r="V27" s="44"/>
      <c r="W27" s="29">
        <f t="shared" si="6"/>
        <v>2429264</v>
      </c>
      <c r="X27" s="41">
        <f t="shared" si="5"/>
        <v>21.212087852543924</v>
      </c>
      <c r="Y27" s="33">
        <f t="shared" si="7"/>
        <v>39.479230448728288</v>
      </c>
      <c r="Z27" s="33">
        <v>1.33</v>
      </c>
      <c r="AA27" s="29">
        <f t="shared" si="8"/>
        <v>52.507376496808625</v>
      </c>
      <c r="AB27" s="33">
        <f t="shared" si="9"/>
        <v>134.42856771791654</v>
      </c>
      <c r="AC27" s="29">
        <v>33</v>
      </c>
      <c r="AD27" s="46">
        <f t="shared" si="10"/>
        <v>0.24548353493765437</v>
      </c>
    </row>
    <row r="28" spans="1:30" x14ac:dyDescent="0.2">
      <c r="A28" s="30" t="s">
        <v>8842</v>
      </c>
      <c r="B28" s="29">
        <v>7</v>
      </c>
      <c r="C28" s="29">
        <v>1</v>
      </c>
      <c r="D28" s="29">
        <v>64</v>
      </c>
      <c r="E28" s="29">
        <v>1120</v>
      </c>
      <c r="F28" s="29">
        <v>340</v>
      </c>
      <c r="G28" s="29">
        <v>315</v>
      </c>
      <c r="H28" s="29">
        <v>840</v>
      </c>
      <c r="I28" s="29">
        <v>310</v>
      </c>
      <c r="J28" s="29">
        <v>273000</v>
      </c>
      <c r="K28" s="29">
        <v>79</v>
      </c>
      <c r="L28" s="29">
        <v>137</v>
      </c>
      <c r="N28" s="34"/>
      <c r="O28" s="29">
        <f t="shared" si="0"/>
        <v>108</v>
      </c>
      <c r="P28" s="32" cm="1">
        <f t="array" ref="P28">WPNFACTOR(C28)</f>
        <v>2</v>
      </c>
      <c r="Q28" s="34" cm="1">
        <f t="array" ref="Q28">HPFACTOr(C28)</f>
        <v>5</v>
      </c>
      <c r="R28" s="33">
        <f t="shared" si="1"/>
        <v>54</v>
      </c>
      <c r="S28" s="34">
        <f t="shared" si="2"/>
        <v>54600</v>
      </c>
      <c r="T28" s="33">
        <f t="shared" si="3"/>
        <v>54</v>
      </c>
      <c r="U28" s="42">
        <f t="shared" si="4"/>
        <v>54600</v>
      </c>
      <c r="V28" s="44"/>
      <c r="W28" s="29">
        <f t="shared" si="6"/>
        <v>2948400</v>
      </c>
      <c r="X28" s="41">
        <f t="shared" si="5"/>
        <v>21.491500832858048</v>
      </c>
      <c r="Y28" s="33">
        <f t="shared" si="7"/>
        <v>41.437791477713937</v>
      </c>
      <c r="Z28" s="33">
        <v>1.33</v>
      </c>
      <c r="AA28" s="29">
        <f t="shared" si="8"/>
        <v>55.112262665359538</v>
      </c>
      <c r="AB28" s="33">
        <f t="shared" si="9"/>
        <v>143.39328061510608</v>
      </c>
      <c r="AC28" s="29">
        <v>37</v>
      </c>
      <c r="AD28" s="46">
        <f t="shared" si="10"/>
        <v>0.25803161655332235</v>
      </c>
    </row>
    <row r="29" spans="1:30" x14ac:dyDescent="0.2">
      <c r="A29" s="30" t="s">
        <v>8842</v>
      </c>
      <c r="B29" s="29">
        <v>8</v>
      </c>
      <c r="C29" s="29">
        <v>3</v>
      </c>
      <c r="D29" s="29">
        <v>76</v>
      </c>
      <c r="E29" s="29">
        <v>350</v>
      </c>
      <c r="F29" s="29">
        <v>1360</v>
      </c>
      <c r="G29" s="29">
        <v>340</v>
      </c>
      <c r="H29" s="29">
        <v>1080</v>
      </c>
      <c r="I29" s="29">
        <v>495</v>
      </c>
      <c r="J29" s="29">
        <v>332640</v>
      </c>
      <c r="K29" s="29">
        <v>112</v>
      </c>
      <c r="L29" s="29">
        <v>190</v>
      </c>
      <c r="N29" s="34"/>
      <c r="O29" s="29">
        <f t="shared" si="0"/>
        <v>151</v>
      </c>
      <c r="P29" s="32" cm="1">
        <f t="array" ref="P29">WPNFACTOR(C29)</f>
        <v>2.5</v>
      </c>
      <c r="Q29" s="34" cm="1">
        <f t="array" ref="Q29">HPFACTOr(C29)</f>
        <v>4</v>
      </c>
      <c r="R29" s="33">
        <f t="shared" si="1"/>
        <v>60.4</v>
      </c>
      <c r="S29" s="34">
        <f t="shared" si="2"/>
        <v>83160</v>
      </c>
      <c r="T29" s="33">
        <f t="shared" si="3"/>
        <v>60.4</v>
      </c>
      <c r="U29" s="42">
        <f t="shared" si="4"/>
        <v>83160</v>
      </c>
      <c r="V29" s="44"/>
      <c r="W29" s="29">
        <f t="shared" si="6"/>
        <v>5022864</v>
      </c>
      <c r="X29" s="41">
        <f t="shared" si="5"/>
        <v>22.260078782183449</v>
      </c>
      <c r="Y29" s="33">
        <f t="shared" si="7"/>
        <v>47.341046587357205</v>
      </c>
      <c r="Z29" s="33">
        <v>1.33</v>
      </c>
      <c r="AA29" s="29">
        <f t="shared" si="8"/>
        <v>62.963591961185088</v>
      </c>
      <c r="AB29" s="33">
        <f t="shared" si="9"/>
        <v>171.25784431362979</v>
      </c>
      <c r="AC29" s="29">
        <v>39</v>
      </c>
      <c r="AD29" s="46">
        <f t="shared" si="10"/>
        <v>0.22772679497575651</v>
      </c>
    </row>
    <row r="30" spans="1:30" x14ac:dyDescent="0.2">
      <c r="A30" s="30" t="s">
        <v>8842</v>
      </c>
      <c r="B30" s="29">
        <v>9</v>
      </c>
      <c r="C30" s="29">
        <v>1</v>
      </c>
      <c r="D30" s="29">
        <v>86</v>
      </c>
      <c r="E30" s="29">
        <v>1560</v>
      </c>
      <c r="F30" s="29">
        <v>505</v>
      </c>
      <c r="G30" s="29">
        <v>480</v>
      </c>
      <c r="H30" s="29">
        <v>1280</v>
      </c>
      <c r="I30" s="29">
        <v>420</v>
      </c>
      <c r="J30" s="29">
        <v>556800</v>
      </c>
      <c r="K30" s="29">
        <v>101</v>
      </c>
      <c r="L30" s="29">
        <v>159</v>
      </c>
      <c r="N30" s="34"/>
      <c r="O30" s="29">
        <f t="shared" si="0"/>
        <v>130</v>
      </c>
      <c r="P30" s="32" cm="1">
        <f t="array" ref="P30">WPNFACTOR(C30)</f>
        <v>2</v>
      </c>
      <c r="Q30" s="34" cm="1">
        <f t="array" ref="Q30">HPFACTOr(C30)</f>
        <v>5</v>
      </c>
      <c r="R30" s="33">
        <f t="shared" si="1"/>
        <v>65</v>
      </c>
      <c r="S30" s="34">
        <f t="shared" si="2"/>
        <v>111360</v>
      </c>
      <c r="T30" s="33">
        <f t="shared" si="3"/>
        <v>65</v>
      </c>
      <c r="U30" s="42">
        <f t="shared" si="4"/>
        <v>111360</v>
      </c>
      <c r="V30" s="44"/>
      <c r="W30" s="29">
        <f t="shared" si="6"/>
        <v>7238400</v>
      </c>
      <c r="X30" s="41">
        <f t="shared" si="5"/>
        <v>22.787239403764545</v>
      </c>
      <c r="Y30" s="33">
        <f t="shared" si="7"/>
        <v>51.869330777715248</v>
      </c>
      <c r="Z30" s="33">
        <v>1.33</v>
      </c>
      <c r="AA30" s="29">
        <f t="shared" si="8"/>
        <v>68.986209934361284</v>
      </c>
      <c r="AB30" s="33">
        <f t="shared" si="9"/>
        <v>193.44055355285079</v>
      </c>
      <c r="AC30" s="29">
        <v>48</v>
      </c>
      <c r="AD30" s="46">
        <f t="shared" si="10"/>
        <v>0.24813824773762189</v>
      </c>
    </row>
    <row r="31" spans="1:30" x14ac:dyDescent="0.2">
      <c r="A31" s="30" t="s">
        <v>8842</v>
      </c>
      <c r="B31" s="29">
        <v>10</v>
      </c>
      <c r="C31" s="29">
        <v>1</v>
      </c>
      <c r="D31" s="29">
        <v>90</v>
      </c>
      <c r="E31" s="29">
        <v>1640</v>
      </c>
      <c r="F31" s="29">
        <v>535</v>
      </c>
      <c r="G31" s="29">
        <v>510</v>
      </c>
      <c r="H31" s="29">
        <v>1360</v>
      </c>
      <c r="I31" s="29">
        <v>440</v>
      </c>
      <c r="J31" s="29">
        <v>618800</v>
      </c>
      <c r="K31" s="29">
        <v>105</v>
      </c>
      <c r="L31" s="29">
        <v>163</v>
      </c>
      <c r="N31" s="34"/>
      <c r="O31" s="29">
        <f t="shared" si="0"/>
        <v>134</v>
      </c>
      <c r="P31" s="32" cm="1">
        <f t="array" ref="P31">WPNFACTOR(C31)</f>
        <v>2</v>
      </c>
      <c r="Q31" s="34" cm="1">
        <f t="array" ref="Q31">HPFACTOr(C31)</f>
        <v>5</v>
      </c>
      <c r="R31" s="33">
        <f t="shared" si="1"/>
        <v>67</v>
      </c>
      <c r="S31" s="34">
        <f t="shared" si="2"/>
        <v>123760</v>
      </c>
      <c r="T31" s="33">
        <f t="shared" si="3"/>
        <v>67</v>
      </c>
      <c r="U31" s="42">
        <f t="shared" si="4"/>
        <v>123760</v>
      </c>
      <c r="V31" s="44"/>
      <c r="W31" s="29">
        <f t="shared" si="6"/>
        <v>8291920</v>
      </c>
      <c r="X31" s="41">
        <f t="shared" si="5"/>
        <v>22.983274766794171</v>
      </c>
      <c r="Y31" s="33">
        <f t="shared" si="7"/>
        <v>53.661619545592714</v>
      </c>
      <c r="Z31" s="33">
        <v>1.33</v>
      </c>
      <c r="AA31" s="29">
        <f t="shared" si="8"/>
        <v>71.369953995638312</v>
      </c>
      <c r="AB31" s="33">
        <f t="shared" si="9"/>
        <v>202.40366296026232</v>
      </c>
      <c r="AC31" s="29">
        <v>49</v>
      </c>
      <c r="AD31" s="46">
        <f t="shared" si="10"/>
        <v>0.24209048039619774</v>
      </c>
    </row>
    <row r="32" spans="1:30" x14ac:dyDescent="0.2">
      <c r="A32" s="30" t="s">
        <v>8843</v>
      </c>
      <c r="B32" s="29">
        <v>1</v>
      </c>
      <c r="C32" s="29">
        <v>3</v>
      </c>
      <c r="D32" s="29">
        <v>52</v>
      </c>
      <c r="E32" s="29">
        <v>230</v>
      </c>
      <c r="F32" s="29">
        <v>880</v>
      </c>
      <c r="G32" s="29">
        <v>220</v>
      </c>
      <c r="H32" s="29">
        <v>601</v>
      </c>
      <c r="I32" s="29">
        <v>315</v>
      </c>
      <c r="J32" s="29">
        <v>127412</v>
      </c>
      <c r="K32" s="29">
        <v>88</v>
      </c>
      <c r="L32" s="29">
        <v>154</v>
      </c>
      <c r="N32" s="34"/>
      <c r="O32" s="29">
        <f t="shared" si="0"/>
        <v>121</v>
      </c>
      <c r="P32" s="32" cm="1">
        <f t="array" ref="P32">WPNFACTOR(C32)</f>
        <v>2.5</v>
      </c>
      <c r="Q32" s="34" cm="1">
        <f t="array" ref="Q32">HPFACTOr(C32)</f>
        <v>4</v>
      </c>
      <c r="R32" s="33">
        <f t="shared" si="1"/>
        <v>48.4</v>
      </c>
      <c r="S32" s="34">
        <f t="shared" si="2"/>
        <v>31853</v>
      </c>
      <c r="T32" s="33">
        <f t="shared" si="3"/>
        <v>48.4</v>
      </c>
      <c r="U32" s="42">
        <f t="shared" si="4"/>
        <v>31853</v>
      </c>
      <c r="V32" s="44"/>
      <c r="W32" s="29">
        <f t="shared" si="6"/>
        <v>1541685.2</v>
      </c>
      <c r="X32" s="41">
        <f t="shared" si="5"/>
        <v>20.556076777661616</v>
      </c>
      <c r="Y32" s="33">
        <f t="shared" si="7"/>
        <v>35.236999948617203</v>
      </c>
      <c r="Z32" s="33">
        <v>1.33</v>
      </c>
      <c r="AA32" s="29">
        <f t="shared" si="8"/>
        <v>46.865209931660885</v>
      </c>
      <c r="AB32" s="33">
        <f t="shared" si="9"/>
        <v>115.52214239126502</v>
      </c>
      <c r="AC32" s="29">
        <v>42</v>
      </c>
      <c r="AD32" s="46">
        <f t="shared" si="10"/>
        <v>0.36356666462909837</v>
      </c>
    </row>
    <row r="33" spans="1:30" x14ac:dyDescent="0.2">
      <c r="A33" s="30" t="s">
        <v>8843</v>
      </c>
      <c r="B33" s="29">
        <v>2</v>
      </c>
      <c r="C33" s="29">
        <v>3</v>
      </c>
      <c r="D33" s="29">
        <v>58</v>
      </c>
      <c r="E33" s="29">
        <v>260</v>
      </c>
      <c r="F33" s="29">
        <v>1000</v>
      </c>
      <c r="G33" s="29">
        <v>250</v>
      </c>
      <c r="H33" s="29">
        <v>720</v>
      </c>
      <c r="I33" s="29">
        <v>360</v>
      </c>
      <c r="J33" s="29">
        <v>169920</v>
      </c>
      <c r="K33" s="29">
        <v>94</v>
      </c>
      <c r="L33" s="29">
        <v>163</v>
      </c>
      <c r="N33" s="34"/>
      <c r="O33" s="29">
        <f t="shared" si="0"/>
        <v>128.5</v>
      </c>
      <c r="P33" s="32" cm="1">
        <f t="array" ref="P33">WPNFACTOR(C33)</f>
        <v>2.5</v>
      </c>
      <c r="Q33" s="34" cm="1">
        <f t="array" ref="Q33">HPFACTOr(C33)</f>
        <v>4</v>
      </c>
      <c r="R33" s="33">
        <f t="shared" si="1"/>
        <v>51.4</v>
      </c>
      <c r="S33" s="34">
        <f t="shared" si="2"/>
        <v>42480</v>
      </c>
      <c r="T33" s="33">
        <f t="shared" si="3"/>
        <v>51.4</v>
      </c>
      <c r="U33" s="42">
        <f t="shared" si="4"/>
        <v>42480</v>
      </c>
      <c r="V33" s="44"/>
      <c r="W33" s="29">
        <f t="shared" si="6"/>
        <v>2183472</v>
      </c>
      <c r="X33" s="41">
        <f t="shared" si="5"/>
        <v>21.058192599998034</v>
      </c>
      <c r="Y33" s="33">
        <f t="shared" si="7"/>
        <v>38.440312249086183</v>
      </c>
      <c r="Z33" s="33">
        <v>1.33</v>
      </c>
      <c r="AA33" s="29">
        <f t="shared" si="8"/>
        <v>51.125615291284625</v>
      </c>
      <c r="AB33" s="33">
        <f t="shared" si="9"/>
        <v>129.73262600515858</v>
      </c>
      <c r="AC33" s="29">
        <v>42</v>
      </c>
      <c r="AD33" s="46">
        <f t="shared" si="10"/>
        <v>0.32374277229484238</v>
      </c>
    </row>
    <row r="34" spans="1:30" x14ac:dyDescent="0.2">
      <c r="A34" s="30" t="s">
        <v>8843</v>
      </c>
      <c r="B34" s="29">
        <v>3</v>
      </c>
      <c r="C34" s="29">
        <v>1</v>
      </c>
      <c r="D34" s="29">
        <v>62</v>
      </c>
      <c r="E34" s="29">
        <v>1080</v>
      </c>
      <c r="F34" s="29">
        <v>325</v>
      </c>
      <c r="G34" s="29">
        <v>300</v>
      </c>
      <c r="H34" s="29">
        <v>800</v>
      </c>
      <c r="I34" s="29">
        <v>300</v>
      </c>
      <c r="J34" s="29">
        <v>252000</v>
      </c>
      <c r="K34" s="29">
        <v>77</v>
      </c>
      <c r="L34" s="29">
        <v>135</v>
      </c>
      <c r="N34" s="34"/>
      <c r="O34" s="29">
        <f t="shared" si="0"/>
        <v>106</v>
      </c>
      <c r="P34" s="32" cm="1">
        <f t="array" ref="P34">WPNFACTOR(C34)</f>
        <v>2</v>
      </c>
      <c r="Q34" s="34" cm="1">
        <f t="array" ref="Q34">HPFACTOr(C34)</f>
        <v>5</v>
      </c>
      <c r="R34" s="33">
        <f t="shared" si="1"/>
        <v>53</v>
      </c>
      <c r="S34" s="34">
        <f t="shared" si="2"/>
        <v>50400</v>
      </c>
      <c r="T34" s="33">
        <f t="shared" si="3"/>
        <v>53</v>
      </c>
      <c r="U34" s="42">
        <f t="shared" si="4"/>
        <v>50400</v>
      </c>
      <c r="V34" s="44"/>
      <c r="W34" s="29">
        <f t="shared" si="6"/>
        <v>2671200</v>
      </c>
      <c r="X34" s="41">
        <f t="shared" si="5"/>
        <v>21.349056567837842</v>
      </c>
      <c r="Y34" s="33">
        <f t="shared" si="7"/>
        <v>40.427473537498585</v>
      </c>
      <c r="Z34" s="33">
        <v>1.33</v>
      </c>
      <c r="AA34" s="29">
        <f t="shared" si="8"/>
        <v>53.768539804873122</v>
      </c>
      <c r="AB34" s="33">
        <f t="shared" si="9"/>
        <v>138.75079132735928</v>
      </c>
      <c r="AC34" s="29">
        <v>43</v>
      </c>
      <c r="AD34" s="46">
        <f t="shared" si="10"/>
        <v>0.30990814242312098</v>
      </c>
    </row>
    <row r="35" spans="1:30" x14ac:dyDescent="0.2">
      <c r="A35" s="30" t="s">
        <v>8843</v>
      </c>
      <c r="B35" s="29">
        <v>4</v>
      </c>
      <c r="C35" s="29">
        <v>1</v>
      </c>
      <c r="D35" s="29">
        <v>68</v>
      </c>
      <c r="E35" s="29">
        <v>1200</v>
      </c>
      <c r="F35" s="29">
        <v>370</v>
      </c>
      <c r="G35" s="29">
        <v>345</v>
      </c>
      <c r="H35" s="29">
        <v>920</v>
      </c>
      <c r="I35" s="29">
        <v>330</v>
      </c>
      <c r="J35" s="29">
        <v>317400</v>
      </c>
      <c r="K35" s="29">
        <v>83</v>
      </c>
      <c r="L35" s="29">
        <v>141</v>
      </c>
      <c r="N35" s="34"/>
      <c r="O35" s="29">
        <f t="shared" si="0"/>
        <v>112</v>
      </c>
      <c r="P35" s="32" cm="1">
        <f t="array" ref="P35">WPNFACTOR(C35)</f>
        <v>2</v>
      </c>
      <c r="Q35" s="34" cm="1">
        <f t="array" ref="Q35">HPFACTOr(C35)</f>
        <v>5</v>
      </c>
      <c r="R35" s="33">
        <f t="shared" si="1"/>
        <v>56</v>
      </c>
      <c r="S35" s="34">
        <f t="shared" si="2"/>
        <v>63480</v>
      </c>
      <c r="T35" s="33">
        <f t="shared" si="3"/>
        <v>56</v>
      </c>
      <c r="U35" s="42">
        <f t="shared" si="4"/>
        <v>63480</v>
      </c>
      <c r="V35" s="44"/>
      <c r="W35" s="29">
        <f t="shared" si="6"/>
        <v>3554880</v>
      </c>
      <c r="X35" s="41">
        <f t="shared" si="5"/>
        <v>21.761369429780149</v>
      </c>
      <c r="Y35" s="33">
        <f t="shared" si="7"/>
        <v>43.421641389249274</v>
      </c>
      <c r="Z35" s="33">
        <v>1.33</v>
      </c>
      <c r="AA35" s="29">
        <f t="shared" si="8"/>
        <v>57.750783047701539</v>
      </c>
      <c r="AB35" s="33">
        <f t="shared" si="9"/>
        <v>152.61889858567673</v>
      </c>
      <c r="AC35" s="29">
        <v>43</v>
      </c>
      <c r="AD35" s="46">
        <f>IF(AC35 = "", ,AC35/AB35)</f>
        <v>0.28174754501888105</v>
      </c>
    </row>
    <row r="36" spans="1:30" x14ac:dyDescent="0.2">
      <c r="A36" s="30" t="s">
        <v>8843</v>
      </c>
      <c r="B36" s="29">
        <v>5</v>
      </c>
      <c r="C36" s="29">
        <v>1</v>
      </c>
      <c r="D36" s="29">
        <v>74</v>
      </c>
      <c r="E36" s="29">
        <v>1320</v>
      </c>
      <c r="F36" s="29">
        <v>415</v>
      </c>
      <c r="G36" s="29">
        <v>390</v>
      </c>
      <c r="H36" s="29">
        <v>1040</v>
      </c>
      <c r="I36" s="29">
        <v>360</v>
      </c>
      <c r="J36" s="29">
        <v>390000</v>
      </c>
      <c r="K36" s="29">
        <v>89</v>
      </c>
      <c r="L36" s="29">
        <v>147</v>
      </c>
      <c r="N36" s="34"/>
      <c r="O36" s="29">
        <f t="shared" si="0"/>
        <v>118</v>
      </c>
      <c r="P36" s="32" cm="1">
        <f t="array" ref="P36">WPNFACTOR(C36)</f>
        <v>2</v>
      </c>
      <c r="Q36" s="34" cm="1">
        <f t="array" ref="Q36">HPFACTOr(C36)</f>
        <v>5</v>
      </c>
      <c r="R36" s="33">
        <f t="shared" si="1"/>
        <v>59</v>
      </c>
      <c r="S36" s="34">
        <f t="shared" si="2"/>
        <v>78000</v>
      </c>
      <c r="T36" s="33">
        <f t="shared" si="3"/>
        <v>59</v>
      </c>
      <c r="U36" s="42">
        <f t="shared" si="4"/>
        <v>78000</v>
      </c>
      <c r="V36" s="44"/>
      <c r="W36" s="29">
        <f t="shared" si="6"/>
        <v>4602000</v>
      </c>
      <c r="X36" s="41">
        <f t="shared" si="5"/>
        <v>22.133829552886176</v>
      </c>
      <c r="Y36" s="33">
        <f t="shared" si="7"/>
        <v>46.316598112212937</v>
      </c>
      <c r="Z36" s="33">
        <v>1.33</v>
      </c>
      <c r="AA36" s="29">
        <f t="shared" si="8"/>
        <v>61.601075489243208</v>
      </c>
      <c r="AB36" s="33">
        <f t="shared" si="9"/>
        <v>166.33444934099757</v>
      </c>
      <c r="AC36" s="29">
        <v>44</v>
      </c>
      <c r="AD36" s="46">
        <f>IF(AC36 = "", ,AC36/AB36)</f>
        <v>0.2645272832797062</v>
      </c>
    </row>
    <row r="37" spans="1:30" x14ac:dyDescent="0.2">
      <c r="A37" s="30" t="s">
        <v>8843</v>
      </c>
      <c r="B37" s="29">
        <v>6</v>
      </c>
      <c r="C37" s="29">
        <v>3</v>
      </c>
      <c r="D37" s="29">
        <v>82</v>
      </c>
      <c r="E37" s="29">
        <v>380</v>
      </c>
      <c r="F37" s="29">
        <v>1480</v>
      </c>
      <c r="G37" s="29">
        <v>370</v>
      </c>
      <c r="H37" s="29">
        <v>1200</v>
      </c>
      <c r="I37" s="29">
        <v>540</v>
      </c>
      <c r="J37" s="29">
        <v>398400</v>
      </c>
      <c r="K37" s="29">
        <v>118</v>
      </c>
      <c r="L37" s="29">
        <v>199</v>
      </c>
      <c r="N37" s="34"/>
      <c r="O37" s="29">
        <f t="shared" si="0"/>
        <v>158.5</v>
      </c>
      <c r="P37" s="32" cm="1">
        <f t="array" ref="P37">WPNFACTOR(C37)</f>
        <v>2.5</v>
      </c>
      <c r="Q37" s="34" cm="1">
        <f t="array" ref="Q37">HPFACTOr(C37)</f>
        <v>4</v>
      </c>
      <c r="R37" s="33">
        <f t="shared" si="1"/>
        <v>63.4</v>
      </c>
      <c r="S37" s="34">
        <f t="shared" si="2"/>
        <v>99600</v>
      </c>
      <c r="T37" s="33">
        <f t="shared" si="3"/>
        <v>63.4</v>
      </c>
      <c r="U37" s="42">
        <f t="shared" si="4"/>
        <v>99600</v>
      </c>
      <c r="V37" s="44"/>
      <c r="W37" s="29">
        <f t="shared" si="6"/>
        <v>6314640</v>
      </c>
      <c r="X37" s="41">
        <f t="shared" si="5"/>
        <v>22.590269057094851</v>
      </c>
      <c r="Y37" s="33">
        <f t="shared" si="7"/>
        <v>50.128781604081624</v>
      </c>
      <c r="Z37" s="33">
        <v>1.33</v>
      </c>
      <c r="AA37" s="29">
        <f t="shared" si="8"/>
        <v>66.67127953342856</v>
      </c>
      <c r="AB37" s="33">
        <f t="shared" si="9"/>
        <v>184.83442697377259</v>
      </c>
      <c r="AC37" s="29">
        <v>45</v>
      </c>
      <c r="AD37" s="46">
        <f t="shared" si="10"/>
        <v>0.24346113836458266</v>
      </c>
    </row>
    <row r="38" spans="1:30" x14ac:dyDescent="0.2">
      <c r="A38" s="30" t="s">
        <v>8843</v>
      </c>
      <c r="B38" s="29">
        <v>7</v>
      </c>
      <c r="C38" s="29">
        <v>1</v>
      </c>
      <c r="D38" s="29">
        <v>84</v>
      </c>
      <c r="E38" s="29">
        <v>1520</v>
      </c>
      <c r="F38" s="29">
        <v>490</v>
      </c>
      <c r="G38" s="29">
        <v>465</v>
      </c>
      <c r="H38" s="29">
        <v>1240</v>
      </c>
      <c r="I38" s="29">
        <v>410</v>
      </c>
      <c r="J38" s="29">
        <v>527000</v>
      </c>
      <c r="K38" s="29">
        <v>99</v>
      </c>
      <c r="L38" s="29">
        <v>157</v>
      </c>
      <c r="N38" s="34"/>
      <c r="O38" s="29">
        <f t="shared" si="0"/>
        <v>128</v>
      </c>
      <c r="P38" s="32" cm="1">
        <f t="array" ref="P38">WPNFACTOR(C38)</f>
        <v>2</v>
      </c>
      <c r="Q38" s="34" cm="1">
        <f t="array" ref="Q38">HPFACTOr(C38)</f>
        <v>5</v>
      </c>
      <c r="R38" s="33">
        <f t="shared" si="1"/>
        <v>64</v>
      </c>
      <c r="S38" s="34">
        <f t="shared" si="2"/>
        <v>105400</v>
      </c>
      <c r="T38" s="33">
        <f t="shared" si="3"/>
        <v>64</v>
      </c>
      <c r="U38" s="42">
        <f t="shared" si="4"/>
        <v>105400</v>
      </c>
      <c r="V38" s="44"/>
      <c r="W38" s="29">
        <f t="shared" si="6"/>
        <v>6745600</v>
      </c>
      <c r="X38" s="41">
        <f t="shared" si="5"/>
        <v>22.685515341411939</v>
      </c>
      <c r="Y38" s="33">
        <f t="shared" si="7"/>
        <v>50.963018875648132</v>
      </c>
      <c r="Z38" s="33">
        <v>1.33</v>
      </c>
      <c r="AA38" s="29">
        <f t="shared" si="8"/>
        <v>67.780815104612017</v>
      </c>
      <c r="AB38" s="33">
        <f t="shared" si="9"/>
        <v>188.94708446495179</v>
      </c>
      <c r="AC38" s="29">
        <v>46</v>
      </c>
      <c r="AD38" s="46">
        <f t="shared" si="10"/>
        <v>0.24345440486821929</v>
      </c>
    </row>
    <row r="39" spans="1:30" x14ac:dyDescent="0.2">
      <c r="A39" s="30" t="s">
        <v>8843</v>
      </c>
      <c r="B39" s="29">
        <v>8</v>
      </c>
      <c r="C39" s="29">
        <v>1</v>
      </c>
      <c r="D39" s="29">
        <v>96</v>
      </c>
      <c r="E39" s="29">
        <v>1760</v>
      </c>
      <c r="F39" s="29">
        <v>580</v>
      </c>
      <c r="G39" s="29">
        <v>555</v>
      </c>
      <c r="H39" s="29">
        <v>1480</v>
      </c>
      <c r="I39" s="29">
        <v>470</v>
      </c>
      <c r="J39" s="29">
        <v>717800</v>
      </c>
      <c r="K39" s="29">
        <v>111</v>
      </c>
      <c r="L39" s="29">
        <v>169</v>
      </c>
      <c r="N39" s="34"/>
      <c r="O39" s="29">
        <f t="shared" si="0"/>
        <v>140</v>
      </c>
      <c r="P39" s="32" cm="1">
        <f t="array" ref="P39">WPNFACTOR(C39)</f>
        <v>2</v>
      </c>
      <c r="Q39" s="34" cm="1">
        <f t="array" ref="Q39">HPFACTOr(C39)</f>
        <v>5</v>
      </c>
      <c r="R39" s="33">
        <f t="shared" si="1"/>
        <v>70</v>
      </c>
      <c r="S39" s="34">
        <f t="shared" si="2"/>
        <v>143560</v>
      </c>
      <c r="T39" s="33">
        <f t="shared" si="3"/>
        <v>70</v>
      </c>
      <c r="U39" s="42">
        <f t="shared" si="4"/>
        <v>143560</v>
      </c>
      <c r="V39" s="44"/>
      <c r="W39" s="29">
        <f t="shared" si="6"/>
        <v>10049200</v>
      </c>
      <c r="X39" s="41">
        <f t="shared" si="5"/>
        <v>23.260577319648405</v>
      </c>
      <c r="Y39" s="33">
        <f t="shared" si="7"/>
        <v>56.303173252125205</v>
      </c>
      <c r="Z39" s="33">
        <v>1.33</v>
      </c>
      <c r="AA39" s="29">
        <f t="shared" si="8"/>
        <v>74.883220425326527</v>
      </c>
      <c r="AB39" s="33">
        <f t="shared" si="9"/>
        <v>215.79621841427124</v>
      </c>
      <c r="AC39" s="29">
        <v>55</v>
      </c>
      <c r="AD39" s="46">
        <f t="shared" si="10"/>
        <v>0.25487008254433197</v>
      </c>
    </row>
    <row r="40" spans="1:30" x14ac:dyDescent="0.2">
      <c r="A40" s="30" t="s">
        <v>8843</v>
      </c>
      <c r="B40" s="29">
        <v>9</v>
      </c>
      <c r="C40" s="29">
        <v>3</v>
      </c>
      <c r="D40" s="29">
        <v>102</v>
      </c>
      <c r="E40" s="29">
        <v>480</v>
      </c>
      <c r="F40" s="29">
        <v>1880</v>
      </c>
      <c r="G40" s="29">
        <v>470</v>
      </c>
      <c r="H40" s="29">
        <v>1600</v>
      </c>
      <c r="I40" s="29">
        <v>690</v>
      </c>
      <c r="J40" s="29">
        <v>659200</v>
      </c>
      <c r="K40" s="29">
        <v>138</v>
      </c>
      <c r="L40" s="29">
        <v>229</v>
      </c>
      <c r="N40" s="34"/>
      <c r="O40" s="29">
        <f t="shared" si="0"/>
        <v>183.5</v>
      </c>
      <c r="P40" s="32" cm="1">
        <f t="array" ref="P40">WPNFACTOR(C40)</f>
        <v>2.5</v>
      </c>
      <c r="Q40" s="34" cm="1">
        <f t="array" ref="Q40">HPFACTOr(C40)</f>
        <v>4</v>
      </c>
      <c r="R40" s="33">
        <f t="shared" si="1"/>
        <v>73.400000000000006</v>
      </c>
      <c r="S40" s="34">
        <f t="shared" si="2"/>
        <v>164800</v>
      </c>
      <c r="T40" s="33">
        <f t="shared" si="3"/>
        <v>73.400000000000006</v>
      </c>
      <c r="U40" s="42">
        <f t="shared" si="4"/>
        <v>164800</v>
      </c>
      <c r="V40" s="44"/>
      <c r="W40" s="29">
        <f t="shared" si="6"/>
        <v>12096320.000000002</v>
      </c>
      <c r="X40" s="41">
        <f t="shared" si="5"/>
        <v>23.528064874913795</v>
      </c>
      <c r="Y40" s="33">
        <f t="shared" si="7"/>
        <v>58.974370900856862</v>
      </c>
      <c r="Z40" s="33">
        <v>1.33</v>
      </c>
      <c r="AA40" s="29">
        <f t="shared" si="8"/>
        <v>78.435913298139624</v>
      </c>
      <c r="AB40" s="33">
        <f t="shared" si="9"/>
        <v>229.55376618063818</v>
      </c>
      <c r="AC40" s="29">
        <v>58</v>
      </c>
      <c r="AD40" s="46">
        <f t="shared" si="10"/>
        <v>0.2526641185854438</v>
      </c>
    </row>
    <row r="41" spans="1:30" x14ac:dyDescent="0.2">
      <c r="A41" s="30" t="s">
        <v>8843</v>
      </c>
      <c r="B41" s="29">
        <v>10</v>
      </c>
      <c r="C41" s="29">
        <v>3</v>
      </c>
      <c r="D41" s="29">
        <v>110</v>
      </c>
      <c r="E41" s="29">
        <v>520</v>
      </c>
      <c r="F41" s="29">
        <v>2040</v>
      </c>
      <c r="G41" s="29">
        <v>510</v>
      </c>
      <c r="H41" s="29">
        <v>1760</v>
      </c>
      <c r="I41" s="29">
        <v>750</v>
      </c>
      <c r="J41" s="29">
        <v>781440</v>
      </c>
      <c r="K41" s="29">
        <v>146</v>
      </c>
      <c r="L41" s="29">
        <v>241</v>
      </c>
      <c r="N41" s="34"/>
      <c r="O41" s="29">
        <f t="shared" si="0"/>
        <v>193.5</v>
      </c>
      <c r="P41" s="32" cm="1">
        <f t="array" ref="P41">WPNFACTOR(C41)</f>
        <v>2.5</v>
      </c>
      <c r="Q41" s="34" cm="1">
        <f t="array" ref="Q41">HPFACTOr(C41)</f>
        <v>4</v>
      </c>
      <c r="R41" s="33">
        <f t="shared" si="1"/>
        <v>77.400000000000006</v>
      </c>
      <c r="S41" s="34">
        <f t="shared" si="2"/>
        <v>195360</v>
      </c>
      <c r="T41" s="33">
        <f t="shared" si="3"/>
        <v>77.400000000000006</v>
      </c>
      <c r="U41" s="42">
        <f t="shared" si="4"/>
        <v>195360</v>
      </c>
      <c r="V41" s="44"/>
      <c r="W41" s="29">
        <f t="shared" si="6"/>
        <v>15120864.000000002</v>
      </c>
      <c r="X41" s="41">
        <f t="shared" si="5"/>
        <v>23.850037241131815</v>
      </c>
      <c r="Y41" s="33">
        <f t="shared" si="7"/>
        <v>62.358283458331471</v>
      </c>
      <c r="Z41" s="33">
        <v>1.33</v>
      </c>
      <c r="AA41" s="29">
        <f t="shared" si="8"/>
        <v>82.93651699958086</v>
      </c>
      <c r="AB41" s="33">
        <f t="shared" si="9"/>
        <v>247.28182793914388</v>
      </c>
      <c r="AC41" s="29">
        <v>63</v>
      </c>
      <c r="AD41" s="46">
        <f t="shared" si="10"/>
        <v>0.25477003516612762</v>
      </c>
    </row>
    <row r="42" spans="1:30" x14ac:dyDescent="0.2">
      <c r="A42" s="30" t="s">
        <v>8844</v>
      </c>
      <c r="B42" s="29">
        <v>1</v>
      </c>
      <c r="C42" s="29">
        <v>3</v>
      </c>
      <c r="D42" s="29">
        <v>72</v>
      </c>
      <c r="E42" s="29">
        <v>330</v>
      </c>
      <c r="F42" s="29">
        <v>1280</v>
      </c>
      <c r="G42" s="29">
        <v>320</v>
      </c>
      <c r="H42" s="29">
        <v>1000</v>
      </c>
      <c r="I42" s="29">
        <v>465</v>
      </c>
      <c r="J42" s="29">
        <v>292000</v>
      </c>
      <c r="K42" s="29">
        <v>108</v>
      </c>
      <c r="L42" s="29">
        <v>184</v>
      </c>
      <c r="N42" s="34"/>
      <c r="O42" s="29">
        <f t="shared" si="0"/>
        <v>146</v>
      </c>
      <c r="P42" s="32" cm="1">
        <f t="array" ref="P42">WPNFACTOR(C42)</f>
        <v>2.5</v>
      </c>
      <c r="Q42" s="34" cm="1">
        <f t="array" ref="Q42">HPFACTOr(C42)</f>
        <v>4</v>
      </c>
      <c r="R42" s="33">
        <f t="shared" si="1"/>
        <v>58.4</v>
      </c>
      <c r="S42" s="34">
        <f t="shared" si="2"/>
        <v>73000</v>
      </c>
      <c r="T42" s="33">
        <f t="shared" si="3"/>
        <v>58.4</v>
      </c>
      <c r="U42" s="42">
        <f t="shared" si="4"/>
        <v>73000</v>
      </c>
      <c r="V42" s="44"/>
      <c r="W42" s="29">
        <f t="shared" si="6"/>
        <v>4263200</v>
      </c>
      <c r="X42" s="41">
        <f t="shared" si="5"/>
        <v>22.023505307534759</v>
      </c>
      <c r="Y42" s="33">
        <f t="shared" si="7"/>
        <v>45.439540062204848</v>
      </c>
      <c r="Z42" s="33">
        <v>1.33</v>
      </c>
      <c r="AA42" s="29">
        <f t="shared" si="8"/>
        <v>60.434588282732449</v>
      </c>
      <c r="AB42" s="33">
        <f t="shared" si="9"/>
        <v>162.14811429860538</v>
      </c>
      <c r="AC42" s="29">
        <v>51</v>
      </c>
      <c r="AD42" s="46">
        <f t="shared" si="10"/>
        <v>0.31452724702108142</v>
      </c>
    </row>
    <row r="43" spans="1:30" x14ac:dyDescent="0.2">
      <c r="A43" s="30" t="s">
        <v>8844</v>
      </c>
      <c r="B43" s="29">
        <v>2</v>
      </c>
      <c r="C43" s="29">
        <v>3</v>
      </c>
      <c r="D43" s="29">
        <v>78</v>
      </c>
      <c r="E43" s="29">
        <v>360</v>
      </c>
      <c r="F43" s="29">
        <v>1400</v>
      </c>
      <c r="G43" s="29">
        <v>350</v>
      </c>
      <c r="H43" s="29">
        <v>1120</v>
      </c>
      <c r="I43" s="29">
        <v>510</v>
      </c>
      <c r="J43" s="29">
        <v>353920</v>
      </c>
      <c r="K43" s="29">
        <v>114</v>
      </c>
      <c r="L43" s="29">
        <v>193</v>
      </c>
      <c r="N43" s="34"/>
      <c r="O43" s="29">
        <f t="shared" si="0"/>
        <v>153.5</v>
      </c>
      <c r="P43" s="32" cm="1">
        <f t="array" ref="P43">WPNFACTOR(C43)</f>
        <v>2.5</v>
      </c>
      <c r="Q43" s="34" cm="1">
        <f t="array" ref="Q43">HPFACTOr(C43)</f>
        <v>4</v>
      </c>
      <c r="R43" s="33">
        <f t="shared" si="1"/>
        <v>61.4</v>
      </c>
      <c r="S43" s="34">
        <f t="shared" si="2"/>
        <v>88480</v>
      </c>
      <c r="T43" s="33">
        <f t="shared" si="3"/>
        <v>61.4</v>
      </c>
      <c r="U43" s="42">
        <f t="shared" si="4"/>
        <v>88480</v>
      </c>
      <c r="V43" s="44"/>
      <c r="W43" s="29">
        <f t="shared" si="6"/>
        <v>5432672</v>
      </c>
      <c r="X43" s="41">
        <f t="shared" si="5"/>
        <v>22.373230515604885</v>
      </c>
      <c r="Y43" s="33">
        <f t="shared" si="7"/>
        <v>48.278455873285886</v>
      </c>
      <c r="Z43" s="33">
        <v>1.33</v>
      </c>
      <c r="AA43" s="29">
        <f t="shared" si="8"/>
        <v>64.210346311470232</v>
      </c>
      <c r="AB43" s="33">
        <f t="shared" si="9"/>
        <v>175.79418089105371</v>
      </c>
      <c r="AC43" s="29">
        <v>52</v>
      </c>
      <c r="AD43" s="46">
        <f t="shared" si="10"/>
        <v>0.29580046242956337</v>
      </c>
    </row>
    <row r="44" spans="1:30" x14ac:dyDescent="0.2">
      <c r="A44" s="30" t="s">
        <v>8844</v>
      </c>
      <c r="B44" s="29">
        <v>3</v>
      </c>
      <c r="C44" s="29">
        <v>3</v>
      </c>
      <c r="D44" s="29">
        <v>80</v>
      </c>
      <c r="E44" s="29">
        <v>370</v>
      </c>
      <c r="F44" s="29">
        <v>1440</v>
      </c>
      <c r="G44" s="29">
        <v>360</v>
      </c>
      <c r="H44" s="29">
        <v>1160</v>
      </c>
      <c r="I44" s="29">
        <v>525</v>
      </c>
      <c r="J44" s="29">
        <v>375840</v>
      </c>
      <c r="K44" s="29">
        <v>116</v>
      </c>
      <c r="L44" s="29">
        <v>196</v>
      </c>
      <c r="N44" s="34"/>
      <c r="O44" s="29">
        <f t="shared" si="0"/>
        <v>156</v>
      </c>
      <c r="P44" s="32" cm="1">
        <f t="array" ref="P44">WPNFACTOR(C44)</f>
        <v>2.5</v>
      </c>
      <c r="Q44" s="34" cm="1">
        <f t="array" ref="Q44">HPFACTOr(C44)</f>
        <v>4</v>
      </c>
      <c r="R44" s="33">
        <f t="shared" si="1"/>
        <v>62.4</v>
      </c>
      <c r="S44" s="34">
        <f t="shared" si="2"/>
        <v>93960</v>
      </c>
      <c r="T44" s="33">
        <f t="shared" si="3"/>
        <v>62.4</v>
      </c>
      <c r="U44" s="42">
        <f t="shared" si="4"/>
        <v>93960</v>
      </c>
      <c r="V44" s="44"/>
      <c r="W44" s="29">
        <f t="shared" si="6"/>
        <v>5863104</v>
      </c>
      <c r="X44" s="41">
        <f t="shared" si="5"/>
        <v>22.483233216874446</v>
      </c>
      <c r="Y44" s="33">
        <f t="shared" si="7"/>
        <v>49.207567789875917</v>
      </c>
      <c r="Z44" s="33">
        <v>1.33</v>
      </c>
      <c r="AA44" s="29">
        <f t="shared" si="8"/>
        <v>65.446065160534971</v>
      </c>
      <c r="AB44" s="33">
        <f t="shared" si="9"/>
        <v>180.31943279073789</v>
      </c>
      <c r="AC44" s="29">
        <v>52</v>
      </c>
      <c r="AD44" s="46">
        <f t="shared" si="10"/>
        <v>0.28837712716380604</v>
      </c>
    </row>
    <row r="45" spans="1:30" x14ac:dyDescent="0.2">
      <c r="A45" s="30" t="s">
        <v>8844</v>
      </c>
      <c r="B45" s="29">
        <v>4</v>
      </c>
      <c r="C45" s="29">
        <v>3</v>
      </c>
      <c r="D45" s="29">
        <v>88</v>
      </c>
      <c r="E45" s="29">
        <v>410</v>
      </c>
      <c r="F45" s="29">
        <v>1600</v>
      </c>
      <c r="G45" s="29">
        <v>400</v>
      </c>
      <c r="H45" s="29">
        <v>1320</v>
      </c>
      <c r="I45" s="29">
        <v>585</v>
      </c>
      <c r="J45" s="29">
        <v>469920</v>
      </c>
      <c r="K45" s="29">
        <v>125</v>
      </c>
      <c r="L45" s="29">
        <v>208</v>
      </c>
      <c r="N45" s="34"/>
      <c r="O45" s="29">
        <f t="shared" si="0"/>
        <v>166.5</v>
      </c>
      <c r="P45" s="32" cm="1">
        <f t="array" ref="P45">WPNFACTOR(C45)</f>
        <v>2.5</v>
      </c>
      <c r="Q45" s="34" cm="1">
        <f t="array" ref="Q45">HPFACTOr(C45)</f>
        <v>4</v>
      </c>
      <c r="R45" s="33">
        <f t="shared" si="1"/>
        <v>66.599999999999994</v>
      </c>
      <c r="S45" s="34">
        <f t="shared" si="2"/>
        <v>117480</v>
      </c>
      <c r="T45" s="33">
        <f t="shared" si="3"/>
        <v>66.599999999999994</v>
      </c>
      <c r="U45" s="42">
        <f t="shared" si="4"/>
        <v>117480</v>
      </c>
      <c r="V45" s="44"/>
      <c r="W45" s="29">
        <f t="shared" si="6"/>
        <v>7824167.9999999991</v>
      </c>
      <c r="X45" s="41">
        <f t="shared" si="5"/>
        <v>22.899505917396112</v>
      </c>
      <c r="Y45" s="33">
        <f t="shared" si="7"/>
        <v>52.888291978712154</v>
      </c>
      <c r="Z45" s="33">
        <v>1.33</v>
      </c>
      <c r="AA45" s="29">
        <f t="shared" si="8"/>
        <v>70.341428331687169</v>
      </c>
      <c r="AB45" s="33">
        <f t="shared" si="9"/>
        <v>198.5238652684281</v>
      </c>
      <c r="AC45" s="29">
        <v>53</v>
      </c>
      <c r="AD45" s="46">
        <f t="shared" si="10"/>
        <v>0.26697042155781947</v>
      </c>
    </row>
    <row r="46" spans="1:30" x14ac:dyDescent="0.2">
      <c r="A46" s="30" t="s">
        <v>8844</v>
      </c>
      <c r="B46" s="29">
        <v>5</v>
      </c>
      <c r="C46" s="29">
        <v>1</v>
      </c>
      <c r="D46" s="29">
        <v>94</v>
      </c>
      <c r="E46" s="29">
        <v>1720</v>
      </c>
      <c r="F46" s="29">
        <v>565</v>
      </c>
      <c r="G46" s="29">
        <v>540</v>
      </c>
      <c r="H46" s="29">
        <v>1440</v>
      </c>
      <c r="I46" s="29">
        <v>460</v>
      </c>
      <c r="J46" s="29">
        <v>684000</v>
      </c>
      <c r="K46" s="29">
        <v>109</v>
      </c>
      <c r="L46" s="29">
        <v>167</v>
      </c>
      <c r="N46" s="34"/>
      <c r="O46" s="29">
        <f t="shared" si="0"/>
        <v>138</v>
      </c>
      <c r="P46" s="32" cm="1">
        <f t="array" ref="P46">WPNFACTOR(C46)</f>
        <v>2</v>
      </c>
      <c r="Q46" s="34" cm="1">
        <f t="array" ref="Q46">HPFACTOr(C46)</f>
        <v>5</v>
      </c>
      <c r="R46" s="33">
        <f t="shared" si="1"/>
        <v>69</v>
      </c>
      <c r="S46" s="34">
        <f t="shared" si="2"/>
        <v>136800</v>
      </c>
      <c r="T46" s="33">
        <f t="shared" si="3"/>
        <v>69</v>
      </c>
      <c r="U46" s="42">
        <f t="shared" si="4"/>
        <v>136800</v>
      </c>
      <c r="V46" s="44"/>
      <c r="W46" s="29">
        <f t="shared" si="6"/>
        <v>9439200</v>
      </c>
      <c r="X46" s="41">
        <f t="shared" si="5"/>
        <v>23.170233161438791</v>
      </c>
      <c r="Y46" s="33">
        <f t="shared" si="7"/>
        <v>55.428585652875036</v>
      </c>
      <c r="Z46" s="33">
        <v>1.33</v>
      </c>
      <c r="AA46" s="29">
        <f t="shared" si="8"/>
        <v>73.720018918323802</v>
      </c>
      <c r="AB46" s="33">
        <f t="shared" si="9"/>
        <v>211.33839070339616</v>
      </c>
      <c r="AC46" s="29">
        <v>54</v>
      </c>
      <c r="AD46" s="46">
        <f t="shared" si="10"/>
        <v>0.25551439007495119</v>
      </c>
    </row>
    <row r="47" spans="1:30" x14ac:dyDescent="0.2">
      <c r="A47" s="30" t="s">
        <v>8844</v>
      </c>
      <c r="B47" s="29">
        <v>6</v>
      </c>
      <c r="C47" s="29">
        <v>3</v>
      </c>
      <c r="D47" s="29">
        <v>100</v>
      </c>
      <c r="E47" s="29">
        <v>470</v>
      </c>
      <c r="F47" s="29">
        <v>1840</v>
      </c>
      <c r="G47" s="29">
        <v>460</v>
      </c>
      <c r="H47" s="29">
        <v>1560</v>
      </c>
      <c r="I47" s="29">
        <v>675</v>
      </c>
      <c r="J47" s="29">
        <v>630240</v>
      </c>
      <c r="K47" s="29">
        <v>136</v>
      </c>
      <c r="L47" s="29">
        <v>226</v>
      </c>
      <c r="N47" s="34"/>
      <c r="O47" s="29">
        <f t="shared" si="0"/>
        <v>181</v>
      </c>
      <c r="P47" s="32" cm="1">
        <f t="array" ref="P47">WPNFACTOR(C47)</f>
        <v>2.5</v>
      </c>
      <c r="Q47" s="34" cm="1">
        <f t="array" ref="Q47">HPFACTOr(C47)</f>
        <v>4</v>
      </c>
      <c r="R47" s="33">
        <f t="shared" si="1"/>
        <v>72.400000000000006</v>
      </c>
      <c r="S47" s="34">
        <f t="shared" si="2"/>
        <v>157560</v>
      </c>
      <c r="T47" s="33">
        <f t="shared" si="3"/>
        <v>72.400000000000006</v>
      </c>
      <c r="U47" s="42">
        <f t="shared" si="4"/>
        <v>157560</v>
      </c>
      <c r="V47" s="44"/>
      <c r="W47" s="29">
        <f t="shared" si="6"/>
        <v>11407344</v>
      </c>
      <c r="X47" s="41">
        <f t="shared" si="5"/>
        <v>23.443459588697252</v>
      </c>
      <c r="Y47" s="33">
        <f t="shared" si="7"/>
        <v>58.11605613485478</v>
      </c>
      <c r="Z47" s="33">
        <v>1.33</v>
      </c>
      <c r="AA47" s="29">
        <f t="shared" si="8"/>
        <v>77.294354659356856</v>
      </c>
      <c r="AB47" s="33">
        <f t="shared" si="9"/>
        <v>225.11003013459958</v>
      </c>
      <c r="AC47" s="29">
        <v>57</v>
      </c>
      <c r="AD47" s="46">
        <f t="shared" si="10"/>
        <v>0.25320950810551668</v>
      </c>
    </row>
    <row r="48" spans="1:30" x14ac:dyDescent="0.2">
      <c r="A48" s="30" t="s">
        <v>8844</v>
      </c>
      <c r="B48" s="29">
        <v>7</v>
      </c>
      <c r="C48" s="29">
        <v>1</v>
      </c>
      <c r="D48" s="29">
        <v>108</v>
      </c>
      <c r="E48" s="29">
        <v>2000</v>
      </c>
      <c r="F48" s="29">
        <v>670</v>
      </c>
      <c r="G48" s="29">
        <v>645</v>
      </c>
      <c r="H48" s="29">
        <v>1720</v>
      </c>
      <c r="I48" s="29">
        <v>530</v>
      </c>
      <c r="J48" s="29">
        <v>937400</v>
      </c>
      <c r="K48" s="29">
        <v>123</v>
      </c>
      <c r="L48" s="29">
        <v>181</v>
      </c>
      <c r="N48" s="34"/>
      <c r="O48" s="29">
        <f t="shared" si="0"/>
        <v>152</v>
      </c>
      <c r="P48" s="32" cm="1">
        <f t="array" ref="P48">WPNFACTOR(C48)</f>
        <v>2</v>
      </c>
      <c r="Q48" s="34" cm="1">
        <f t="array" ref="Q48">HPFACTOr(C48)</f>
        <v>5</v>
      </c>
      <c r="R48" s="33">
        <f t="shared" si="1"/>
        <v>76</v>
      </c>
      <c r="S48" s="34">
        <f t="shared" si="2"/>
        <v>187480</v>
      </c>
      <c r="T48" s="33">
        <f t="shared" si="3"/>
        <v>76</v>
      </c>
      <c r="U48" s="42">
        <f t="shared" si="4"/>
        <v>187480</v>
      </c>
      <c r="V48" s="44"/>
      <c r="W48" s="29">
        <f t="shared" si="6"/>
        <v>14248480</v>
      </c>
      <c r="X48" s="41">
        <f t="shared" si="5"/>
        <v>23.764304687809975</v>
      </c>
      <c r="Y48" s="33">
        <f t="shared" si="7"/>
        <v>61.438716485193964</v>
      </c>
      <c r="Z48" s="33">
        <v>1.33</v>
      </c>
      <c r="AA48" s="29">
        <f t="shared" si="8"/>
        <v>81.713492925307975</v>
      </c>
      <c r="AB48" s="33">
        <f t="shared" si="9"/>
        <v>242.4317588831085</v>
      </c>
      <c r="AC48" s="29">
        <v>60</v>
      </c>
      <c r="AD48" s="46">
        <f t="shared" si="10"/>
        <v>0.24749232640319929</v>
      </c>
    </row>
    <row r="49" spans="1:30" x14ac:dyDescent="0.2">
      <c r="A49" s="30" t="s">
        <v>8844</v>
      </c>
      <c r="B49" s="29">
        <v>8</v>
      </c>
      <c r="C49" s="29">
        <v>2</v>
      </c>
      <c r="D49" s="29">
        <v>114</v>
      </c>
      <c r="E49" s="29">
        <v>520</v>
      </c>
      <c r="F49" s="29">
        <v>540</v>
      </c>
      <c r="G49" s="29">
        <v>2200</v>
      </c>
      <c r="H49" s="29">
        <v>1760</v>
      </c>
      <c r="I49" s="29">
        <v>775</v>
      </c>
      <c r="J49" s="29">
        <v>404800</v>
      </c>
      <c r="K49" s="29">
        <v>287</v>
      </c>
      <c r="L49" s="29">
        <v>432</v>
      </c>
      <c r="N49" s="34"/>
      <c r="O49" s="29">
        <f t="shared" si="0"/>
        <v>359.5</v>
      </c>
      <c r="P49" s="32" cm="1">
        <f t="array" ref="P49">WPNFACTOR(C49)</f>
        <v>4.5</v>
      </c>
      <c r="Q49" s="34" cm="1">
        <f t="array" ref="Q49">HPFACTOr(C49)</f>
        <v>2</v>
      </c>
      <c r="R49" s="33">
        <f t="shared" si="1"/>
        <v>79.888888888888886</v>
      </c>
      <c r="S49" s="34">
        <f t="shared" si="2"/>
        <v>202400</v>
      </c>
      <c r="T49" s="33">
        <f t="shared" si="3"/>
        <v>79.888888888888886</v>
      </c>
      <c r="U49" s="42">
        <f t="shared" si="4"/>
        <v>202400</v>
      </c>
      <c r="V49" s="44"/>
      <c r="W49" s="29">
        <f t="shared" si="6"/>
        <v>16169511.11111111</v>
      </c>
      <c r="X49" s="41">
        <f t="shared" si="5"/>
        <v>23.946772723466022</v>
      </c>
      <c r="Y49" s="33">
        <f t="shared" si="7"/>
        <v>63.412404646838795</v>
      </c>
      <c r="Z49" s="33">
        <v>1.33</v>
      </c>
      <c r="AA49" s="29">
        <f t="shared" si="8"/>
        <v>84.338498180295602</v>
      </c>
      <c r="AB49" s="33">
        <f t="shared" si="9"/>
        <v>252.87096333098481</v>
      </c>
      <c r="AC49" s="29">
        <v>61</v>
      </c>
      <c r="AD49" s="46">
        <f t="shared" si="10"/>
        <v>0.24122975290032259</v>
      </c>
    </row>
    <row r="50" spans="1:30" x14ac:dyDescent="0.2">
      <c r="A50" s="30" t="s">
        <v>8844</v>
      </c>
      <c r="B50" s="29">
        <v>9</v>
      </c>
      <c r="C50" s="29">
        <v>1</v>
      </c>
      <c r="D50" s="29">
        <v>122</v>
      </c>
      <c r="E50" s="29">
        <v>2280</v>
      </c>
      <c r="F50" s="29">
        <v>775</v>
      </c>
      <c r="G50" s="29">
        <v>750</v>
      </c>
      <c r="H50" s="29">
        <v>2000</v>
      </c>
      <c r="I50" s="29">
        <v>600</v>
      </c>
      <c r="J50" s="29">
        <v>1230000</v>
      </c>
      <c r="K50" s="29">
        <v>137</v>
      </c>
      <c r="L50" s="29">
        <v>195</v>
      </c>
      <c r="N50" s="34"/>
      <c r="O50" s="29">
        <f t="shared" si="0"/>
        <v>166</v>
      </c>
      <c r="P50" s="32" cm="1">
        <f t="array" ref="P50">WPNFACTOR(C50)</f>
        <v>2</v>
      </c>
      <c r="Q50" s="34" cm="1">
        <f t="array" ref="Q50">HPFACTOr(C50)</f>
        <v>5</v>
      </c>
      <c r="R50" s="33">
        <f t="shared" si="1"/>
        <v>83</v>
      </c>
      <c r="S50" s="34">
        <f t="shared" si="2"/>
        <v>246000</v>
      </c>
      <c r="T50" s="33">
        <f t="shared" si="3"/>
        <v>83</v>
      </c>
      <c r="U50" s="42">
        <f t="shared" si="4"/>
        <v>246000</v>
      </c>
      <c r="V50" s="44"/>
      <c r="W50" s="29">
        <f t="shared" si="6"/>
        <v>20418000</v>
      </c>
      <c r="X50" s="41">
        <f t="shared" si="5"/>
        <v>24.283338221348252</v>
      </c>
      <c r="Y50" s="33">
        <f t="shared" si="7"/>
        <v>67.220741667949895</v>
      </c>
      <c r="Z50" s="33">
        <v>1.33</v>
      </c>
      <c r="AA50" s="29">
        <f t="shared" si="8"/>
        <v>89.403586418373365</v>
      </c>
      <c r="AB50" s="33">
        <f t="shared" si="9"/>
        <v>273.31978252604648</v>
      </c>
      <c r="AC50" s="29">
        <v>64</v>
      </c>
      <c r="AD50" s="46">
        <f t="shared" si="10"/>
        <v>0.23415795010703627</v>
      </c>
    </row>
    <row r="51" spans="1:30" x14ac:dyDescent="0.2">
      <c r="A51" s="30" t="s">
        <v>8844</v>
      </c>
      <c r="B51" s="29">
        <v>10</v>
      </c>
      <c r="C51" s="29">
        <v>3</v>
      </c>
      <c r="D51" s="29">
        <v>130</v>
      </c>
      <c r="E51" s="29">
        <v>620</v>
      </c>
      <c r="F51" s="29">
        <v>2440</v>
      </c>
      <c r="G51" s="29">
        <v>610</v>
      </c>
      <c r="H51" s="29">
        <v>2160</v>
      </c>
      <c r="I51" s="29">
        <v>900</v>
      </c>
      <c r="J51" s="29">
        <v>1131840</v>
      </c>
      <c r="K51" s="29">
        <v>166</v>
      </c>
      <c r="L51" s="29">
        <v>271</v>
      </c>
      <c r="N51" s="34"/>
      <c r="O51" s="29">
        <f t="shared" si="0"/>
        <v>218.5</v>
      </c>
      <c r="P51" s="32" cm="1">
        <f t="array" ref="P51">WPNFACTOR(C51)</f>
        <v>2.5</v>
      </c>
      <c r="Q51" s="34" cm="1">
        <f t="array" ref="Q51">HPFACTOr(C51)</f>
        <v>4</v>
      </c>
      <c r="R51" s="33">
        <f t="shared" si="1"/>
        <v>87.4</v>
      </c>
      <c r="S51" s="34">
        <f t="shared" si="2"/>
        <v>282960</v>
      </c>
      <c r="T51" s="33">
        <f t="shared" si="3"/>
        <v>87.4</v>
      </c>
      <c r="U51" s="42">
        <f t="shared" si="4"/>
        <v>282960</v>
      </c>
      <c r="V51" s="44"/>
      <c r="W51" s="29">
        <f t="shared" si="6"/>
        <v>24730704</v>
      </c>
      <c r="X51" s="41">
        <f t="shared" si="5"/>
        <v>24.559799973201518</v>
      </c>
      <c r="Y51" s="33">
        <f t="shared" si="7"/>
        <v>70.519483027217859</v>
      </c>
      <c r="Z51" s="33">
        <v>1.33</v>
      </c>
      <c r="AA51" s="29">
        <f t="shared" si="8"/>
        <v>93.790912426199753</v>
      </c>
      <c r="AB51" s="33">
        <f t="shared" si="9"/>
        <v>291.34807959937535</v>
      </c>
      <c r="AC51" s="29">
        <v>66</v>
      </c>
      <c r="AD51" s="46">
        <f t="shared" si="10"/>
        <v>0.22653315611606148</v>
      </c>
    </row>
    <row r="52" spans="1:30" x14ac:dyDescent="0.2">
      <c r="A52" s="30" t="s">
        <v>8845</v>
      </c>
      <c r="B52" s="29">
        <v>1</v>
      </c>
      <c r="C52" s="29">
        <v>1</v>
      </c>
      <c r="D52" s="29">
        <v>92</v>
      </c>
      <c r="E52" s="29">
        <v>1680</v>
      </c>
      <c r="F52" s="29">
        <v>550</v>
      </c>
      <c r="G52" s="29">
        <v>525</v>
      </c>
      <c r="H52" s="29">
        <v>1400</v>
      </c>
      <c r="I52" s="29">
        <v>450</v>
      </c>
      <c r="J52" s="29">
        <v>651000</v>
      </c>
      <c r="K52" s="29">
        <v>107</v>
      </c>
      <c r="L52" s="29">
        <v>165</v>
      </c>
      <c r="N52" s="34"/>
      <c r="O52" s="29">
        <f t="shared" si="0"/>
        <v>136</v>
      </c>
      <c r="P52" s="32" cm="1">
        <f t="array" ref="P52">WPNFACTOR(C52)</f>
        <v>2</v>
      </c>
      <c r="Q52" s="34" cm="1">
        <f t="array" ref="Q52">HPFACTOr(C52)</f>
        <v>5</v>
      </c>
      <c r="R52" s="33">
        <f t="shared" si="1"/>
        <v>68</v>
      </c>
      <c r="S52" s="34">
        <f t="shared" si="2"/>
        <v>130200</v>
      </c>
      <c r="T52" s="33">
        <f t="shared" si="3"/>
        <v>68</v>
      </c>
      <c r="U52" s="42">
        <f t="shared" si="4"/>
        <v>130200</v>
      </c>
      <c r="V52" s="44"/>
      <c r="W52" s="29">
        <f t="shared" si="6"/>
        <v>8853600</v>
      </c>
      <c r="X52" s="41">
        <f t="shared" si="5"/>
        <v>23.077832764190703</v>
      </c>
      <c r="Y52" s="33">
        <f t="shared" si="7"/>
        <v>54.548143488025822</v>
      </c>
      <c r="Z52" s="33">
        <v>1.33</v>
      </c>
      <c r="AA52" s="29">
        <f t="shared" si="8"/>
        <v>72.549030839074348</v>
      </c>
      <c r="AB52" s="33">
        <f t="shared" si="9"/>
        <v>206.87434321006745</v>
      </c>
      <c r="AC52" s="29">
        <v>70</v>
      </c>
      <c r="AD52" s="46">
        <f t="shared" si="10"/>
        <v>0.33836965432160693</v>
      </c>
    </row>
    <row r="53" spans="1:30" x14ac:dyDescent="0.2">
      <c r="A53" s="30" t="s">
        <v>8845</v>
      </c>
      <c r="B53" s="29">
        <v>2</v>
      </c>
      <c r="C53" s="29">
        <v>3</v>
      </c>
      <c r="D53" s="29">
        <v>98</v>
      </c>
      <c r="E53" s="29">
        <v>460</v>
      </c>
      <c r="F53" s="29">
        <v>1800</v>
      </c>
      <c r="G53" s="29">
        <v>450</v>
      </c>
      <c r="H53" s="29">
        <v>1520</v>
      </c>
      <c r="I53" s="29">
        <v>660</v>
      </c>
      <c r="J53" s="29">
        <v>601920</v>
      </c>
      <c r="K53" s="29">
        <v>134</v>
      </c>
      <c r="L53" s="29">
        <v>223</v>
      </c>
      <c r="N53" s="34"/>
      <c r="O53" s="29">
        <f t="shared" si="0"/>
        <v>178.5</v>
      </c>
      <c r="P53" s="32" cm="1">
        <f t="array" ref="P53">WPNFACTOR(C53)</f>
        <v>2.5</v>
      </c>
      <c r="Q53" s="34" cm="1">
        <f t="array" ref="Q53">HPFACTOr(C53)</f>
        <v>4</v>
      </c>
      <c r="R53" s="33">
        <f t="shared" si="1"/>
        <v>71.400000000000006</v>
      </c>
      <c r="S53" s="34">
        <f t="shared" si="2"/>
        <v>150480</v>
      </c>
      <c r="T53" s="33">
        <f t="shared" si="3"/>
        <v>71.400000000000006</v>
      </c>
      <c r="U53" s="42">
        <f t="shared" si="4"/>
        <v>150480</v>
      </c>
      <c r="V53" s="44"/>
      <c r="W53" s="29">
        <f t="shared" si="6"/>
        <v>10744272</v>
      </c>
      <c r="X53" s="41">
        <f t="shared" si="5"/>
        <v>23.357064397552296</v>
      </c>
      <c r="Y53" s="33">
        <f t="shared" si="7"/>
        <v>57.252472732181865</v>
      </c>
      <c r="Z53" s="33">
        <v>1.33</v>
      </c>
      <c r="AA53" s="29">
        <f t="shared" si="8"/>
        <v>76.145788733801879</v>
      </c>
      <c r="AB53" s="33">
        <f t="shared" si="9"/>
        <v>220.66104205636296</v>
      </c>
      <c r="AC53" s="29">
        <v>70</v>
      </c>
      <c r="AD53" s="46">
        <f t="shared" si="10"/>
        <v>0.31722862970129567</v>
      </c>
    </row>
    <row r="54" spans="1:30" x14ac:dyDescent="0.2">
      <c r="A54" s="30" t="s">
        <v>8845</v>
      </c>
      <c r="B54" s="29">
        <v>3</v>
      </c>
      <c r="C54" s="29">
        <v>2</v>
      </c>
      <c r="D54" s="29">
        <v>104</v>
      </c>
      <c r="E54" s="29">
        <v>470</v>
      </c>
      <c r="F54" s="29">
        <v>490</v>
      </c>
      <c r="G54" s="29">
        <v>2000</v>
      </c>
      <c r="H54" s="29">
        <v>1560</v>
      </c>
      <c r="I54" s="29">
        <v>700</v>
      </c>
      <c r="J54" s="29">
        <v>327600</v>
      </c>
      <c r="K54" s="29">
        <v>268</v>
      </c>
      <c r="L54" s="29">
        <v>407</v>
      </c>
      <c r="N54" s="34"/>
      <c r="O54" s="29">
        <f t="shared" si="0"/>
        <v>337.5</v>
      </c>
      <c r="P54" s="32" cm="1">
        <f t="array" ref="P54">WPNFACTOR(C54)</f>
        <v>4.5</v>
      </c>
      <c r="Q54" s="34" cm="1">
        <f t="array" ref="Q54">HPFACTOr(C54)</f>
        <v>2</v>
      </c>
      <c r="R54" s="33">
        <f t="shared" si="1"/>
        <v>75</v>
      </c>
      <c r="S54" s="34">
        <f t="shared" si="2"/>
        <v>163800</v>
      </c>
      <c r="T54" s="33">
        <f t="shared" si="3"/>
        <v>75</v>
      </c>
      <c r="U54" s="42">
        <f t="shared" si="4"/>
        <v>163800</v>
      </c>
      <c r="V54" s="44"/>
      <c r="W54" s="29">
        <f t="shared" si="6"/>
        <v>12285000</v>
      </c>
      <c r="X54" s="41">
        <f t="shared" si="5"/>
        <v>23.550394521911617</v>
      </c>
      <c r="Y54" s="33">
        <f t="shared" si="7"/>
        <v>59.203010342924095</v>
      </c>
      <c r="Z54" s="33">
        <v>1.33</v>
      </c>
      <c r="AA54" s="29">
        <f t="shared" si="8"/>
        <v>78.740003756089052</v>
      </c>
      <c r="AB54" s="33">
        <f t="shared" si="9"/>
        <v>230.74115042943524</v>
      </c>
      <c r="AC54" s="29">
        <v>71</v>
      </c>
      <c r="AD54" s="46">
        <f t="shared" si="10"/>
        <v>0.30770410855567382</v>
      </c>
    </row>
    <row r="55" spans="1:30" x14ac:dyDescent="0.2">
      <c r="A55" s="30" t="s">
        <v>8845</v>
      </c>
      <c r="B55" s="29">
        <v>4</v>
      </c>
      <c r="C55" s="29">
        <v>3</v>
      </c>
      <c r="D55" s="29">
        <v>106</v>
      </c>
      <c r="E55" s="29">
        <v>500</v>
      </c>
      <c r="F55" s="29">
        <v>1960</v>
      </c>
      <c r="G55" s="29">
        <v>490</v>
      </c>
      <c r="H55" s="29">
        <v>1680</v>
      </c>
      <c r="I55" s="29">
        <v>720</v>
      </c>
      <c r="J55" s="29">
        <v>719040</v>
      </c>
      <c r="K55" s="29">
        <v>142</v>
      </c>
      <c r="L55" s="29">
        <v>235</v>
      </c>
      <c r="N55" s="34"/>
      <c r="O55" s="29">
        <f t="shared" si="0"/>
        <v>188.5</v>
      </c>
      <c r="P55" s="32" cm="1">
        <f t="array" ref="P55">WPNFACTOR(C55)</f>
        <v>2.5</v>
      </c>
      <c r="Q55" s="34" cm="1">
        <f t="array" ref="Q55">HPFACTOr(C55)</f>
        <v>4</v>
      </c>
      <c r="R55" s="33">
        <f t="shared" si="1"/>
        <v>75.400000000000006</v>
      </c>
      <c r="S55" s="34">
        <f t="shared" si="2"/>
        <v>179760</v>
      </c>
      <c r="T55" s="33">
        <f t="shared" si="3"/>
        <v>75.400000000000006</v>
      </c>
      <c r="U55" s="42">
        <f t="shared" si="4"/>
        <v>179760</v>
      </c>
      <c r="V55" s="44"/>
      <c r="W55" s="29">
        <f t="shared" si="6"/>
        <v>13553904.000000002</v>
      </c>
      <c r="X55" s="41">
        <f t="shared" si="5"/>
        <v>23.692205122448573</v>
      </c>
      <c r="Y55" s="33">
        <f t="shared" si="7"/>
        <v>60.675882454856591</v>
      </c>
      <c r="Z55" s="33">
        <v>1.33</v>
      </c>
      <c r="AA55" s="29">
        <f t="shared" si="8"/>
        <v>80.698923664959267</v>
      </c>
      <c r="AB55" s="33">
        <f t="shared" si="9"/>
        <v>238.42665272635762</v>
      </c>
      <c r="AC55" s="29">
        <v>72</v>
      </c>
      <c r="AD55" s="46">
        <f t="shared" si="10"/>
        <v>0.30197966199120546</v>
      </c>
    </row>
    <row r="56" spans="1:30" x14ac:dyDescent="0.2">
      <c r="A56" s="30" t="s">
        <v>8845</v>
      </c>
      <c r="B56" s="29">
        <v>5</v>
      </c>
      <c r="C56" s="29">
        <v>3</v>
      </c>
      <c r="D56" s="29">
        <v>118</v>
      </c>
      <c r="E56" s="29">
        <v>560</v>
      </c>
      <c r="F56" s="29">
        <v>2200</v>
      </c>
      <c r="G56" s="29">
        <v>550</v>
      </c>
      <c r="H56" s="29">
        <v>1920</v>
      </c>
      <c r="I56" s="29">
        <v>810</v>
      </c>
      <c r="J56" s="29">
        <v>913920</v>
      </c>
      <c r="K56" s="29">
        <v>154</v>
      </c>
      <c r="L56" s="29">
        <v>253</v>
      </c>
      <c r="N56" s="34"/>
      <c r="O56" s="29">
        <f t="shared" si="0"/>
        <v>203.5</v>
      </c>
      <c r="P56" s="32" cm="1">
        <f t="array" ref="P56">WPNFACTOR(C56)</f>
        <v>2.5</v>
      </c>
      <c r="Q56" s="34" cm="1">
        <f t="array" ref="Q56">HPFACTOr(C56)</f>
        <v>4</v>
      </c>
      <c r="R56" s="33">
        <f t="shared" si="1"/>
        <v>81.400000000000006</v>
      </c>
      <c r="S56" s="34">
        <f t="shared" si="2"/>
        <v>228480</v>
      </c>
      <c r="T56" s="33">
        <f t="shared" si="3"/>
        <v>81.400000000000006</v>
      </c>
      <c r="U56" s="42">
        <f t="shared" si="4"/>
        <v>228480</v>
      </c>
      <c r="V56" s="44"/>
      <c r="W56" s="29">
        <f t="shared" si="6"/>
        <v>18598272</v>
      </c>
      <c r="X56" s="41">
        <f t="shared" si="5"/>
        <v>24.148665248295348</v>
      </c>
      <c r="Y56" s="33">
        <f t="shared" si="7"/>
        <v>65.670171240171399</v>
      </c>
      <c r="Z56" s="33">
        <v>1.33</v>
      </c>
      <c r="AA56" s="29">
        <f t="shared" si="8"/>
        <v>87.341327749427961</v>
      </c>
      <c r="AB56" s="33">
        <f t="shared" si="9"/>
        <v>264.94610034671581</v>
      </c>
      <c r="AC56" s="29">
        <v>72</v>
      </c>
      <c r="AD56" s="46">
        <f t="shared" si="10"/>
        <v>0.27175338646531805</v>
      </c>
    </row>
    <row r="57" spans="1:30" x14ac:dyDescent="0.2">
      <c r="A57" s="30" t="s">
        <v>8845</v>
      </c>
      <c r="B57" s="29">
        <v>6</v>
      </c>
      <c r="C57" s="29">
        <v>1</v>
      </c>
      <c r="D57" s="29">
        <v>124</v>
      </c>
      <c r="E57" s="29">
        <v>2320</v>
      </c>
      <c r="F57" s="29">
        <v>790</v>
      </c>
      <c r="G57" s="29">
        <v>765</v>
      </c>
      <c r="H57" s="29">
        <v>2040</v>
      </c>
      <c r="I57" s="29">
        <v>610</v>
      </c>
      <c r="J57" s="29">
        <v>1275000</v>
      </c>
      <c r="K57" s="29">
        <v>139</v>
      </c>
      <c r="L57" s="29">
        <v>197</v>
      </c>
      <c r="N57" s="34"/>
      <c r="O57" s="29">
        <f t="shared" si="0"/>
        <v>168</v>
      </c>
      <c r="P57" s="32" cm="1">
        <f t="array" ref="P57">WPNFACTOR(C57)</f>
        <v>2</v>
      </c>
      <c r="Q57" s="34" cm="1">
        <f t="array" ref="Q57">HPFACTOr(C57)</f>
        <v>5</v>
      </c>
      <c r="R57" s="33">
        <f t="shared" si="1"/>
        <v>84</v>
      </c>
      <c r="S57" s="34">
        <f t="shared" si="2"/>
        <v>255000</v>
      </c>
      <c r="T57" s="33">
        <f t="shared" si="3"/>
        <v>84</v>
      </c>
      <c r="U57" s="42">
        <f t="shared" si="4"/>
        <v>255000</v>
      </c>
      <c r="V57" s="44"/>
      <c r="W57" s="29">
        <f t="shared" si="6"/>
        <v>21420000</v>
      </c>
      <c r="X57" s="41">
        <f t="shared" si="5"/>
        <v>24.352455144299704</v>
      </c>
      <c r="Y57" s="33">
        <f t="shared" si="7"/>
        <v>68.030688561578231</v>
      </c>
      <c r="Z57" s="33">
        <v>1.33</v>
      </c>
      <c r="AA57" s="29">
        <f t="shared" si="8"/>
        <v>90.480815786899058</v>
      </c>
      <c r="AB57" s="33">
        <f t="shared" si="9"/>
        <v>277.71957298996642</v>
      </c>
      <c r="AC57" s="29">
        <v>74</v>
      </c>
      <c r="AD57" s="46">
        <f t="shared" si="10"/>
        <v>0.26645583241867332</v>
      </c>
    </row>
    <row r="58" spans="1:30" x14ac:dyDescent="0.2">
      <c r="A58" s="30" t="s">
        <v>8845</v>
      </c>
      <c r="B58" s="29">
        <v>7</v>
      </c>
      <c r="C58" s="29">
        <v>3</v>
      </c>
      <c r="D58" s="29">
        <v>128</v>
      </c>
      <c r="E58" s="29">
        <v>610</v>
      </c>
      <c r="F58" s="29">
        <v>2400</v>
      </c>
      <c r="G58" s="29">
        <v>600</v>
      </c>
      <c r="H58" s="29">
        <v>2120</v>
      </c>
      <c r="I58" s="29">
        <v>885</v>
      </c>
      <c r="J58" s="29">
        <v>1093920</v>
      </c>
      <c r="K58" s="29">
        <v>164</v>
      </c>
      <c r="L58" s="29">
        <v>268</v>
      </c>
      <c r="N58" s="34"/>
      <c r="O58" s="29">
        <f t="shared" si="0"/>
        <v>216</v>
      </c>
      <c r="P58" s="32" cm="1">
        <f t="array" ref="P58">WPNFACTOR(C58)</f>
        <v>2.5</v>
      </c>
      <c r="Q58" s="34" cm="1">
        <f t="array" ref="Q58">HPFACTOr(C58)</f>
        <v>4</v>
      </c>
      <c r="R58" s="33">
        <f t="shared" si="1"/>
        <v>86.4</v>
      </c>
      <c r="S58" s="34">
        <f t="shared" si="2"/>
        <v>273480</v>
      </c>
      <c r="T58" s="33">
        <f t="shared" si="3"/>
        <v>86.4</v>
      </c>
      <c r="U58" s="42">
        <f t="shared" si="4"/>
        <v>273480</v>
      </c>
      <c r="V58" s="44"/>
      <c r="W58" s="29">
        <f t="shared" si="6"/>
        <v>23628672</v>
      </c>
      <c r="X58" s="41">
        <f t="shared" si="5"/>
        <v>24.494035212149921</v>
      </c>
      <c r="Y58" s="33">
        <f t="shared" si="7"/>
        <v>69.720393313076286</v>
      </c>
      <c r="Z58" s="33">
        <v>1.33</v>
      </c>
      <c r="AA58" s="29">
        <f t="shared" si="8"/>
        <v>92.728123106391465</v>
      </c>
      <c r="AB58" s="33">
        <f t="shared" si="9"/>
        <v>286.95454285376235</v>
      </c>
      <c r="AC58" s="29">
        <v>75</v>
      </c>
      <c r="AD58" s="46">
        <f t="shared" si="10"/>
        <v>0.26136543876993601</v>
      </c>
    </row>
    <row r="59" spans="1:30" x14ac:dyDescent="0.2">
      <c r="A59" s="30" t="s">
        <v>8845</v>
      </c>
      <c r="B59" s="29">
        <v>8</v>
      </c>
      <c r="C59" s="29">
        <v>2</v>
      </c>
      <c r="D59" s="29">
        <v>136</v>
      </c>
      <c r="E59" s="29">
        <v>630</v>
      </c>
      <c r="F59" s="29">
        <v>650</v>
      </c>
      <c r="G59" s="29">
        <v>2640</v>
      </c>
      <c r="H59" s="29">
        <v>2200</v>
      </c>
      <c r="I59" s="29">
        <v>940</v>
      </c>
      <c r="J59" s="29">
        <v>602800</v>
      </c>
      <c r="K59" s="29">
        <v>332</v>
      </c>
      <c r="L59" s="29">
        <v>487</v>
      </c>
      <c r="N59" s="34"/>
      <c r="O59" s="29">
        <f t="shared" si="0"/>
        <v>409.5</v>
      </c>
      <c r="P59" s="32" cm="1">
        <f t="array" ref="P59">WPNFACTOR(C59)</f>
        <v>4.5</v>
      </c>
      <c r="Q59" s="34" cm="1">
        <f t="array" ref="Q59">HPFACTOr(C59)</f>
        <v>2</v>
      </c>
      <c r="R59" s="33">
        <f t="shared" si="1"/>
        <v>91</v>
      </c>
      <c r="S59" s="34">
        <f t="shared" si="2"/>
        <v>301400</v>
      </c>
      <c r="T59" s="33">
        <f t="shared" si="3"/>
        <v>91</v>
      </c>
      <c r="U59" s="42">
        <f t="shared" si="4"/>
        <v>301400</v>
      </c>
      <c r="V59" s="44"/>
      <c r="W59" s="29">
        <f t="shared" si="6"/>
        <v>27427400</v>
      </c>
      <c r="X59" s="41">
        <f t="shared" si="5"/>
        <v>24.709114531571245</v>
      </c>
      <c r="Y59" s="33">
        <f t="shared" si="7"/>
        <v>72.367931625831034</v>
      </c>
      <c r="Z59" s="33">
        <v>1.33</v>
      </c>
      <c r="AA59" s="29">
        <f t="shared" si="8"/>
        <v>96.249349062355279</v>
      </c>
      <c r="AB59" s="33">
        <f t="shared" si="9"/>
        <v>301.57468307872244</v>
      </c>
      <c r="AC59" s="29">
        <v>76</v>
      </c>
      <c r="AD59" s="46">
        <f t="shared" si="10"/>
        <v>0.25201054420128866</v>
      </c>
    </row>
    <row r="60" spans="1:30" x14ac:dyDescent="0.2">
      <c r="A60" s="30" t="s">
        <v>8845</v>
      </c>
      <c r="B60" s="29">
        <v>9</v>
      </c>
      <c r="C60" s="29">
        <v>3</v>
      </c>
      <c r="D60" s="29">
        <v>144</v>
      </c>
      <c r="E60" s="29">
        <v>690</v>
      </c>
      <c r="F60" s="29">
        <v>2720</v>
      </c>
      <c r="G60" s="29">
        <v>680</v>
      </c>
      <c r="H60" s="29">
        <v>2440</v>
      </c>
      <c r="I60" s="29">
        <v>1005</v>
      </c>
      <c r="J60" s="29">
        <v>1415200</v>
      </c>
      <c r="K60" s="29">
        <v>180</v>
      </c>
      <c r="L60" s="29">
        <v>292</v>
      </c>
      <c r="N60" s="34"/>
      <c r="O60" s="29">
        <f t="shared" si="0"/>
        <v>236</v>
      </c>
      <c r="P60" s="32" cm="1">
        <f t="array" ref="P60">WPNFACTOR(C60)</f>
        <v>2.5</v>
      </c>
      <c r="Q60" s="34" cm="1">
        <f t="array" ref="Q60">HPFACTOr(C60)</f>
        <v>4</v>
      </c>
      <c r="R60" s="33">
        <f t="shared" si="1"/>
        <v>94.4</v>
      </c>
      <c r="S60" s="34">
        <f t="shared" si="2"/>
        <v>353800</v>
      </c>
      <c r="T60" s="33">
        <f t="shared" si="3"/>
        <v>94.4</v>
      </c>
      <c r="U60" s="42">
        <f t="shared" si="4"/>
        <v>353800</v>
      </c>
      <c r="V60" s="44"/>
      <c r="W60" s="29">
        <f t="shared" si="6"/>
        <v>33398720.000000004</v>
      </c>
      <c r="X60" s="41">
        <f t="shared" si="5"/>
        <v>24.993289476939662</v>
      </c>
      <c r="Y60" s="33">
        <f t="shared" si="7"/>
        <v>76.020803528327107</v>
      </c>
      <c r="Z60" s="33">
        <v>1.33</v>
      </c>
      <c r="AA60" s="29">
        <f t="shared" si="8"/>
        <v>101.10766869267506</v>
      </c>
      <c r="AB60" s="33">
        <f t="shared" si="9"/>
        <v>322.04009119786934</v>
      </c>
      <c r="AC60" s="29">
        <v>79</v>
      </c>
      <c r="AD60" s="46">
        <f t="shared" si="10"/>
        <v>0.24531107200395263</v>
      </c>
    </row>
    <row r="61" spans="1:30" x14ac:dyDescent="0.2">
      <c r="A61" s="30" t="s">
        <v>8845</v>
      </c>
      <c r="B61" s="29">
        <v>10</v>
      </c>
      <c r="C61" s="29">
        <v>3</v>
      </c>
      <c r="D61" s="29">
        <v>150</v>
      </c>
      <c r="E61" s="29">
        <v>720</v>
      </c>
      <c r="F61" s="29">
        <v>2840</v>
      </c>
      <c r="G61" s="29">
        <v>710</v>
      </c>
      <c r="H61" s="29">
        <v>2560</v>
      </c>
      <c r="I61" s="29">
        <v>1050</v>
      </c>
      <c r="J61" s="29">
        <v>1546240</v>
      </c>
      <c r="K61" s="29">
        <v>186</v>
      </c>
      <c r="L61" s="29">
        <v>301</v>
      </c>
      <c r="N61" s="34"/>
      <c r="O61" s="29">
        <f t="shared" si="0"/>
        <v>243.5</v>
      </c>
      <c r="P61" s="32" cm="1">
        <f t="array" ref="P61">WPNFACTOR(C61)</f>
        <v>2.5</v>
      </c>
      <c r="Q61" s="34" cm="1">
        <f t="array" ref="Q61">HPFACTOr(C61)</f>
        <v>4</v>
      </c>
      <c r="R61" s="33">
        <f t="shared" si="1"/>
        <v>97.4</v>
      </c>
      <c r="S61" s="34">
        <f t="shared" si="2"/>
        <v>386560</v>
      </c>
      <c r="T61" s="33">
        <f t="shared" si="3"/>
        <v>97.4</v>
      </c>
      <c r="U61" s="42">
        <f t="shared" si="4"/>
        <v>386560</v>
      </c>
      <c r="V61" s="44"/>
      <c r="W61" s="29">
        <f t="shared" si="6"/>
        <v>37650944</v>
      </c>
      <c r="X61" s="41">
        <f t="shared" si="5"/>
        <v>25.166182701407422</v>
      </c>
      <c r="Y61" s="33">
        <f t="shared" si="7"/>
        <v>78.332857127506969</v>
      </c>
      <c r="Z61" s="33">
        <v>1.33</v>
      </c>
      <c r="AA61" s="29">
        <f t="shared" si="8"/>
        <v>104.18269997958427</v>
      </c>
      <c r="AB61" s="33">
        <f t="shared" si="9"/>
        <v>335.16497109666642</v>
      </c>
      <c r="AC61" s="29">
        <v>88</v>
      </c>
      <c r="AD61" s="46">
        <f t="shared" si="10"/>
        <v>0.26255727056458872</v>
      </c>
    </row>
    <row r="62" spans="1:30" x14ac:dyDescent="0.2">
      <c r="A62" s="30" t="s">
        <v>8846</v>
      </c>
      <c r="B62" s="29">
        <v>1</v>
      </c>
      <c r="C62" s="29">
        <v>3</v>
      </c>
      <c r="D62" s="29">
        <v>112</v>
      </c>
      <c r="E62" s="29">
        <v>530</v>
      </c>
      <c r="F62" s="29">
        <v>2080</v>
      </c>
      <c r="G62" s="29">
        <v>520</v>
      </c>
      <c r="H62" s="29">
        <v>1800</v>
      </c>
      <c r="I62" s="29">
        <v>765</v>
      </c>
      <c r="J62" s="29">
        <v>813600</v>
      </c>
      <c r="K62" s="29">
        <v>148</v>
      </c>
      <c r="L62" s="29">
        <v>244</v>
      </c>
      <c r="N62" s="34"/>
      <c r="O62" s="29">
        <f t="shared" si="0"/>
        <v>196</v>
      </c>
      <c r="P62" s="32" cm="1">
        <f t="array" ref="P62">WPNFACTOR(C62)</f>
        <v>2.5</v>
      </c>
      <c r="Q62" s="34" cm="1">
        <f t="array" ref="Q62">HPFACTOr(C62)</f>
        <v>4</v>
      </c>
      <c r="R62" s="33">
        <f t="shared" si="1"/>
        <v>78.400000000000006</v>
      </c>
      <c r="S62" s="34">
        <f t="shared" si="2"/>
        <v>203400</v>
      </c>
      <c r="T62" s="33">
        <f t="shared" si="3"/>
        <v>78.400000000000006</v>
      </c>
      <c r="U62" s="42">
        <f t="shared" si="4"/>
        <v>203400</v>
      </c>
      <c r="V62" s="44"/>
      <c r="W62" s="29">
        <f t="shared" si="6"/>
        <v>15946560.000000002</v>
      </c>
      <c r="X62" s="41">
        <f t="shared" si="5"/>
        <v>23.926741902860069</v>
      </c>
      <c r="Y62" s="33">
        <f t="shared" si="7"/>
        <v>63.192676892703176</v>
      </c>
      <c r="Z62" s="33">
        <v>1.33</v>
      </c>
      <c r="AA62" s="29">
        <f t="shared" si="8"/>
        <v>84.046260267295224</v>
      </c>
      <c r="AB62" s="33">
        <f t="shared" si="9"/>
        <v>251.70335464045033</v>
      </c>
      <c r="AC62" s="29">
        <v>81</v>
      </c>
      <c r="AD62" s="46">
        <f t="shared" si="10"/>
        <v>0.32180739154512161</v>
      </c>
    </row>
    <row r="63" spans="1:30" x14ac:dyDescent="0.2">
      <c r="A63" s="30" t="s">
        <v>8846</v>
      </c>
      <c r="B63" s="29">
        <v>2</v>
      </c>
      <c r="C63" s="29">
        <v>3</v>
      </c>
      <c r="D63" s="29">
        <v>116</v>
      </c>
      <c r="E63" s="29">
        <v>550</v>
      </c>
      <c r="F63" s="29">
        <v>2160</v>
      </c>
      <c r="G63" s="29">
        <v>540</v>
      </c>
      <c r="H63" s="29">
        <v>1880</v>
      </c>
      <c r="I63" s="29">
        <v>795</v>
      </c>
      <c r="J63" s="29">
        <v>879840</v>
      </c>
      <c r="K63" s="29">
        <v>152</v>
      </c>
      <c r="L63" s="29">
        <v>249</v>
      </c>
      <c r="N63" s="34"/>
      <c r="O63" s="29">
        <f t="shared" si="0"/>
        <v>200.5</v>
      </c>
      <c r="P63" s="32" cm="1">
        <f t="array" ref="P63">WPNFACTOR(C63)</f>
        <v>2.5</v>
      </c>
      <c r="Q63" s="34" cm="1">
        <f t="array" ref="Q63">HPFACTOr(C63)</f>
        <v>4</v>
      </c>
      <c r="R63" s="33">
        <f t="shared" si="1"/>
        <v>80.2</v>
      </c>
      <c r="S63" s="34">
        <f t="shared" si="2"/>
        <v>219960</v>
      </c>
      <c r="T63" s="33">
        <f t="shared" si="3"/>
        <v>80.2</v>
      </c>
      <c r="U63" s="42">
        <f t="shared" si="4"/>
        <v>219960</v>
      </c>
      <c r="V63" s="44"/>
      <c r="W63" s="29">
        <f t="shared" si="6"/>
        <v>17640792</v>
      </c>
      <c r="X63" s="41">
        <f t="shared" si="5"/>
        <v>24.072411997715964</v>
      </c>
      <c r="Y63" s="33">
        <f t="shared" si="7"/>
        <v>64.808134401909797</v>
      </c>
      <c r="Z63" s="33">
        <v>1.33</v>
      </c>
      <c r="AA63" s="29">
        <f t="shared" si="8"/>
        <v>86.194818754540037</v>
      </c>
      <c r="AB63" s="33">
        <f t="shared" si="9"/>
        <v>260.31909539669033</v>
      </c>
      <c r="AC63" s="29">
        <v>82</v>
      </c>
      <c r="AD63" s="46">
        <f t="shared" si="10"/>
        <v>0.31499802146685907</v>
      </c>
    </row>
    <row r="64" spans="1:30" x14ac:dyDescent="0.2">
      <c r="A64" s="30" t="s">
        <v>8846</v>
      </c>
      <c r="B64" s="29">
        <v>3</v>
      </c>
      <c r="C64" s="29">
        <v>2</v>
      </c>
      <c r="D64" s="29">
        <v>120</v>
      </c>
      <c r="E64" s="29">
        <v>550</v>
      </c>
      <c r="F64" s="29">
        <v>570</v>
      </c>
      <c r="G64" s="29">
        <v>2320</v>
      </c>
      <c r="H64" s="29">
        <v>1880</v>
      </c>
      <c r="I64" s="29">
        <v>820</v>
      </c>
      <c r="J64" s="29">
        <v>454960</v>
      </c>
      <c r="K64" s="29">
        <v>299</v>
      </c>
      <c r="L64" s="29">
        <v>447</v>
      </c>
      <c r="N64" s="34"/>
      <c r="O64" s="29">
        <f t="shared" si="0"/>
        <v>373</v>
      </c>
      <c r="P64" s="32" cm="1">
        <f t="array" ref="P64">WPNFACTOR(C64)</f>
        <v>4.5</v>
      </c>
      <c r="Q64" s="34" cm="1">
        <f t="array" ref="Q64">HPFACTOr(C64)</f>
        <v>2</v>
      </c>
      <c r="R64" s="33">
        <f t="shared" si="1"/>
        <v>82.888888888888886</v>
      </c>
      <c r="S64" s="34">
        <f t="shared" si="2"/>
        <v>227480</v>
      </c>
      <c r="T64" s="33">
        <f t="shared" si="3"/>
        <v>82.888888888888886</v>
      </c>
      <c r="U64" s="42">
        <f t="shared" si="4"/>
        <v>227480</v>
      </c>
      <c r="V64" s="44"/>
      <c r="W64" s="29">
        <f t="shared" si="6"/>
        <v>18855564.444444444</v>
      </c>
      <c r="X64" s="41">
        <f t="shared" si="5"/>
        <v>24.168487002652522</v>
      </c>
      <c r="Y64" s="33">
        <f t="shared" si="7"/>
        <v>65.896126153605763</v>
      </c>
      <c r="Z64" s="33">
        <v>1.33</v>
      </c>
      <c r="AA64" s="29">
        <f t="shared" si="8"/>
        <v>87.641847784295663</v>
      </c>
      <c r="AB64" s="33">
        <f t="shared" si="9"/>
        <v>266.16228270065216</v>
      </c>
      <c r="AC64" s="29">
        <v>83</v>
      </c>
      <c r="AD64" s="46">
        <f t="shared" si="10"/>
        <v>0.31183982628127888</v>
      </c>
    </row>
    <row r="65" spans="1:30" x14ac:dyDescent="0.2">
      <c r="A65" s="30" t="s">
        <v>8846</v>
      </c>
      <c r="B65" s="29">
        <v>4</v>
      </c>
      <c r="C65" s="29">
        <v>1</v>
      </c>
      <c r="D65" s="29">
        <v>126</v>
      </c>
      <c r="E65" s="29">
        <v>2360</v>
      </c>
      <c r="F65" s="29">
        <v>805</v>
      </c>
      <c r="G65" s="29">
        <v>780</v>
      </c>
      <c r="H65" s="29">
        <v>2080</v>
      </c>
      <c r="I65" s="29">
        <v>620</v>
      </c>
      <c r="J65" s="29">
        <v>1320800</v>
      </c>
      <c r="K65" s="29">
        <v>141</v>
      </c>
      <c r="L65" s="29">
        <v>199</v>
      </c>
      <c r="N65" s="34"/>
      <c r="O65" s="29">
        <f t="shared" si="0"/>
        <v>170</v>
      </c>
      <c r="P65" s="32" cm="1">
        <f t="array" ref="P65">WPNFACTOR(C65)</f>
        <v>2</v>
      </c>
      <c r="Q65" s="34" cm="1">
        <f t="array" ref="Q65">HPFACTOr(C65)</f>
        <v>5</v>
      </c>
      <c r="R65" s="33">
        <f t="shared" si="1"/>
        <v>85</v>
      </c>
      <c r="S65" s="34">
        <f t="shared" si="2"/>
        <v>264160</v>
      </c>
      <c r="T65" s="33">
        <f t="shared" si="3"/>
        <v>85</v>
      </c>
      <c r="U65" s="42">
        <f t="shared" si="4"/>
        <v>264160</v>
      </c>
      <c r="V65" s="44"/>
      <c r="W65" s="29">
        <f t="shared" si="6"/>
        <v>22453600</v>
      </c>
      <c r="X65" s="41">
        <f t="shared" si="5"/>
        <v>24.420443435938324</v>
      </c>
      <c r="Y65" s="33">
        <f t="shared" si="7"/>
        <v>68.836930325405135</v>
      </c>
      <c r="Z65" s="33">
        <v>1.33</v>
      </c>
      <c r="AA65" s="29">
        <f t="shared" si="8"/>
        <v>91.55311733278883</v>
      </c>
      <c r="AB65" s="33">
        <f t="shared" si="9"/>
        <v>282.1166125701692</v>
      </c>
      <c r="AC65" s="29">
        <v>83</v>
      </c>
      <c r="AD65" s="46">
        <f t="shared" si="10"/>
        <v>0.29420458172896818</v>
      </c>
    </row>
    <row r="66" spans="1:30" x14ac:dyDescent="0.2">
      <c r="A66" s="30" t="s">
        <v>8846</v>
      </c>
      <c r="B66" s="29">
        <v>5</v>
      </c>
      <c r="C66" s="29">
        <v>1</v>
      </c>
      <c r="D66" s="29">
        <v>134</v>
      </c>
      <c r="E66" s="29">
        <v>2520</v>
      </c>
      <c r="F66" s="29">
        <v>865</v>
      </c>
      <c r="G66" s="29">
        <v>840</v>
      </c>
      <c r="H66" s="29">
        <v>2240</v>
      </c>
      <c r="I66" s="29">
        <v>660</v>
      </c>
      <c r="J66" s="29">
        <v>1512000</v>
      </c>
      <c r="K66" s="29">
        <v>149</v>
      </c>
      <c r="L66" s="29">
        <v>207</v>
      </c>
      <c r="N66" s="34"/>
      <c r="O66" s="29">
        <f t="shared" ref="O66:O130" si="11">AVERAGE(K66, L66)</f>
        <v>178</v>
      </c>
      <c r="P66" s="32" cm="1">
        <f t="array" ref="P66">WPNFACTOR(C66)</f>
        <v>2</v>
      </c>
      <c r="Q66" s="34" cm="1">
        <f t="array" ref="Q66">HPFACTOr(C66)</f>
        <v>5</v>
      </c>
      <c r="R66" s="33">
        <f t="shared" ref="R66:R130" si="12">O66/P66</f>
        <v>89</v>
      </c>
      <c r="S66" s="34">
        <f t="shared" ref="S66:S130" si="13">J66/Q66</f>
        <v>302400</v>
      </c>
      <c r="T66" s="33">
        <f t="shared" ref="T66:T130" si="14">R66*(1 + (N66/400))</f>
        <v>89</v>
      </c>
      <c r="U66" s="42">
        <f t="shared" ref="U66:U130" si="15">S66*1.6/(1 + (0.6*(1 - (M66/100))))</f>
        <v>302400</v>
      </c>
      <c r="V66" s="44"/>
      <c r="W66" s="29">
        <f t="shared" si="6"/>
        <v>26913600</v>
      </c>
      <c r="X66" s="41">
        <f t="shared" ref="X66:X130" si="16">LOG(W66, 2)</f>
        <v>24.681832044962196</v>
      </c>
      <c r="Y66" s="33">
        <f t="shared" si="7"/>
        <v>72.02660561967464</v>
      </c>
      <c r="Z66" s="33">
        <v>1.33</v>
      </c>
      <c r="AA66" s="29">
        <f t="shared" si="8"/>
        <v>95.795385474167276</v>
      </c>
      <c r="AB66" s="33">
        <f t="shared" si="9"/>
        <v>299.67965805855397</v>
      </c>
      <c r="AC66" s="29">
        <v>84</v>
      </c>
      <c r="AD66" s="46">
        <f t="shared" si="10"/>
        <v>0.28029930541227249</v>
      </c>
    </row>
    <row r="67" spans="1:30" x14ac:dyDescent="0.2">
      <c r="A67" s="30" t="s">
        <v>8846</v>
      </c>
      <c r="B67" s="29">
        <v>6</v>
      </c>
      <c r="C67" s="29">
        <v>1</v>
      </c>
      <c r="D67" s="29">
        <v>138</v>
      </c>
      <c r="E67" s="29">
        <v>2600</v>
      </c>
      <c r="F67" s="29">
        <v>895</v>
      </c>
      <c r="G67" s="29">
        <v>870</v>
      </c>
      <c r="H67" s="29">
        <v>2320</v>
      </c>
      <c r="I67" s="29">
        <v>680</v>
      </c>
      <c r="J67" s="29">
        <v>1612400</v>
      </c>
      <c r="K67" s="29">
        <v>153</v>
      </c>
      <c r="L67" s="29">
        <v>211</v>
      </c>
      <c r="N67" s="34"/>
      <c r="O67" s="29">
        <f t="shared" si="11"/>
        <v>182</v>
      </c>
      <c r="P67" s="32" cm="1">
        <f t="array" ref="P67">WPNFACTOR(C67)</f>
        <v>2</v>
      </c>
      <c r="Q67" s="34" cm="1">
        <f t="array" ref="Q67">HPFACTOr(C67)</f>
        <v>5</v>
      </c>
      <c r="R67" s="33">
        <f t="shared" si="12"/>
        <v>91</v>
      </c>
      <c r="S67" s="34">
        <f t="shared" si="13"/>
        <v>322480</v>
      </c>
      <c r="T67" s="33">
        <f t="shared" si="14"/>
        <v>91</v>
      </c>
      <c r="U67" s="42">
        <f t="shared" si="15"/>
        <v>322480</v>
      </c>
      <c r="V67" s="44"/>
      <c r="W67" s="29">
        <f t="shared" ref="W67:W131" si="17">T67*U67</f>
        <v>29345680</v>
      </c>
      <c r="X67" s="41">
        <f t="shared" si="16"/>
        <v>24.806644802937139</v>
      </c>
      <c r="Y67" s="33">
        <f t="shared" ref="Y67:Y131" si="18">POWER(W67, 1/4)</f>
        <v>73.601394758397305</v>
      </c>
      <c r="Z67" s="33">
        <v>1.33</v>
      </c>
      <c r="AA67" s="29">
        <f t="shared" ref="AA67:AA131" si="19">Y67*Z67</f>
        <v>97.889855028668421</v>
      </c>
      <c r="AB67" s="33">
        <f t="shared" ref="AB67:AB131" si="20">POWER(W67, 1/$AB$1)</f>
        <v>308.44759793862551</v>
      </c>
      <c r="AC67" s="29">
        <v>86</v>
      </c>
      <c r="AD67" s="46">
        <f t="shared" ref="AD67:AD131" si="21">IF(AC67 = "", ,AC67/AB67)</f>
        <v>0.27881559323121125</v>
      </c>
    </row>
    <row r="68" spans="1:30" x14ac:dyDescent="0.2">
      <c r="A68" s="30" t="s">
        <v>8846</v>
      </c>
      <c r="B68" s="29">
        <v>7</v>
      </c>
      <c r="C68" s="29">
        <v>2</v>
      </c>
      <c r="D68" s="29">
        <v>142</v>
      </c>
      <c r="E68" s="29">
        <v>660</v>
      </c>
      <c r="F68" s="29">
        <v>680</v>
      </c>
      <c r="G68" s="29">
        <v>2760</v>
      </c>
      <c r="H68" s="29">
        <v>2320</v>
      </c>
      <c r="I68" s="29">
        <v>985</v>
      </c>
      <c r="J68" s="29">
        <v>663520</v>
      </c>
      <c r="K68" s="29">
        <v>343</v>
      </c>
      <c r="L68" s="29">
        <v>496</v>
      </c>
      <c r="N68" s="34"/>
      <c r="O68" s="29">
        <f t="shared" si="11"/>
        <v>419.5</v>
      </c>
      <c r="P68" s="32" cm="1">
        <f t="array" ref="P68">WPNFACTOR(C68)</f>
        <v>4.5</v>
      </c>
      <c r="Q68" s="34" cm="1">
        <f t="array" ref="Q68">HPFACTOr(C68)</f>
        <v>2</v>
      </c>
      <c r="R68" s="33">
        <f t="shared" si="12"/>
        <v>93.222222222222229</v>
      </c>
      <c r="S68" s="34">
        <f t="shared" si="13"/>
        <v>331760</v>
      </c>
      <c r="T68" s="33">
        <f t="shared" si="14"/>
        <v>93.222222222222229</v>
      </c>
      <c r="U68" s="42">
        <f t="shared" si="15"/>
        <v>331760</v>
      </c>
      <c r="V68" s="44"/>
      <c r="W68" s="29">
        <f t="shared" si="17"/>
        <v>30927404.444444448</v>
      </c>
      <c r="X68" s="41">
        <f t="shared" si="16"/>
        <v>24.882382425790837</v>
      </c>
      <c r="Y68" s="33">
        <f t="shared" si="18"/>
        <v>74.573730417071886</v>
      </c>
      <c r="Z68" s="33">
        <v>1.33</v>
      </c>
      <c r="AA68" s="29">
        <f t="shared" si="19"/>
        <v>99.183061454705609</v>
      </c>
      <c r="AB68" s="33">
        <f t="shared" si="20"/>
        <v>313.89265822723002</v>
      </c>
      <c r="AC68" s="29">
        <v>87</v>
      </c>
      <c r="AD68" s="46">
        <f t="shared" si="21"/>
        <v>0.27716481325606485</v>
      </c>
    </row>
    <row r="69" spans="1:30" x14ac:dyDescent="0.2">
      <c r="A69" s="30" t="s">
        <v>8846</v>
      </c>
      <c r="B69" s="29">
        <v>8</v>
      </c>
      <c r="C69" s="29">
        <v>1</v>
      </c>
      <c r="D69" s="29">
        <v>146</v>
      </c>
      <c r="E69" s="29">
        <v>2760</v>
      </c>
      <c r="F69" s="29">
        <v>955</v>
      </c>
      <c r="G69" s="29">
        <v>930</v>
      </c>
      <c r="H69" s="29">
        <v>2480</v>
      </c>
      <c r="I69" s="29">
        <v>720</v>
      </c>
      <c r="J69" s="29">
        <v>1822800</v>
      </c>
      <c r="K69" s="29">
        <v>161</v>
      </c>
      <c r="L69" s="29">
        <v>219</v>
      </c>
      <c r="N69" s="34"/>
      <c r="O69" s="29">
        <f t="shared" si="11"/>
        <v>190</v>
      </c>
      <c r="P69" s="32" cm="1">
        <f t="array" ref="P69">WPNFACTOR(C69)</f>
        <v>2</v>
      </c>
      <c r="Q69" s="34" cm="1">
        <f t="array" ref="Q69">HPFACTOr(C69)</f>
        <v>5</v>
      </c>
      <c r="R69" s="33">
        <f t="shared" si="12"/>
        <v>95</v>
      </c>
      <c r="S69" s="34">
        <f t="shared" si="13"/>
        <v>364560</v>
      </c>
      <c r="T69" s="33">
        <f t="shared" si="14"/>
        <v>95</v>
      </c>
      <c r="U69" s="42">
        <f t="shared" si="15"/>
        <v>364560</v>
      </c>
      <c r="V69" s="44"/>
      <c r="W69" s="29">
        <f t="shared" si="17"/>
        <v>34633200</v>
      </c>
      <c r="X69" s="41">
        <f t="shared" si="16"/>
        <v>25.045652358441551</v>
      </c>
      <c r="Y69" s="33">
        <f t="shared" si="18"/>
        <v>76.713739812079552</v>
      </c>
      <c r="Z69" s="33">
        <v>1.33</v>
      </c>
      <c r="AA69" s="29">
        <f t="shared" si="19"/>
        <v>102.02927395006581</v>
      </c>
      <c r="AB69" s="33">
        <f t="shared" si="20"/>
        <v>325.95992331055766</v>
      </c>
      <c r="AC69" s="29">
        <v>90</v>
      </c>
      <c r="AD69" s="46">
        <f t="shared" si="21"/>
        <v>0.27610756281302928</v>
      </c>
    </row>
    <row r="70" spans="1:30" x14ac:dyDescent="0.2">
      <c r="A70" s="30" t="s">
        <v>8846</v>
      </c>
      <c r="B70" s="29">
        <v>9</v>
      </c>
      <c r="C70" s="29">
        <v>1</v>
      </c>
      <c r="D70" s="29">
        <v>148</v>
      </c>
      <c r="E70" s="29">
        <v>2800</v>
      </c>
      <c r="F70" s="29">
        <v>970</v>
      </c>
      <c r="G70" s="29">
        <v>945</v>
      </c>
      <c r="H70" s="29">
        <v>2520</v>
      </c>
      <c r="I70" s="29">
        <v>730</v>
      </c>
      <c r="J70" s="29">
        <v>1877400</v>
      </c>
      <c r="K70" s="29">
        <v>163</v>
      </c>
      <c r="L70" s="29">
        <v>221</v>
      </c>
      <c r="N70" s="34"/>
      <c r="O70" s="29">
        <f t="shared" si="11"/>
        <v>192</v>
      </c>
      <c r="P70" s="32" cm="1">
        <f t="array" ref="P70">WPNFACTOR(C70)</f>
        <v>2</v>
      </c>
      <c r="Q70" s="34" cm="1">
        <f t="array" ref="Q70">HPFACTOr(C70)</f>
        <v>5</v>
      </c>
      <c r="R70" s="33">
        <f t="shared" si="12"/>
        <v>96</v>
      </c>
      <c r="S70" s="34">
        <f t="shared" si="13"/>
        <v>375480</v>
      </c>
      <c r="T70" s="33">
        <f t="shared" si="14"/>
        <v>96</v>
      </c>
      <c r="U70" s="42">
        <f t="shared" si="15"/>
        <v>375480</v>
      </c>
      <c r="V70" s="44"/>
      <c r="W70" s="29">
        <f t="shared" si="17"/>
        <v>36046080</v>
      </c>
      <c r="X70" s="41">
        <f t="shared" si="16"/>
        <v>25.103339039570599</v>
      </c>
      <c r="Y70" s="33">
        <f t="shared" si="18"/>
        <v>77.484442128635138</v>
      </c>
      <c r="Z70" s="33">
        <v>1.33</v>
      </c>
      <c r="AA70" s="29">
        <f t="shared" si="19"/>
        <v>103.05430803108474</v>
      </c>
      <c r="AB70" s="33">
        <f t="shared" si="20"/>
        <v>330.33354705170586</v>
      </c>
      <c r="AC70" s="29">
        <v>91</v>
      </c>
      <c r="AD70" s="46">
        <f t="shared" si="21"/>
        <v>0.27547913559550197</v>
      </c>
    </row>
    <row r="71" spans="1:30" x14ac:dyDescent="0.2">
      <c r="A71" s="30" t="s">
        <v>8846</v>
      </c>
      <c r="B71" s="29">
        <v>10</v>
      </c>
      <c r="C71" s="29">
        <v>1</v>
      </c>
      <c r="D71" s="29">
        <v>170</v>
      </c>
      <c r="E71" s="29">
        <v>3240</v>
      </c>
      <c r="F71" s="29">
        <v>1135</v>
      </c>
      <c r="G71" s="29">
        <v>1110</v>
      </c>
      <c r="H71" s="29">
        <v>2960</v>
      </c>
      <c r="I71" s="29">
        <v>840</v>
      </c>
      <c r="J71" s="29">
        <v>2530800</v>
      </c>
      <c r="K71" s="29">
        <v>185</v>
      </c>
      <c r="L71" s="29">
        <v>243</v>
      </c>
      <c r="N71" s="34"/>
      <c r="O71" s="29">
        <f t="shared" si="11"/>
        <v>214</v>
      </c>
      <c r="P71" s="32" cm="1">
        <f t="array" ref="P71">WPNFACTOR(C71)</f>
        <v>2</v>
      </c>
      <c r="Q71" s="34" cm="1">
        <f t="array" ref="Q71">HPFACTOr(C71)</f>
        <v>5</v>
      </c>
      <c r="R71" s="33">
        <f t="shared" si="12"/>
        <v>107</v>
      </c>
      <c r="S71" s="34">
        <f t="shared" si="13"/>
        <v>506160</v>
      </c>
      <c r="T71" s="33">
        <f t="shared" si="14"/>
        <v>107</v>
      </c>
      <c r="U71" s="42">
        <f t="shared" si="15"/>
        <v>506160</v>
      </c>
      <c r="V71" s="44"/>
      <c r="W71" s="29">
        <f t="shared" si="17"/>
        <v>54159120</v>
      </c>
      <c r="X71" s="41">
        <f t="shared" si="16"/>
        <v>25.690700961803362</v>
      </c>
      <c r="Y71" s="33">
        <f t="shared" si="18"/>
        <v>85.786292664038186</v>
      </c>
      <c r="Z71" s="33">
        <v>1.33</v>
      </c>
      <c r="AA71" s="29">
        <f t="shared" si="19"/>
        <v>114.09576924317079</v>
      </c>
      <c r="AB71" s="33">
        <f t="shared" si="20"/>
        <v>378.34720764366779</v>
      </c>
      <c r="AC71" s="29">
        <v>92</v>
      </c>
      <c r="AD71" s="46">
        <f t="shared" si="21"/>
        <v>0.24316288885273543</v>
      </c>
    </row>
    <row r="72" spans="1:30" x14ac:dyDescent="0.2">
      <c r="A72" s="30" t="s">
        <v>8847</v>
      </c>
      <c r="B72" s="29">
        <v>1</v>
      </c>
      <c r="C72" s="29">
        <v>1</v>
      </c>
      <c r="D72" s="29">
        <v>132</v>
      </c>
      <c r="E72" s="29">
        <v>2480</v>
      </c>
      <c r="F72" s="29">
        <v>850</v>
      </c>
      <c r="G72" s="29">
        <v>825</v>
      </c>
      <c r="H72" s="29">
        <v>2200</v>
      </c>
      <c r="I72" s="29">
        <v>650</v>
      </c>
      <c r="J72" s="29">
        <v>1463000</v>
      </c>
      <c r="K72" s="29">
        <v>147</v>
      </c>
      <c r="L72" s="29">
        <v>204</v>
      </c>
      <c r="N72" s="34"/>
      <c r="O72" s="29">
        <f t="shared" si="11"/>
        <v>175.5</v>
      </c>
      <c r="P72" s="32" cm="1">
        <f t="array" ref="P72">WPNFACTOR(C72)</f>
        <v>2</v>
      </c>
      <c r="Q72" s="34" cm="1">
        <f t="array" ref="Q72">HPFACTOr(C72)</f>
        <v>5</v>
      </c>
      <c r="R72" s="33">
        <f t="shared" si="12"/>
        <v>87.75</v>
      </c>
      <c r="S72" s="34">
        <f t="shared" si="13"/>
        <v>292600</v>
      </c>
      <c r="T72" s="33">
        <f t="shared" si="14"/>
        <v>87.75</v>
      </c>
      <c r="U72" s="42">
        <f t="shared" si="15"/>
        <v>292600</v>
      </c>
      <c r="V72" s="44"/>
      <c r="W72" s="29">
        <f t="shared" si="17"/>
        <v>25675650</v>
      </c>
      <c r="X72" s="41">
        <f t="shared" si="16"/>
        <v>24.613897464217771</v>
      </c>
      <c r="Y72" s="33">
        <f t="shared" si="18"/>
        <v>71.183667814577603</v>
      </c>
      <c r="Z72" s="33">
        <v>1.33</v>
      </c>
      <c r="AA72" s="29">
        <f t="shared" si="19"/>
        <v>94.674278193388218</v>
      </c>
      <c r="AB72" s="33">
        <f t="shared" si="20"/>
        <v>295.01254375465658</v>
      </c>
      <c r="AC72" s="29">
        <v>95</v>
      </c>
      <c r="AD72" s="46">
        <f t="shared" si="21"/>
        <v>0.32202020561880085</v>
      </c>
    </row>
    <row r="73" spans="1:30" x14ac:dyDescent="0.2">
      <c r="A73" s="30" t="s">
        <v>8847</v>
      </c>
      <c r="B73" s="29">
        <v>2</v>
      </c>
      <c r="C73" s="29">
        <v>3</v>
      </c>
      <c r="D73" s="29">
        <v>140</v>
      </c>
      <c r="E73" s="29">
        <v>670</v>
      </c>
      <c r="F73" s="29">
        <v>2640</v>
      </c>
      <c r="G73" s="29">
        <v>660</v>
      </c>
      <c r="H73" s="29">
        <v>2360</v>
      </c>
      <c r="I73" s="29">
        <v>975</v>
      </c>
      <c r="J73" s="29">
        <v>1331040</v>
      </c>
      <c r="K73" s="29">
        <v>176</v>
      </c>
      <c r="L73" s="29">
        <v>286</v>
      </c>
      <c r="N73" s="34"/>
      <c r="O73" s="29">
        <f t="shared" si="11"/>
        <v>231</v>
      </c>
      <c r="P73" s="32" cm="1">
        <f t="array" ref="P73">WPNFACTOR(C73)</f>
        <v>2.5</v>
      </c>
      <c r="Q73" s="34" cm="1">
        <f t="array" ref="Q73">HPFACTOr(C73)</f>
        <v>4</v>
      </c>
      <c r="R73" s="33">
        <f t="shared" si="12"/>
        <v>92.4</v>
      </c>
      <c r="S73" s="34">
        <f t="shared" si="13"/>
        <v>332760</v>
      </c>
      <c r="T73" s="33">
        <f t="shared" si="14"/>
        <v>92.4</v>
      </c>
      <c r="U73" s="42">
        <f t="shared" si="15"/>
        <v>332760</v>
      </c>
      <c r="V73" s="44"/>
      <c r="W73" s="29">
        <f t="shared" si="17"/>
        <v>30747024.000000004</v>
      </c>
      <c r="X73" s="41">
        <f t="shared" si="16"/>
        <v>24.873943443176692</v>
      </c>
      <c r="Y73" s="33">
        <f t="shared" si="18"/>
        <v>74.464756159062745</v>
      </c>
      <c r="Z73" s="33">
        <v>1.33</v>
      </c>
      <c r="AA73" s="29">
        <f t="shared" si="19"/>
        <v>99.038125691553461</v>
      </c>
      <c r="AB73" s="33">
        <f t="shared" si="20"/>
        <v>313.28122064767138</v>
      </c>
      <c r="AC73" s="29">
        <v>96</v>
      </c>
      <c r="AD73" s="46">
        <f t="shared" si="21"/>
        <v>0.30643394392275253</v>
      </c>
    </row>
    <row r="74" spans="1:30" x14ac:dyDescent="0.2">
      <c r="A74" s="30" t="s">
        <v>8847</v>
      </c>
      <c r="B74" s="29">
        <v>3</v>
      </c>
      <c r="C74" s="29">
        <v>1</v>
      </c>
      <c r="D74" s="29">
        <v>154</v>
      </c>
      <c r="E74" s="29">
        <v>2920</v>
      </c>
      <c r="F74" s="29">
        <v>1015</v>
      </c>
      <c r="G74" s="29">
        <v>990</v>
      </c>
      <c r="H74" s="29">
        <v>2640</v>
      </c>
      <c r="I74" s="29">
        <v>760</v>
      </c>
      <c r="J74" s="29">
        <v>2046000</v>
      </c>
      <c r="K74" s="29">
        <v>169</v>
      </c>
      <c r="L74" s="29">
        <v>227</v>
      </c>
      <c r="N74" s="34"/>
      <c r="O74" s="29">
        <f t="shared" si="11"/>
        <v>198</v>
      </c>
      <c r="P74" s="32" cm="1">
        <f t="array" ref="P74">WPNFACTOR(C74)</f>
        <v>2</v>
      </c>
      <c r="Q74" s="34" cm="1">
        <f t="array" ref="Q74">HPFACTOr(C74)</f>
        <v>5</v>
      </c>
      <c r="R74" s="33">
        <f t="shared" si="12"/>
        <v>99</v>
      </c>
      <c r="S74" s="34">
        <f t="shared" si="13"/>
        <v>409200</v>
      </c>
      <c r="T74" s="33">
        <f t="shared" si="14"/>
        <v>99</v>
      </c>
      <c r="U74" s="42">
        <f t="shared" si="15"/>
        <v>409200</v>
      </c>
      <c r="V74" s="44"/>
      <c r="W74" s="29">
        <f t="shared" si="17"/>
        <v>40510800</v>
      </c>
      <c r="X74" s="41">
        <f t="shared" si="16"/>
        <v>25.271803239599663</v>
      </c>
      <c r="Y74" s="33">
        <f t="shared" si="18"/>
        <v>79.779756218324863</v>
      </c>
      <c r="Z74" s="33">
        <v>1.33</v>
      </c>
      <c r="AA74" s="29">
        <f t="shared" si="19"/>
        <v>106.10707577037208</v>
      </c>
      <c r="AB74" s="33">
        <f t="shared" si="20"/>
        <v>343.44479576613918</v>
      </c>
      <c r="AC74" s="29">
        <v>97</v>
      </c>
      <c r="AD74" s="46">
        <f t="shared" si="21"/>
        <v>0.28243258071102034</v>
      </c>
    </row>
    <row r="75" spans="1:30" x14ac:dyDescent="0.2">
      <c r="A75" s="30" t="s">
        <v>8847</v>
      </c>
      <c r="B75" s="29">
        <v>4</v>
      </c>
      <c r="C75" s="29">
        <v>3</v>
      </c>
      <c r="D75" s="29">
        <v>158</v>
      </c>
      <c r="E75" s="29">
        <v>760</v>
      </c>
      <c r="F75" s="29">
        <v>3000</v>
      </c>
      <c r="G75" s="29">
        <v>750</v>
      </c>
      <c r="H75" s="29">
        <v>2720</v>
      </c>
      <c r="I75" s="29">
        <v>1110</v>
      </c>
      <c r="J75" s="29">
        <v>1729920</v>
      </c>
      <c r="K75" s="29">
        <v>194</v>
      </c>
      <c r="L75" s="29">
        <v>313</v>
      </c>
      <c r="N75" s="34"/>
      <c r="O75" s="29">
        <f t="shared" si="11"/>
        <v>253.5</v>
      </c>
      <c r="P75" s="32" cm="1">
        <f t="array" ref="P75">WPNFACTOR(C75)</f>
        <v>2.5</v>
      </c>
      <c r="Q75" s="34" cm="1">
        <f t="array" ref="Q75">HPFACTOr(C75)</f>
        <v>4</v>
      </c>
      <c r="R75" s="33">
        <f t="shared" si="12"/>
        <v>101.4</v>
      </c>
      <c r="S75" s="34">
        <f t="shared" si="13"/>
        <v>432480</v>
      </c>
      <c r="T75" s="33">
        <f t="shared" si="14"/>
        <v>101.4</v>
      </c>
      <c r="U75" s="42">
        <f t="shared" si="15"/>
        <v>432480</v>
      </c>
      <c r="V75" s="44"/>
      <c r="W75" s="29">
        <f t="shared" si="17"/>
        <v>43853472</v>
      </c>
      <c r="X75" s="41">
        <f t="shared" si="16"/>
        <v>25.386187733538037</v>
      </c>
      <c r="Y75" s="33">
        <f t="shared" si="18"/>
        <v>81.376872674973427</v>
      </c>
      <c r="Z75" s="33">
        <v>1.33</v>
      </c>
      <c r="AA75" s="29">
        <f t="shared" si="19"/>
        <v>108.23124065771466</v>
      </c>
      <c r="AB75" s="33">
        <f t="shared" si="20"/>
        <v>352.64250764299055</v>
      </c>
      <c r="AC75" s="29">
        <v>98</v>
      </c>
      <c r="AD75" s="46">
        <f t="shared" si="21"/>
        <v>0.2779018350765971</v>
      </c>
    </row>
    <row r="76" spans="1:30" x14ac:dyDescent="0.2">
      <c r="A76" s="30" t="s">
        <v>8847</v>
      </c>
      <c r="B76" s="29">
        <v>5</v>
      </c>
      <c r="C76" s="29">
        <v>3</v>
      </c>
      <c r="D76" s="29">
        <v>164</v>
      </c>
      <c r="E76" s="29">
        <v>790</v>
      </c>
      <c r="F76" s="29">
        <v>3120</v>
      </c>
      <c r="G76" s="29">
        <v>780</v>
      </c>
      <c r="H76" s="29">
        <v>2840</v>
      </c>
      <c r="I76" s="29">
        <v>1155</v>
      </c>
      <c r="J76" s="29">
        <v>1874400</v>
      </c>
      <c r="K76" s="29">
        <v>200</v>
      </c>
      <c r="L76" s="29">
        <v>322</v>
      </c>
      <c r="N76" s="34"/>
      <c r="O76" s="29">
        <f t="shared" si="11"/>
        <v>261</v>
      </c>
      <c r="P76" s="32" cm="1">
        <f t="array" ref="P76">WPNFACTOR(C76)</f>
        <v>2.5</v>
      </c>
      <c r="Q76" s="34" cm="1">
        <f t="array" ref="Q76">HPFACTOr(C76)</f>
        <v>4</v>
      </c>
      <c r="R76" s="33">
        <f t="shared" si="12"/>
        <v>104.4</v>
      </c>
      <c r="S76" s="34">
        <f t="shared" si="13"/>
        <v>468600</v>
      </c>
      <c r="T76" s="33">
        <f t="shared" si="14"/>
        <v>104.4</v>
      </c>
      <c r="U76" s="42">
        <f t="shared" si="15"/>
        <v>468600</v>
      </c>
      <c r="V76" s="44"/>
      <c r="W76" s="29">
        <f t="shared" si="17"/>
        <v>48921840</v>
      </c>
      <c r="X76" s="41">
        <f t="shared" si="16"/>
        <v>25.543975330320386</v>
      </c>
      <c r="Y76" s="33">
        <f t="shared" si="18"/>
        <v>83.632618724831744</v>
      </c>
      <c r="Z76" s="33">
        <v>1.33</v>
      </c>
      <c r="AA76" s="29">
        <f t="shared" si="19"/>
        <v>111.23138290402622</v>
      </c>
      <c r="AB76" s="33">
        <f t="shared" si="20"/>
        <v>365.73590192636408</v>
      </c>
      <c r="AC76" s="29">
        <v>99</v>
      </c>
      <c r="AD76" s="46">
        <f t="shared" si="21"/>
        <v>0.27068712554211399</v>
      </c>
    </row>
    <row r="77" spans="1:30" x14ac:dyDescent="0.2">
      <c r="A77" s="30" t="s">
        <v>8847</v>
      </c>
      <c r="B77" s="29">
        <v>6</v>
      </c>
      <c r="C77" s="29">
        <v>2</v>
      </c>
      <c r="D77" s="29">
        <v>168</v>
      </c>
      <c r="E77" s="29">
        <v>790</v>
      </c>
      <c r="F77" s="29">
        <v>810</v>
      </c>
      <c r="G77" s="29">
        <v>3280</v>
      </c>
      <c r="H77" s="29">
        <v>2840</v>
      </c>
      <c r="I77" s="29">
        <v>1180</v>
      </c>
      <c r="J77" s="29">
        <v>959920</v>
      </c>
      <c r="K77" s="29">
        <v>395</v>
      </c>
      <c r="L77" s="29">
        <v>565</v>
      </c>
      <c r="N77" s="34"/>
      <c r="O77" s="29">
        <f t="shared" si="11"/>
        <v>480</v>
      </c>
      <c r="P77" s="32" cm="1">
        <f t="array" ref="P77">WPNFACTOR(C77)</f>
        <v>4.5</v>
      </c>
      <c r="Q77" s="34" cm="1">
        <f t="array" ref="Q77">HPFACTOr(C77)</f>
        <v>2</v>
      </c>
      <c r="R77" s="33">
        <f t="shared" si="12"/>
        <v>106.66666666666667</v>
      </c>
      <c r="S77" s="34">
        <f t="shared" si="13"/>
        <v>479960</v>
      </c>
      <c r="T77" s="33">
        <f t="shared" si="14"/>
        <v>106.66666666666667</v>
      </c>
      <c r="U77" s="42">
        <f t="shared" si="15"/>
        <v>479960</v>
      </c>
      <c r="V77" s="44"/>
      <c r="W77" s="29">
        <f t="shared" si="17"/>
        <v>51195733.333333336</v>
      </c>
      <c r="X77" s="41">
        <f t="shared" si="16"/>
        <v>25.609520244840439</v>
      </c>
      <c r="Y77" s="33">
        <f t="shared" si="18"/>
        <v>84.587938734732006</v>
      </c>
      <c r="Z77" s="33">
        <v>1.33</v>
      </c>
      <c r="AA77" s="29">
        <f t="shared" si="19"/>
        <v>112.50195851719357</v>
      </c>
      <c r="AB77" s="33">
        <f t="shared" si="20"/>
        <v>371.31679176063886</v>
      </c>
      <c r="AC77" s="29">
        <v>101</v>
      </c>
      <c r="AD77" s="46">
        <f t="shared" si="21"/>
        <v>0.27200493551906862</v>
      </c>
    </row>
    <row r="78" spans="1:30" x14ac:dyDescent="0.2">
      <c r="A78" s="30" t="s">
        <v>8847</v>
      </c>
      <c r="B78" s="29">
        <v>7</v>
      </c>
      <c r="C78" s="29">
        <v>1</v>
      </c>
      <c r="D78" s="29">
        <v>172</v>
      </c>
      <c r="E78" s="29">
        <v>3280</v>
      </c>
      <c r="F78" s="29">
        <v>1150</v>
      </c>
      <c r="G78" s="29">
        <v>1125</v>
      </c>
      <c r="H78" s="29">
        <v>3000</v>
      </c>
      <c r="I78" s="29">
        <v>850</v>
      </c>
      <c r="J78" s="29">
        <v>2595000</v>
      </c>
      <c r="K78" s="29">
        <v>187</v>
      </c>
      <c r="L78" s="29">
        <v>245</v>
      </c>
      <c r="N78" s="34"/>
      <c r="O78" s="29">
        <f t="shared" si="11"/>
        <v>216</v>
      </c>
      <c r="P78" s="32" cm="1">
        <f t="array" ref="P78">WPNFACTOR(C78)</f>
        <v>2</v>
      </c>
      <c r="Q78" s="34" cm="1">
        <f t="array" ref="Q78">HPFACTOr(C78)</f>
        <v>5</v>
      </c>
      <c r="R78" s="33">
        <f t="shared" si="12"/>
        <v>108</v>
      </c>
      <c r="S78" s="34">
        <f t="shared" si="13"/>
        <v>519000</v>
      </c>
      <c r="T78" s="33">
        <f t="shared" si="14"/>
        <v>108</v>
      </c>
      <c r="U78" s="42">
        <f t="shared" si="15"/>
        <v>519000</v>
      </c>
      <c r="V78" s="44"/>
      <c r="W78" s="29">
        <f t="shared" si="17"/>
        <v>56052000</v>
      </c>
      <c r="X78" s="41">
        <f t="shared" si="16"/>
        <v>25.740262515183435</v>
      </c>
      <c r="Y78" s="33">
        <f t="shared" si="18"/>
        <v>86.526229338338482</v>
      </c>
      <c r="Z78" s="33">
        <v>1.33</v>
      </c>
      <c r="AA78" s="29">
        <f t="shared" si="19"/>
        <v>115.07988501999019</v>
      </c>
      <c r="AB78" s="33">
        <f t="shared" si="20"/>
        <v>382.70461946911405</v>
      </c>
      <c r="AC78" s="29">
        <v>102</v>
      </c>
      <c r="AD78" s="46">
        <f t="shared" si="21"/>
        <v>0.26652408884296691</v>
      </c>
    </row>
    <row r="79" spans="1:30" x14ac:dyDescent="0.2">
      <c r="A79" s="30" t="s">
        <v>8847</v>
      </c>
      <c r="B79" s="29">
        <v>8</v>
      </c>
      <c r="C79" s="29">
        <v>3</v>
      </c>
      <c r="D79" s="29">
        <v>180</v>
      </c>
      <c r="E79" s="29">
        <v>870</v>
      </c>
      <c r="F79" s="29">
        <v>3440</v>
      </c>
      <c r="G79" s="29">
        <v>860</v>
      </c>
      <c r="H79" s="29">
        <v>3160</v>
      </c>
      <c r="I79" s="29">
        <v>1275</v>
      </c>
      <c r="J79" s="29">
        <v>2287840</v>
      </c>
      <c r="K79" s="29">
        <v>216</v>
      </c>
      <c r="L79" s="29">
        <v>346</v>
      </c>
      <c r="N79" s="34"/>
      <c r="O79" s="29">
        <f t="shared" si="11"/>
        <v>281</v>
      </c>
      <c r="P79" s="32" cm="1">
        <f t="array" ref="P79">WPNFACTOR(C79)</f>
        <v>2.5</v>
      </c>
      <c r="Q79" s="34" cm="1">
        <f t="array" ref="Q79">HPFACTOr(C79)</f>
        <v>4</v>
      </c>
      <c r="R79" s="33">
        <f t="shared" si="12"/>
        <v>112.4</v>
      </c>
      <c r="S79" s="34">
        <f t="shared" si="13"/>
        <v>571960</v>
      </c>
      <c r="T79" s="33">
        <f t="shared" si="14"/>
        <v>112.4</v>
      </c>
      <c r="U79" s="42">
        <f t="shared" si="15"/>
        <v>571960</v>
      </c>
      <c r="V79" s="44"/>
      <c r="W79" s="29">
        <f t="shared" si="17"/>
        <v>64288304</v>
      </c>
      <c r="X79" s="41">
        <f t="shared" si="16"/>
        <v>25.938052955481236</v>
      </c>
      <c r="Y79" s="33">
        <f t="shared" si="18"/>
        <v>89.543278657898668</v>
      </c>
      <c r="Z79" s="33">
        <v>1.33</v>
      </c>
      <c r="AA79" s="29">
        <f t="shared" si="19"/>
        <v>119.09256061500524</v>
      </c>
      <c r="AB79" s="33">
        <f t="shared" si="20"/>
        <v>400.59973368270676</v>
      </c>
      <c r="AC79" s="29">
        <v>104</v>
      </c>
      <c r="AD79" s="46">
        <f t="shared" si="21"/>
        <v>0.25961075671201705</v>
      </c>
    </row>
    <row r="80" spans="1:30" x14ac:dyDescent="0.2">
      <c r="A80" s="30" t="s">
        <v>8847</v>
      </c>
      <c r="B80" s="29">
        <v>9</v>
      </c>
      <c r="C80" s="29">
        <v>2</v>
      </c>
      <c r="D80" s="29">
        <v>185</v>
      </c>
      <c r="E80" s="29">
        <v>875</v>
      </c>
      <c r="F80" s="29">
        <v>895</v>
      </c>
      <c r="G80" s="29">
        <v>3620</v>
      </c>
      <c r="H80" s="29">
        <v>3180</v>
      </c>
      <c r="I80" s="29">
        <v>1305</v>
      </c>
      <c r="J80" s="29">
        <v>1182960</v>
      </c>
      <c r="K80" s="29">
        <v>429</v>
      </c>
      <c r="L80" s="29">
        <v>608</v>
      </c>
      <c r="N80" s="34"/>
      <c r="O80" s="29">
        <f t="shared" si="11"/>
        <v>518.5</v>
      </c>
      <c r="P80" s="32" cm="1">
        <f t="array" ref="P80">WPNFACTOR(C80)</f>
        <v>4.5</v>
      </c>
      <c r="Q80" s="34" cm="1">
        <f t="array" ref="Q80">HPFACTOr(C80)</f>
        <v>2</v>
      </c>
      <c r="R80" s="33">
        <f t="shared" si="12"/>
        <v>115.22222222222223</v>
      </c>
      <c r="S80" s="34">
        <f t="shared" si="13"/>
        <v>591480</v>
      </c>
      <c r="T80" s="33">
        <f t="shared" si="14"/>
        <v>115.22222222222223</v>
      </c>
      <c r="U80" s="42">
        <f t="shared" si="15"/>
        <v>591480</v>
      </c>
      <c r="V80" s="44"/>
      <c r="W80" s="29">
        <f t="shared" si="17"/>
        <v>68151640</v>
      </c>
      <c r="X80" s="41">
        <f t="shared" si="16"/>
        <v>26.022245038650667</v>
      </c>
      <c r="Y80" s="33">
        <f t="shared" si="18"/>
        <v>90.859235394867483</v>
      </c>
      <c r="Z80" s="33">
        <v>1.33</v>
      </c>
      <c r="AA80" s="29">
        <f t="shared" si="19"/>
        <v>120.84278307517376</v>
      </c>
      <c r="AB80" s="33">
        <f t="shared" si="20"/>
        <v>408.46868797038383</v>
      </c>
      <c r="AC80" s="29">
        <v>106</v>
      </c>
      <c r="AD80" s="46">
        <f t="shared" si="21"/>
        <v>0.25950581555393437</v>
      </c>
    </row>
    <row r="81" spans="1:30" x14ac:dyDescent="0.2">
      <c r="A81" s="30" t="s">
        <v>8847</v>
      </c>
      <c r="B81" s="29">
        <v>10</v>
      </c>
      <c r="C81" s="29">
        <v>2</v>
      </c>
      <c r="D81" s="29">
        <v>200</v>
      </c>
      <c r="E81" s="29">
        <v>950</v>
      </c>
      <c r="F81" s="29">
        <v>970</v>
      </c>
      <c r="G81" s="29">
        <v>3920</v>
      </c>
      <c r="H81" s="29">
        <v>3480</v>
      </c>
      <c r="I81" s="29">
        <v>1410</v>
      </c>
      <c r="J81" s="29">
        <v>1398960</v>
      </c>
      <c r="K81" s="29">
        <v>459</v>
      </c>
      <c r="L81" s="29">
        <v>645</v>
      </c>
      <c r="N81" s="34"/>
      <c r="O81" s="29">
        <f t="shared" si="11"/>
        <v>552</v>
      </c>
      <c r="P81" s="32" cm="1">
        <f t="array" ref="P81">WPNFACTOR(C81)</f>
        <v>4.5</v>
      </c>
      <c r="Q81" s="34" cm="1">
        <f t="array" ref="Q81">HPFACTOr(C81)</f>
        <v>2</v>
      </c>
      <c r="R81" s="33">
        <f t="shared" si="12"/>
        <v>122.66666666666667</v>
      </c>
      <c r="S81" s="34">
        <f t="shared" si="13"/>
        <v>699480</v>
      </c>
      <c r="T81" s="33">
        <f t="shared" si="14"/>
        <v>122.66666666666667</v>
      </c>
      <c r="U81" s="42">
        <f t="shared" si="15"/>
        <v>699480</v>
      </c>
      <c r="V81" s="44"/>
      <c r="W81" s="29">
        <f t="shared" si="17"/>
        <v>85802880</v>
      </c>
      <c r="X81" s="41">
        <f t="shared" si="16"/>
        <v>26.354522737250875</v>
      </c>
      <c r="Y81" s="33">
        <f t="shared" si="18"/>
        <v>96.24439931907277</v>
      </c>
      <c r="Z81" s="33">
        <v>1.33</v>
      </c>
      <c r="AA81" s="29">
        <f t="shared" si="19"/>
        <v>128.00505109436679</v>
      </c>
      <c r="AB81" s="33">
        <f t="shared" si="20"/>
        <v>441.06299458501593</v>
      </c>
      <c r="AC81" s="29">
        <v>108</v>
      </c>
      <c r="AD81" s="46">
        <f t="shared" si="21"/>
        <v>0.24486298176434917</v>
      </c>
    </row>
    <row r="82" spans="1:30" x14ac:dyDescent="0.2">
      <c r="A82" s="30" t="s">
        <v>8848</v>
      </c>
      <c r="B82" s="29">
        <v>1</v>
      </c>
      <c r="C82" s="29">
        <v>1</v>
      </c>
      <c r="D82" s="29">
        <v>152</v>
      </c>
      <c r="E82" s="29">
        <v>2880</v>
      </c>
      <c r="F82" s="29">
        <v>1000</v>
      </c>
      <c r="G82" s="29">
        <v>975</v>
      </c>
      <c r="H82" s="29">
        <v>2600</v>
      </c>
      <c r="I82" s="29">
        <v>750</v>
      </c>
      <c r="J82" s="29">
        <v>1989000</v>
      </c>
      <c r="K82" s="29">
        <v>167</v>
      </c>
      <c r="L82" s="29">
        <v>225</v>
      </c>
      <c r="N82" s="34"/>
      <c r="O82" s="29">
        <f t="shared" si="11"/>
        <v>196</v>
      </c>
      <c r="P82" s="32" cm="1">
        <f t="array" ref="P82">WPNFACTOR(C82)</f>
        <v>2</v>
      </c>
      <c r="Q82" s="34" cm="1">
        <f t="array" ref="Q82">HPFACTOr(C82)</f>
        <v>5</v>
      </c>
      <c r="R82" s="33">
        <f t="shared" si="12"/>
        <v>98</v>
      </c>
      <c r="S82" s="34">
        <f t="shared" si="13"/>
        <v>397800</v>
      </c>
      <c r="T82" s="33">
        <f t="shared" si="14"/>
        <v>98</v>
      </c>
      <c r="U82" s="42">
        <f t="shared" si="15"/>
        <v>397800</v>
      </c>
      <c r="V82" s="44"/>
      <c r="W82" s="29">
        <f t="shared" si="17"/>
        <v>38984400</v>
      </c>
      <c r="X82" s="41">
        <f t="shared" si="16"/>
        <v>25.216393594723677</v>
      </c>
      <c r="Y82" s="33">
        <f t="shared" si="18"/>
        <v>79.017396020583803</v>
      </c>
      <c r="Z82" s="33">
        <v>1.33</v>
      </c>
      <c r="AA82" s="29">
        <f t="shared" si="19"/>
        <v>105.09313670737646</v>
      </c>
      <c r="AB82" s="33">
        <f t="shared" si="20"/>
        <v>339.07592211868274</v>
      </c>
      <c r="AC82" s="29">
        <v>110</v>
      </c>
      <c r="AD82" s="46">
        <f t="shared" si="21"/>
        <v>0.32441112100403874</v>
      </c>
    </row>
    <row r="83" spans="1:30" x14ac:dyDescent="0.2">
      <c r="A83" s="30" t="s">
        <v>8848</v>
      </c>
      <c r="B83" s="29">
        <v>2</v>
      </c>
      <c r="C83" s="29">
        <v>2</v>
      </c>
      <c r="D83" s="29">
        <v>156</v>
      </c>
      <c r="E83" s="29">
        <v>730</v>
      </c>
      <c r="F83" s="29">
        <v>750</v>
      </c>
      <c r="G83" s="29">
        <v>3040</v>
      </c>
      <c r="H83" s="29">
        <v>2600</v>
      </c>
      <c r="I83" s="29">
        <v>1090</v>
      </c>
      <c r="J83" s="29">
        <v>816400</v>
      </c>
      <c r="K83" s="29">
        <v>374</v>
      </c>
      <c r="L83" s="29">
        <v>536</v>
      </c>
      <c r="N83" s="34"/>
      <c r="O83" s="29">
        <f t="shared" si="11"/>
        <v>455</v>
      </c>
      <c r="P83" s="32" cm="1">
        <f t="array" ref="P83">WPNFACTOR(C83)</f>
        <v>4.5</v>
      </c>
      <c r="Q83" s="34" cm="1">
        <f t="array" ref="Q83">HPFACTOr(C83)</f>
        <v>2</v>
      </c>
      <c r="R83" s="33">
        <f t="shared" si="12"/>
        <v>101.11111111111111</v>
      </c>
      <c r="S83" s="34">
        <f t="shared" si="13"/>
        <v>408200</v>
      </c>
      <c r="T83" s="33">
        <f t="shared" si="14"/>
        <v>101.11111111111111</v>
      </c>
      <c r="U83" s="42">
        <f t="shared" si="15"/>
        <v>408200</v>
      </c>
      <c r="V83" s="44"/>
      <c r="W83" s="29">
        <f t="shared" si="17"/>
        <v>41273555.55555556</v>
      </c>
      <c r="X83" s="41">
        <f t="shared" si="16"/>
        <v>25.298714390451192</v>
      </c>
      <c r="Y83" s="33">
        <f t="shared" si="18"/>
        <v>80.152665739359776</v>
      </c>
      <c r="Z83" s="33">
        <v>1.33</v>
      </c>
      <c r="AA83" s="29">
        <f t="shared" si="19"/>
        <v>106.60304543334851</v>
      </c>
      <c r="AB83" s="33">
        <f t="shared" si="20"/>
        <v>345.58691822117123</v>
      </c>
      <c r="AC83" s="29">
        <v>111</v>
      </c>
      <c r="AD83" s="46">
        <f t="shared" si="21"/>
        <v>0.32119271346076073</v>
      </c>
    </row>
    <row r="84" spans="1:30" x14ac:dyDescent="0.2">
      <c r="A84" s="30" t="s">
        <v>8848</v>
      </c>
      <c r="B84" s="29">
        <v>3</v>
      </c>
      <c r="C84" s="29">
        <v>3</v>
      </c>
      <c r="D84" s="29">
        <v>160</v>
      </c>
      <c r="E84" s="29">
        <v>770</v>
      </c>
      <c r="F84" s="29">
        <v>3040</v>
      </c>
      <c r="G84" s="29">
        <v>760</v>
      </c>
      <c r="H84" s="29">
        <v>2760</v>
      </c>
      <c r="I84" s="29">
        <v>1125</v>
      </c>
      <c r="J84" s="29">
        <v>1777440</v>
      </c>
      <c r="K84" s="29">
        <v>196</v>
      </c>
      <c r="L84" s="29">
        <v>316</v>
      </c>
      <c r="N84" s="34"/>
      <c r="O84" s="29">
        <f t="shared" si="11"/>
        <v>256</v>
      </c>
      <c r="P84" s="32" cm="1">
        <f t="array" ref="P84">WPNFACTOR(C84)</f>
        <v>2.5</v>
      </c>
      <c r="Q84" s="34" cm="1">
        <f t="array" ref="Q84">HPFACTOr(C84)</f>
        <v>4</v>
      </c>
      <c r="R84" s="33">
        <f t="shared" si="12"/>
        <v>102.4</v>
      </c>
      <c r="S84" s="34">
        <f t="shared" si="13"/>
        <v>444360</v>
      </c>
      <c r="T84" s="33">
        <f t="shared" si="14"/>
        <v>102.4</v>
      </c>
      <c r="U84" s="42">
        <f t="shared" si="15"/>
        <v>444360</v>
      </c>
      <c r="V84" s="44"/>
      <c r="W84" s="29">
        <f t="shared" si="17"/>
        <v>45502464</v>
      </c>
      <c r="X84" s="41">
        <f t="shared" si="16"/>
        <v>25.439441334892788</v>
      </c>
      <c r="Y84" s="33">
        <f t="shared" si="18"/>
        <v>82.131305986055025</v>
      </c>
      <c r="Z84" s="33">
        <v>1.33</v>
      </c>
      <c r="AA84" s="29">
        <f t="shared" si="19"/>
        <v>109.23463696145319</v>
      </c>
      <c r="AB84" s="33">
        <f t="shared" si="20"/>
        <v>357.00829332082367</v>
      </c>
      <c r="AC84" s="29">
        <v>112</v>
      </c>
      <c r="AD84" s="46">
        <f t="shared" si="21"/>
        <v>0.31371820233697423</v>
      </c>
    </row>
    <row r="85" spans="1:30" x14ac:dyDescent="0.2">
      <c r="A85" s="30" t="s">
        <v>8848</v>
      </c>
      <c r="B85" s="29">
        <v>4</v>
      </c>
      <c r="C85" s="29">
        <v>1</v>
      </c>
      <c r="D85" s="29">
        <v>162</v>
      </c>
      <c r="E85" s="29">
        <v>3080</v>
      </c>
      <c r="F85" s="29">
        <v>1075</v>
      </c>
      <c r="G85" s="29">
        <v>1050</v>
      </c>
      <c r="H85" s="29">
        <v>2800</v>
      </c>
      <c r="I85" s="29">
        <v>800</v>
      </c>
      <c r="J85" s="29">
        <v>2282000</v>
      </c>
      <c r="K85" s="29">
        <v>177</v>
      </c>
      <c r="L85" s="29">
        <v>235</v>
      </c>
      <c r="N85" s="34"/>
      <c r="O85" s="29">
        <f t="shared" si="11"/>
        <v>206</v>
      </c>
      <c r="P85" s="32" cm="1">
        <f t="array" ref="P85">WPNFACTOR(C85)</f>
        <v>2</v>
      </c>
      <c r="Q85" s="34" cm="1">
        <f t="array" ref="Q85">HPFACTOr(C85)</f>
        <v>5</v>
      </c>
      <c r="R85" s="33">
        <f t="shared" si="12"/>
        <v>103</v>
      </c>
      <c r="S85" s="34">
        <f t="shared" si="13"/>
        <v>456400</v>
      </c>
      <c r="T85" s="33">
        <f t="shared" si="14"/>
        <v>103</v>
      </c>
      <c r="U85" s="42">
        <f t="shared" si="15"/>
        <v>456400</v>
      </c>
      <c r="V85" s="44"/>
      <c r="W85" s="29">
        <f t="shared" si="17"/>
        <v>47009200</v>
      </c>
      <c r="X85" s="41">
        <f t="shared" si="16"/>
        <v>25.486439793246628</v>
      </c>
      <c r="Y85" s="33">
        <f t="shared" si="18"/>
        <v>82.80293199235166</v>
      </c>
      <c r="Z85" s="33">
        <v>1.33</v>
      </c>
      <c r="AA85" s="29">
        <f t="shared" si="19"/>
        <v>110.12789954982772</v>
      </c>
      <c r="AB85" s="33">
        <f t="shared" si="20"/>
        <v>360.90615342795007</v>
      </c>
      <c r="AC85" s="29">
        <v>112</v>
      </c>
      <c r="AD85" s="46">
        <f t="shared" si="21"/>
        <v>0.31032998173127369</v>
      </c>
    </row>
    <row r="86" spans="1:30" x14ac:dyDescent="0.2">
      <c r="A86" s="30" t="s">
        <v>8848</v>
      </c>
      <c r="B86" s="29">
        <v>5</v>
      </c>
      <c r="C86" s="29">
        <v>2</v>
      </c>
      <c r="D86" s="29">
        <v>166</v>
      </c>
      <c r="E86" s="29">
        <v>780</v>
      </c>
      <c r="F86" s="29">
        <v>800</v>
      </c>
      <c r="G86" s="29">
        <v>3240</v>
      </c>
      <c r="H86" s="29">
        <v>2800</v>
      </c>
      <c r="I86" s="29">
        <v>1165</v>
      </c>
      <c r="J86" s="29">
        <v>935200</v>
      </c>
      <c r="K86" s="29">
        <v>391</v>
      </c>
      <c r="L86" s="29">
        <v>562</v>
      </c>
      <c r="N86" s="34"/>
      <c r="O86" s="29">
        <f t="shared" si="11"/>
        <v>476.5</v>
      </c>
      <c r="P86" s="32" cm="1">
        <f t="array" ref="P86">WPNFACTOR(C86)</f>
        <v>4.5</v>
      </c>
      <c r="Q86" s="34" cm="1">
        <f t="array" ref="Q86">HPFACTOr(C86)</f>
        <v>2</v>
      </c>
      <c r="R86" s="33">
        <f t="shared" si="12"/>
        <v>105.88888888888889</v>
      </c>
      <c r="S86" s="34">
        <f t="shared" si="13"/>
        <v>467600</v>
      </c>
      <c r="T86" s="33">
        <f t="shared" si="14"/>
        <v>105.88888888888889</v>
      </c>
      <c r="U86" s="42">
        <f t="shared" si="15"/>
        <v>467600</v>
      </c>
      <c r="V86" s="44"/>
      <c r="W86" s="29">
        <f t="shared" si="17"/>
        <v>49513644.44444444</v>
      </c>
      <c r="X86" s="41">
        <f t="shared" si="16"/>
        <v>25.561322806774008</v>
      </c>
      <c r="Y86" s="33">
        <f t="shared" si="18"/>
        <v>83.884404041314355</v>
      </c>
      <c r="Z86" s="33">
        <v>1.33</v>
      </c>
      <c r="AA86" s="29">
        <f t="shared" si="19"/>
        <v>111.56625737494809</v>
      </c>
      <c r="AB86" s="33">
        <f t="shared" si="20"/>
        <v>367.2047563306686</v>
      </c>
      <c r="AC86" s="29">
        <v>113</v>
      </c>
      <c r="AD86" s="46">
        <f t="shared" si="21"/>
        <v>0.30773021877266554</v>
      </c>
    </row>
    <row r="87" spans="1:30" x14ac:dyDescent="0.2">
      <c r="A87" s="30" t="s">
        <v>8848</v>
      </c>
      <c r="B87" s="29">
        <v>6</v>
      </c>
      <c r="C87" s="29">
        <v>1</v>
      </c>
      <c r="D87" s="29">
        <v>174</v>
      </c>
      <c r="E87" s="29">
        <v>3320</v>
      </c>
      <c r="F87" s="29">
        <v>1165</v>
      </c>
      <c r="G87" s="29">
        <v>1140</v>
      </c>
      <c r="H87" s="29">
        <v>3040</v>
      </c>
      <c r="I87" s="29">
        <v>860</v>
      </c>
      <c r="J87" s="29">
        <v>2660000</v>
      </c>
      <c r="K87" s="29">
        <v>189</v>
      </c>
      <c r="L87" s="29">
        <v>247</v>
      </c>
      <c r="N87" s="34"/>
      <c r="O87" s="29">
        <f t="shared" si="11"/>
        <v>218</v>
      </c>
      <c r="P87" s="32" cm="1">
        <f t="array" ref="P87">WPNFACTOR(C87)</f>
        <v>2</v>
      </c>
      <c r="Q87" s="34" cm="1">
        <f t="array" ref="Q87">HPFACTOr(C87)</f>
        <v>5</v>
      </c>
      <c r="R87" s="33">
        <f t="shared" si="12"/>
        <v>109</v>
      </c>
      <c r="S87" s="34">
        <f t="shared" si="13"/>
        <v>532000</v>
      </c>
      <c r="T87" s="33">
        <f t="shared" si="14"/>
        <v>109</v>
      </c>
      <c r="U87" s="42">
        <f t="shared" si="15"/>
        <v>532000</v>
      </c>
      <c r="V87" s="44"/>
      <c r="W87" s="29">
        <f t="shared" si="17"/>
        <v>57988000</v>
      </c>
      <c r="X87" s="41">
        <f t="shared" si="16"/>
        <v>25.789251044940205</v>
      </c>
      <c r="Y87" s="33">
        <f t="shared" si="18"/>
        <v>87.263882715085899</v>
      </c>
      <c r="Z87" s="33">
        <v>1.33</v>
      </c>
      <c r="AA87" s="29">
        <f t="shared" si="19"/>
        <v>116.06096401106426</v>
      </c>
      <c r="AB87" s="33">
        <f t="shared" si="20"/>
        <v>387.06096652051542</v>
      </c>
      <c r="AC87" s="29">
        <v>114</v>
      </c>
      <c r="AD87" s="46">
        <f t="shared" si="21"/>
        <v>0.29452724469946689</v>
      </c>
    </row>
    <row r="88" spans="1:30" x14ac:dyDescent="0.2">
      <c r="A88" s="30" t="s">
        <v>8848</v>
      </c>
      <c r="B88" s="29">
        <v>7</v>
      </c>
      <c r="C88" s="29">
        <v>3</v>
      </c>
      <c r="D88" s="29">
        <v>176</v>
      </c>
      <c r="E88" s="29">
        <v>850</v>
      </c>
      <c r="F88" s="29">
        <v>3360</v>
      </c>
      <c r="G88" s="29">
        <v>840</v>
      </c>
      <c r="H88" s="29">
        <v>3080</v>
      </c>
      <c r="I88" s="29">
        <v>1245</v>
      </c>
      <c r="J88" s="29">
        <v>2180640</v>
      </c>
      <c r="K88" s="29">
        <v>212</v>
      </c>
      <c r="L88" s="29">
        <v>340</v>
      </c>
      <c r="N88" s="34"/>
      <c r="O88" s="29">
        <f t="shared" si="11"/>
        <v>276</v>
      </c>
      <c r="P88" s="32" cm="1">
        <f t="array" ref="P88">WPNFACTOR(C88)</f>
        <v>2.5</v>
      </c>
      <c r="Q88" s="34" cm="1">
        <f t="array" ref="Q88">HPFACTOr(C88)</f>
        <v>4</v>
      </c>
      <c r="R88" s="33">
        <f t="shared" si="12"/>
        <v>110.4</v>
      </c>
      <c r="S88" s="34">
        <f t="shared" si="13"/>
        <v>545160</v>
      </c>
      <c r="T88" s="33">
        <f t="shared" si="14"/>
        <v>110.4</v>
      </c>
      <c r="U88" s="42">
        <f t="shared" si="15"/>
        <v>545160</v>
      </c>
      <c r="V88" s="44"/>
      <c r="W88" s="29">
        <f t="shared" si="17"/>
        <v>60185664</v>
      </c>
      <c r="X88" s="41">
        <f t="shared" si="16"/>
        <v>25.842916547556069</v>
      </c>
      <c r="Y88" s="33">
        <f t="shared" si="18"/>
        <v>88.079180259257527</v>
      </c>
      <c r="Z88" s="33">
        <v>1.33</v>
      </c>
      <c r="AA88" s="29">
        <f t="shared" si="19"/>
        <v>117.14530974481252</v>
      </c>
      <c r="AB88" s="33">
        <f t="shared" si="20"/>
        <v>391.89015386710827</v>
      </c>
      <c r="AC88" s="29">
        <v>115</v>
      </c>
      <c r="AD88" s="46">
        <f t="shared" si="21"/>
        <v>0.29344957729914545</v>
      </c>
    </row>
    <row r="89" spans="1:30" x14ac:dyDescent="0.2">
      <c r="A89" s="30" t="s">
        <v>8848</v>
      </c>
      <c r="B89" s="29">
        <v>8</v>
      </c>
      <c r="C89" s="29">
        <v>3</v>
      </c>
      <c r="D89" s="29">
        <v>178</v>
      </c>
      <c r="E89" s="29">
        <v>860</v>
      </c>
      <c r="F89" s="29">
        <v>3400</v>
      </c>
      <c r="G89" s="29">
        <v>850</v>
      </c>
      <c r="H89" s="29">
        <v>3120</v>
      </c>
      <c r="I89" s="29">
        <v>1260</v>
      </c>
      <c r="J89" s="29">
        <v>2233920</v>
      </c>
      <c r="K89" s="29">
        <v>214</v>
      </c>
      <c r="L89" s="29">
        <v>343</v>
      </c>
      <c r="N89" s="34"/>
      <c r="O89" s="29">
        <f t="shared" si="11"/>
        <v>278.5</v>
      </c>
      <c r="P89" s="32" cm="1">
        <f t="array" ref="P89">WPNFACTOR(C89)</f>
        <v>2.5</v>
      </c>
      <c r="Q89" s="34" cm="1">
        <f t="array" ref="Q89">HPFACTOr(C89)</f>
        <v>4</v>
      </c>
      <c r="R89" s="33">
        <f t="shared" si="12"/>
        <v>111.4</v>
      </c>
      <c r="S89" s="34">
        <f t="shared" si="13"/>
        <v>558480</v>
      </c>
      <c r="T89" s="33">
        <f t="shared" si="14"/>
        <v>111.4</v>
      </c>
      <c r="U89" s="42">
        <f t="shared" si="15"/>
        <v>558480</v>
      </c>
      <c r="V89" s="44"/>
      <c r="W89" s="29">
        <f t="shared" si="17"/>
        <v>62214672</v>
      </c>
      <c r="X89" s="41">
        <f t="shared" si="16"/>
        <v>25.890751513466537</v>
      </c>
      <c r="Y89" s="33">
        <f t="shared" si="18"/>
        <v>88.812317728254783</v>
      </c>
      <c r="Z89" s="33">
        <v>1.33</v>
      </c>
      <c r="AA89" s="29">
        <f t="shared" si="19"/>
        <v>118.12038257857887</v>
      </c>
      <c r="AB89" s="33">
        <f t="shared" si="20"/>
        <v>396.24543503649068</v>
      </c>
      <c r="AC89" s="29">
        <v>116</v>
      </c>
      <c r="AD89" s="46">
        <f t="shared" si="21"/>
        <v>0.29274785207132403</v>
      </c>
    </row>
    <row r="90" spans="1:30" x14ac:dyDescent="0.2">
      <c r="A90" s="30" t="s">
        <v>8848</v>
      </c>
      <c r="B90" s="29">
        <v>9</v>
      </c>
      <c r="C90" s="29">
        <v>2</v>
      </c>
      <c r="D90" s="29">
        <v>190</v>
      </c>
      <c r="E90" s="29">
        <v>900</v>
      </c>
      <c r="F90" s="29">
        <v>920</v>
      </c>
      <c r="G90" s="29">
        <v>3720</v>
      </c>
      <c r="H90" s="29">
        <v>3280</v>
      </c>
      <c r="I90" s="29">
        <v>1340</v>
      </c>
      <c r="J90" s="29">
        <v>1252960</v>
      </c>
      <c r="K90" s="29">
        <v>439</v>
      </c>
      <c r="L90" s="29">
        <v>621</v>
      </c>
      <c r="N90" s="34"/>
      <c r="O90" s="29">
        <f t="shared" si="11"/>
        <v>530</v>
      </c>
      <c r="P90" s="32" cm="1">
        <f t="array" ref="P90">WPNFACTOR(C90)</f>
        <v>4.5</v>
      </c>
      <c r="Q90" s="34" cm="1">
        <f t="array" ref="Q90">HPFACTOr(C90)</f>
        <v>2</v>
      </c>
      <c r="R90" s="33">
        <f t="shared" si="12"/>
        <v>117.77777777777777</v>
      </c>
      <c r="S90" s="34">
        <f t="shared" si="13"/>
        <v>626480</v>
      </c>
      <c r="T90" s="33">
        <f t="shared" si="14"/>
        <v>117.77777777777777</v>
      </c>
      <c r="U90" s="42">
        <f t="shared" si="15"/>
        <v>626480</v>
      </c>
      <c r="V90" s="44"/>
      <c r="W90" s="29">
        <f t="shared" si="17"/>
        <v>73785422.222222224</v>
      </c>
      <c r="X90" s="41">
        <f t="shared" si="16"/>
        <v>26.136832475549447</v>
      </c>
      <c r="Y90" s="33">
        <f t="shared" si="18"/>
        <v>92.681412012289897</v>
      </c>
      <c r="Z90" s="33">
        <v>1.33</v>
      </c>
      <c r="AA90" s="29">
        <f t="shared" si="19"/>
        <v>123.26627797634556</v>
      </c>
      <c r="AB90" s="33">
        <f t="shared" si="20"/>
        <v>419.42745535263879</v>
      </c>
      <c r="AC90" s="29">
        <v>118</v>
      </c>
      <c r="AD90" s="46">
        <f t="shared" si="21"/>
        <v>0.28133589848282597</v>
      </c>
    </row>
    <row r="91" spans="1:30" x14ac:dyDescent="0.2">
      <c r="A91" s="30" t="s">
        <v>8848</v>
      </c>
      <c r="B91" s="29">
        <v>10</v>
      </c>
      <c r="C91" s="29">
        <v>2</v>
      </c>
      <c r="D91" s="29">
        <v>190</v>
      </c>
      <c r="E91" s="29">
        <v>900</v>
      </c>
      <c r="F91" s="29">
        <v>920</v>
      </c>
      <c r="G91" s="29">
        <v>3720</v>
      </c>
      <c r="H91" s="29">
        <v>3280</v>
      </c>
      <c r="I91" s="29">
        <v>1340</v>
      </c>
      <c r="J91" s="29">
        <v>1252960</v>
      </c>
      <c r="K91" s="29">
        <v>439</v>
      </c>
      <c r="L91" s="29">
        <v>621</v>
      </c>
      <c r="N91" s="34"/>
      <c r="O91" s="29">
        <f t="shared" ref="O91" si="22">AVERAGE(K91, L91)</f>
        <v>530</v>
      </c>
      <c r="P91" s="32" cm="1">
        <f t="array" ref="P91">WPNFACTOR(C91)</f>
        <v>4.5</v>
      </c>
      <c r="Q91" s="34" cm="1">
        <f t="array" ref="Q91">HPFACTOr(C91)</f>
        <v>2</v>
      </c>
      <c r="R91" s="33">
        <f t="shared" ref="R91" si="23">O91/P91</f>
        <v>117.77777777777777</v>
      </c>
      <c r="S91" s="34">
        <f t="shared" ref="S91" si="24">J91/Q91</f>
        <v>626480</v>
      </c>
      <c r="T91" s="33">
        <f t="shared" ref="T91" si="25">R91*(1 + (N91/400))</f>
        <v>117.77777777777777</v>
      </c>
      <c r="U91" s="42">
        <f t="shared" ref="U91" si="26">S91*1.6/(1 + (0.6*(1 - (M91/100))))</f>
        <v>626480</v>
      </c>
      <c r="V91" s="44"/>
      <c r="W91" s="29">
        <f t="shared" ref="W91" si="27">T91*U91</f>
        <v>73785422.222222224</v>
      </c>
      <c r="X91" s="41">
        <f t="shared" si="16"/>
        <v>26.136832475549447</v>
      </c>
      <c r="Y91" s="33">
        <f t="shared" ref="Y91" si="28">POWER(W91, 1/4)</f>
        <v>92.681412012289897</v>
      </c>
      <c r="Z91" s="33">
        <v>1.33</v>
      </c>
      <c r="AA91" s="29">
        <f t="shared" ref="AA91" si="29">Y91*Z91</f>
        <v>123.26627797634556</v>
      </c>
      <c r="AB91" s="33">
        <f t="shared" ref="AB91" si="30">POWER(W91, 1/$AB$1)</f>
        <v>419.42745535263879</v>
      </c>
      <c r="AC91" s="29">
        <v>119</v>
      </c>
      <c r="AD91" s="46">
        <f t="shared" ref="AD91" si="31">IF(AC91 = "", ,AC91/AB91)</f>
        <v>0.28372010101234141</v>
      </c>
    </row>
    <row r="92" spans="1:30" x14ac:dyDescent="0.2">
      <c r="A92" s="30" t="s">
        <v>8849</v>
      </c>
      <c r="B92" s="29">
        <v>1</v>
      </c>
      <c r="C92" s="29">
        <v>3</v>
      </c>
      <c r="D92" s="29">
        <v>205</v>
      </c>
      <c r="E92" s="29">
        <v>995</v>
      </c>
      <c r="F92" s="29">
        <v>3940</v>
      </c>
      <c r="G92" s="29">
        <v>985</v>
      </c>
      <c r="H92" s="29">
        <v>3660</v>
      </c>
      <c r="I92" s="29">
        <v>1450</v>
      </c>
      <c r="J92" s="29">
        <v>3015840</v>
      </c>
      <c r="K92" s="29">
        <v>241</v>
      </c>
      <c r="L92" s="29">
        <v>386</v>
      </c>
      <c r="N92" s="34"/>
      <c r="O92" s="29">
        <f t="shared" si="11"/>
        <v>313.5</v>
      </c>
      <c r="P92" s="32" cm="1">
        <f t="array" ref="P92">WPNFACTOR(C92)</f>
        <v>2.5</v>
      </c>
      <c r="Q92" s="34" cm="1">
        <f t="array" ref="Q92">HPFACTOr(C92)</f>
        <v>4</v>
      </c>
      <c r="R92" s="33">
        <f t="shared" si="12"/>
        <v>125.4</v>
      </c>
      <c r="S92" s="34">
        <f t="shared" si="13"/>
        <v>753960</v>
      </c>
      <c r="T92" s="33">
        <f t="shared" si="14"/>
        <v>125.4</v>
      </c>
      <c r="U92" s="42">
        <f t="shared" si="15"/>
        <v>753960</v>
      </c>
      <c r="V92" s="44"/>
      <c r="W92" s="29">
        <f t="shared" si="17"/>
        <v>94546584</v>
      </c>
      <c r="X92" s="41">
        <f t="shared" si="16"/>
        <v>26.494521998269303</v>
      </c>
      <c r="Y92" s="33">
        <f t="shared" si="18"/>
        <v>98.607843373747514</v>
      </c>
      <c r="Z92" s="33">
        <v>1.33</v>
      </c>
      <c r="AA92" s="29">
        <f t="shared" si="19"/>
        <v>131.14843168708421</v>
      </c>
      <c r="AB92" s="33">
        <f t="shared" si="20"/>
        <v>455.56317817460996</v>
      </c>
      <c r="AC92" s="29">
        <v>119</v>
      </c>
      <c r="AD92" s="46">
        <f t="shared" si="21"/>
        <v>0.26121514139228619</v>
      </c>
    </row>
    <row r="93" spans="1:30" x14ac:dyDescent="0.2">
      <c r="A93" s="30" t="s">
        <v>8849</v>
      </c>
      <c r="B93" s="29">
        <v>2</v>
      </c>
      <c r="C93" s="29">
        <v>1</v>
      </c>
      <c r="D93" s="29">
        <v>210</v>
      </c>
      <c r="E93" s="29">
        <v>4040</v>
      </c>
      <c r="F93" s="29">
        <v>1420</v>
      </c>
      <c r="G93" s="29">
        <v>1395</v>
      </c>
      <c r="H93" s="29">
        <v>3760</v>
      </c>
      <c r="I93" s="29">
        <v>1010</v>
      </c>
      <c r="J93" s="29">
        <v>3966800</v>
      </c>
      <c r="K93" s="29">
        <v>225</v>
      </c>
      <c r="L93" s="29">
        <v>284</v>
      </c>
      <c r="N93" s="34"/>
      <c r="O93" s="29">
        <f t="shared" si="11"/>
        <v>254.5</v>
      </c>
      <c r="P93" s="32" cm="1">
        <f t="array" ref="P93">WPNFACTOR(C93)</f>
        <v>2</v>
      </c>
      <c r="Q93" s="34" cm="1">
        <f t="array" ref="Q93">HPFACTOr(C93)</f>
        <v>5</v>
      </c>
      <c r="R93" s="33">
        <f t="shared" si="12"/>
        <v>127.25</v>
      </c>
      <c r="S93" s="34">
        <f t="shared" si="13"/>
        <v>793360</v>
      </c>
      <c r="T93" s="33">
        <f t="shared" si="14"/>
        <v>127.25</v>
      </c>
      <c r="U93" s="42">
        <f t="shared" si="15"/>
        <v>793360</v>
      </c>
      <c r="V93" s="44"/>
      <c r="W93" s="29">
        <f t="shared" si="17"/>
        <v>100955060</v>
      </c>
      <c r="X93" s="41">
        <f t="shared" si="16"/>
        <v>26.589137981347879</v>
      </c>
      <c r="Y93" s="33">
        <f t="shared" si="18"/>
        <v>100.23791460215368</v>
      </c>
      <c r="Z93" s="33">
        <v>1.33</v>
      </c>
      <c r="AA93" s="29">
        <f t="shared" si="19"/>
        <v>133.31642642086439</v>
      </c>
      <c r="AB93" s="33">
        <f t="shared" si="20"/>
        <v>465.63186924388361</v>
      </c>
      <c r="AC93" s="29">
        <v>121</v>
      </c>
      <c r="AD93" s="46">
        <f t="shared" si="21"/>
        <v>0.25986193813685021</v>
      </c>
    </row>
    <row r="94" spans="1:30" x14ac:dyDescent="0.2">
      <c r="A94" s="30" t="s">
        <v>8849</v>
      </c>
      <c r="B94" s="29">
        <v>3</v>
      </c>
      <c r="C94" s="29">
        <v>1</v>
      </c>
      <c r="D94" s="29">
        <v>215</v>
      </c>
      <c r="E94" s="29">
        <v>4140</v>
      </c>
      <c r="F94" s="29">
        <v>1455</v>
      </c>
      <c r="G94" s="29">
        <v>1430</v>
      </c>
      <c r="H94" s="29">
        <v>3860</v>
      </c>
      <c r="I94" s="29">
        <v>1030</v>
      </c>
      <c r="J94" s="29">
        <v>4168800</v>
      </c>
      <c r="K94" s="29">
        <v>229</v>
      </c>
      <c r="L94" s="29">
        <v>289</v>
      </c>
      <c r="N94" s="34"/>
      <c r="O94" s="29">
        <f t="shared" si="11"/>
        <v>259</v>
      </c>
      <c r="P94" s="32" cm="1">
        <f t="array" ref="P94">WPNFACTOR(C94)</f>
        <v>2</v>
      </c>
      <c r="Q94" s="34" cm="1">
        <f t="array" ref="Q94">HPFACTOr(C94)</f>
        <v>5</v>
      </c>
      <c r="R94" s="33">
        <f t="shared" si="12"/>
        <v>129.5</v>
      </c>
      <c r="S94" s="34">
        <f t="shared" si="13"/>
        <v>833760</v>
      </c>
      <c r="T94" s="33">
        <f t="shared" si="14"/>
        <v>129.5</v>
      </c>
      <c r="U94" s="42">
        <f t="shared" si="15"/>
        <v>833760</v>
      </c>
      <c r="V94" s="44"/>
      <c r="W94" s="29">
        <f t="shared" si="17"/>
        <v>107971920</v>
      </c>
      <c r="X94" s="41">
        <f t="shared" si="16"/>
        <v>26.686080922005466</v>
      </c>
      <c r="Y94" s="33">
        <f t="shared" si="18"/>
        <v>101.93602777211289</v>
      </c>
      <c r="Z94" s="33">
        <v>1.33</v>
      </c>
      <c r="AA94" s="29">
        <f t="shared" si="19"/>
        <v>135.57491693691014</v>
      </c>
      <c r="AB94" s="33">
        <f t="shared" si="20"/>
        <v>476.17903958564807</v>
      </c>
      <c r="AC94" s="29">
        <v>123</v>
      </c>
      <c r="AD94" s="46">
        <f t="shared" si="21"/>
        <v>0.25830620370655055</v>
      </c>
    </row>
    <row r="95" spans="1:30" x14ac:dyDescent="0.2">
      <c r="A95" s="30" t="s">
        <v>8849</v>
      </c>
      <c r="B95" s="29">
        <v>4</v>
      </c>
      <c r="C95" s="29">
        <v>1</v>
      </c>
      <c r="D95" s="29">
        <v>220</v>
      </c>
      <c r="E95" s="29">
        <v>4240</v>
      </c>
      <c r="F95" s="29">
        <v>1490</v>
      </c>
      <c r="G95" s="29">
        <v>1465</v>
      </c>
      <c r="H95" s="29">
        <v>3960</v>
      </c>
      <c r="I95" s="29">
        <v>1050</v>
      </c>
      <c r="J95" s="29">
        <v>4375800</v>
      </c>
      <c r="K95" s="29">
        <v>235</v>
      </c>
      <c r="L95" s="29">
        <v>294</v>
      </c>
      <c r="N95" s="34"/>
      <c r="O95" s="29">
        <f t="shared" si="11"/>
        <v>264.5</v>
      </c>
      <c r="P95" s="32" cm="1">
        <f t="array" ref="P95">WPNFACTOR(C95)</f>
        <v>2</v>
      </c>
      <c r="Q95" s="34" cm="1">
        <f t="array" ref="Q95">HPFACTOr(C95)</f>
        <v>5</v>
      </c>
      <c r="R95" s="33">
        <f t="shared" si="12"/>
        <v>132.25</v>
      </c>
      <c r="S95" s="34">
        <f t="shared" si="13"/>
        <v>875160</v>
      </c>
      <c r="T95" s="33">
        <f t="shared" si="14"/>
        <v>132.25</v>
      </c>
      <c r="U95" s="42">
        <f t="shared" si="15"/>
        <v>875160</v>
      </c>
      <c r="V95" s="44"/>
      <c r="W95" s="29">
        <f t="shared" si="17"/>
        <v>115739910</v>
      </c>
      <c r="X95" s="41">
        <f t="shared" si="16"/>
        <v>26.786311186472432</v>
      </c>
      <c r="Y95" s="33">
        <f t="shared" si="18"/>
        <v>103.72197676186303</v>
      </c>
      <c r="Z95" s="33">
        <v>1.33</v>
      </c>
      <c r="AA95" s="29">
        <f t="shared" si="19"/>
        <v>137.95022909327784</v>
      </c>
      <c r="AB95" s="33">
        <f t="shared" si="20"/>
        <v>487.33512373103684</v>
      </c>
      <c r="AC95" s="29">
        <v>125</v>
      </c>
      <c r="AD95" s="46">
        <f t="shared" si="21"/>
        <v>0.2564970056806089</v>
      </c>
    </row>
    <row r="96" spans="1:30" x14ac:dyDescent="0.2">
      <c r="A96" s="30" t="s">
        <v>8849</v>
      </c>
      <c r="B96" s="29">
        <v>5</v>
      </c>
      <c r="C96" s="29">
        <v>3</v>
      </c>
      <c r="D96" s="29">
        <v>225</v>
      </c>
      <c r="E96" s="29">
        <v>1095</v>
      </c>
      <c r="F96" s="29">
        <v>4340</v>
      </c>
      <c r="G96" s="29">
        <v>1085</v>
      </c>
      <c r="H96" s="29">
        <v>4060</v>
      </c>
      <c r="I96" s="29">
        <v>1590</v>
      </c>
      <c r="J96" s="29">
        <v>3670240</v>
      </c>
      <c r="K96" s="29">
        <v>261</v>
      </c>
      <c r="L96" s="29">
        <v>418</v>
      </c>
      <c r="N96" s="34"/>
      <c r="O96" s="29">
        <f t="shared" si="11"/>
        <v>339.5</v>
      </c>
      <c r="P96" s="32" cm="1">
        <f t="array" ref="P96">WPNFACTOR(C96)</f>
        <v>2.5</v>
      </c>
      <c r="Q96" s="34" cm="1">
        <f t="array" ref="Q96">HPFACTOr(C96)</f>
        <v>4</v>
      </c>
      <c r="R96" s="33">
        <f t="shared" si="12"/>
        <v>135.80000000000001</v>
      </c>
      <c r="S96" s="34">
        <f t="shared" si="13"/>
        <v>917560</v>
      </c>
      <c r="T96" s="33">
        <f t="shared" si="14"/>
        <v>135.80000000000001</v>
      </c>
      <c r="U96" s="42">
        <f t="shared" si="15"/>
        <v>917560</v>
      </c>
      <c r="V96" s="44"/>
      <c r="W96" s="29">
        <f t="shared" si="17"/>
        <v>124604648.00000001</v>
      </c>
      <c r="X96" s="41">
        <f t="shared" si="16"/>
        <v>26.892782643845095</v>
      </c>
      <c r="Y96" s="33">
        <f t="shared" si="18"/>
        <v>105.6534202296471</v>
      </c>
      <c r="Z96" s="33">
        <v>1.33</v>
      </c>
      <c r="AA96" s="29">
        <f t="shared" si="19"/>
        <v>140.51904890543065</v>
      </c>
      <c r="AB96" s="33">
        <f t="shared" si="20"/>
        <v>499.47230727670069</v>
      </c>
      <c r="AC96" s="29">
        <v>127</v>
      </c>
      <c r="AD96" s="46">
        <f t="shared" si="21"/>
        <v>0.25426835111729984</v>
      </c>
    </row>
    <row r="97" spans="1:30" x14ac:dyDescent="0.2">
      <c r="A97" s="30" t="s">
        <v>8849</v>
      </c>
      <c r="B97" s="29">
        <v>6</v>
      </c>
      <c r="C97" s="29">
        <v>3</v>
      </c>
      <c r="D97" s="29">
        <v>230</v>
      </c>
      <c r="E97" s="29">
        <v>1120</v>
      </c>
      <c r="F97" s="29">
        <v>4440</v>
      </c>
      <c r="G97" s="29">
        <v>1110</v>
      </c>
      <c r="H97" s="29">
        <v>4160</v>
      </c>
      <c r="I97" s="29">
        <v>1625</v>
      </c>
      <c r="J97" s="29">
        <v>3843840</v>
      </c>
      <c r="K97" s="29">
        <v>266</v>
      </c>
      <c r="L97" s="29">
        <v>426</v>
      </c>
      <c r="N97" s="34"/>
      <c r="O97" s="29">
        <f t="shared" si="11"/>
        <v>346</v>
      </c>
      <c r="P97" s="32" cm="1">
        <f t="array" ref="P97">WPNFACTOR(C97)</f>
        <v>2.5</v>
      </c>
      <c r="Q97" s="34" cm="1">
        <f t="array" ref="Q97">HPFACTOr(C97)</f>
        <v>4</v>
      </c>
      <c r="R97" s="33">
        <f t="shared" si="12"/>
        <v>138.4</v>
      </c>
      <c r="S97" s="34">
        <f t="shared" si="13"/>
        <v>960960</v>
      </c>
      <c r="T97" s="33">
        <f t="shared" si="14"/>
        <v>138.4</v>
      </c>
      <c r="U97" s="42">
        <f t="shared" si="15"/>
        <v>960960</v>
      </c>
      <c r="V97" s="44"/>
      <c r="W97" s="29">
        <f t="shared" si="17"/>
        <v>132996864</v>
      </c>
      <c r="X97" s="41">
        <f t="shared" si="16"/>
        <v>26.986816987193876</v>
      </c>
      <c r="Y97" s="33">
        <f t="shared" si="18"/>
        <v>107.38913646652578</v>
      </c>
      <c r="Z97" s="33">
        <v>1.33</v>
      </c>
      <c r="AA97" s="29">
        <f t="shared" si="19"/>
        <v>142.8275515004793</v>
      </c>
      <c r="AB97" s="33">
        <f t="shared" si="20"/>
        <v>510.44286023530191</v>
      </c>
      <c r="AC97" s="29">
        <v>130</v>
      </c>
      <c r="AD97" s="46">
        <f t="shared" si="21"/>
        <v>0.25468080783826247</v>
      </c>
    </row>
    <row r="98" spans="1:30" x14ac:dyDescent="0.2">
      <c r="A98" s="30" t="s">
        <v>8849</v>
      </c>
      <c r="B98" s="29">
        <v>7</v>
      </c>
      <c r="C98" s="29">
        <v>2</v>
      </c>
      <c r="D98" s="29">
        <v>235</v>
      </c>
      <c r="E98" s="29">
        <v>1125</v>
      </c>
      <c r="F98" s="29">
        <v>1145</v>
      </c>
      <c r="G98" s="29">
        <v>4620</v>
      </c>
      <c r="H98" s="29">
        <v>4180</v>
      </c>
      <c r="I98" s="29">
        <v>1655</v>
      </c>
      <c r="J98" s="29">
        <v>1972960</v>
      </c>
      <c r="K98" s="29">
        <v>528</v>
      </c>
      <c r="L98" s="29">
        <v>727</v>
      </c>
      <c r="N98" s="34"/>
      <c r="O98" s="29">
        <f t="shared" si="11"/>
        <v>627.5</v>
      </c>
      <c r="P98" s="32" cm="1">
        <f t="array" ref="P98">WPNFACTOR(C98)</f>
        <v>4.5</v>
      </c>
      <c r="Q98" s="34" cm="1">
        <f t="array" ref="Q98">HPFACTOr(C98)</f>
        <v>2</v>
      </c>
      <c r="R98" s="33">
        <f t="shared" si="12"/>
        <v>139.44444444444446</v>
      </c>
      <c r="S98" s="34">
        <f t="shared" si="13"/>
        <v>986480</v>
      </c>
      <c r="T98" s="33">
        <f t="shared" si="14"/>
        <v>139.44444444444446</v>
      </c>
      <c r="U98" s="42">
        <f t="shared" si="15"/>
        <v>986480</v>
      </c>
      <c r="V98" s="44"/>
      <c r="W98" s="29">
        <f t="shared" si="17"/>
        <v>137559155.55555558</v>
      </c>
      <c r="X98" s="41">
        <f t="shared" si="16"/>
        <v>27.035476923725909</v>
      </c>
      <c r="Y98" s="33">
        <f t="shared" si="18"/>
        <v>108.29848350592363</v>
      </c>
      <c r="Z98" s="33">
        <v>1.33</v>
      </c>
      <c r="AA98" s="29">
        <f t="shared" si="19"/>
        <v>144.03698306287842</v>
      </c>
      <c r="AB98" s="33">
        <f t="shared" si="20"/>
        <v>516.21406542348439</v>
      </c>
      <c r="AC98" s="29">
        <v>132</v>
      </c>
      <c r="AD98" s="46">
        <f t="shared" si="21"/>
        <v>0.25570787167860626</v>
      </c>
    </row>
    <row r="99" spans="1:30" x14ac:dyDescent="0.2">
      <c r="A99" s="30" t="s">
        <v>8849</v>
      </c>
      <c r="B99" s="29">
        <v>8</v>
      </c>
      <c r="C99" s="29">
        <v>1</v>
      </c>
      <c r="D99" s="29">
        <v>240</v>
      </c>
      <c r="E99" s="29">
        <v>4640</v>
      </c>
      <c r="F99" s="29">
        <v>1630</v>
      </c>
      <c r="G99" s="29">
        <v>1605</v>
      </c>
      <c r="H99" s="29">
        <v>4360</v>
      </c>
      <c r="I99" s="29">
        <v>1130</v>
      </c>
      <c r="J99" s="29">
        <v>5253800</v>
      </c>
      <c r="K99" s="29">
        <v>255</v>
      </c>
      <c r="L99" s="29">
        <v>314</v>
      </c>
      <c r="N99" s="34"/>
      <c r="O99" s="29">
        <f t="shared" si="11"/>
        <v>284.5</v>
      </c>
      <c r="P99" s="32" cm="1">
        <f t="array" ref="P99">WPNFACTOR(C99)</f>
        <v>2</v>
      </c>
      <c r="Q99" s="34" cm="1">
        <f t="array" ref="Q99">HPFACTOr(C99)</f>
        <v>5</v>
      </c>
      <c r="R99" s="33">
        <f t="shared" si="12"/>
        <v>142.25</v>
      </c>
      <c r="S99" s="34">
        <f t="shared" si="13"/>
        <v>1050760</v>
      </c>
      <c r="T99" s="33">
        <f t="shared" si="14"/>
        <v>142.25</v>
      </c>
      <c r="U99" s="42">
        <f t="shared" si="15"/>
        <v>1050760</v>
      </c>
      <c r="V99" s="44"/>
      <c r="W99" s="29">
        <f t="shared" si="17"/>
        <v>149470610</v>
      </c>
      <c r="X99" s="41">
        <f t="shared" si="16"/>
        <v>27.155286598200831</v>
      </c>
      <c r="Y99" s="33">
        <f t="shared" si="18"/>
        <v>110.57041808317986</v>
      </c>
      <c r="Z99" s="33">
        <v>1.33</v>
      </c>
      <c r="AA99" s="29">
        <f t="shared" si="19"/>
        <v>147.05865605062922</v>
      </c>
      <c r="AB99" s="33">
        <f t="shared" si="20"/>
        <v>530.70348022501435</v>
      </c>
      <c r="AC99" s="29">
        <v>134</v>
      </c>
      <c r="AD99" s="46">
        <f t="shared" si="21"/>
        <v>0.25249504665615718</v>
      </c>
    </row>
    <row r="100" spans="1:30" x14ac:dyDescent="0.2">
      <c r="A100" s="30" t="s">
        <v>8849</v>
      </c>
      <c r="B100" s="29">
        <v>9</v>
      </c>
      <c r="C100" s="29">
        <v>1</v>
      </c>
      <c r="D100" s="29">
        <v>245</v>
      </c>
      <c r="E100" s="29">
        <v>4740</v>
      </c>
      <c r="F100" s="29">
        <v>1665</v>
      </c>
      <c r="G100" s="29">
        <v>1640</v>
      </c>
      <c r="H100" s="29">
        <v>4460</v>
      </c>
      <c r="I100" s="29">
        <v>1150</v>
      </c>
      <c r="J100" s="29">
        <v>5485800</v>
      </c>
      <c r="K100" s="29">
        <v>260</v>
      </c>
      <c r="L100" s="29">
        <v>319</v>
      </c>
      <c r="N100" s="34"/>
      <c r="O100" s="29">
        <f t="shared" si="11"/>
        <v>289.5</v>
      </c>
      <c r="P100" s="32" cm="1">
        <f t="array" ref="P100">WPNFACTOR(C100)</f>
        <v>2</v>
      </c>
      <c r="Q100" s="34" cm="1">
        <f t="array" ref="Q100">HPFACTOr(C100)</f>
        <v>5</v>
      </c>
      <c r="R100" s="33">
        <f t="shared" si="12"/>
        <v>144.75</v>
      </c>
      <c r="S100" s="34">
        <f t="shared" si="13"/>
        <v>1097160</v>
      </c>
      <c r="T100" s="33">
        <f t="shared" si="14"/>
        <v>144.75</v>
      </c>
      <c r="U100" s="42">
        <f t="shared" si="15"/>
        <v>1097160</v>
      </c>
      <c r="V100" s="44"/>
      <c r="W100" s="29">
        <f t="shared" si="17"/>
        <v>158813910</v>
      </c>
      <c r="X100" s="41">
        <f t="shared" si="16"/>
        <v>27.242762038136146</v>
      </c>
      <c r="Y100" s="33">
        <f t="shared" si="18"/>
        <v>112.25924952598007</v>
      </c>
      <c r="Z100" s="33">
        <v>1.33</v>
      </c>
      <c r="AA100" s="29">
        <f t="shared" si="19"/>
        <v>149.3048018695535</v>
      </c>
      <c r="AB100" s="33">
        <f t="shared" si="20"/>
        <v>541.53871828694753</v>
      </c>
      <c r="AC100" s="29">
        <v>137</v>
      </c>
      <c r="AD100" s="46">
        <f t="shared" si="21"/>
        <v>0.25298283460390952</v>
      </c>
    </row>
    <row r="101" spans="1:30" x14ac:dyDescent="0.2">
      <c r="A101" s="30" t="s">
        <v>8849</v>
      </c>
      <c r="B101" s="29">
        <v>10</v>
      </c>
      <c r="C101" s="29">
        <v>1</v>
      </c>
      <c r="D101" s="29">
        <v>250</v>
      </c>
      <c r="E101" s="29">
        <v>4840</v>
      </c>
      <c r="F101" s="29">
        <v>1700</v>
      </c>
      <c r="G101" s="29">
        <v>1675</v>
      </c>
      <c r="H101" s="29">
        <v>4560</v>
      </c>
      <c r="I101" s="29">
        <v>1170</v>
      </c>
      <c r="J101" s="29">
        <v>5722800</v>
      </c>
      <c r="K101" s="29">
        <v>265</v>
      </c>
      <c r="L101" s="29">
        <v>324</v>
      </c>
      <c r="N101" s="34"/>
      <c r="O101" s="29">
        <f t="shared" si="11"/>
        <v>294.5</v>
      </c>
      <c r="P101" s="32" cm="1">
        <f t="array" ref="P101">WPNFACTOR(C101)</f>
        <v>2</v>
      </c>
      <c r="Q101" s="34" cm="1">
        <f t="array" ref="Q101">HPFACTOr(C101)</f>
        <v>5</v>
      </c>
      <c r="R101" s="33">
        <f t="shared" si="12"/>
        <v>147.25</v>
      </c>
      <c r="S101" s="34">
        <f t="shared" si="13"/>
        <v>1144560</v>
      </c>
      <c r="T101" s="33">
        <f t="shared" si="14"/>
        <v>147.25</v>
      </c>
      <c r="U101" s="42">
        <f t="shared" si="15"/>
        <v>1144560</v>
      </c>
      <c r="V101" s="44"/>
      <c r="W101" s="29">
        <f t="shared" si="17"/>
        <v>168536460</v>
      </c>
      <c r="X101" s="41">
        <f t="shared" si="16"/>
        <v>27.32848548683334</v>
      </c>
      <c r="Y101" s="33">
        <f t="shared" si="18"/>
        <v>113.9392789889049</v>
      </c>
      <c r="Z101" s="33">
        <v>1.33</v>
      </c>
      <c r="AA101" s="29">
        <f t="shared" si="19"/>
        <v>151.53924105524354</v>
      </c>
      <c r="AB101" s="33">
        <f t="shared" si="20"/>
        <v>552.37153364033645</v>
      </c>
      <c r="AC101" s="29">
        <v>139</v>
      </c>
      <c r="AD101" s="46">
        <f t="shared" si="21"/>
        <v>0.25164222182837276</v>
      </c>
    </row>
    <row r="102" spans="1:30" x14ac:dyDescent="0.2">
      <c r="A102" s="30" t="s">
        <v>8850</v>
      </c>
      <c r="B102" s="29">
        <v>1</v>
      </c>
      <c r="C102" s="29">
        <v>1</v>
      </c>
      <c r="D102" s="29">
        <v>255</v>
      </c>
      <c r="E102" s="29">
        <v>4940</v>
      </c>
      <c r="F102" s="29">
        <v>1735</v>
      </c>
      <c r="G102" s="29">
        <v>1710</v>
      </c>
      <c r="H102" s="29">
        <v>4660</v>
      </c>
      <c r="I102" s="29">
        <v>1190</v>
      </c>
      <c r="J102" s="29">
        <v>5964800</v>
      </c>
      <c r="K102" s="29">
        <v>270</v>
      </c>
      <c r="L102" s="29">
        <v>339</v>
      </c>
      <c r="N102" s="34"/>
      <c r="O102" s="29">
        <f t="shared" si="11"/>
        <v>304.5</v>
      </c>
      <c r="P102" s="32" cm="1">
        <f t="array" ref="P102">WPNFACTOR(C102)</f>
        <v>2</v>
      </c>
      <c r="Q102" s="34" cm="1">
        <f t="array" ref="Q102">HPFACTOr(C102)</f>
        <v>5</v>
      </c>
      <c r="R102" s="33">
        <f t="shared" si="12"/>
        <v>152.25</v>
      </c>
      <c r="S102" s="34">
        <f t="shared" si="13"/>
        <v>1192960</v>
      </c>
      <c r="T102" s="33">
        <f t="shared" si="14"/>
        <v>152.25</v>
      </c>
      <c r="U102" s="42">
        <f t="shared" si="15"/>
        <v>1192960</v>
      </c>
      <c r="V102" s="44"/>
      <c r="W102" s="29">
        <f t="shared" si="17"/>
        <v>181628160</v>
      </c>
      <c r="X102" s="41">
        <f t="shared" si="16"/>
        <v>27.436412657447978</v>
      </c>
      <c r="Y102" s="33">
        <f t="shared" si="18"/>
        <v>116.09026319924114</v>
      </c>
      <c r="Z102" s="33">
        <v>1.33</v>
      </c>
      <c r="AA102" s="29">
        <f t="shared" si="19"/>
        <v>154.40005005499071</v>
      </c>
      <c r="AB102" s="33">
        <f t="shared" si="20"/>
        <v>566.318906964088</v>
      </c>
      <c r="AC102" s="29">
        <v>143</v>
      </c>
      <c r="AD102" s="46">
        <f t="shared" si="21"/>
        <v>0.25250790365907394</v>
      </c>
    </row>
    <row r="103" spans="1:30" x14ac:dyDescent="0.2">
      <c r="A103" s="30" t="s">
        <v>8850</v>
      </c>
      <c r="B103" s="29">
        <v>2</v>
      </c>
      <c r="C103" s="29">
        <v>3</v>
      </c>
      <c r="D103" s="29">
        <v>260</v>
      </c>
      <c r="E103" s="29">
        <v>1270</v>
      </c>
      <c r="F103" s="29">
        <v>5040</v>
      </c>
      <c r="G103" s="29">
        <v>1260</v>
      </c>
      <c r="H103" s="29">
        <v>4760</v>
      </c>
      <c r="I103" s="29">
        <v>1835</v>
      </c>
      <c r="J103" s="29">
        <v>4969440</v>
      </c>
      <c r="K103" s="29">
        <v>306</v>
      </c>
      <c r="L103" s="29">
        <v>488</v>
      </c>
      <c r="N103" s="34"/>
      <c r="O103" s="29">
        <f t="shared" si="11"/>
        <v>397</v>
      </c>
      <c r="P103" s="32" cm="1">
        <f t="array" ref="P103">WPNFACTOR(C103)</f>
        <v>2.5</v>
      </c>
      <c r="Q103" s="34" cm="1">
        <f t="array" ref="Q103">HPFACTOr(C103)</f>
        <v>4</v>
      </c>
      <c r="R103" s="33">
        <f t="shared" si="12"/>
        <v>158.80000000000001</v>
      </c>
      <c r="S103" s="34">
        <f t="shared" si="13"/>
        <v>1242360</v>
      </c>
      <c r="T103" s="33">
        <f t="shared" si="14"/>
        <v>158.80000000000001</v>
      </c>
      <c r="U103" s="42">
        <f t="shared" si="15"/>
        <v>1242360</v>
      </c>
      <c r="V103" s="44"/>
      <c r="W103" s="29">
        <f t="shared" si="17"/>
        <v>197286768</v>
      </c>
      <c r="X103" s="41">
        <f t="shared" si="16"/>
        <v>27.555718957020787</v>
      </c>
      <c r="Y103" s="33">
        <f t="shared" si="18"/>
        <v>118.5153189239969</v>
      </c>
      <c r="Z103" s="33">
        <v>1.33</v>
      </c>
      <c r="AA103" s="29">
        <f t="shared" si="19"/>
        <v>157.6253741689159</v>
      </c>
      <c r="AB103" s="33">
        <f t="shared" si="20"/>
        <v>582.14698522995263</v>
      </c>
      <c r="AC103" s="29">
        <v>145</v>
      </c>
      <c r="AD103" s="46">
        <f t="shared" si="21"/>
        <v>0.24907798834125003</v>
      </c>
    </row>
    <row r="104" spans="1:30" x14ac:dyDescent="0.2">
      <c r="A104" s="30" t="s">
        <v>8850</v>
      </c>
      <c r="B104" s="29">
        <v>3</v>
      </c>
      <c r="C104" s="29">
        <v>1</v>
      </c>
      <c r="D104" s="29">
        <v>265</v>
      </c>
      <c r="E104" s="29">
        <v>5140</v>
      </c>
      <c r="F104" s="29">
        <v>1805</v>
      </c>
      <c r="G104" s="29">
        <v>1780</v>
      </c>
      <c r="H104" s="29">
        <v>4860</v>
      </c>
      <c r="I104" s="29">
        <v>1230</v>
      </c>
      <c r="J104" s="29">
        <v>6463800</v>
      </c>
      <c r="K104" s="29">
        <v>280</v>
      </c>
      <c r="L104" s="29">
        <v>369</v>
      </c>
      <c r="N104" s="34"/>
      <c r="O104" s="29">
        <f t="shared" si="11"/>
        <v>324.5</v>
      </c>
      <c r="P104" s="32" cm="1">
        <f t="array" ref="P104">WPNFACTOR(C104)</f>
        <v>2</v>
      </c>
      <c r="Q104" s="34" cm="1">
        <f t="array" ref="Q104">HPFACTOr(C104)</f>
        <v>5</v>
      </c>
      <c r="R104" s="33">
        <f t="shared" si="12"/>
        <v>162.25</v>
      </c>
      <c r="S104" s="34">
        <f t="shared" si="13"/>
        <v>1292760</v>
      </c>
      <c r="T104" s="33">
        <f t="shared" si="14"/>
        <v>162.25</v>
      </c>
      <c r="U104" s="42">
        <f t="shared" si="15"/>
        <v>1292760</v>
      </c>
      <c r="V104" s="44"/>
      <c r="W104" s="29">
        <f t="shared" si="17"/>
        <v>209750310</v>
      </c>
      <c r="X104" s="41">
        <f t="shared" si="16"/>
        <v>27.644097701993473</v>
      </c>
      <c r="Y104" s="33">
        <f t="shared" si="18"/>
        <v>120.34433538951815</v>
      </c>
      <c r="Z104" s="33">
        <v>1.33</v>
      </c>
      <c r="AA104" s="29">
        <f t="shared" si="19"/>
        <v>160.05796606805916</v>
      </c>
      <c r="AB104" s="33">
        <f t="shared" si="20"/>
        <v>594.15652440733686</v>
      </c>
      <c r="AC104" s="29">
        <v>148</v>
      </c>
      <c r="AD104" s="46">
        <f t="shared" si="21"/>
        <v>0.24909261098769891</v>
      </c>
    </row>
    <row r="105" spans="1:30" x14ac:dyDescent="0.2">
      <c r="A105" s="30" t="s">
        <v>8850</v>
      </c>
      <c r="B105" s="29">
        <v>4</v>
      </c>
      <c r="C105" s="29">
        <v>1</v>
      </c>
      <c r="D105" s="29">
        <v>270</v>
      </c>
      <c r="E105" s="29">
        <v>5240</v>
      </c>
      <c r="F105" s="29">
        <v>1840</v>
      </c>
      <c r="G105" s="29">
        <v>1815</v>
      </c>
      <c r="H105" s="29">
        <v>4960</v>
      </c>
      <c r="I105" s="29">
        <v>1250</v>
      </c>
      <c r="J105" s="29">
        <v>6720800</v>
      </c>
      <c r="K105" s="29">
        <v>285</v>
      </c>
      <c r="L105" s="29">
        <v>384</v>
      </c>
      <c r="N105" s="34"/>
      <c r="O105" s="29">
        <f t="shared" si="11"/>
        <v>334.5</v>
      </c>
      <c r="P105" s="32" cm="1">
        <f t="array" ref="P105">WPNFACTOR(C105)</f>
        <v>2</v>
      </c>
      <c r="Q105" s="34" cm="1">
        <f t="array" ref="Q105">HPFACTOr(C105)</f>
        <v>5</v>
      </c>
      <c r="R105" s="33">
        <f t="shared" si="12"/>
        <v>167.25</v>
      </c>
      <c r="S105" s="34">
        <f t="shared" si="13"/>
        <v>1344160</v>
      </c>
      <c r="T105" s="33">
        <f t="shared" si="14"/>
        <v>167.25</v>
      </c>
      <c r="U105" s="42">
        <f t="shared" si="15"/>
        <v>1344160</v>
      </c>
      <c r="V105" s="44"/>
      <c r="W105" s="29">
        <f t="shared" si="17"/>
        <v>224810760</v>
      </c>
      <c r="X105" s="41">
        <f t="shared" si="16"/>
        <v>27.744135847269568</v>
      </c>
      <c r="Y105" s="33">
        <f t="shared" si="18"/>
        <v>122.44872671073301</v>
      </c>
      <c r="Z105" s="33">
        <v>1.33</v>
      </c>
      <c r="AA105" s="29">
        <f t="shared" si="19"/>
        <v>162.85680652527492</v>
      </c>
      <c r="AB105" s="33">
        <f t="shared" si="20"/>
        <v>608.04963381739822</v>
      </c>
      <c r="AC105" s="29">
        <v>153</v>
      </c>
      <c r="AD105" s="46">
        <f t="shared" si="21"/>
        <v>0.25162419560957588</v>
      </c>
    </row>
    <row r="106" spans="1:30" x14ac:dyDescent="0.2">
      <c r="A106" s="30" t="s">
        <v>8850</v>
      </c>
      <c r="B106" s="29">
        <v>5</v>
      </c>
      <c r="C106" s="29">
        <v>2</v>
      </c>
      <c r="D106" s="29">
        <v>275</v>
      </c>
      <c r="E106" s="29">
        <v>1325</v>
      </c>
      <c r="F106" s="29">
        <v>1345</v>
      </c>
      <c r="G106" s="29">
        <v>5420</v>
      </c>
      <c r="H106" s="29">
        <v>4980</v>
      </c>
      <c r="I106" s="29">
        <v>1935</v>
      </c>
      <c r="J106" s="29">
        <v>2748960</v>
      </c>
      <c r="K106" s="29">
        <v>609</v>
      </c>
      <c r="L106" s="29">
        <v>939</v>
      </c>
      <c r="N106" s="34"/>
      <c r="O106" s="29">
        <f t="shared" si="11"/>
        <v>774</v>
      </c>
      <c r="P106" s="32" cm="1">
        <f t="array" ref="P106">WPNFACTOR(C106)</f>
        <v>4.5</v>
      </c>
      <c r="Q106" s="34" cm="1">
        <f t="array" ref="Q106">HPFACTOr(C106)</f>
        <v>2</v>
      </c>
      <c r="R106" s="33">
        <f t="shared" si="12"/>
        <v>172</v>
      </c>
      <c r="S106" s="34">
        <f t="shared" si="13"/>
        <v>1374480</v>
      </c>
      <c r="T106" s="33">
        <f t="shared" si="14"/>
        <v>172</v>
      </c>
      <c r="U106" s="42">
        <f t="shared" si="15"/>
        <v>1374480</v>
      </c>
      <c r="V106" s="44"/>
      <c r="W106" s="29">
        <f t="shared" si="17"/>
        <v>236410560</v>
      </c>
      <c r="X106" s="41">
        <f t="shared" si="16"/>
        <v>27.816719238435713</v>
      </c>
      <c r="Y106" s="33">
        <f t="shared" si="18"/>
        <v>123.99858176211433</v>
      </c>
      <c r="Z106" s="33">
        <v>1.33</v>
      </c>
      <c r="AA106" s="29">
        <f t="shared" si="19"/>
        <v>164.91811374361205</v>
      </c>
      <c r="AB106" s="33">
        <f t="shared" si="20"/>
        <v>618.33280845698266</v>
      </c>
      <c r="AC106" s="29">
        <v>156</v>
      </c>
      <c r="AD106" s="46">
        <f t="shared" si="21"/>
        <v>0.25229131928045334</v>
      </c>
    </row>
    <row r="107" spans="1:30" x14ac:dyDescent="0.2">
      <c r="A107" s="30" t="s">
        <v>8850</v>
      </c>
      <c r="B107" s="29">
        <v>6</v>
      </c>
      <c r="C107" s="29">
        <v>3</v>
      </c>
      <c r="D107" s="29">
        <v>280</v>
      </c>
      <c r="E107" s="29">
        <v>1370</v>
      </c>
      <c r="F107" s="29">
        <v>5440</v>
      </c>
      <c r="G107" s="29">
        <v>1360</v>
      </c>
      <c r="H107" s="29">
        <v>5160</v>
      </c>
      <c r="I107" s="29">
        <v>1975</v>
      </c>
      <c r="J107" s="29">
        <v>5799840</v>
      </c>
      <c r="K107" s="29">
        <v>346</v>
      </c>
      <c r="L107" s="29">
        <v>548</v>
      </c>
      <c r="N107" s="34"/>
      <c r="O107" s="29">
        <f t="shared" si="11"/>
        <v>447</v>
      </c>
      <c r="P107" s="32" cm="1">
        <f t="array" ref="P107">WPNFACTOR(C107)</f>
        <v>2.5</v>
      </c>
      <c r="Q107" s="34" cm="1">
        <f t="array" ref="Q107">HPFACTOr(C107)</f>
        <v>4</v>
      </c>
      <c r="R107" s="33">
        <f t="shared" si="12"/>
        <v>178.8</v>
      </c>
      <c r="S107" s="34">
        <f t="shared" si="13"/>
        <v>1449960</v>
      </c>
      <c r="T107" s="33">
        <f t="shared" si="14"/>
        <v>178.8</v>
      </c>
      <c r="U107" s="42">
        <f t="shared" si="15"/>
        <v>1449960</v>
      </c>
      <c r="V107" s="44"/>
      <c r="W107" s="29">
        <f t="shared" si="17"/>
        <v>259252848.00000003</v>
      </c>
      <c r="X107" s="41">
        <f t="shared" si="16"/>
        <v>27.949784596827499</v>
      </c>
      <c r="Y107" s="33">
        <f t="shared" si="18"/>
        <v>126.89101870598689</v>
      </c>
      <c r="Z107" s="33">
        <v>1.33</v>
      </c>
      <c r="AA107" s="29">
        <f t="shared" si="19"/>
        <v>168.76505487896259</v>
      </c>
      <c r="AB107" s="33">
        <f t="shared" si="20"/>
        <v>637.63847141985855</v>
      </c>
      <c r="AC107" s="29">
        <v>158</v>
      </c>
      <c r="AD107" s="46">
        <f t="shared" si="21"/>
        <v>0.24778931492037207</v>
      </c>
    </row>
    <row r="108" spans="1:30" x14ac:dyDescent="0.2">
      <c r="A108" s="30" t="s">
        <v>8850</v>
      </c>
      <c r="B108" s="29">
        <v>7</v>
      </c>
      <c r="C108" s="29">
        <v>1</v>
      </c>
      <c r="D108" s="29">
        <v>285</v>
      </c>
      <c r="E108" s="29">
        <v>5540</v>
      </c>
      <c r="F108" s="29">
        <v>1945</v>
      </c>
      <c r="G108" s="29">
        <v>1920</v>
      </c>
      <c r="H108" s="29">
        <v>5260</v>
      </c>
      <c r="I108" s="29">
        <v>1310</v>
      </c>
      <c r="J108" s="29">
        <v>7521800</v>
      </c>
      <c r="K108" s="29">
        <v>300</v>
      </c>
      <c r="L108" s="29">
        <v>429</v>
      </c>
      <c r="N108" s="34"/>
      <c r="O108" s="29">
        <f t="shared" si="11"/>
        <v>364.5</v>
      </c>
      <c r="P108" s="32" cm="1">
        <f t="array" ref="P108">WPNFACTOR(C108)</f>
        <v>2</v>
      </c>
      <c r="Q108" s="34" cm="1">
        <f t="array" ref="Q108">HPFACTOr(C108)</f>
        <v>5</v>
      </c>
      <c r="R108" s="33">
        <f t="shared" si="12"/>
        <v>182.25</v>
      </c>
      <c r="S108" s="34">
        <f t="shared" si="13"/>
        <v>1504360</v>
      </c>
      <c r="T108" s="33">
        <f t="shared" si="14"/>
        <v>182.25</v>
      </c>
      <c r="U108" s="42">
        <f t="shared" si="15"/>
        <v>1504360</v>
      </c>
      <c r="V108" s="44"/>
      <c r="W108" s="29">
        <f t="shared" si="17"/>
        <v>274169610</v>
      </c>
      <c r="X108" s="41">
        <f t="shared" si="16"/>
        <v>28.030493425284991</v>
      </c>
      <c r="Y108" s="33">
        <f t="shared" si="18"/>
        <v>128.67815596309202</v>
      </c>
      <c r="Z108" s="33">
        <v>1.33</v>
      </c>
      <c r="AA108" s="29">
        <f t="shared" si="19"/>
        <v>171.14194743091241</v>
      </c>
      <c r="AB108" s="33">
        <f t="shared" si="20"/>
        <v>649.6405191754244</v>
      </c>
      <c r="AC108" s="29">
        <v>164</v>
      </c>
      <c r="AD108" s="46">
        <f t="shared" si="21"/>
        <v>0.25244730764048073</v>
      </c>
    </row>
    <row r="109" spans="1:30" x14ac:dyDescent="0.2">
      <c r="A109" s="30" t="s">
        <v>8850</v>
      </c>
      <c r="B109" s="29">
        <v>8</v>
      </c>
      <c r="C109" s="29">
        <v>3</v>
      </c>
      <c r="D109" s="29">
        <v>290</v>
      </c>
      <c r="E109" s="29">
        <v>1420</v>
      </c>
      <c r="F109" s="29">
        <v>5640</v>
      </c>
      <c r="G109" s="29">
        <v>1410</v>
      </c>
      <c r="H109" s="29">
        <v>5360</v>
      </c>
      <c r="I109" s="29">
        <v>2045</v>
      </c>
      <c r="J109" s="29">
        <v>6239040</v>
      </c>
      <c r="K109" s="29">
        <v>366</v>
      </c>
      <c r="L109" s="29">
        <v>578</v>
      </c>
      <c r="N109" s="34"/>
      <c r="O109" s="29">
        <f t="shared" si="11"/>
        <v>472</v>
      </c>
      <c r="P109" s="32" cm="1">
        <f t="array" ref="P109">WPNFACTOR(C109)</f>
        <v>2.5</v>
      </c>
      <c r="Q109" s="34" cm="1">
        <f t="array" ref="Q109">HPFACTOr(C109)</f>
        <v>4</v>
      </c>
      <c r="R109" s="33">
        <f t="shared" si="12"/>
        <v>188.8</v>
      </c>
      <c r="S109" s="34">
        <f t="shared" si="13"/>
        <v>1559760</v>
      </c>
      <c r="T109" s="33">
        <f t="shared" si="14"/>
        <v>188.8</v>
      </c>
      <c r="U109" s="42">
        <f t="shared" si="15"/>
        <v>1559760</v>
      </c>
      <c r="V109" s="44"/>
      <c r="W109" s="29">
        <f t="shared" si="17"/>
        <v>294482688</v>
      </c>
      <c r="X109" s="41">
        <f t="shared" si="16"/>
        <v>28.133607582727898</v>
      </c>
      <c r="Y109" s="33">
        <f t="shared" si="18"/>
        <v>130.99808355420598</v>
      </c>
      <c r="Z109" s="33">
        <v>1.33</v>
      </c>
      <c r="AA109" s="29">
        <f t="shared" si="19"/>
        <v>174.22745112709396</v>
      </c>
      <c r="AB109" s="33">
        <f t="shared" si="20"/>
        <v>665.30367572705836</v>
      </c>
      <c r="AC109" s="29">
        <v>166</v>
      </c>
      <c r="AD109" s="46">
        <f t="shared" si="21"/>
        <v>0.24951012004945197</v>
      </c>
    </row>
    <row r="110" spans="1:30" x14ac:dyDescent="0.2">
      <c r="A110" s="30" t="s">
        <v>8850</v>
      </c>
      <c r="B110" s="29">
        <v>9</v>
      </c>
      <c r="C110" s="29">
        <v>2</v>
      </c>
      <c r="D110" s="29">
        <v>295</v>
      </c>
      <c r="E110" s="29">
        <v>1425</v>
      </c>
      <c r="F110" s="29">
        <v>1445</v>
      </c>
      <c r="G110" s="29">
        <v>5820</v>
      </c>
      <c r="H110" s="29">
        <v>5380</v>
      </c>
      <c r="I110" s="29">
        <v>2075</v>
      </c>
      <c r="J110" s="29">
        <v>3184960</v>
      </c>
      <c r="K110" s="29">
        <v>653</v>
      </c>
      <c r="L110" s="29">
        <v>1079</v>
      </c>
      <c r="N110" s="34"/>
      <c r="O110" s="29">
        <f t="shared" si="11"/>
        <v>866</v>
      </c>
      <c r="P110" s="32" cm="1">
        <f t="array" ref="P110">WPNFACTOR(C110)</f>
        <v>4.5</v>
      </c>
      <c r="Q110" s="34" cm="1">
        <f t="array" ref="Q110">HPFACTOr(C110)</f>
        <v>2</v>
      </c>
      <c r="R110" s="33">
        <f t="shared" si="12"/>
        <v>192.44444444444446</v>
      </c>
      <c r="S110" s="34">
        <f t="shared" si="13"/>
        <v>1592480</v>
      </c>
      <c r="T110" s="33">
        <f t="shared" si="14"/>
        <v>192.44444444444446</v>
      </c>
      <c r="U110" s="42">
        <f t="shared" si="15"/>
        <v>1592480</v>
      </c>
      <c r="V110" s="44"/>
      <c r="W110" s="29">
        <f t="shared" si="17"/>
        <v>306463928.8888889</v>
      </c>
      <c r="X110" s="41">
        <f t="shared" si="16"/>
        <v>28.191142036357348</v>
      </c>
      <c r="Y110" s="33">
        <f t="shared" si="18"/>
        <v>132.31066165250016</v>
      </c>
      <c r="Z110" s="33">
        <v>1.33</v>
      </c>
      <c r="AA110" s="29">
        <f t="shared" si="19"/>
        <v>175.97317999782521</v>
      </c>
      <c r="AB110" s="33">
        <f t="shared" si="20"/>
        <v>674.20678942284269</v>
      </c>
      <c r="AC110" s="29">
        <v>169</v>
      </c>
      <c r="AD110" s="46">
        <f t="shared" si="21"/>
        <v>0.25066493344671464</v>
      </c>
    </row>
    <row r="111" spans="1:30" x14ac:dyDescent="0.2">
      <c r="A111" s="30" t="s">
        <v>8850</v>
      </c>
      <c r="B111" s="29">
        <v>10</v>
      </c>
      <c r="C111" s="29">
        <v>1</v>
      </c>
      <c r="D111" s="29">
        <v>300</v>
      </c>
      <c r="E111" s="29">
        <v>5840</v>
      </c>
      <c r="F111" s="29">
        <v>2050</v>
      </c>
      <c r="G111" s="29">
        <v>2025</v>
      </c>
      <c r="H111" s="29">
        <v>5560</v>
      </c>
      <c r="I111" s="29">
        <v>1370</v>
      </c>
      <c r="J111" s="29">
        <v>8367800</v>
      </c>
      <c r="K111" s="29">
        <v>315</v>
      </c>
      <c r="L111" s="29">
        <v>474</v>
      </c>
      <c r="N111" s="34"/>
      <c r="O111" s="29">
        <f t="shared" si="11"/>
        <v>394.5</v>
      </c>
      <c r="P111" s="32" cm="1">
        <f t="array" ref="P111">WPNFACTOR(C111)</f>
        <v>2</v>
      </c>
      <c r="Q111" s="34" cm="1">
        <f t="array" ref="Q111">HPFACTOr(C111)</f>
        <v>5</v>
      </c>
      <c r="R111" s="33">
        <f t="shared" si="12"/>
        <v>197.25</v>
      </c>
      <c r="S111" s="34">
        <f t="shared" si="13"/>
        <v>1673560</v>
      </c>
      <c r="T111" s="33">
        <f t="shared" si="14"/>
        <v>197.25</v>
      </c>
      <c r="U111" s="42">
        <f t="shared" si="15"/>
        <v>1673560</v>
      </c>
      <c r="V111" s="44"/>
      <c r="W111" s="29">
        <f t="shared" si="17"/>
        <v>330109710</v>
      </c>
      <c r="X111" s="41">
        <f t="shared" si="16"/>
        <v>28.298370334384032</v>
      </c>
      <c r="Y111" s="33">
        <f t="shared" si="18"/>
        <v>134.79214198913024</v>
      </c>
      <c r="Z111" s="33">
        <v>1.33</v>
      </c>
      <c r="AA111" s="29">
        <f t="shared" si="19"/>
        <v>179.27354884554325</v>
      </c>
      <c r="AB111" s="33">
        <f t="shared" si="20"/>
        <v>691.11889457001735</v>
      </c>
      <c r="AC111" s="29">
        <v>172</v>
      </c>
      <c r="AD111" s="46">
        <f t="shared" si="21"/>
        <v>0.24887179521695837</v>
      </c>
    </row>
    <row r="112" spans="1:30" x14ac:dyDescent="0.2">
      <c r="A112" s="30" t="s">
        <v>8851</v>
      </c>
      <c r="B112" s="29">
        <v>1</v>
      </c>
      <c r="C112" s="29">
        <v>2</v>
      </c>
      <c r="D112" s="29">
        <v>305</v>
      </c>
      <c r="E112" s="29">
        <v>1475</v>
      </c>
      <c r="F112" s="29">
        <v>1495</v>
      </c>
      <c r="G112" s="29">
        <v>6020</v>
      </c>
      <c r="H112" s="29">
        <v>5580</v>
      </c>
      <c r="I112" s="29">
        <v>2145</v>
      </c>
      <c r="J112" s="29">
        <v>3414960</v>
      </c>
      <c r="K112" s="29">
        <v>669</v>
      </c>
      <c r="L112" s="29">
        <v>1150</v>
      </c>
      <c r="N112" s="34"/>
      <c r="O112" s="29">
        <f t="shared" si="11"/>
        <v>909.5</v>
      </c>
      <c r="P112" s="32" cm="1">
        <f t="array" ref="P112">WPNFACTOR(C112)</f>
        <v>4.5</v>
      </c>
      <c r="Q112" s="34" cm="1">
        <f t="array" ref="Q112">HPFACTOr(C112)</f>
        <v>2</v>
      </c>
      <c r="R112" s="33">
        <f t="shared" si="12"/>
        <v>202.11111111111111</v>
      </c>
      <c r="S112" s="34">
        <f t="shared" si="13"/>
        <v>1707480</v>
      </c>
      <c r="T112" s="33">
        <f t="shared" si="14"/>
        <v>202.11111111111111</v>
      </c>
      <c r="U112" s="42">
        <f t="shared" si="15"/>
        <v>1707480</v>
      </c>
      <c r="V112" s="44"/>
      <c r="W112" s="29">
        <f t="shared" si="17"/>
        <v>345100680</v>
      </c>
      <c r="X112" s="41">
        <f t="shared" si="16"/>
        <v>28.362442075618379</v>
      </c>
      <c r="Y112" s="33">
        <f t="shared" si="18"/>
        <v>136.29704926300755</v>
      </c>
      <c r="Z112" s="33">
        <v>1.33</v>
      </c>
      <c r="AA112" s="29">
        <f t="shared" si="19"/>
        <v>181.27507551980005</v>
      </c>
      <c r="AB112" s="33">
        <f t="shared" si="20"/>
        <v>701.42612655909545</v>
      </c>
      <c r="AC112" s="29">
        <v>174</v>
      </c>
      <c r="AD112" s="46">
        <f t="shared" si="21"/>
        <v>0.24806603776447786</v>
      </c>
    </row>
    <row r="113" spans="1:30" x14ac:dyDescent="0.2">
      <c r="A113" s="30" t="s">
        <v>8851</v>
      </c>
      <c r="B113" s="29">
        <v>2</v>
      </c>
      <c r="C113" s="29">
        <v>2</v>
      </c>
      <c r="D113" s="29">
        <v>310</v>
      </c>
      <c r="E113" s="29">
        <v>1500</v>
      </c>
      <c r="F113" s="29">
        <v>1520</v>
      </c>
      <c r="G113" s="29">
        <v>6120</v>
      </c>
      <c r="H113" s="29">
        <v>5680</v>
      </c>
      <c r="I113" s="29">
        <v>2180</v>
      </c>
      <c r="J113" s="29">
        <v>3532960</v>
      </c>
      <c r="K113" s="29">
        <v>679</v>
      </c>
      <c r="L113" s="29">
        <v>1185</v>
      </c>
      <c r="N113" s="34"/>
      <c r="O113" s="29">
        <f t="shared" si="11"/>
        <v>932</v>
      </c>
      <c r="P113" s="32" cm="1">
        <f t="array" ref="P113">WPNFACTOR(C113)</f>
        <v>4.5</v>
      </c>
      <c r="Q113" s="34" cm="1">
        <f t="array" ref="Q113">HPFACTOr(C113)</f>
        <v>2</v>
      </c>
      <c r="R113" s="33">
        <f t="shared" si="12"/>
        <v>207.11111111111111</v>
      </c>
      <c r="S113" s="34">
        <f t="shared" si="13"/>
        <v>1766480</v>
      </c>
      <c r="T113" s="33">
        <f t="shared" si="14"/>
        <v>207.11111111111111</v>
      </c>
      <c r="U113" s="42">
        <f t="shared" si="15"/>
        <v>1766480</v>
      </c>
      <c r="V113" s="44"/>
      <c r="W113" s="29">
        <f t="shared" si="17"/>
        <v>365857635.55555558</v>
      </c>
      <c r="X113" s="41">
        <f t="shared" si="16"/>
        <v>28.446707127734619</v>
      </c>
      <c r="Y113" s="33">
        <f t="shared" si="18"/>
        <v>138.3018631597551</v>
      </c>
      <c r="Z113" s="33">
        <v>1.33</v>
      </c>
      <c r="AA113" s="29">
        <f t="shared" si="19"/>
        <v>183.9414780024743</v>
      </c>
      <c r="AB113" s="33">
        <f t="shared" si="20"/>
        <v>715.2162519664887</v>
      </c>
      <c r="AC113" s="29">
        <v>177</v>
      </c>
      <c r="AD113" s="46">
        <f t="shared" si="21"/>
        <v>0.24747759787803772</v>
      </c>
    </row>
    <row r="114" spans="1:30" x14ac:dyDescent="0.2">
      <c r="A114" s="30" t="s">
        <v>8851</v>
      </c>
      <c r="B114" s="29">
        <v>3</v>
      </c>
      <c r="C114" s="29">
        <v>1</v>
      </c>
      <c r="D114" s="29">
        <v>315</v>
      </c>
      <c r="E114" s="29">
        <v>6140</v>
      </c>
      <c r="F114" s="29">
        <v>2155</v>
      </c>
      <c r="G114" s="29">
        <v>2130</v>
      </c>
      <c r="H114" s="29">
        <v>5860</v>
      </c>
      <c r="I114" s="29">
        <v>1430</v>
      </c>
      <c r="J114" s="29">
        <v>9258800</v>
      </c>
      <c r="K114" s="29">
        <v>330</v>
      </c>
      <c r="L114" s="29">
        <v>519</v>
      </c>
      <c r="N114" s="34"/>
      <c r="O114" s="29">
        <f t="shared" si="11"/>
        <v>424.5</v>
      </c>
      <c r="P114" s="32" cm="1">
        <f t="array" ref="P114">WPNFACTOR(C114)</f>
        <v>2</v>
      </c>
      <c r="Q114" s="34" cm="1">
        <f t="array" ref="Q114">HPFACTOr(C114)</f>
        <v>5</v>
      </c>
      <c r="R114" s="33">
        <f t="shared" si="12"/>
        <v>212.25</v>
      </c>
      <c r="S114" s="34">
        <f t="shared" si="13"/>
        <v>1851760</v>
      </c>
      <c r="T114" s="33">
        <f t="shared" si="14"/>
        <v>212.25</v>
      </c>
      <c r="U114" s="42">
        <f t="shared" si="15"/>
        <v>1851760</v>
      </c>
      <c r="V114" s="44"/>
      <c r="W114" s="29">
        <f t="shared" si="17"/>
        <v>393036060</v>
      </c>
      <c r="X114" s="41">
        <f t="shared" si="16"/>
        <v>28.550086441039753</v>
      </c>
      <c r="Y114" s="33">
        <f t="shared" si="18"/>
        <v>140.80176516623334</v>
      </c>
      <c r="Z114" s="33">
        <v>1.33</v>
      </c>
      <c r="AA114" s="29">
        <f t="shared" si="19"/>
        <v>187.26634767109036</v>
      </c>
      <c r="AB114" s="33">
        <f t="shared" si="20"/>
        <v>732.50534694617966</v>
      </c>
      <c r="AC114" s="29">
        <v>183</v>
      </c>
      <c r="AD114" s="46">
        <f t="shared" si="21"/>
        <v>0.24982752789850393</v>
      </c>
    </row>
    <row r="115" spans="1:30" x14ac:dyDescent="0.2">
      <c r="A115" s="30" t="s">
        <v>8851</v>
      </c>
      <c r="B115" s="29">
        <v>4</v>
      </c>
      <c r="C115" s="29">
        <v>3</v>
      </c>
      <c r="D115" s="29">
        <v>320</v>
      </c>
      <c r="E115" s="29">
        <v>1570</v>
      </c>
      <c r="F115" s="29">
        <v>6240</v>
      </c>
      <c r="G115" s="29">
        <v>1560</v>
      </c>
      <c r="H115" s="29">
        <v>5960</v>
      </c>
      <c r="I115" s="29">
        <v>2255</v>
      </c>
      <c r="J115" s="29">
        <v>7652640</v>
      </c>
      <c r="K115" s="29">
        <v>426</v>
      </c>
      <c r="L115" s="29">
        <v>667</v>
      </c>
      <c r="N115" s="34"/>
      <c r="O115" s="29">
        <f t="shared" si="11"/>
        <v>546.5</v>
      </c>
      <c r="P115" s="32" cm="1">
        <f t="array" ref="P115">WPNFACTOR(C115)</f>
        <v>2.5</v>
      </c>
      <c r="Q115" s="34" cm="1">
        <f t="array" ref="Q115">HPFACTOr(C115)</f>
        <v>4</v>
      </c>
      <c r="R115" s="33">
        <f t="shared" si="12"/>
        <v>218.6</v>
      </c>
      <c r="S115" s="34">
        <f t="shared" si="13"/>
        <v>1913160</v>
      </c>
      <c r="T115" s="33">
        <f t="shared" si="14"/>
        <v>218.6</v>
      </c>
      <c r="U115" s="42">
        <f t="shared" si="15"/>
        <v>1913160</v>
      </c>
      <c r="V115" s="44"/>
      <c r="W115" s="29">
        <f t="shared" si="17"/>
        <v>418216776</v>
      </c>
      <c r="X115" s="41">
        <f t="shared" si="16"/>
        <v>28.639675693256368</v>
      </c>
      <c r="Y115" s="33">
        <f t="shared" si="18"/>
        <v>143.00471685743793</v>
      </c>
      <c r="Z115" s="33">
        <v>1.33</v>
      </c>
      <c r="AA115" s="29">
        <f t="shared" si="19"/>
        <v>190.19627342039246</v>
      </c>
      <c r="AB115" s="33">
        <f t="shared" si="20"/>
        <v>747.8258671741221</v>
      </c>
      <c r="AC115" s="29">
        <v>185</v>
      </c>
      <c r="AD115" s="46">
        <f t="shared" si="21"/>
        <v>0.24738379363510973</v>
      </c>
    </row>
    <row r="116" spans="1:30" x14ac:dyDescent="0.2">
      <c r="A116" s="30" t="s">
        <v>8851</v>
      </c>
      <c r="B116" s="29">
        <v>5</v>
      </c>
      <c r="C116" s="29">
        <v>2</v>
      </c>
      <c r="D116" s="29">
        <v>325</v>
      </c>
      <c r="E116" s="29">
        <v>1575</v>
      </c>
      <c r="F116" s="29">
        <v>1595</v>
      </c>
      <c r="G116" s="29">
        <v>6420</v>
      </c>
      <c r="H116" s="29">
        <v>5980</v>
      </c>
      <c r="I116" s="29">
        <v>2285</v>
      </c>
      <c r="J116" s="29">
        <v>3898960</v>
      </c>
      <c r="K116" s="29">
        <v>711</v>
      </c>
      <c r="L116" s="29">
        <v>1289</v>
      </c>
      <c r="N116" s="34"/>
      <c r="O116" s="29">
        <f t="shared" si="11"/>
        <v>1000</v>
      </c>
      <c r="P116" s="32" cm="1">
        <f t="array" ref="P116">WPNFACTOR(C116)</f>
        <v>4.5</v>
      </c>
      <c r="Q116" s="34" cm="1">
        <f t="array" ref="Q116">HPFACTOr(C116)</f>
        <v>2</v>
      </c>
      <c r="R116" s="33">
        <f t="shared" si="12"/>
        <v>222.22222222222223</v>
      </c>
      <c r="S116" s="34">
        <f t="shared" si="13"/>
        <v>1949480</v>
      </c>
      <c r="T116" s="33">
        <f t="shared" si="14"/>
        <v>222.22222222222223</v>
      </c>
      <c r="U116" s="42">
        <f t="shared" si="15"/>
        <v>1949480</v>
      </c>
      <c r="V116" s="44"/>
      <c r="W116" s="29">
        <f t="shared" si="17"/>
        <v>433217777.77777779</v>
      </c>
      <c r="X116" s="41">
        <f t="shared" si="16"/>
        <v>28.69051720653632</v>
      </c>
      <c r="Y116" s="33">
        <f t="shared" si="18"/>
        <v>144.27017798191602</v>
      </c>
      <c r="Z116" s="33">
        <v>1.33</v>
      </c>
      <c r="AA116" s="29">
        <f t="shared" si="19"/>
        <v>191.87933671594831</v>
      </c>
      <c r="AB116" s="33">
        <f t="shared" si="20"/>
        <v>756.66228938668064</v>
      </c>
      <c r="AC116" s="29">
        <v>188</v>
      </c>
      <c r="AD116" s="46">
        <f t="shared" si="21"/>
        <v>0.24845958710640262</v>
      </c>
    </row>
    <row r="117" spans="1:30" x14ac:dyDescent="0.2">
      <c r="A117" s="30" t="s">
        <v>8851</v>
      </c>
      <c r="B117" s="29">
        <v>6</v>
      </c>
      <c r="C117" s="29">
        <v>1</v>
      </c>
      <c r="D117" s="29">
        <v>330</v>
      </c>
      <c r="E117" s="29">
        <v>6440</v>
      </c>
      <c r="F117" s="29">
        <v>2260</v>
      </c>
      <c r="G117" s="29">
        <v>2235</v>
      </c>
      <c r="H117" s="29">
        <v>6160</v>
      </c>
      <c r="I117" s="29">
        <v>1490</v>
      </c>
      <c r="J117" s="29">
        <v>10194800</v>
      </c>
      <c r="K117" s="29">
        <v>345</v>
      </c>
      <c r="L117" s="29">
        <v>564</v>
      </c>
      <c r="N117" s="34"/>
      <c r="O117" s="29">
        <f t="shared" si="11"/>
        <v>454.5</v>
      </c>
      <c r="P117" s="32" cm="1">
        <f t="array" ref="P117">WPNFACTOR(C117)</f>
        <v>2</v>
      </c>
      <c r="Q117" s="34" cm="1">
        <f t="array" ref="Q117">HPFACTOr(C117)</f>
        <v>5</v>
      </c>
      <c r="R117" s="33">
        <f t="shared" si="12"/>
        <v>227.25</v>
      </c>
      <c r="S117" s="34">
        <f t="shared" si="13"/>
        <v>2038960</v>
      </c>
      <c r="T117" s="33">
        <f t="shared" si="14"/>
        <v>227.25</v>
      </c>
      <c r="U117" s="42">
        <f t="shared" si="15"/>
        <v>2038960</v>
      </c>
      <c r="V117" s="44"/>
      <c r="W117" s="29">
        <f t="shared" si="17"/>
        <v>463353660</v>
      </c>
      <c r="X117" s="41">
        <f t="shared" si="16"/>
        <v>28.787538526583592</v>
      </c>
      <c r="Y117" s="33">
        <f t="shared" si="18"/>
        <v>146.71622681101596</v>
      </c>
      <c r="Z117" s="33">
        <v>1.33</v>
      </c>
      <c r="AA117" s="29">
        <f t="shared" si="19"/>
        <v>195.13258165865125</v>
      </c>
      <c r="AB117" s="33">
        <f t="shared" si="20"/>
        <v>773.81569234928645</v>
      </c>
      <c r="AC117" s="29">
        <v>194</v>
      </c>
      <c r="AD117" s="46">
        <f t="shared" si="21"/>
        <v>0.25070569376930119</v>
      </c>
    </row>
    <row r="118" spans="1:30" x14ac:dyDescent="0.2">
      <c r="A118" s="30" t="s">
        <v>8851</v>
      </c>
      <c r="B118" s="29">
        <v>7</v>
      </c>
      <c r="C118" s="29">
        <v>3</v>
      </c>
      <c r="D118" s="29">
        <v>335</v>
      </c>
      <c r="E118" s="29">
        <v>1645</v>
      </c>
      <c r="F118" s="29">
        <v>6540</v>
      </c>
      <c r="G118" s="29">
        <v>1635</v>
      </c>
      <c r="H118" s="29">
        <v>6260</v>
      </c>
      <c r="I118" s="29">
        <v>2360</v>
      </c>
      <c r="J118" s="29">
        <v>8413440</v>
      </c>
      <c r="K118" s="29">
        <v>457</v>
      </c>
      <c r="L118" s="29">
        <v>713</v>
      </c>
      <c r="N118" s="34"/>
      <c r="O118" s="29">
        <f t="shared" si="11"/>
        <v>585</v>
      </c>
      <c r="P118" s="32" cm="1">
        <f t="array" ref="P118">WPNFACTOR(C118)</f>
        <v>2.5</v>
      </c>
      <c r="Q118" s="34" cm="1">
        <f t="array" ref="Q118">HPFACTOr(C118)</f>
        <v>4</v>
      </c>
      <c r="R118" s="33">
        <f t="shared" si="12"/>
        <v>234</v>
      </c>
      <c r="S118" s="34">
        <f t="shared" si="13"/>
        <v>2103360</v>
      </c>
      <c r="T118" s="33">
        <f t="shared" si="14"/>
        <v>234</v>
      </c>
      <c r="U118" s="42">
        <f t="shared" si="15"/>
        <v>2103360</v>
      </c>
      <c r="V118" s="44"/>
      <c r="W118" s="29">
        <f t="shared" si="17"/>
        <v>492186240</v>
      </c>
      <c r="X118" s="41">
        <f t="shared" si="16"/>
        <v>28.874629084182146</v>
      </c>
      <c r="Y118" s="33">
        <f t="shared" si="18"/>
        <v>148.94720806185805</v>
      </c>
      <c r="Z118" s="33">
        <v>1.33</v>
      </c>
      <c r="AA118" s="29">
        <f t="shared" si="19"/>
        <v>198.0997867222712</v>
      </c>
      <c r="AB118" s="33">
        <f t="shared" si="20"/>
        <v>789.54427596144853</v>
      </c>
      <c r="AC118" s="29">
        <v>196</v>
      </c>
      <c r="AD118" s="46">
        <f t="shared" si="21"/>
        <v>0.24824446958509797</v>
      </c>
    </row>
    <row r="119" spans="1:30" x14ac:dyDescent="0.2">
      <c r="A119" s="30" t="s">
        <v>8851</v>
      </c>
      <c r="B119" s="29">
        <v>8</v>
      </c>
      <c r="C119" s="29">
        <v>1</v>
      </c>
      <c r="D119" s="29">
        <v>340</v>
      </c>
      <c r="E119" s="29">
        <v>6640</v>
      </c>
      <c r="F119" s="29">
        <v>2330</v>
      </c>
      <c r="G119" s="29">
        <v>2305</v>
      </c>
      <c r="H119" s="29">
        <v>6360</v>
      </c>
      <c r="I119" s="29">
        <v>1530</v>
      </c>
      <c r="J119" s="29">
        <v>10843800</v>
      </c>
      <c r="K119" s="29">
        <v>356</v>
      </c>
      <c r="L119" s="29">
        <v>594</v>
      </c>
      <c r="N119" s="34"/>
      <c r="O119" s="29">
        <f t="shared" si="11"/>
        <v>475</v>
      </c>
      <c r="P119" s="32" cm="1">
        <f t="array" ref="P119">WPNFACTOR(C119)</f>
        <v>2</v>
      </c>
      <c r="Q119" s="34" cm="1">
        <f t="array" ref="Q119">HPFACTOr(C119)</f>
        <v>5</v>
      </c>
      <c r="R119" s="33">
        <f t="shared" si="12"/>
        <v>237.5</v>
      </c>
      <c r="S119" s="34">
        <f t="shared" si="13"/>
        <v>2168760</v>
      </c>
      <c r="T119" s="33">
        <f t="shared" si="14"/>
        <v>237.5</v>
      </c>
      <c r="U119" s="42">
        <f t="shared" si="15"/>
        <v>2168760</v>
      </c>
      <c r="V119" s="44"/>
      <c r="W119" s="29">
        <f t="shared" si="17"/>
        <v>515080500</v>
      </c>
      <c r="X119" s="41">
        <f t="shared" si="16"/>
        <v>28.940222682414202</v>
      </c>
      <c r="Y119" s="33">
        <f t="shared" si="18"/>
        <v>150.64987551747208</v>
      </c>
      <c r="Z119" s="33">
        <v>1.33</v>
      </c>
      <c r="AA119" s="29">
        <f t="shared" si="19"/>
        <v>200.36433443823788</v>
      </c>
      <c r="AB119" s="33">
        <f t="shared" si="20"/>
        <v>801.60122006300344</v>
      </c>
      <c r="AC119" s="29">
        <v>203</v>
      </c>
      <c r="AD119" s="46">
        <f t="shared" si="21"/>
        <v>0.25324312752922806</v>
      </c>
    </row>
    <row r="120" spans="1:30" x14ac:dyDescent="0.2">
      <c r="A120" s="30" t="s">
        <v>8851</v>
      </c>
      <c r="B120" s="29">
        <v>9</v>
      </c>
      <c r="C120" s="29">
        <v>1</v>
      </c>
      <c r="D120" s="29">
        <v>345</v>
      </c>
      <c r="E120" s="29">
        <v>6740</v>
      </c>
      <c r="F120" s="29">
        <v>2365</v>
      </c>
      <c r="G120" s="29">
        <v>2340</v>
      </c>
      <c r="H120" s="29">
        <v>6460</v>
      </c>
      <c r="I120" s="29">
        <v>1550</v>
      </c>
      <c r="J120" s="29">
        <v>11175800</v>
      </c>
      <c r="K120" s="29">
        <v>360</v>
      </c>
      <c r="L120" s="29">
        <v>609</v>
      </c>
      <c r="N120" s="34"/>
      <c r="O120" s="29">
        <f t="shared" si="11"/>
        <v>484.5</v>
      </c>
      <c r="P120" s="32" cm="1">
        <f t="array" ref="P120">WPNFACTOR(C120)</f>
        <v>2</v>
      </c>
      <c r="Q120" s="34" cm="1">
        <f t="array" ref="Q120">HPFACTOr(C120)</f>
        <v>5</v>
      </c>
      <c r="R120" s="33">
        <f t="shared" si="12"/>
        <v>242.25</v>
      </c>
      <c r="S120" s="34">
        <f t="shared" si="13"/>
        <v>2235160</v>
      </c>
      <c r="T120" s="33">
        <f t="shared" si="14"/>
        <v>242.25</v>
      </c>
      <c r="U120" s="42">
        <f t="shared" si="15"/>
        <v>2235160</v>
      </c>
      <c r="V120" s="44"/>
      <c r="W120" s="29">
        <f t="shared" si="17"/>
        <v>541467510</v>
      </c>
      <c r="X120" s="41">
        <f t="shared" si="16"/>
        <v>29.012299532633097</v>
      </c>
      <c r="Y120" s="33">
        <f t="shared" si="18"/>
        <v>152.54328710694429</v>
      </c>
      <c r="Z120" s="33">
        <v>1.33</v>
      </c>
      <c r="AA120" s="29">
        <f t="shared" si="19"/>
        <v>202.88257185223591</v>
      </c>
      <c r="AB120" s="33">
        <f t="shared" si="20"/>
        <v>815.06229089679812</v>
      </c>
      <c r="AC120" s="29">
        <v>206</v>
      </c>
      <c r="AD120" s="46">
        <f t="shared" si="21"/>
        <v>0.25274141903110492</v>
      </c>
    </row>
    <row r="121" spans="1:30" x14ac:dyDescent="0.2">
      <c r="A121" s="30" t="s">
        <v>8851</v>
      </c>
      <c r="B121" s="29">
        <v>10</v>
      </c>
      <c r="C121" s="29">
        <v>1</v>
      </c>
      <c r="D121" s="29">
        <v>350</v>
      </c>
      <c r="E121" s="29">
        <v>6840</v>
      </c>
      <c r="F121" s="29">
        <v>2400</v>
      </c>
      <c r="G121" s="29">
        <v>2375</v>
      </c>
      <c r="H121" s="29">
        <v>6560</v>
      </c>
      <c r="I121" s="29">
        <v>1570</v>
      </c>
      <c r="J121" s="29">
        <v>11512800</v>
      </c>
      <c r="K121" s="29">
        <v>365</v>
      </c>
      <c r="L121" s="29">
        <v>624</v>
      </c>
      <c r="N121" s="34"/>
      <c r="O121" s="29">
        <f t="shared" si="11"/>
        <v>494.5</v>
      </c>
      <c r="P121" s="32" cm="1">
        <f t="array" ref="P121">WPNFACTOR(C121)</f>
        <v>2</v>
      </c>
      <c r="Q121" s="34" cm="1">
        <f t="array" ref="Q121">HPFACTOr(C121)</f>
        <v>5</v>
      </c>
      <c r="R121" s="33">
        <f t="shared" si="12"/>
        <v>247.25</v>
      </c>
      <c r="S121" s="34">
        <f t="shared" si="13"/>
        <v>2302560</v>
      </c>
      <c r="T121" s="33">
        <f t="shared" si="14"/>
        <v>247.25</v>
      </c>
      <c r="U121" s="42">
        <f t="shared" si="15"/>
        <v>2302560</v>
      </c>
      <c r="V121" s="44"/>
      <c r="W121" s="29">
        <f t="shared" si="17"/>
        <v>569307960</v>
      </c>
      <c r="X121" s="41">
        <f t="shared" si="16"/>
        <v>29.08463403056912</v>
      </c>
      <c r="Y121" s="33">
        <f t="shared" si="18"/>
        <v>154.46739198923842</v>
      </c>
      <c r="Z121" s="33">
        <v>1.33</v>
      </c>
      <c r="AA121" s="29">
        <f t="shared" si="19"/>
        <v>205.44163134568711</v>
      </c>
      <c r="AB121" s="33">
        <f t="shared" si="20"/>
        <v>828.79874613461482</v>
      </c>
      <c r="AC121" s="29">
        <v>209</v>
      </c>
      <c r="AD121" s="46">
        <f t="shared" si="21"/>
        <v>0.25217219617517844</v>
      </c>
    </row>
    <row r="122" spans="1:30" x14ac:dyDescent="0.2">
      <c r="A122" s="30" t="s">
        <v>8852</v>
      </c>
      <c r="B122" s="29">
        <v>1</v>
      </c>
      <c r="C122" s="29">
        <v>1</v>
      </c>
      <c r="D122" s="29">
        <v>355</v>
      </c>
      <c r="E122" s="29">
        <v>7570</v>
      </c>
      <c r="F122" s="29">
        <v>2655</v>
      </c>
      <c r="G122" s="29">
        <v>2630</v>
      </c>
      <c r="H122" s="29">
        <v>7290</v>
      </c>
      <c r="I122" s="29">
        <v>1716</v>
      </c>
      <c r="J122" s="29">
        <v>12976200</v>
      </c>
      <c r="K122" s="29">
        <v>401</v>
      </c>
      <c r="L122" s="29">
        <v>733</v>
      </c>
      <c r="N122" s="34"/>
      <c r="O122" s="29">
        <f t="shared" si="11"/>
        <v>567</v>
      </c>
      <c r="P122" s="32" cm="1">
        <f t="array" ref="P122">WPNFACTOR(C122)</f>
        <v>2</v>
      </c>
      <c r="Q122" s="34" cm="1">
        <f t="array" ref="Q122">HPFACTOr(C122)</f>
        <v>5</v>
      </c>
      <c r="R122" s="33">
        <f t="shared" si="12"/>
        <v>283.5</v>
      </c>
      <c r="S122" s="34">
        <f t="shared" si="13"/>
        <v>2595240</v>
      </c>
      <c r="T122" s="33">
        <f t="shared" si="14"/>
        <v>283.5</v>
      </c>
      <c r="U122" s="42">
        <f t="shared" si="15"/>
        <v>2595240</v>
      </c>
      <c r="V122" s="44"/>
      <c r="W122" s="29">
        <f t="shared" si="17"/>
        <v>735750540</v>
      </c>
      <c r="X122" s="41">
        <f t="shared" si="16"/>
        <v>29.454641455122928</v>
      </c>
      <c r="Y122" s="33">
        <f t="shared" si="18"/>
        <v>164.69584674198259</v>
      </c>
      <c r="Z122" s="33">
        <v>1.33</v>
      </c>
      <c r="AA122" s="29">
        <f t="shared" si="19"/>
        <v>219.04547616683686</v>
      </c>
      <c r="AB122" s="33">
        <f t="shared" si="20"/>
        <v>902.76946908189177</v>
      </c>
      <c r="AC122" s="29">
        <v>217</v>
      </c>
      <c r="AD122" s="46">
        <f t="shared" si="21"/>
        <v>0.24037144302264343</v>
      </c>
    </row>
    <row r="123" spans="1:30" x14ac:dyDescent="0.2">
      <c r="A123" s="30" t="s">
        <v>8852</v>
      </c>
      <c r="B123" s="29">
        <v>2</v>
      </c>
      <c r="C123" s="29">
        <v>2</v>
      </c>
      <c r="D123" s="29">
        <v>360</v>
      </c>
      <c r="E123" s="29">
        <v>1970</v>
      </c>
      <c r="F123" s="29">
        <v>1990</v>
      </c>
      <c r="G123" s="29">
        <v>8000</v>
      </c>
      <c r="H123" s="29">
        <v>7560</v>
      </c>
      <c r="I123" s="29">
        <v>2838</v>
      </c>
      <c r="J123" s="29">
        <v>5458320</v>
      </c>
      <c r="K123" s="29">
        <v>870</v>
      </c>
      <c r="L123" s="29">
        <v>1843</v>
      </c>
      <c r="N123" s="34"/>
      <c r="O123" s="29">
        <f t="shared" si="11"/>
        <v>1356.5</v>
      </c>
      <c r="P123" s="32" cm="1">
        <f t="array" ref="P123">WPNFACTOR(C123)</f>
        <v>4.5</v>
      </c>
      <c r="Q123" s="34" cm="1">
        <f t="array" ref="Q123">HPFACTOr(C123)</f>
        <v>2</v>
      </c>
      <c r="R123" s="33">
        <f t="shared" si="12"/>
        <v>301.44444444444446</v>
      </c>
      <c r="S123" s="34">
        <f t="shared" si="13"/>
        <v>2729160</v>
      </c>
      <c r="T123" s="33">
        <f t="shared" si="14"/>
        <v>301.44444444444446</v>
      </c>
      <c r="U123" s="42">
        <f t="shared" si="15"/>
        <v>2729160</v>
      </c>
      <c r="V123" s="44"/>
      <c r="W123" s="29">
        <f t="shared" si="17"/>
        <v>822690120</v>
      </c>
      <c r="X123" s="41">
        <f t="shared" si="16"/>
        <v>29.615773876835163</v>
      </c>
      <c r="Y123" s="33">
        <f t="shared" si="18"/>
        <v>169.35930797624641</v>
      </c>
      <c r="Z123" s="33">
        <v>1.33</v>
      </c>
      <c r="AA123" s="29">
        <f t="shared" si="19"/>
        <v>225.24787960840774</v>
      </c>
      <c r="AB123" s="33">
        <f t="shared" si="20"/>
        <v>937.01259215085406</v>
      </c>
      <c r="AC123" s="29">
        <v>219</v>
      </c>
      <c r="AD123" s="46">
        <f t="shared" si="21"/>
        <v>0.23372151221287127</v>
      </c>
    </row>
    <row r="124" spans="1:30" x14ac:dyDescent="0.2">
      <c r="A124" s="30" t="s">
        <v>8852</v>
      </c>
      <c r="B124" s="29">
        <v>3</v>
      </c>
      <c r="C124" s="29">
        <v>1</v>
      </c>
      <c r="D124" s="29">
        <v>365</v>
      </c>
      <c r="E124" s="29">
        <v>8290</v>
      </c>
      <c r="F124" s="29">
        <v>2908</v>
      </c>
      <c r="G124" s="29">
        <v>2882</v>
      </c>
      <c r="H124" s="29">
        <v>8010</v>
      </c>
      <c r="I124" s="29">
        <v>1860</v>
      </c>
      <c r="J124" s="29">
        <v>14658300</v>
      </c>
      <c r="K124" s="29">
        <v>438</v>
      </c>
      <c r="L124" s="29">
        <v>841</v>
      </c>
      <c r="N124" s="34"/>
      <c r="O124" s="29">
        <f t="shared" si="11"/>
        <v>639.5</v>
      </c>
      <c r="P124" s="32" cm="1">
        <f t="array" ref="P124">WPNFACTOR(C124)</f>
        <v>2</v>
      </c>
      <c r="Q124" s="34" cm="1">
        <f t="array" ref="Q124">HPFACTOr(C124)</f>
        <v>5</v>
      </c>
      <c r="R124" s="33">
        <f t="shared" si="12"/>
        <v>319.75</v>
      </c>
      <c r="S124" s="34">
        <f t="shared" si="13"/>
        <v>2931660</v>
      </c>
      <c r="T124" s="33">
        <f t="shared" si="14"/>
        <v>319.75</v>
      </c>
      <c r="U124" s="42">
        <f t="shared" si="15"/>
        <v>2931660</v>
      </c>
      <c r="V124" s="44"/>
      <c r="W124" s="29">
        <f t="shared" si="17"/>
        <v>937398285</v>
      </c>
      <c r="X124" s="41">
        <f t="shared" si="16"/>
        <v>29.804086914461752</v>
      </c>
      <c r="Y124" s="33">
        <f t="shared" si="18"/>
        <v>174.97702918023194</v>
      </c>
      <c r="Z124" s="33">
        <v>1.33</v>
      </c>
      <c r="AA124" s="29">
        <f t="shared" si="19"/>
        <v>232.7194488097085</v>
      </c>
      <c r="AB124" s="33">
        <f t="shared" si="20"/>
        <v>978.6815133887435</v>
      </c>
      <c r="AC124" s="29">
        <v>225</v>
      </c>
      <c r="AD124" s="46">
        <f t="shared" si="21"/>
        <v>0.22990114447030269</v>
      </c>
    </row>
    <row r="125" spans="1:30" x14ac:dyDescent="0.2">
      <c r="A125" s="30" t="s">
        <v>8852</v>
      </c>
      <c r="B125" s="29">
        <v>4</v>
      </c>
      <c r="C125" s="29">
        <v>2</v>
      </c>
      <c r="D125" s="29">
        <v>370</v>
      </c>
      <c r="E125" s="29">
        <v>2160</v>
      </c>
      <c r="F125" s="29">
        <v>2180</v>
      </c>
      <c r="G125" s="29">
        <v>8760</v>
      </c>
      <c r="H125" s="29">
        <v>8320</v>
      </c>
      <c r="I125" s="29">
        <v>3104</v>
      </c>
      <c r="J125" s="29">
        <v>6173440</v>
      </c>
      <c r="K125" s="29">
        <v>943</v>
      </c>
      <c r="L125" s="29">
        <v>2108</v>
      </c>
      <c r="N125" s="34"/>
      <c r="O125" s="29">
        <f t="shared" si="11"/>
        <v>1525.5</v>
      </c>
      <c r="P125" s="32" cm="1">
        <f t="array" ref="P125">WPNFACTOR(C125)</f>
        <v>4.5</v>
      </c>
      <c r="Q125" s="34" cm="1">
        <f t="array" ref="Q125">HPFACTOr(C125)</f>
        <v>2</v>
      </c>
      <c r="R125" s="33">
        <f t="shared" si="12"/>
        <v>339</v>
      </c>
      <c r="S125" s="34">
        <f t="shared" si="13"/>
        <v>3086720</v>
      </c>
      <c r="T125" s="33">
        <f t="shared" si="14"/>
        <v>339</v>
      </c>
      <c r="U125" s="42">
        <f t="shared" si="15"/>
        <v>3086720</v>
      </c>
      <c r="V125" s="44"/>
      <c r="W125" s="29">
        <f t="shared" si="17"/>
        <v>1046398080</v>
      </c>
      <c r="X125" s="41">
        <f t="shared" si="16"/>
        <v>29.962784652785601</v>
      </c>
      <c r="Y125" s="33">
        <f t="shared" si="18"/>
        <v>179.85571137296012</v>
      </c>
      <c r="Z125" s="33">
        <v>1.33</v>
      </c>
      <c r="AA125" s="29">
        <f t="shared" si="19"/>
        <v>239.20809612603696</v>
      </c>
      <c r="AB125" s="33">
        <f t="shared" si="20"/>
        <v>1015.2328099676982</v>
      </c>
      <c r="AC125" s="29">
        <v>227</v>
      </c>
      <c r="AD125" s="46">
        <f t="shared" si="21"/>
        <v>0.223594034561612</v>
      </c>
    </row>
    <row r="126" spans="1:30" x14ac:dyDescent="0.2">
      <c r="A126" s="30" t="s">
        <v>8852</v>
      </c>
      <c r="B126" s="29">
        <v>5</v>
      </c>
      <c r="C126" s="29">
        <v>1</v>
      </c>
      <c r="D126" s="29">
        <v>375</v>
      </c>
      <c r="E126" s="29">
        <v>9340</v>
      </c>
      <c r="F126" s="29">
        <v>3275</v>
      </c>
      <c r="G126" s="29">
        <v>3250</v>
      </c>
      <c r="H126" s="29">
        <v>9060</v>
      </c>
      <c r="I126" s="29">
        <v>2070</v>
      </c>
      <c r="J126" s="29">
        <v>17032800</v>
      </c>
      <c r="K126" s="29">
        <v>490</v>
      </c>
      <c r="L126" s="29">
        <v>999</v>
      </c>
      <c r="N126" s="34"/>
      <c r="O126" s="29">
        <f t="shared" si="11"/>
        <v>744.5</v>
      </c>
      <c r="P126" s="32" cm="1">
        <f t="array" ref="P126">WPNFACTOR(C126)</f>
        <v>2</v>
      </c>
      <c r="Q126" s="34" cm="1">
        <f t="array" ref="Q126">HPFACTOr(C126)</f>
        <v>5</v>
      </c>
      <c r="R126" s="33">
        <f t="shared" si="12"/>
        <v>372.25</v>
      </c>
      <c r="S126" s="34">
        <f t="shared" si="13"/>
        <v>3406560</v>
      </c>
      <c r="T126" s="33">
        <f t="shared" si="14"/>
        <v>372.25</v>
      </c>
      <c r="U126" s="42">
        <f t="shared" si="15"/>
        <v>3406560</v>
      </c>
      <c r="V126" s="44"/>
      <c r="W126" s="29">
        <f t="shared" si="17"/>
        <v>1268091960</v>
      </c>
      <c r="X126" s="41">
        <f t="shared" si="16"/>
        <v>30.240012225193336</v>
      </c>
      <c r="Y126" s="33">
        <f t="shared" si="18"/>
        <v>188.70685958163423</v>
      </c>
      <c r="Z126" s="33">
        <v>1.33</v>
      </c>
      <c r="AA126" s="29">
        <f t="shared" si="19"/>
        <v>250.98012324357356</v>
      </c>
      <c r="AB126" s="33">
        <f t="shared" si="20"/>
        <v>1082.3895308690355</v>
      </c>
      <c r="AC126" s="29">
        <v>232</v>
      </c>
      <c r="AD126" s="46">
        <f t="shared" si="21"/>
        <v>0.21434058015484539</v>
      </c>
    </row>
    <row r="127" spans="1:30" x14ac:dyDescent="0.2">
      <c r="A127" s="30" t="s">
        <v>8852</v>
      </c>
      <c r="B127" s="29">
        <v>6</v>
      </c>
      <c r="C127" s="29">
        <v>3</v>
      </c>
      <c r="D127" s="29">
        <v>380</v>
      </c>
      <c r="E127" s="29">
        <v>2682</v>
      </c>
      <c r="F127" s="29">
        <v>10690</v>
      </c>
      <c r="G127" s="29">
        <v>2672</v>
      </c>
      <c r="H127" s="29">
        <v>10410</v>
      </c>
      <c r="I127" s="29">
        <v>3812</v>
      </c>
      <c r="J127" s="29">
        <v>15864840</v>
      </c>
      <c r="K127" s="29">
        <v>871</v>
      </c>
      <c r="L127" s="29">
        <v>1335</v>
      </c>
      <c r="N127" s="34"/>
      <c r="O127" s="29">
        <f t="shared" si="11"/>
        <v>1103</v>
      </c>
      <c r="P127" s="32" cm="1">
        <f t="array" ref="P127">WPNFACTOR(C127)</f>
        <v>2.5</v>
      </c>
      <c r="Q127" s="34" cm="1">
        <f t="array" ref="Q127">HPFACTOr(C127)</f>
        <v>4</v>
      </c>
      <c r="R127" s="33">
        <f t="shared" si="12"/>
        <v>441.2</v>
      </c>
      <c r="S127" s="34">
        <f t="shared" si="13"/>
        <v>3966210</v>
      </c>
      <c r="T127" s="33">
        <f t="shared" si="14"/>
        <v>441.2</v>
      </c>
      <c r="U127" s="42">
        <f t="shared" si="15"/>
        <v>3966210</v>
      </c>
      <c r="V127" s="44"/>
      <c r="W127" s="29">
        <f t="shared" si="17"/>
        <v>1749891852</v>
      </c>
      <c r="X127" s="41">
        <f t="shared" si="16"/>
        <v>30.704618616384121</v>
      </c>
      <c r="Y127" s="33">
        <f t="shared" si="18"/>
        <v>204.52801444031127</v>
      </c>
      <c r="Z127" s="33">
        <v>1.33</v>
      </c>
      <c r="AA127" s="29">
        <f t="shared" si="19"/>
        <v>272.02225920561398</v>
      </c>
      <c r="AB127" s="33">
        <f t="shared" si="20"/>
        <v>1205.0463075699859</v>
      </c>
      <c r="AC127" s="29">
        <v>236</v>
      </c>
      <c r="AD127" s="46">
        <f t="shared" si="21"/>
        <v>0.19584309625071711</v>
      </c>
    </row>
    <row r="128" spans="1:30" x14ac:dyDescent="0.2">
      <c r="A128" s="30" t="s">
        <v>8852</v>
      </c>
      <c r="B128" s="29">
        <v>7</v>
      </c>
      <c r="C128" s="29">
        <v>2</v>
      </c>
      <c r="D128" s="29">
        <v>385</v>
      </c>
      <c r="E128" s="29">
        <v>2888</v>
      </c>
      <c r="F128" s="29">
        <v>2908</v>
      </c>
      <c r="G128" s="29">
        <v>11670</v>
      </c>
      <c r="H128" s="29">
        <v>11230</v>
      </c>
      <c r="I128" s="29">
        <v>4122</v>
      </c>
      <c r="J128" s="29">
        <v>8669560</v>
      </c>
      <c r="K128" s="29">
        <v>1235</v>
      </c>
      <c r="L128" s="29">
        <v>3121</v>
      </c>
      <c r="N128" s="34"/>
      <c r="O128" s="29">
        <f t="shared" si="11"/>
        <v>2178</v>
      </c>
      <c r="P128" s="32" cm="1">
        <f t="array" ref="P128">WPNFACTOR(C128)</f>
        <v>4.5</v>
      </c>
      <c r="Q128" s="34" cm="1">
        <f t="array" ref="Q128">HPFACTOr(C128)</f>
        <v>2</v>
      </c>
      <c r="R128" s="33">
        <f t="shared" si="12"/>
        <v>484</v>
      </c>
      <c r="S128" s="34">
        <f t="shared" si="13"/>
        <v>4334780</v>
      </c>
      <c r="T128" s="33">
        <f t="shared" si="14"/>
        <v>484</v>
      </c>
      <c r="U128" s="42">
        <f t="shared" si="15"/>
        <v>4334780</v>
      </c>
      <c r="V128" s="44"/>
      <c r="W128" s="29">
        <f t="shared" si="17"/>
        <v>2098033520</v>
      </c>
      <c r="X128" s="41">
        <f t="shared" si="16"/>
        <v>30.966390581830638</v>
      </c>
      <c r="Y128" s="33">
        <f t="shared" si="18"/>
        <v>214.0193819923812</v>
      </c>
      <c r="Z128" s="33">
        <v>1.33</v>
      </c>
      <c r="AA128" s="29">
        <f t="shared" si="19"/>
        <v>284.64577804986703</v>
      </c>
      <c r="AB128" s="33">
        <f t="shared" si="20"/>
        <v>1280.1793205801769</v>
      </c>
      <c r="AC128" s="29">
        <v>238</v>
      </c>
      <c r="AD128" s="46">
        <f t="shared" si="21"/>
        <v>0.18591145488285069</v>
      </c>
    </row>
    <row r="129" spans="1:30" x14ac:dyDescent="0.2">
      <c r="A129" s="30" t="s">
        <v>8852</v>
      </c>
      <c r="B129" s="29">
        <v>8</v>
      </c>
      <c r="C129" s="29">
        <v>1</v>
      </c>
      <c r="D129" s="29">
        <v>390</v>
      </c>
      <c r="E129" s="29">
        <v>12540</v>
      </c>
      <c r="F129" s="29">
        <v>4395</v>
      </c>
      <c r="G129" s="29">
        <v>4370</v>
      </c>
      <c r="H129" s="29">
        <v>12260</v>
      </c>
      <c r="I129" s="29">
        <v>2710</v>
      </c>
      <c r="J129" s="29">
        <v>23968300</v>
      </c>
      <c r="K129" s="29">
        <v>650</v>
      </c>
      <c r="L129" s="29">
        <v>1479</v>
      </c>
      <c r="N129" s="34"/>
      <c r="O129" s="29">
        <f t="shared" si="11"/>
        <v>1064.5</v>
      </c>
      <c r="P129" s="32" cm="1">
        <f t="array" ref="P129">WPNFACTOR(C129)</f>
        <v>2</v>
      </c>
      <c r="Q129" s="34" cm="1">
        <f t="array" ref="Q129">HPFACTOr(C129)</f>
        <v>5</v>
      </c>
      <c r="R129" s="33">
        <f t="shared" si="12"/>
        <v>532.25</v>
      </c>
      <c r="S129" s="34">
        <f t="shared" si="13"/>
        <v>4793660</v>
      </c>
      <c r="T129" s="33">
        <f t="shared" si="14"/>
        <v>532.25</v>
      </c>
      <c r="U129" s="42">
        <f t="shared" si="15"/>
        <v>4793660</v>
      </c>
      <c r="V129" s="44"/>
      <c r="W129" s="29">
        <f t="shared" si="17"/>
        <v>2551425535</v>
      </c>
      <c r="X129" s="41">
        <f t="shared" si="16"/>
        <v>31.248656390337789</v>
      </c>
      <c r="Y129" s="33">
        <f t="shared" si="18"/>
        <v>224.74794241430433</v>
      </c>
      <c r="Z129" s="33">
        <v>1.33</v>
      </c>
      <c r="AA129" s="29">
        <f t="shared" si="19"/>
        <v>298.91476341102475</v>
      </c>
      <c r="AB129" s="33">
        <f t="shared" si="20"/>
        <v>1366.4517438815203</v>
      </c>
      <c r="AC129" s="29">
        <v>259</v>
      </c>
      <c r="AD129" s="46">
        <f t="shared" si="21"/>
        <v>0.18954200260617243</v>
      </c>
    </row>
    <row r="130" spans="1:30" x14ac:dyDescent="0.2">
      <c r="A130" s="30" t="s">
        <v>8852</v>
      </c>
      <c r="B130" s="29">
        <v>9</v>
      </c>
      <c r="C130" s="29">
        <v>1</v>
      </c>
      <c r="D130" s="29">
        <v>395</v>
      </c>
      <c r="E130" s="29">
        <v>13540</v>
      </c>
      <c r="F130" s="29">
        <v>4745</v>
      </c>
      <c r="G130" s="29">
        <v>4720</v>
      </c>
      <c r="H130" s="29">
        <v>13260</v>
      </c>
      <c r="I130" s="29">
        <v>2910</v>
      </c>
      <c r="J130" s="29">
        <v>26254800</v>
      </c>
      <c r="K130" s="29">
        <v>700</v>
      </c>
      <c r="L130" s="29">
        <v>1629</v>
      </c>
      <c r="N130" s="34"/>
      <c r="O130" s="29">
        <f t="shared" si="11"/>
        <v>1164.5</v>
      </c>
      <c r="P130" s="32" cm="1">
        <f t="array" ref="P130">WPNFACTOR(C130)</f>
        <v>2</v>
      </c>
      <c r="Q130" s="34" cm="1">
        <f t="array" ref="Q130">HPFACTOr(C130)</f>
        <v>5</v>
      </c>
      <c r="R130" s="33">
        <f t="shared" si="12"/>
        <v>582.25</v>
      </c>
      <c r="S130" s="34">
        <f t="shared" si="13"/>
        <v>5250960</v>
      </c>
      <c r="T130" s="33">
        <f t="shared" si="14"/>
        <v>582.25</v>
      </c>
      <c r="U130" s="42">
        <f t="shared" si="15"/>
        <v>5250960</v>
      </c>
      <c r="V130" s="44"/>
      <c r="W130" s="29">
        <f t="shared" si="17"/>
        <v>3057371460</v>
      </c>
      <c r="X130" s="41">
        <f t="shared" si="16"/>
        <v>31.509644699290426</v>
      </c>
      <c r="Y130" s="33">
        <f t="shared" si="18"/>
        <v>235.14570562377546</v>
      </c>
      <c r="Z130" s="33">
        <v>1.33</v>
      </c>
      <c r="AA130" s="29">
        <f t="shared" si="19"/>
        <v>312.7437884796214</v>
      </c>
      <c r="AB130" s="33">
        <f t="shared" si="20"/>
        <v>1451.3853521709796</v>
      </c>
      <c r="AC130" s="29">
        <v>265</v>
      </c>
      <c r="AD130" s="46">
        <f t="shared" si="21"/>
        <v>0.1825841769752006</v>
      </c>
    </row>
    <row r="131" spans="1:30" x14ac:dyDescent="0.2">
      <c r="A131" s="30" t="s">
        <v>8852</v>
      </c>
      <c r="B131" s="29">
        <v>10</v>
      </c>
      <c r="C131" s="29">
        <v>1</v>
      </c>
      <c r="D131" s="29">
        <v>400</v>
      </c>
      <c r="E131" s="29">
        <v>16840</v>
      </c>
      <c r="F131" s="29">
        <v>5900</v>
      </c>
      <c r="G131" s="29">
        <v>5875</v>
      </c>
      <c r="H131" s="29">
        <v>16560</v>
      </c>
      <c r="I131" s="29">
        <v>3570</v>
      </c>
      <c r="J131" s="29">
        <v>33202800</v>
      </c>
      <c r="K131" s="29">
        <v>866</v>
      </c>
      <c r="L131" s="29">
        <v>2124</v>
      </c>
      <c r="N131" s="34"/>
      <c r="O131" s="29">
        <f t="shared" ref="O131:O194" si="32">AVERAGE(K131, L131)</f>
        <v>1495</v>
      </c>
      <c r="P131" s="32" cm="1">
        <f t="array" ref="P131">WPNFACTOR(C131)</f>
        <v>2</v>
      </c>
      <c r="Q131" s="34" cm="1">
        <f t="array" ref="Q131">HPFACTOr(C131)</f>
        <v>5</v>
      </c>
      <c r="R131" s="33">
        <f t="shared" ref="R131:R194" si="33">O131/P131</f>
        <v>747.5</v>
      </c>
      <c r="S131" s="34">
        <f t="shared" ref="S131:S194" si="34">J131/Q131</f>
        <v>6640560</v>
      </c>
      <c r="T131" s="33">
        <f t="shared" ref="T131:T194" si="35">R131*(1 + (N131/400))</f>
        <v>747.5</v>
      </c>
      <c r="U131" s="42">
        <f t="shared" ref="U131:U194" si="36">S131*1.6/(1 + (0.6*(1 - (M131/100))))</f>
        <v>6640560</v>
      </c>
      <c r="V131" s="44"/>
      <c r="W131" s="29">
        <f t="shared" si="17"/>
        <v>4963818600</v>
      </c>
      <c r="X131" s="41">
        <f t="shared" ref="X131:X194" si="37">LOG(W131, 2)</f>
        <v>32.208803247927072</v>
      </c>
      <c r="Y131" s="33">
        <f t="shared" si="18"/>
        <v>265.43242542876294</v>
      </c>
      <c r="Z131" s="33">
        <v>1.33</v>
      </c>
      <c r="AA131" s="29">
        <f t="shared" si="19"/>
        <v>353.02512582025474</v>
      </c>
      <c r="AB131" s="33">
        <f t="shared" si="20"/>
        <v>1705.8413359329429</v>
      </c>
      <c r="AC131" s="29">
        <v>285</v>
      </c>
      <c r="AD131" s="46">
        <f t="shared" si="21"/>
        <v>0.1670729826957385</v>
      </c>
    </row>
    <row r="132" spans="1:30" x14ac:dyDescent="0.2">
      <c r="A132" s="30" t="s">
        <v>8853</v>
      </c>
      <c r="B132" s="29">
        <v>1</v>
      </c>
      <c r="C132" s="29">
        <v>1</v>
      </c>
      <c r="D132" s="29">
        <v>310</v>
      </c>
      <c r="E132" s="29">
        <v>6040</v>
      </c>
      <c r="F132" s="29">
        <v>2120</v>
      </c>
      <c r="G132" s="29">
        <v>2095</v>
      </c>
      <c r="H132" s="29">
        <v>5760</v>
      </c>
      <c r="I132" s="29">
        <v>1410</v>
      </c>
      <c r="J132" s="29">
        <v>8956800</v>
      </c>
      <c r="K132" s="29">
        <v>325</v>
      </c>
      <c r="L132" s="29">
        <v>504</v>
      </c>
      <c r="N132" s="34"/>
      <c r="O132" s="29">
        <f t="shared" si="32"/>
        <v>414.5</v>
      </c>
      <c r="P132" s="32" cm="1">
        <f t="array" ref="P132">WPNFACTOR(C132)</f>
        <v>2</v>
      </c>
      <c r="Q132" s="34" cm="1">
        <f t="array" ref="Q132">HPFACTOr(C132)</f>
        <v>5</v>
      </c>
      <c r="R132" s="33">
        <f t="shared" si="33"/>
        <v>207.25</v>
      </c>
      <c r="S132" s="34">
        <f t="shared" si="34"/>
        <v>1791360</v>
      </c>
      <c r="T132" s="33">
        <f t="shared" si="35"/>
        <v>207.25</v>
      </c>
      <c r="U132" s="42">
        <f t="shared" si="36"/>
        <v>1791360</v>
      </c>
      <c r="V132" s="44"/>
      <c r="W132" s="29">
        <f t="shared" ref="W132:W195" si="38">T132*U132</f>
        <v>371259360</v>
      </c>
      <c r="X132" s="41">
        <f t="shared" si="37"/>
        <v>28.467852157956028</v>
      </c>
      <c r="Y132" s="33">
        <f t="shared" ref="Y132:Y195" si="39">POWER(W132, 1/4)</f>
        <v>138.80955211417304</v>
      </c>
      <c r="Z132" s="33">
        <v>1.33</v>
      </c>
      <c r="AA132" s="29">
        <f t="shared" ref="AA132:AA195" si="40">Y132*Z132</f>
        <v>184.61670431185016</v>
      </c>
      <c r="AB132" s="33">
        <f t="shared" ref="AB132:AB195" si="41">POWER(W132, 1/$AB$1)</f>
        <v>718.71901860156731</v>
      </c>
      <c r="AC132" s="29">
        <v>180</v>
      </c>
      <c r="AD132" s="46">
        <f t="shared" ref="AD132:AD195" si="42">IF(AC132 = "", ,AC132/AB132)</f>
        <v>0.25044557795372008</v>
      </c>
    </row>
    <row r="133" spans="1:30" x14ac:dyDescent="0.2">
      <c r="A133" s="30" t="s">
        <v>8853</v>
      </c>
      <c r="B133" s="29">
        <v>2</v>
      </c>
      <c r="C133" s="29">
        <v>1</v>
      </c>
      <c r="D133" s="29">
        <v>320</v>
      </c>
      <c r="E133" s="29">
        <v>6240</v>
      </c>
      <c r="F133" s="29">
        <v>2190</v>
      </c>
      <c r="G133" s="29">
        <v>2165</v>
      </c>
      <c r="H133" s="29">
        <v>5960</v>
      </c>
      <c r="I133" s="29">
        <v>1450</v>
      </c>
      <c r="J133" s="29">
        <v>9565800</v>
      </c>
      <c r="K133" s="29">
        <v>335</v>
      </c>
      <c r="L133" s="29">
        <v>534</v>
      </c>
      <c r="N133" s="34"/>
      <c r="O133" s="29">
        <f t="shared" si="32"/>
        <v>434.5</v>
      </c>
      <c r="P133" s="32" cm="1">
        <f t="array" ref="P133">WPNFACTOR(C133)</f>
        <v>2</v>
      </c>
      <c r="Q133" s="34" cm="1">
        <f t="array" ref="Q133">HPFACTOr(C133)</f>
        <v>5</v>
      </c>
      <c r="R133" s="33">
        <f t="shared" si="33"/>
        <v>217.25</v>
      </c>
      <c r="S133" s="34">
        <f t="shared" si="34"/>
        <v>1913160</v>
      </c>
      <c r="T133" s="33">
        <f t="shared" si="35"/>
        <v>217.25</v>
      </c>
      <c r="U133" s="42">
        <f t="shared" si="36"/>
        <v>1913160</v>
      </c>
      <c r="V133" s="44"/>
      <c r="W133" s="29">
        <f t="shared" si="38"/>
        <v>415634010</v>
      </c>
      <c r="X133" s="41">
        <f t="shared" si="37"/>
        <v>28.630738469286229</v>
      </c>
      <c r="Y133" s="33">
        <f t="shared" si="39"/>
        <v>142.78341644636293</v>
      </c>
      <c r="Z133" s="33">
        <v>1.33</v>
      </c>
      <c r="AA133" s="29">
        <f t="shared" si="40"/>
        <v>189.9019438736627</v>
      </c>
      <c r="AB133" s="33">
        <f t="shared" si="41"/>
        <v>746.28324697769006</v>
      </c>
      <c r="AC133" s="29">
        <v>191</v>
      </c>
      <c r="AD133" s="46">
        <f t="shared" si="42"/>
        <v>0.2559349962276587</v>
      </c>
    </row>
    <row r="134" spans="1:30" x14ac:dyDescent="0.2">
      <c r="A134" s="30" t="s">
        <v>8853</v>
      </c>
      <c r="B134" s="29">
        <v>3</v>
      </c>
      <c r="C134" s="29">
        <v>2</v>
      </c>
      <c r="D134" s="29">
        <v>330</v>
      </c>
      <c r="E134" s="29">
        <v>3200</v>
      </c>
      <c r="F134" s="29">
        <v>3240</v>
      </c>
      <c r="G134" s="29">
        <v>13040</v>
      </c>
      <c r="H134" s="29">
        <v>12160</v>
      </c>
      <c r="I134" s="29">
        <v>4640</v>
      </c>
      <c r="J134" s="29">
        <v>8049920</v>
      </c>
      <c r="K134" s="29">
        <v>719</v>
      </c>
      <c r="L134" s="29">
        <v>1325</v>
      </c>
      <c r="N134" s="34"/>
      <c r="O134" s="29">
        <f t="shared" si="32"/>
        <v>1022</v>
      </c>
      <c r="P134" s="32" cm="1">
        <f t="array" ref="P134">WPNFACTOR(C134)</f>
        <v>4.5</v>
      </c>
      <c r="Q134" s="34" cm="1">
        <f t="array" ref="Q134">HPFACTOr(C134)</f>
        <v>2</v>
      </c>
      <c r="R134" s="33">
        <f t="shared" si="33"/>
        <v>227.11111111111111</v>
      </c>
      <c r="S134" s="34">
        <f t="shared" si="34"/>
        <v>4024960</v>
      </c>
      <c r="T134" s="33">
        <f t="shared" si="35"/>
        <v>227.11111111111111</v>
      </c>
      <c r="U134" s="42">
        <f t="shared" si="36"/>
        <v>4024960</v>
      </c>
      <c r="V134" s="44"/>
      <c r="W134" s="29">
        <f t="shared" si="38"/>
        <v>914113137.77777779</v>
      </c>
      <c r="X134" s="41">
        <f t="shared" si="37"/>
        <v>29.767797494633477</v>
      </c>
      <c r="Y134" s="33">
        <f t="shared" si="39"/>
        <v>173.88014259914351</v>
      </c>
      <c r="Z134" s="33">
        <v>1.33</v>
      </c>
      <c r="AA134" s="29">
        <f t="shared" si="40"/>
        <v>231.26058965686087</v>
      </c>
      <c r="AB134" s="33">
        <f t="shared" si="41"/>
        <v>970.50993054887579</v>
      </c>
      <c r="AC134" s="29">
        <v>201</v>
      </c>
      <c r="AD134" s="46">
        <f t="shared" si="42"/>
        <v>0.20710761803985214</v>
      </c>
    </row>
    <row r="135" spans="1:30" x14ac:dyDescent="0.2">
      <c r="A135" s="30" t="s">
        <v>8853</v>
      </c>
      <c r="B135" s="29">
        <v>4</v>
      </c>
      <c r="C135" s="29">
        <v>1</v>
      </c>
      <c r="D135" s="29">
        <v>340</v>
      </c>
      <c r="E135" s="29">
        <v>13280</v>
      </c>
      <c r="F135" s="29">
        <v>4660</v>
      </c>
      <c r="G135" s="29">
        <v>4610</v>
      </c>
      <c r="H135" s="29">
        <v>12720</v>
      </c>
      <c r="I135" s="29">
        <v>3060</v>
      </c>
      <c r="J135" s="29">
        <v>21687600</v>
      </c>
      <c r="K135" s="29">
        <v>355</v>
      </c>
      <c r="L135" s="29">
        <v>594</v>
      </c>
      <c r="N135" s="34"/>
      <c r="O135" s="29">
        <f t="shared" si="32"/>
        <v>474.5</v>
      </c>
      <c r="P135" s="32" cm="1">
        <f t="array" ref="P135">WPNFACTOR(C135)</f>
        <v>2</v>
      </c>
      <c r="Q135" s="34" cm="1">
        <f t="array" ref="Q135">HPFACTOr(C135)</f>
        <v>5</v>
      </c>
      <c r="R135" s="33">
        <f t="shared" si="33"/>
        <v>237.25</v>
      </c>
      <c r="S135" s="34">
        <f t="shared" si="34"/>
        <v>4337520</v>
      </c>
      <c r="T135" s="33">
        <f t="shared" si="35"/>
        <v>237.25</v>
      </c>
      <c r="U135" s="42">
        <f t="shared" si="36"/>
        <v>4337520</v>
      </c>
      <c r="V135" s="44"/>
      <c r="W135" s="29">
        <f t="shared" si="38"/>
        <v>1029076620</v>
      </c>
      <c r="X135" s="41">
        <f t="shared" si="37"/>
        <v>29.938703256217003</v>
      </c>
      <c r="Y135" s="33">
        <f t="shared" si="39"/>
        <v>179.10673945387813</v>
      </c>
      <c r="Z135" s="33">
        <v>1.33</v>
      </c>
      <c r="AA135" s="29">
        <f t="shared" si="40"/>
        <v>238.21196347365793</v>
      </c>
      <c r="AB135" s="33">
        <f t="shared" si="41"/>
        <v>1009.5997564531518</v>
      </c>
      <c r="AC135" s="29">
        <v>244</v>
      </c>
      <c r="AD135" s="46">
        <f t="shared" si="42"/>
        <v>0.24167993151781456</v>
      </c>
    </row>
    <row r="136" spans="1:30" x14ac:dyDescent="0.2">
      <c r="A136" s="30" t="s">
        <v>8853</v>
      </c>
      <c r="B136" s="29">
        <v>5</v>
      </c>
      <c r="C136" s="29">
        <v>1</v>
      </c>
      <c r="D136" s="29">
        <v>350</v>
      </c>
      <c r="E136" s="29">
        <v>13680</v>
      </c>
      <c r="F136" s="29">
        <v>4800</v>
      </c>
      <c r="G136" s="29">
        <v>4750</v>
      </c>
      <c r="H136" s="29">
        <v>13120</v>
      </c>
      <c r="I136" s="29">
        <v>3140</v>
      </c>
      <c r="J136" s="29">
        <v>23025600</v>
      </c>
      <c r="K136" s="29">
        <v>365</v>
      </c>
      <c r="L136" s="29">
        <v>624</v>
      </c>
      <c r="N136" s="34"/>
      <c r="O136" s="29">
        <f t="shared" si="32"/>
        <v>494.5</v>
      </c>
      <c r="P136" s="32" cm="1">
        <f t="array" ref="P136">WPNFACTOR(C136)</f>
        <v>2</v>
      </c>
      <c r="Q136" s="34" cm="1">
        <f t="array" ref="Q136">HPFACTOr(C136)</f>
        <v>5</v>
      </c>
      <c r="R136" s="33">
        <f t="shared" si="33"/>
        <v>247.25</v>
      </c>
      <c r="S136" s="34">
        <f t="shared" si="34"/>
        <v>4605120</v>
      </c>
      <c r="T136" s="33">
        <f t="shared" si="35"/>
        <v>247.25</v>
      </c>
      <c r="U136" s="42">
        <f t="shared" si="36"/>
        <v>4605120</v>
      </c>
      <c r="V136" s="44"/>
      <c r="W136" s="29">
        <f t="shared" si="38"/>
        <v>1138615920</v>
      </c>
      <c r="X136" s="41">
        <f t="shared" si="37"/>
        <v>30.084634030569116</v>
      </c>
      <c r="Y136" s="33">
        <f t="shared" si="39"/>
        <v>183.69372158951657</v>
      </c>
      <c r="Z136" s="33">
        <v>1.33</v>
      </c>
      <c r="AA136" s="29">
        <f t="shared" si="40"/>
        <v>244.31264971405705</v>
      </c>
      <c r="AB136" s="33">
        <f t="shared" si="41"/>
        <v>1044.220986381478</v>
      </c>
      <c r="AC136" s="29">
        <v>246</v>
      </c>
      <c r="AD136" s="46">
        <f t="shared" si="42"/>
        <v>0.23558231754416256</v>
      </c>
    </row>
    <row r="137" spans="1:30" x14ac:dyDescent="0.2">
      <c r="A137" s="30" t="s">
        <v>8853</v>
      </c>
      <c r="B137" s="29">
        <v>6</v>
      </c>
      <c r="C137" s="29">
        <v>2</v>
      </c>
      <c r="D137" s="29">
        <v>360</v>
      </c>
      <c r="E137" s="29">
        <v>5910</v>
      </c>
      <c r="F137" s="29">
        <v>5970</v>
      </c>
      <c r="G137" s="29">
        <v>24000</v>
      </c>
      <c r="H137" s="29">
        <v>22680</v>
      </c>
      <c r="I137" s="29">
        <v>8514</v>
      </c>
      <c r="J137" s="29">
        <v>16374960</v>
      </c>
      <c r="K137" s="29">
        <v>867</v>
      </c>
      <c r="L137" s="29">
        <v>1842</v>
      </c>
      <c r="N137" s="34"/>
      <c r="O137" s="29">
        <f t="shared" si="32"/>
        <v>1354.5</v>
      </c>
      <c r="P137" s="32" cm="1">
        <f t="array" ref="P137">WPNFACTOR(C137)</f>
        <v>4.5</v>
      </c>
      <c r="Q137" s="34" cm="1">
        <f t="array" ref="Q137">HPFACTOr(C137)</f>
        <v>2</v>
      </c>
      <c r="R137" s="33">
        <f t="shared" si="33"/>
        <v>301</v>
      </c>
      <c r="S137" s="34">
        <f t="shared" si="34"/>
        <v>8187480</v>
      </c>
      <c r="T137" s="33">
        <f t="shared" si="35"/>
        <v>301</v>
      </c>
      <c r="U137" s="42">
        <f t="shared" si="36"/>
        <v>8187480</v>
      </c>
      <c r="V137" s="44"/>
      <c r="W137" s="29">
        <f t="shared" si="38"/>
        <v>2464431480</v>
      </c>
      <c r="X137" s="41">
        <f t="shared" si="37"/>
        <v>31.198607723476464</v>
      </c>
      <c r="Y137" s="33">
        <f t="shared" si="39"/>
        <v>222.80718255897077</v>
      </c>
      <c r="Z137" s="33">
        <v>1.33</v>
      </c>
      <c r="AA137" s="29">
        <f t="shared" si="40"/>
        <v>296.33355280343113</v>
      </c>
      <c r="AB137" s="33">
        <f t="shared" si="41"/>
        <v>1350.7415185552284</v>
      </c>
      <c r="AC137" s="29">
        <v>249</v>
      </c>
      <c r="AD137" s="46">
        <f t="shared" si="42"/>
        <v>0.18434318970689065</v>
      </c>
    </row>
    <row r="138" spans="1:30" x14ac:dyDescent="0.2">
      <c r="A138" s="30" t="s">
        <v>8853</v>
      </c>
      <c r="B138" s="29">
        <v>7</v>
      </c>
      <c r="C138" s="29">
        <v>3</v>
      </c>
      <c r="D138" s="29">
        <v>370</v>
      </c>
      <c r="E138" s="29">
        <v>6540</v>
      </c>
      <c r="F138" s="29">
        <v>26040</v>
      </c>
      <c r="G138" s="29">
        <v>6510</v>
      </c>
      <c r="H138" s="29">
        <v>25200</v>
      </c>
      <c r="I138" s="29">
        <v>9327</v>
      </c>
      <c r="J138" s="29">
        <v>37396800</v>
      </c>
      <c r="K138" s="29">
        <v>670</v>
      </c>
      <c r="L138" s="29">
        <v>1034</v>
      </c>
      <c r="N138" s="34"/>
      <c r="O138" s="29">
        <f t="shared" si="32"/>
        <v>852</v>
      </c>
      <c r="P138" s="32" cm="1">
        <f t="array" ref="P138">WPNFACTOR(C138)</f>
        <v>2.5</v>
      </c>
      <c r="Q138" s="34" cm="1">
        <f t="array" ref="Q138">HPFACTOr(C138)</f>
        <v>4</v>
      </c>
      <c r="R138" s="33">
        <f t="shared" si="33"/>
        <v>340.8</v>
      </c>
      <c r="S138" s="34">
        <f t="shared" si="34"/>
        <v>9349200</v>
      </c>
      <c r="T138" s="33">
        <f t="shared" si="35"/>
        <v>340.8</v>
      </c>
      <c r="U138" s="42">
        <f t="shared" si="36"/>
        <v>9349200</v>
      </c>
      <c r="V138" s="44"/>
      <c r="W138" s="29">
        <f t="shared" si="38"/>
        <v>3186207360</v>
      </c>
      <c r="X138" s="41">
        <f t="shared" si="37"/>
        <v>31.569193015233921</v>
      </c>
      <c r="Y138" s="33">
        <f t="shared" si="39"/>
        <v>237.5847216890632</v>
      </c>
      <c r="Z138" s="33">
        <v>1.33</v>
      </c>
      <c r="AA138" s="29">
        <f t="shared" si="40"/>
        <v>315.98767984645406</v>
      </c>
      <c r="AB138" s="33">
        <f t="shared" si="41"/>
        <v>1471.4923619741921</v>
      </c>
      <c r="AC138" s="29">
        <v>283</v>
      </c>
      <c r="AD138" s="46">
        <f t="shared" si="42"/>
        <v>0.19232175940099336</v>
      </c>
    </row>
    <row r="139" spans="1:30" x14ac:dyDescent="0.2">
      <c r="A139" s="30" t="s">
        <v>8853</v>
      </c>
      <c r="B139" s="29">
        <v>8</v>
      </c>
      <c r="C139" s="29">
        <v>1</v>
      </c>
      <c r="D139" s="29">
        <v>380</v>
      </c>
      <c r="E139" s="29">
        <v>22000</v>
      </c>
      <c r="F139" s="29">
        <v>7200</v>
      </c>
      <c r="G139" s="29">
        <v>7000</v>
      </c>
      <c r="H139" s="29">
        <v>25000</v>
      </c>
      <c r="I139" s="29">
        <v>7020</v>
      </c>
      <c r="J139" s="29">
        <v>59493152</v>
      </c>
      <c r="K139" s="29">
        <v>420</v>
      </c>
      <c r="L139" s="29">
        <v>699</v>
      </c>
      <c r="N139" s="34"/>
      <c r="O139" s="29">
        <f t="shared" si="32"/>
        <v>559.5</v>
      </c>
      <c r="P139" s="32" cm="1">
        <f t="array" ref="P139">WPNFACTOR(C139)</f>
        <v>2</v>
      </c>
      <c r="Q139" s="34" cm="1">
        <f t="array" ref="Q139">HPFACTOr(C139)</f>
        <v>5</v>
      </c>
      <c r="R139" s="33">
        <f t="shared" si="33"/>
        <v>279.75</v>
      </c>
      <c r="S139" s="34">
        <f t="shared" si="34"/>
        <v>11898630.4</v>
      </c>
      <c r="T139" s="33">
        <f t="shared" si="35"/>
        <v>279.75</v>
      </c>
      <c r="U139" s="42">
        <f t="shared" si="36"/>
        <v>11898630.4</v>
      </c>
      <c r="V139" s="44"/>
      <c r="W139" s="29">
        <f t="shared" si="38"/>
        <v>3328641854.4000001</v>
      </c>
      <c r="X139" s="41">
        <f t="shared" si="37"/>
        <v>31.632286505877186</v>
      </c>
      <c r="Y139" s="33">
        <f t="shared" si="39"/>
        <v>240.19655121091904</v>
      </c>
      <c r="Z139" s="33">
        <v>1.33</v>
      </c>
      <c r="AA139" s="29">
        <f t="shared" si="40"/>
        <v>319.46141311052236</v>
      </c>
      <c r="AB139" s="33">
        <f t="shared" si="41"/>
        <v>1493.100439277709</v>
      </c>
      <c r="AD139" s="46">
        <f t="shared" si="42"/>
        <v>0</v>
      </c>
    </row>
    <row r="140" spans="1:30" x14ac:dyDescent="0.2">
      <c r="A140" s="30" t="s">
        <v>8853</v>
      </c>
      <c r="B140" s="29">
        <v>9</v>
      </c>
      <c r="C140" s="29">
        <v>1</v>
      </c>
      <c r="D140" s="29">
        <v>390</v>
      </c>
      <c r="E140" s="29">
        <v>35000</v>
      </c>
      <c r="F140" s="29">
        <v>11800</v>
      </c>
      <c r="G140" s="29">
        <v>12000</v>
      </c>
      <c r="H140" s="29">
        <v>40040</v>
      </c>
      <c r="I140" s="29">
        <v>8000</v>
      </c>
      <c r="J140" s="29">
        <v>95873200</v>
      </c>
      <c r="K140" s="29">
        <v>440</v>
      </c>
      <c r="L140" s="29">
        <v>819</v>
      </c>
      <c r="N140" s="34"/>
      <c r="O140" s="29">
        <f t="shared" si="32"/>
        <v>629.5</v>
      </c>
      <c r="P140" s="32" cm="1">
        <f t="array" ref="P140">WPNFACTOR(C140)</f>
        <v>2</v>
      </c>
      <c r="Q140" s="34" cm="1">
        <f t="array" ref="Q140">HPFACTOr(C140)</f>
        <v>5</v>
      </c>
      <c r="R140" s="33">
        <f t="shared" si="33"/>
        <v>314.75</v>
      </c>
      <c r="S140" s="34">
        <f t="shared" si="34"/>
        <v>19174640</v>
      </c>
      <c r="T140" s="33">
        <f t="shared" si="35"/>
        <v>314.75</v>
      </c>
      <c r="U140" s="42">
        <f t="shared" si="36"/>
        <v>19174640</v>
      </c>
      <c r="V140" s="44"/>
      <c r="W140" s="29">
        <f t="shared" si="38"/>
        <v>6035217940</v>
      </c>
      <c r="X140" s="41">
        <f t="shared" si="37"/>
        <v>32.490758723604515</v>
      </c>
      <c r="Y140" s="33">
        <f t="shared" si="39"/>
        <v>278.72327699046332</v>
      </c>
      <c r="Z140" s="33">
        <v>1.33</v>
      </c>
      <c r="AA140" s="29">
        <f t="shared" si="40"/>
        <v>370.70195839731622</v>
      </c>
      <c r="AB140" s="33">
        <f t="shared" si="41"/>
        <v>1820.6689506478801</v>
      </c>
      <c r="AD140" s="46">
        <f t="shared" si="42"/>
        <v>0</v>
      </c>
    </row>
    <row r="141" spans="1:30" x14ac:dyDescent="0.2">
      <c r="A141" s="30" t="s">
        <v>8853</v>
      </c>
      <c r="B141" s="29">
        <v>10</v>
      </c>
      <c r="C141" s="29">
        <v>2</v>
      </c>
      <c r="D141" s="29">
        <v>400</v>
      </c>
      <c r="E141" s="29">
        <v>8500</v>
      </c>
      <c r="F141" s="29">
        <v>8500</v>
      </c>
      <c r="G141" s="29">
        <v>32000</v>
      </c>
      <c r="H141" s="29">
        <v>30000</v>
      </c>
      <c r="I141" s="29">
        <v>12000</v>
      </c>
      <c r="J141" s="29">
        <v>52867840</v>
      </c>
      <c r="K141" s="29">
        <v>900</v>
      </c>
      <c r="L141" s="29">
        <v>2049</v>
      </c>
      <c r="N141" s="34"/>
      <c r="O141" s="29">
        <f t="shared" si="32"/>
        <v>1474.5</v>
      </c>
      <c r="P141" s="32" cm="1">
        <f t="array" ref="P141">WPNFACTOR(C141)</f>
        <v>4.5</v>
      </c>
      <c r="Q141" s="34" cm="1">
        <f t="array" ref="Q141">HPFACTOr(C141)</f>
        <v>2</v>
      </c>
      <c r="R141" s="33">
        <f t="shared" si="33"/>
        <v>327.66666666666669</v>
      </c>
      <c r="S141" s="34">
        <f t="shared" si="34"/>
        <v>26433920</v>
      </c>
      <c r="T141" s="33">
        <f t="shared" si="35"/>
        <v>327.66666666666669</v>
      </c>
      <c r="U141" s="42">
        <f t="shared" si="36"/>
        <v>26433920</v>
      </c>
      <c r="V141" s="44"/>
      <c r="W141" s="29">
        <f t="shared" si="38"/>
        <v>8661514453.333334</v>
      </c>
      <c r="X141" s="41">
        <f t="shared" si="37"/>
        <v>33.011972154144928</v>
      </c>
      <c r="Y141" s="33">
        <f t="shared" si="39"/>
        <v>305.06926703087856</v>
      </c>
      <c r="Z141" s="33">
        <v>1.33</v>
      </c>
      <c r="AA141" s="29">
        <f t="shared" si="40"/>
        <v>405.74212515106854</v>
      </c>
      <c r="AB141" s="33">
        <f t="shared" si="41"/>
        <v>2053.6729278469484</v>
      </c>
      <c r="AD141" s="46">
        <f t="shared" si="42"/>
        <v>0</v>
      </c>
    </row>
    <row r="142" spans="1:30" x14ac:dyDescent="0.2">
      <c r="A142" s="30" t="s">
        <v>8854</v>
      </c>
      <c r="B142" s="29">
        <v>1</v>
      </c>
      <c r="C142" s="29">
        <v>3</v>
      </c>
      <c r="D142" s="29">
        <v>250</v>
      </c>
      <c r="E142" s="29">
        <v>1400</v>
      </c>
      <c r="F142" s="29">
        <v>11000</v>
      </c>
      <c r="G142" s="29">
        <v>1400</v>
      </c>
      <c r="H142" s="29">
        <v>35000</v>
      </c>
      <c r="I142" s="29">
        <v>4500</v>
      </c>
      <c r="J142" s="29">
        <v>62500000</v>
      </c>
      <c r="K142" s="29">
        <v>600</v>
      </c>
      <c r="L142" s="29">
        <v>649</v>
      </c>
      <c r="N142" s="34"/>
      <c r="O142" s="29">
        <f t="shared" si="32"/>
        <v>624.5</v>
      </c>
      <c r="P142" s="32" cm="1">
        <f t="array" ref="P142">WPNFACTOR(C142)</f>
        <v>2.5</v>
      </c>
      <c r="Q142" s="34" cm="1">
        <f t="array" ref="Q142">HPFACTOr(C142)</f>
        <v>4</v>
      </c>
      <c r="R142" s="33">
        <f t="shared" si="33"/>
        <v>249.8</v>
      </c>
      <c r="S142" s="34">
        <f t="shared" si="34"/>
        <v>15625000</v>
      </c>
      <c r="T142" s="33">
        <f t="shared" si="35"/>
        <v>249.8</v>
      </c>
      <c r="U142" s="42">
        <f t="shared" si="36"/>
        <v>15625000</v>
      </c>
      <c r="V142" s="44"/>
      <c r="W142" s="29">
        <f t="shared" si="38"/>
        <v>3903125000</v>
      </c>
      <c r="X142" s="41">
        <f t="shared" si="37"/>
        <v>31.861982520706857</v>
      </c>
      <c r="Y142" s="33">
        <f t="shared" si="39"/>
        <v>249.94998499299612</v>
      </c>
      <c r="Z142" s="33">
        <v>1.33</v>
      </c>
      <c r="AA142" s="29">
        <f t="shared" si="40"/>
        <v>332.43348004068486</v>
      </c>
      <c r="AB142" s="33">
        <f t="shared" si="41"/>
        <v>1574.4812266425085</v>
      </c>
      <c r="AC142" s="29">
        <v>263</v>
      </c>
      <c r="AD142" s="46">
        <f t="shared" si="42"/>
        <v>0.16703914632302888</v>
      </c>
    </row>
    <row r="143" spans="1:30" x14ac:dyDescent="0.2">
      <c r="A143" s="30" t="s">
        <v>8854</v>
      </c>
      <c r="B143" s="29">
        <v>2</v>
      </c>
      <c r="C143" s="29">
        <v>1</v>
      </c>
      <c r="D143" s="29">
        <v>257</v>
      </c>
      <c r="E143" s="29">
        <v>9722</v>
      </c>
      <c r="F143" s="29">
        <v>2404</v>
      </c>
      <c r="G143" s="29">
        <v>2426</v>
      </c>
      <c r="H143" s="29">
        <v>43730</v>
      </c>
      <c r="I143" s="29">
        <v>4764</v>
      </c>
      <c r="J143" s="29">
        <v>79681528</v>
      </c>
      <c r="K143" s="29">
        <v>279</v>
      </c>
      <c r="L143" s="29">
        <v>787</v>
      </c>
      <c r="N143" s="34"/>
      <c r="O143" s="29">
        <f t="shared" si="32"/>
        <v>533</v>
      </c>
      <c r="P143" s="32" cm="1">
        <f t="array" ref="P143">WPNFACTOR(C143)</f>
        <v>2</v>
      </c>
      <c r="Q143" s="34" cm="1">
        <f t="array" ref="Q143">HPFACTOr(C143)</f>
        <v>5</v>
      </c>
      <c r="R143" s="33">
        <f t="shared" si="33"/>
        <v>266.5</v>
      </c>
      <c r="S143" s="34">
        <f t="shared" si="34"/>
        <v>15936305.6</v>
      </c>
      <c r="T143" s="33">
        <f t="shared" si="35"/>
        <v>266.5</v>
      </c>
      <c r="U143" s="42">
        <f t="shared" si="36"/>
        <v>15936305.6</v>
      </c>
      <c r="V143" s="44"/>
      <c r="W143" s="29">
        <f t="shared" si="38"/>
        <v>4247025442.4000001</v>
      </c>
      <c r="X143" s="41">
        <f t="shared" si="37"/>
        <v>31.983805605363916</v>
      </c>
      <c r="Y143" s="33">
        <f t="shared" si="39"/>
        <v>255.28260074560478</v>
      </c>
      <c r="Z143" s="33">
        <v>1.33</v>
      </c>
      <c r="AA143" s="29">
        <f t="shared" si="40"/>
        <v>339.52585899165439</v>
      </c>
      <c r="AB143" s="33">
        <f t="shared" si="41"/>
        <v>1619.4279139351781</v>
      </c>
      <c r="AC143" s="29">
        <v>267</v>
      </c>
      <c r="AD143" s="46">
        <f t="shared" si="42"/>
        <v>0.16487303800463413</v>
      </c>
    </row>
    <row r="144" spans="1:30" x14ac:dyDescent="0.2">
      <c r="A144" s="30" t="s">
        <v>8854</v>
      </c>
      <c r="B144" s="29">
        <v>3</v>
      </c>
      <c r="C144" s="29">
        <v>3</v>
      </c>
      <c r="D144" s="29">
        <v>265</v>
      </c>
      <c r="E144" s="29">
        <v>1550</v>
      </c>
      <c r="F144" s="29">
        <v>11290</v>
      </c>
      <c r="G144" s="29">
        <v>1560</v>
      </c>
      <c r="H144" s="29">
        <v>44000</v>
      </c>
      <c r="I144" s="29">
        <v>4800</v>
      </c>
      <c r="J144" s="29">
        <v>68425000</v>
      </c>
      <c r="K144" s="29">
        <v>681</v>
      </c>
      <c r="L144" s="29">
        <v>727</v>
      </c>
      <c r="N144" s="34"/>
      <c r="O144" s="29">
        <f t="shared" si="32"/>
        <v>704</v>
      </c>
      <c r="P144" s="32" cm="1">
        <f t="array" ref="P144">WPNFACTOR(C144)</f>
        <v>2.5</v>
      </c>
      <c r="Q144" s="34" cm="1">
        <f t="array" ref="Q144">HPFACTOr(C144)</f>
        <v>4</v>
      </c>
      <c r="R144" s="33">
        <f t="shared" si="33"/>
        <v>281.60000000000002</v>
      </c>
      <c r="S144" s="34">
        <f t="shared" si="34"/>
        <v>17106250</v>
      </c>
      <c r="T144" s="33">
        <f t="shared" si="35"/>
        <v>281.60000000000002</v>
      </c>
      <c r="U144" s="42">
        <f t="shared" si="36"/>
        <v>17106250</v>
      </c>
      <c r="V144" s="44"/>
      <c r="W144" s="29">
        <f t="shared" si="38"/>
        <v>4817120000</v>
      </c>
      <c r="X144" s="41">
        <f t="shared" si="37"/>
        <v>32.165523717551707</v>
      </c>
      <c r="Y144" s="33">
        <f t="shared" si="39"/>
        <v>263.44918919658363</v>
      </c>
      <c r="Z144" s="33">
        <v>1.33</v>
      </c>
      <c r="AA144" s="29">
        <f t="shared" si="40"/>
        <v>350.38742163145622</v>
      </c>
      <c r="AB144" s="33">
        <f t="shared" si="41"/>
        <v>1688.8684464541134</v>
      </c>
      <c r="AC144" s="29">
        <v>272</v>
      </c>
      <c r="AD144" s="46">
        <f t="shared" si="42"/>
        <v>0.16105458099538852</v>
      </c>
    </row>
    <row r="145" spans="1:30" x14ac:dyDescent="0.2">
      <c r="A145" s="30" t="s">
        <v>8854</v>
      </c>
      <c r="B145" s="29">
        <v>4</v>
      </c>
      <c r="C145" s="29">
        <v>3</v>
      </c>
      <c r="D145" s="29">
        <v>272</v>
      </c>
      <c r="E145" s="29">
        <v>1965</v>
      </c>
      <c r="F145" s="29">
        <v>12320</v>
      </c>
      <c r="G145" s="29">
        <v>1980</v>
      </c>
      <c r="H145" s="29">
        <v>46000</v>
      </c>
      <c r="I145" s="29">
        <v>5940</v>
      </c>
      <c r="J145" s="29">
        <v>73970000</v>
      </c>
      <c r="K145" s="29">
        <v>466</v>
      </c>
      <c r="L145" s="29">
        <v>989</v>
      </c>
      <c r="N145" s="34"/>
      <c r="O145" s="29">
        <f t="shared" si="32"/>
        <v>727.5</v>
      </c>
      <c r="P145" s="32" cm="1">
        <f t="array" ref="P145">WPNFACTOR(C145)</f>
        <v>2.5</v>
      </c>
      <c r="Q145" s="34" cm="1">
        <f t="array" ref="Q145">HPFACTOr(C145)</f>
        <v>4</v>
      </c>
      <c r="R145" s="33">
        <f t="shared" si="33"/>
        <v>291</v>
      </c>
      <c r="S145" s="34">
        <f t="shared" si="34"/>
        <v>18492500</v>
      </c>
      <c r="T145" s="33">
        <f t="shared" si="35"/>
        <v>291</v>
      </c>
      <c r="U145" s="42">
        <f t="shared" si="36"/>
        <v>18492500</v>
      </c>
      <c r="V145" s="44"/>
      <c r="W145" s="29">
        <f t="shared" si="38"/>
        <v>5381317500</v>
      </c>
      <c r="X145" s="41">
        <f t="shared" si="37"/>
        <v>32.325312282905408</v>
      </c>
      <c r="Y145" s="33">
        <f t="shared" si="39"/>
        <v>270.84583037760154</v>
      </c>
      <c r="Z145" s="33">
        <v>1.33</v>
      </c>
      <c r="AA145" s="29">
        <f t="shared" si="40"/>
        <v>360.22495440221007</v>
      </c>
      <c r="AB145" s="33">
        <f t="shared" si="41"/>
        <v>1752.3850472998108</v>
      </c>
      <c r="AC145" s="29">
        <v>276</v>
      </c>
      <c r="AD145" s="46">
        <f t="shared" si="42"/>
        <v>0.15749963195890013</v>
      </c>
    </row>
    <row r="146" spans="1:30" x14ac:dyDescent="0.2">
      <c r="A146" s="30" t="s">
        <v>8854</v>
      </c>
      <c r="B146" s="29">
        <v>5</v>
      </c>
      <c r="C146" s="29">
        <v>2</v>
      </c>
      <c r="D146" s="29">
        <v>280</v>
      </c>
      <c r="E146" s="29">
        <v>3869</v>
      </c>
      <c r="F146" s="29">
        <v>3865</v>
      </c>
      <c r="G146" s="29">
        <v>12249</v>
      </c>
      <c r="H146" s="29">
        <v>49255</v>
      </c>
      <c r="I146" s="29">
        <v>7662</v>
      </c>
      <c r="J146" s="29">
        <v>39995056</v>
      </c>
      <c r="K146" s="29">
        <v>764</v>
      </c>
      <c r="L146" s="29">
        <v>1927</v>
      </c>
      <c r="N146" s="34"/>
      <c r="O146" s="29">
        <f t="shared" si="32"/>
        <v>1345.5</v>
      </c>
      <c r="P146" s="32" cm="1">
        <f t="array" ref="P146">WPNFACTOR(C146)</f>
        <v>4.5</v>
      </c>
      <c r="Q146" s="34" cm="1">
        <f t="array" ref="Q146">HPFACTOr(C146)</f>
        <v>2</v>
      </c>
      <c r="R146" s="33">
        <f t="shared" si="33"/>
        <v>299</v>
      </c>
      <c r="S146" s="34">
        <f t="shared" si="34"/>
        <v>19997528</v>
      </c>
      <c r="T146" s="33">
        <f t="shared" si="35"/>
        <v>299</v>
      </c>
      <c r="U146" s="42">
        <f t="shared" si="36"/>
        <v>19997528</v>
      </c>
      <c r="V146" s="44"/>
      <c r="W146" s="29">
        <f t="shared" si="38"/>
        <v>5979260872</v>
      </c>
      <c r="X146" s="41">
        <f t="shared" si="37"/>
        <v>32.477320010281687</v>
      </c>
      <c r="Y146" s="33">
        <f t="shared" si="39"/>
        <v>278.07495490718583</v>
      </c>
      <c r="Z146" s="33">
        <v>1.33</v>
      </c>
      <c r="AA146" s="29">
        <f t="shared" si="40"/>
        <v>369.83969002655715</v>
      </c>
      <c r="AB146" s="33">
        <f t="shared" si="41"/>
        <v>1815.0245372555173</v>
      </c>
      <c r="AC146" s="29">
        <v>276</v>
      </c>
      <c r="AD146" s="46">
        <f t="shared" si="42"/>
        <v>0.15206405992578875</v>
      </c>
    </row>
    <row r="147" spans="1:30" x14ac:dyDescent="0.2">
      <c r="A147" s="30" t="s">
        <v>8854</v>
      </c>
      <c r="B147" s="29">
        <v>6</v>
      </c>
      <c r="C147" s="29">
        <v>3</v>
      </c>
      <c r="D147" s="29">
        <v>287</v>
      </c>
      <c r="E147" s="29">
        <v>4465</v>
      </c>
      <c r="F147" s="29">
        <v>12440</v>
      </c>
      <c r="G147" s="29">
        <v>4430</v>
      </c>
      <c r="H147" s="29">
        <v>54100</v>
      </c>
      <c r="I147" s="29">
        <v>7960</v>
      </c>
      <c r="J147" s="29">
        <v>94220000</v>
      </c>
      <c r="K147" s="29">
        <v>702</v>
      </c>
      <c r="L147" s="29">
        <v>816</v>
      </c>
      <c r="N147" s="34"/>
      <c r="O147" s="29">
        <f t="shared" si="32"/>
        <v>759</v>
      </c>
      <c r="P147" s="32" cm="1">
        <f t="array" ref="P147">WPNFACTOR(C147)</f>
        <v>2.5</v>
      </c>
      <c r="Q147" s="34" cm="1">
        <f t="array" ref="Q147">HPFACTOr(C147)</f>
        <v>4</v>
      </c>
      <c r="R147" s="33">
        <f t="shared" si="33"/>
        <v>303.60000000000002</v>
      </c>
      <c r="S147" s="34">
        <f t="shared" si="34"/>
        <v>23555000</v>
      </c>
      <c r="T147" s="33">
        <f t="shared" si="35"/>
        <v>303.60000000000002</v>
      </c>
      <c r="U147" s="42">
        <f t="shared" si="36"/>
        <v>23555000</v>
      </c>
      <c r="V147" s="44"/>
      <c r="W147" s="29">
        <f t="shared" si="38"/>
        <v>7151298000.000001</v>
      </c>
      <c r="X147" s="41">
        <f t="shared" si="37"/>
        <v>32.735557976745476</v>
      </c>
      <c r="Y147" s="33">
        <f t="shared" si="39"/>
        <v>290.80121649166603</v>
      </c>
      <c r="Z147" s="33">
        <v>1.33</v>
      </c>
      <c r="AA147" s="29">
        <f t="shared" si="40"/>
        <v>386.76561793391585</v>
      </c>
      <c r="AB147" s="33">
        <f t="shared" si="41"/>
        <v>1926.6150947563979</v>
      </c>
      <c r="AC147" s="29">
        <v>290</v>
      </c>
      <c r="AD147" s="46">
        <f t="shared" si="42"/>
        <v>0.15052306025696727</v>
      </c>
    </row>
    <row r="148" spans="1:30" x14ac:dyDescent="0.2">
      <c r="A148" s="30" t="s">
        <v>8854</v>
      </c>
      <c r="B148" s="29">
        <v>7</v>
      </c>
      <c r="C148" s="29">
        <v>3</v>
      </c>
      <c r="D148" s="29">
        <v>295</v>
      </c>
      <c r="E148" s="29">
        <v>3910</v>
      </c>
      <c r="F148" s="29">
        <v>12980</v>
      </c>
      <c r="G148" s="29">
        <v>3850</v>
      </c>
      <c r="H148" s="29">
        <v>54500</v>
      </c>
      <c r="I148" s="29">
        <v>7970</v>
      </c>
      <c r="J148" s="29">
        <v>96325000</v>
      </c>
      <c r="K148" s="29">
        <v>402</v>
      </c>
      <c r="L148" s="29">
        <v>1167</v>
      </c>
      <c r="N148" s="34"/>
      <c r="O148" s="29">
        <f t="shared" si="32"/>
        <v>784.5</v>
      </c>
      <c r="P148" s="32" cm="1">
        <f t="array" ref="P148">WPNFACTOR(C148)</f>
        <v>2.5</v>
      </c>
      <c r="Q148" s="34" cm="1">
        <f t="array" ref="Q148">HPFACTOr(C148)</f>
        <v>4</v>
      </c>
      <c r="R148" s="33">
        <f t="shared" si="33"/>
        <v>313.8</v>
      </c>
      <c r="S148" s="34">
        <f t="shared" si="34"/>
        <v>24081250</v>
      </c>
      <c r="T148" s="33">
        <f t="shared" si="35"/>
        <v>313.8</v>
      </c>
      <c r="U148" s="42">
        <f t="shared" si="36"/>
        <v>24081250</v>
      </c>
      <c r="V148" s="44"/>
      <c r="W148" s="29">
        <f t="shared" si="38"/>
        <v>7556696250</v>
      </c>
      <c r="X148" s="41">
        <f t="shared" si="37"/>
        <v>32.815108487177099</v>
      </c>
      <c r="Y148" s="33">
        <f t="shared" si="39"/>
        <v>294.83768421567459</v>
      </c>
      <c r="Z148" s="33">
        <v>1.33</v>
      </c>
      <c r="AA148" s="29">
        <f t="shared" si="40"/>
        <v>392.13412000684724</v>
      </c>
      <c r="AB148" s="33">
        <f t="shared" si="41"/>
        <v>1962.3538506658713</v>
      </c>
      <c r="AC148" s="29">
        <v>291</v>
      </c>
      <c r="AD148" s="46">
        <f t="shared" si="42"/>
        <v>0.14829129817808195</v>
      </c>
    </row>
    <row r="149" spans="1:30" x14ac:dyDescent="0.2">
      <c r="A149" s="30" t="s">
        <v>8854</v>
      </c>
      <c r="B149" s="29">
        <v>8</v>
      </c>
      <c r="C149" s="29">
        <v>1</v>
      </c>
      <c r="D149" s="29">
        <v>302</v>
      </c>
      <c r="E149" s="29">
        <v>14874</v>
      </c>
      <c r="F149" s="29">
        <v>3132</v>
      </c>
      <c r="G149" s="29">
        <v>1986</v>
      </c>
      <c r="H149" s="29">
        <v>58295</v>
      </c>
      <c r="I149" s="29">
        <v>8022</v>
      </c>
      <c r="J149" s="29">
        <v>138640080</v>
      </c>
      <c r="K149" s="29">
        <v>564</v>
      </c>
      <c r="L149" s="29">
        <v>675</v>
      </c>
      <c r="N149" s="34"/>
      <c r="O149" s="29">
        <f t="shared" si="32"/>
        <v>619.5</v>
      </c>
      <c r="P149" s="32" cm="1">
        <f t="array" ref="P149">WPNFACTOR(C149)</f>
        <v>2</v>
      </c>
      <c r="Q149" s="34" cm="1">
        <f t="array" ref="Q149">HPFACTOr(C149)</f>
        <v>5</v>
      </c>
      <c r="R149" s="33">
        <f t="shared" si="33"/>
        <v>309.75</v>
      </c>
      <c r="S149" s="34">
        <f t="shared" si="34"/>
        <v>27728016</v>
      </c>
      <c r="T149" s="33">
        <f t="shared" si="35"/>
        <v>309.75</v>
      </c>
      <c r="U149" s="42">
        <f t="shared" si="36"/>
        <v>27728016</v>
      </c>
      <c r="V149" s="44"/>
      <c r="W149" s="29">
        <f t="shared" si="38"/>
        <v>8588752956</v>
      </c>
      <c r="X149" s="41">
        <f t="shared" si="37"/>
        <v>32.999801528446774</v>
      </c>
      <c r="Y149" s="33">
        <f t="shared" si="39"/>
        <v>304.42655127067263</v>
      </c>
      <c r="Z149" s="33">
        <v>1.33</v>
      </c>
      <c r="AA149" s="29">
        <f t="shared" si="40"/>
        <v>404.88731318999464</v>
      </c>
      <c r="AB149" s="33">
        <f t="shared" si="41"/>
        <v>2047.9060877016148</v>
      </c>
      <c r="AD149" s="46">
        <f t="shared" si="42"/>
        <v>0</v>
      </c>
    </row>
    <row r="150" spans="1:30" x14ac:dyDescent="0.2">
      <c r="A150" s="30" t="s">
        <v>8854</v>
      </c>
      <c r="B150" s="29">
        <v>9</v>
      </c>
      <c r="C150" s="29">
        <v>1</v>
      </c>
      <c r="D150" s="29">
        <v>310</v>
      </c>
      <c r="E150" s="29">
        <v>14470</v>
      </c>
      <c r="F150" s="29">
        <v>5540</v>
      </c>
      <c r="G150" s="29">
        <v>5569</v>
      </c>
      <c r="H150" s="29">
        <v>70050</v>
      </c>
      <c r="I150" s="29">
        <v>10197</v>
      </c>
      <c r="J150" s="29">
        <v>174284400</v>
      </c>
      <c r="K150" s="29">
        <v>446</v>
      </c>
      <c r="L150" s="29">
        <v>945</v>
      </c>
      <c r="N150" s="34"/>
      <c r="O150" s="29">
        <f t="shared" si="32"/>
        <v>695.5</v>
      </c>
      <c r="P150" s="32" cm="1">
        <f t="array" ref="P150">WPNFACTOR(C150)</f>
        <v>2</v>
      </c>
      <c r="Q150" s="34" cm="1">
        <f t="array" ref="Q150">HPFACTOr(C150)</f>
        <v>5</v>
      </c>
      <c r="R150" s="33">
        <f t="shared" si="33"/>
        <v>347.75</v>
      </c>
      <c r="S150" s="34">
        <f t="shared" si="34"/>
        <v>34856880</v>
      </c>
      <c r="T150" s="33">
        <f t="shared" si="35"/>
        <v>347.75</v>
      </c>
      <c r="U150" s="42">
        <f t="shared" si="36"/>
        <v>34856880</v>
      </c>
      <c r="V150" s="44"/>
      <c r="W150" s="29">
        <f t="shared" si="38"/>
        <v>12121480020</v>
      </c>
      <c r="X150" s="41">
        <f t="shared" si="37"/>
        <v>33.496846809991027</v>
      </c>
      <c r="Y150" s="33">
        <f t="shared" si="39"/>
        <v>331.80957364383517</v>
      </c>
      <c r="Z150" s="33">
        <v>1.33</v>
      </c>
      <c r="AA150" s="29">
        <f t="shared" si="40"/>
        <v>441.30673294630077</v>
      </c>
      <c r="AB150" s="33">
        <f t="shared" si="41"/>
        <v>2297.1281118001239</v>
      </c>
      <c r="AD150" s="46">
        <f t="shared" si="42"/>
        <v>0</v>
      </c>
    </row>
    <row r="151" spans="1:30" x14ac:dyDescent="0.2">
      <c r="A151" s="30" t="s">
        <v>8854</v>
      </c>
      <c r="B151" s="29">
        <v>10</v>
      </c>
      <c r="C151" s="29">
        <v>2</v>
      </c>
      <c r="D151" s="29">
        <v>317</v>
      </c>
      <c r="E151" s="29">
        <v>5911</v>
      </c>
      <c r="F151" s="29">
        <v>4338</v>
      </c>
      <c r="G151" s="29">
        <v>12174</v>
      </c>
      <c r="H151" s="29">
        <v>70050</v>
      </c>
      <c r="I151" s="29">
        <v>8540</v>
      </c>
      <c r="J151" s="29">
        <v>71282872</v>
      </c>
      <c r="K151" s="29">
        <v>1027</v>
      </c>
      <c r="L151" s="29">
        <v>2059</v>
      </c>
      <c r="N151" s="34"/>
      <c r="O151" s="29">
        <f t="shared" si="32"/>
        <v>1543</v>
      </c>
      <c r="P151" s="32" cm="1">
        <f t="array" ref="P151">WPNFACTOR(C151)</f>
        <v>4.5</v>
      </c>
      <c r="Q151" s="34" cm="1">
        <f t="array" ref="Q151">HPFACTOr(C151)</f>
        <v>2</v>
      </c>
      <c r="R151" s="33">
        <f t="shared" si="33"/>
        <v>342.88888888888891</v>
      </c>
      <c r="S151" s="34">
        <f t="shared" si="34"/>
        <v>35641436</v>
      </c>
      <c r="T151" s="33">
        <f t="shared" si="35"/>
        <v>342.88888888888891</v>
      </c>
      <c r="U151" s="42">
        <f t="shared" si="36"/>
        <v>35641436</v>
      </c>
      <c r="V151" s="44"/>
      <c r="W151" s="29">
        <f t="shared" si="38"/>
        <v>12221052388.444445</v>
      </c>
      <c r="X151" s="41">
        <f t="shared" si="37"/>
        <v>33.508649473818856</v>
      </c>
      <c r="Y151" s="33">
        <f t="shared" si="39"/>
        <v>332.48890023514838</v>
      </c>
      <c r="Z151" s="33">
        <v>1.33</v>
      </c>
      <c r="AA151" s="29">
        <f t="shared" si="40"/>
        <v>442.21023731274738</v>
      </c>
      <c r="AB151" s="33">
        <f t="shared" si="41"/>
        <v>2303.4009163269561</v>
      </c>
      <c r="AD151" s="46">
        <f t="shared" si="42"/>
        <v>0</v>
      </c>
    </row>
    <row r="152" spans="1:30" x14ac:dyDescent="0.2">
      <c r="A152" s="30" t="s">
        <v>8855</v>
      </c>
      <c r="B152" s="29">
        <v>1</v>
      </c>
      <c r="C152" s="29">
        <v>1</v>
      </c>
      <c r="D152" s="29">
        <v>200</v>
      </c>
      <c r="E152" s="29">
        <v>8800</v>
      </c>
      <c r="F152" s="29">
        <v>1120</v>
      </c>
      <c r="G152" s="29">
        <v>1120</v>
      </c>
      <c r="H152" s="29">
        <v>28000</v>
      </c>
      <c r="I152" s="29">
        <v>3600</v>
      </c>
      <c r="J152" s="29">
        <v>28140000</v>
      </c>
      <c r="K152" s="29">
        <v>684</v>
      </c>
      <c r="L152" s="29">
        <v>1154</v>
      </c>
      <c r="N152" s="34"/>
      <c r="O152" s="29">
        <f t="shared" si="32"/>
        <v>919</v>
      </c>
      <c r="P152" s="32" cm="1">
        <f t="array" ref="P152">WPNFACTOR(C152)</f>
        <v>2</v>
      </c>
      <c r="Q152" s="34" cm="1">
        <f t="array" ref="Q152">HPFACTOr(C152)</f>
        <v>5</v>
      </c>
      <c r="R152" s="33">
        <f t="shared" si="33"/>
        <v>459.5</v>
      </c>
      <c r="S152" s="34">
        <f t="shared" si="34"/>
        <v>5628000</v>
      </c>
      <c r="T152" s="33">
        <f t="shared" si="35"/>
        <v>459.5</v>
      </c>
      <c r="U152" s="42">
        <f t="shared" si="36"/>
        <v>5628000</v>
      </c>
      <c r="V152" s="44"/>
      <c r="W152" s="29">
        <f t="shared" si="38"/>
        <v>2586066000</v>
      </c>
      <c r="X152" s="41">
        <f t="shared" si="37"/>
        <v>31.268111949187652</v>
      </c>
      <c r="Y152" s="33">
        <f t="shared" si="39"/>
        <v>225.50693441434296</v>
      </c>
      <c r="Z152" s="33">
        <v>1.33</v>
      </c>
      <c r="AA152" s="29">
        <f t="shared" si="40"/>
        <v>299.92422277107613</v>
      </c>
      <c r="AB152" s="33">
        <f t="shared" si="41"/>
        <v>1372.6080286301637</v>
      </c>
      <c r="AC152" s="29">
        <v>243</v>
      </c>
      <c r="AD152" s="46">
        <f t="shared" si="42"/>
        <v>0.17703524599263004</v>
      </c>
    </row>
    <row r="153" spans="1:30" x14ac:dyDescent="0.2">
      <c r="A153" s="30" t="s">
        <v>8855</v>
      </c>
      <c r="B153" s="29">
        <v>2</v>
      </c>
      <c r="C153" s="29">
        <v>1</v>
      </c>
      <c r="D153" s="29">
        <v>213</v>
      </c>
      <c r="E153" s="29">
        <v>8069</v>
      </c>
      <c r="F153" s="29">
        <v>1995</v>
      </c>
      <c r="G153" s="29">
        <v>2014</v>
      </c>
      <c r="H153" s="29">
        <v>36296</v>
      </c>
      <c r="I153" s="29">
        <v>3954</v>
      </c>
      <c r="J153" s="29">
        <v>38836720</v>
      </c>
      <c r="K153" s="29">
        <v>728</v>
      </c>
      <c r="L153" s="29">
        <v>1229</v>
      </c>
      <c r="N153" s="34"/>
      <c r="O153" s="29">
        <f t="shared" si="32"/>
        <v>978.5</v>
      </c>
      <c r="P153" s="32" cm="1">
        <f t="array" ref="P153">WPNFACTOR(C153)</f>
        <v>2</v>
      </c>
      <c r="Q153" s="34" cm="1">
        <f t="array" ref="Q153">HPFACTOr(C153)</f>
        <v>5</v>
      </c>
      <c r="R153" s="33">
        <f t="shared" si="33"/>
        <v>489.25</v>
      </c>
      <c r="S153" s="34">
        <f t="shared" si="34"/>
        <v>7767344</v>
      </c>
      <c r="T153" s="33">
        <f t="shared" si="35"/>
        <v>489.25</v>
      </c>
      <c r="U153" s="42">
        <f t="shared" si="36"/>
        <v>7767344</v>
      </c>
      <c r="V153" s="44"/>
      <c r="W153" s="29">
        <f t="shared" si="38"/>
        <v>3800173052</v>
      </c>
      <c r="X153" s="41">
        <f t="shared" si="37"/>
        <v>31.823417971378699</v>
      </c>
      <c r="Y153" s="33">
        <f t="shared" si="39"/>
        <v>248.28520626645931</v>
      </c>
      <c r="Z153" s="33">
        <v>1.33</v>
      </c>
      <c r="AA153" s="29">
        <f t="shared" si="40"/>
        <v>330.21932433439088</v>
      </c>
      <c r="AB153" s="33">
        <f t="shared" si="41"/>
        <v>1560.514438597902</v>
      </c>
      <c r="AC153" s="29">
        <v>246</v>
      </c>
      <c r="AD153" s="46">
        <f t="shared" si="42"/>
        <v>0.15764032290596888</v>
      </c>
    </row>
    <row r="154" spans="1:30" x14ac:dyDescent="0.2">
      <c r="A154" s="30" t="s">
        <v>8855</v>
      </c>
      <c r="B154" s="29">
        <v>3</v>
      </c>
      <c r="C154" s="29">
        <v>2</v>
      </c>
      <c r="D154" s="29">
        <v>228</v>
      </c>
      <c r="E154" s="29">
        <v>1333</v>
      </c>
      <c r="F154" s="29">
        <v>1333</v>
      </c>
      <c r="G154" s="29">
        <v>9709</v>
      </c>
      <c r="H154" s="29">
        <v>37840</v>
      </c>
      <c r="I154" s="29">
        <v>4128</v>
      </c>
      <c r="J154" s="29">
        <v>17330720</v>
      </c>
      <c r="K154" s="29">
        <v>1752</v>
      </c>
      <c r="L154" s="29">
        <v>2959</v>
      </c>
      <c r="N154" s="34"/>
      <c r="O154" s="29">
        <f t="shared" si="32"/>
        <v>2355.5</v>
      </c>
      <c r="P154" s="32" cm="1">
        <f t="array" ref="P154">WPNFACTOR(C154)</f>
        <v>4.5</v>
      </c>
      <c r="Q154" s="34" cm="1">
        <f t="array" ref="Q154">HPFACTOr(C154)</f>
        <v>2</v>
      </c>
      <c r="R154" s="33">
        <f t="shared" si="33"/>
        <v>523.44444444444446</v>
      </c>
      <c r="S154" s="34">
        <f t="shared" si="34"/>
        <v>8665360</v>
      </c>
      <c r="T154" s="33">
        <f t="shared" si="35"/>
        <v>523.44444444444446</v>
      </c>
      <c r="U154" s="42">
        <f t="shared" si="36"/>
        <v>8665360</v>
      </c>
      <c r="V154" s="44"/>
      <c r="W154" s="29">
        <f t="shared" si="38"/>
        <v>4535834551.1111116</v>
      </c>
      <c r="X154" s="41">
        <f t="shared" si="37"/>
        <v>32.078720871549308</v>
      </c>
      <c r="Y154" s="33">
        <f t="shared" si="39"/>
        <v>259.51609713244181</v>
      </c>
      <c r="Z154" s="33">
        <v>1.33</v>
      </c>
      <c r="AA154" s="29">
        <f t="shared" si="40"/>
        <v>345.15640918614764</v>
      </c>
      <c r="AB154" s="33">
        <f t="shared" si="41"/>
        <v>1655.3343794402508</v>
      </c>
      <c r="AC154" s="29">
        <v>247</v>
      </c>
      <c r="AD154" s="46">
        <f t="shared" si="42"/>
        <v>0.14921456538800501</v>
      </c>
    </row>
    <row r="155" spans="1:30" x14ac:dyDescent="0.2">
      <c r="A155" s="30" t="s">
        <v>8855</v>
      </c>
      <c r="B155" s="29">
        <v>4</v>
      </c>
      <c r="C155" s="29">
        <v>3</v>
      </c>
      <c r="D155" s="29">
        <v>242</v>
      </c>
      <c r="E155" s="29">
        <v>1749</v>
      </c>
      <c r="F155" s="29">
        <v>10965</v>
      </c>
      <c r="G155" s="29">
        <v>1762</v>
      </c>
      <c r="H155" s="29">
        <v>40940</v>
      </c>
      <c r="I155" s="29">
        <v>5287</v>
      </c>
      <c r="J155" s="29">
        <v>39793680</v>
      </c>
      <c r="K155" s="29">
        <v>1034</v>
      </c>
      <c r="L155" s="29">
        <v>1747</v>
      </c>
      <c r="N155" s="34"/>
      <c r="O155" s="29">
        <f t="shared" si="32"/>
        <v>1390.5</v>
      </c>
      <c r="P155" s="32" cm="1">
        <f t="array" ref="P155">WPNFACTOR(C155)</f>
        <v>2.5</v>
      </c>
      <c r="Q155" s="34" cm="1">
        <f t="array" ref="Q155">HPFACTOr(C155)</f>
        <v>4</v>
      </c>
      <c r="R155" s="33">
        <f t="shared" si="33"/>
        <v>556.20000000000005</v>
      </c>
      <c r="S155" s="34">
        <f t="shared" si="34"/>
        <v>9948420</v>
      </c>
      <c r="T155" s="33">
        <f t="shared" si="35"/>
        <v>556.20000000000005</v>
      </c>
      <c r="U155" s="42">
        <f t="shared" si="36"/>
        <v>9948420</v>
      </c>
      <c r="V155" s="44"/>
      <c r="W155" s="29">
        <f t="shared" si="38"/>
        <v>5533311204</v>
      </c>
      <c r="X155" s="41">
        <f t="shared" si="37"/>
        <v>32.365495919975878</v>
      </c>
      <c r="Y155" s="33">
        <f t="shared" si="39"/>
        <v>272.73839101854594</v>
      </c>
      <c r="Z155" s="33">
        <v>1.33</v>
      </c>
      <c r="AA155" s="29">
        <f t="shared" si="40"/>
        <v>362.74206005466613</v>
      </c>
      <c r="AB155" s="33">
        <f t="shared" si="41"/>
        <v>1768.7306382960505</v>
      </c>
      <c r="AC155" s="29">
        <v>263</v>
      </c>
      <c r="AD155" s="46">
        <f t="shared" si="42"/>
        <v>0.14869420719333917</v>
      </c>
    </row>
    <row r="156" spans="1:30" x14ac:dyDescent="0.2">
      <c r="A156" s="30" t="s">
        <v>8855</v>
      </c>
      <c r="B156" s="29">
        <v>5</v>
      </c>
      <c r="C156" s="29">
        <v>3</v>
      </c>
      <c r="D156" s="29">
        <v>258</v>
      </c>
      <c r="E156" s="29">
        <v>3559</v>
      </c>
      <c r="F156" s="29">
        <v>11269</v>
      </c>
      <c r="G156" s="29">
        <v>3559</v>
      </c>
      <c r="H156" s="29">
        <v>45315</v>
      </c>
      <c r="I156" s="29">
        <v>7049</v>
      </c>
      <c r="J156" s="29">
        <v>46946340</v>
      </c>
      <c r="K156" s="29">
        <v>1102</v>
      </c>
      <c r="L156" s="29">
        <v>1861</v>
      </c>
      <c r="N156" s="34"/>
      <c r="O156" s="29">
        <f t="shared" si="32"/>
        <v>1481.5</v>
      </c>
      <c r="P156" s="32" cm="1">
        <f t="array" ref="P156">WPNFACTOR(C156)</f>
        <v>2.5</v>
      </c>
      <c r="Q156" s="34" cm="1">
        <f t="array" ref="Q156">HPFACTOr(C156)</f>
        <v>4</v>
      </c>
      <c r="R156" s="33">
        <f t="shared" si="33"/>
        <v>592.6</v>
      </c>
      <c r="S156" s="34">
        <f t="shared" si="34"/>
        <v>11736585</v>
      </c>
      <c r="T156" s="33">
        <f t="shared" si="35"/>
        <v>592.6</v>
      </c>
      <c r="U156" s="42">
        <f t="shared" si="36"/>
        <v>11736585</v>
      </c>
      <c r="V156" s="44"/>
      <c r="W156" s="29">
        <f t="shared" si="38"/>
        <v>6955100271</v>
      </c>
      <c r="X156" s="41">
        <f t="shared" si="37"/>
        <v>32.695424168096935</v>
      </c>
      <c r="Y156" s="33">
        <f t="shared" si="39"/>
        <v>288.7858095291237</v>
      </c>
      <c r="Z156" s="33">
        <v>1.33</v>
      </c>
      <c r="AA156" s="29">
        <f t="shared" si="40"/>
        <v>384.08512667373452</v>
      </c>
      <c r="AB156" s="33">
        <f t="shared" si="41"/>
        <v>1908.8324023439413</v>
      </c>
      <c r="AC156" s="29">
        <v>276</v>
      </c>
      <c r="AD156" s="46">
        <f t="shared" si="42"/>
        <v>0.14459100739336106</v>
      </c>
    </row>
    <row r="157" spans="1:30" x14ac:dyDescent="0.2">
      <c r="A157" s="30" t="s">
        <v>8855</v>
      </c>
      <c r="B157" s="29">
        <v>6</v>
      </c>
      <c r="C157" s="29">
        <v>1</v>
      </c>
      <c r="D157" s="29">
        <v>273</v>
      </c>
      <c r="E157" s="29">
        <v>11818</v>
      </c>
      <c r="F157" s="29">
        <v>4209</v>
      </c>
      <c r="G157" s="29">
        <v>4209</v>
      </c>
      <c r="H157" s="29">
        <v>51395</v>
      </c>
      <c r="I157" s="29">
        <v>7562</v>
      </c>
      <c r="J157" s="29">
        <v>70411152</v>
      </c>
      <c r="K157" s="29">
        <v>932</v>
      </c>
      <c r="L157" s="29">
        <v>1574</v>
      </c>
      <c r="N157" s="34"/>
      <c r="O157" s="29">
        <f t="shared" si="32"/>
        <v>1253</v>
      </c>
      <c r="P157" s="32" cm="1">
        <f t="array" ref="P157">WPNFACTOR(C157)</f>
        <v>2</v>
      </c>
      <c r="Q157" s="34" cm="1">
        <f t="array" ref="Q157">HPFACTOr(C157)</f>
        <v>5</v>
      </c>
      <c r="R157" s="33">
        <f t="shared" si="33"/>
        <v>626.5</v>
      </c>
      <c r="S157" s="34">
        <f t="shared" si="34"/>
        <v>14082230.4</v>
      </c>
      <c r="T157" s="33">
        <f t="shared" si="35"/>
        <v>626.5</v>
      </c>
      <c r="U157" s="42">
        <f t="shared" si="36"/>
        <v>14082230.4</v>
      </c>
      <c r="V157" s="44"/>
      <c r="W157" s="29">
        <f t="shared" si="38"/>
        <v>8822517345.6000004</v>
      </c>
      <c r="X157" s="41">
        <f t="shared" si="37"/>
        <v>33.038543215419317</v>
      </c>
      <c r="Y157" s="33">
        <f t="shared" si="39"/>
        <v>306.47717104989385</v>
      </c>
      <c r="Z157" s="33">
        <v>1.33</v>
      </c>
      <c r="AA157" s="29">
        <f t="shared" si="40"/>
        <v>407.61463749635885</v>
      </c>
      <c r="AB157" s="33">
        <f t="shared" si="41"/>
        <v>2066.3196559562289</v>
      </c>
      <c r="AC157" s="29">
        <v>290</v>
      </c>
      <c r="AD157" s="46">
        <f t="shared" si="42"/>
        <v>0.14034614594313433</v>
      </c>
    </row>
    <row r="158" spans="1:30" x14ac:dyDescent="0.2">
      <c r="A158" s="30" t="s">
        <v>8855</v>
      </c>
      <c r="B158" s="29">
        <v>7</v>
      </c>
      <c r="C158" s="29">
        <v>3</v>
      </c>
      <c r="D158" s="29">
        <v>289</v>
      </c>
      <c r="E158" s="29">
        <v>3832</v>
      </c>
      <c r="F158" s="29">
        <v>12720</v>
      </c>
      <c r="G158" s="29">
        <v>3773</v>
      </c>
      <c r="H158" s="29">
        <v>53410</v>
      </c>
      <c r="I158" s="29">
        <v>7811</v>
      </c>
      <c r="J158" s="29">
        <v>61955600</v>
      </c>
      <c r="K158" s="29">
        <v>1232</v>
      </c>
      <c r="L158" s="29">
        <v>2084</v>
      </c>
      <c r="N158" s="34"/>
      <c r="O158" s="29">
        <f t="shared" si="32"/>
        <v>1658</v>
      </c>
      <c r="P158" s="32" cm="1">
        <f t="array" ref="P158">WPNFACTOR(C158)</f>
        <v>2.5</v>
      </c>
      <c r="Q158" s="34" cm="1">
        <f t="array" ref="Q158">HPFACTOr(C158)</f>
        <v>4</v>
      </c>
      <c r="R158" s="33">
        <f t="shared" si="33"/>
        <v>663.2</v>
      </c>
      <c r="S158" s="34">
        <f t="shared" si="34"/>
        <v>15488900</v>
      </c>
      <c r="T158" s="33">
        <f t="shared" si="35"/>
        <v>663.2</v>
      </c>
      <c r="U158" s="42">
        <f t="shared" si="36"/>
        <v>15488900</v>
      </c>
      <c r="V158" s="44"/>
      <c r="W158" s="29">
        <f t="shared" si="38"/>
        <v>10272238480</v>
      </c>
      <c r="X158" s="41">
        <f t="shared" si="37"/>
        <v>33.258031550402819</v>
      </c>
      <c r="Y158" s="33">
        <f t="shared" si="39"/>
        <v>318.35837066831783</v>
      </c>
      <c r="Z158" s="33">
        <v>1.33</v>
      </c>
      <c r="AA158" s="29">
        <f t="shared" si="40"/>
        <v>423.41663298886272</v>
      </c>
      <c r="AB158" s="33">
        <f t="shared" si="41"/>
        <v>2173.8105782786556</v>
      </c>
      <c r="AC158" s="29">
        <v>292</v>
      </c>
      <c r="AD158" s="46">
        <f t="shared" si="42"/>
        <v>0.1343263313362022</v>
      </c>
    </row>
    <row r="159" spans="1:30" x14ac:dyDescent="0.2">
      <c r="A159" s="30" t="s">
        <v>8855</v>
      </c>
      <c r="B159" s="29">
        <v>8</v>
      </c>
      <c r="C159" s="29">
        <v>2</v>
      </c>
      <c r="D159" s="29">
        <v>305</v>
      </c>
      <c r="E159" s="29">
        <v>3163</v>
      </c>
      <c r="F159" s="29">
        <v>3163</v>
      </c>
      <c r="G159" s="29">
        <v>15023</v>
      </c>
      <c r="H159" s="29">
        <v>58878</v>
      </c>
      <c r="I159" s="29">
        <v>8102</v>
      </c>
      <c r="J159" s="29">
        <v>36033336</v>
      </c>
      <c r="K159" s="29">
        <v>2340</v>
      </c>
      <c r="L159" s="29">
        <v>3959</v>
      </c>
      <c r="N159" s="34"/>
      <c r="O159" s="29">
        <f t="shared" si="32"/>
        <v>3149.5</v>
      </c>
      <c r="P159" s="32" cm="1">
        <f t="array" ref="P159">WPNFACTOR(C159)</f>
        <v>4.5</v>
      </c>
      <c r="Q159" s="34" cm="1">
        <f t="array" ref="Q159">HPFACTOr(C159)</f>
        <v>2</v>
      </c>
      <c r="R159" s="33">
        <f t="shared" si="33"/>
        <v>699.88888888888891</v>
      </c>
      <c r="S159" s="34">
        <f t="shared" si="34"/>
        <v>18016668</v>
      </c>
      <c r="T159" s="33">
        <f t="shared" si="35"/>
        <v>699.88888888888891</v>
      </c>
      <c r="U159" s="42">
        <f t="shared" si="36"/>
        <v>18016668</v>
      </c>
      <c r="V159" s="44"/>
      <c r="W159" s="29">
        <f t="shared" si="38"/>
        <v>12609665748</v>
      </c>
      <c r="X159" s="41">
        <f t="shared" si="37"/>
        <v>33.553810982660771</v>
      </c>
      <c r="Y159" s="33">
        <f t="shared" si="39"/>
        <v>335.10113102301614</v>
      </c>
      <c r="Z159" s="33">
        <v>1.33</v>
      </c>
      <c r="AA159" s="29">
        <f t="shared" si="40"/>
        <v>445.6845042606115</v>
      </c>
      <c r="AB159" s="33">
        <f t="shared" si="41"/>
        <v>2327.5616424961545</v>
      </c>
      <c r="AC159" s="29">
        <v>293</v>
      </c>
      <c r="AD159" s="46">
        <f t="shared" si="42"/>
        <v>0.12588280999758059</v>
      </c>
    </row>
    <row r="160" spans="1:30" x14ac:dyDescent="0.2">
      <c r="A160" s="30" t="s">
        <v>8855</v>
      </c>
      <c r="B160" s="29">
        <v>9</v>
      </c>
      <c r="C160" s="29">
        <v>5</v>
      </c>
      <c r="D160" s="29">
        <v>319</v>
      </c>
      <c r="E160" s="29">
        <v>14904</v>
      </c>
      <c r="F160" s="29">
        <v>5706</v>
      </c>
      <c r="G160" s="29">
        <v>5736</v>
      </c>
      <c r="H160" s="29">
        <v>72152</v>
      </c>
      <c r="I160" s="29">
        <v>10503</v>
      </c>
      <c r="J160" s="29">
        <v>115443200</v>
      </c>
      <c r="K160" s="29">
        <v>1088</v>
      </c>
      <c r="L160" s="29">
        <v>1839</v>
      </c>
      <c r="N160" s="34"/>
      <c r="O160" s="29">
        <f t="shared" si="32"/>
        <v>1463.5</v>
      </c>
      <c r="P160" s="32" cm="1">
        <f t="array" ref="P160">WPNFACTOR(C160)</f>
        <v>2</v>
      </c>
      <c r="Q160" s="34" cm="1">
        <f t="array" ref="Q160">HPFACTOr(C160)</f>
        <v>5</v>
      </c>
      <c r="R160" s="33">
        <f t="shared" si="33"/>
        <v>731.75</v>
      </c>
      <c r="S160" s="34">
        <f t="shared" si="34"/>
        <v>23088640</v>
      </c>
      <c r="T160" s="33">
        <f t="shared" si="35"/>
        <v>731.75</v>
      </c>
      <c r="U160" s="42">
        <f t="shared" si="36"/>
        <v>23088640</v>
      </c>
      <c r="V160" s="44"/>
      <c r="W160" s="29">
        <f t="shared" si="38"/>
        <v>16895112320</v>
      </c>
      <c r="X160" s="41">
        <f t="shared" si="37"/>
        <v>33.975886890554285</v>
      </c>
      <c r="Y160" s="33">
        <f t="shared" si="39"/>
        <v>360.52905551614839</v>
      </c>
      <c r="Z160" s="33">
        <v>1.33</v>
      </c>
      <c r="AA160" s="29">
        <f t="shared" si="40"/>
        <v>479.50364383647741</v>
      </c>
      <c r="AB160" s="33">
        <f t="shared" si="41"/>
        <v>2565.9825253297013</v>
      </c>
      <c r="AD160" s="46">
        <f t="shared" si="42"/>
        <v>0</v>
      </c>
    </row>
    <row r="161" spans="1:30" x14ac:dyDescent="0.2">
      <c r="A161" s="30" t="s">
        <v>8855</v>
      </c>
      <c r="B161" s="29">
        <v>10</v>
      </c>
      <c r="C161" s="29">
        <v>3</v>
      </c>
      <c r="D161" s="29">
        <v>333</v>
      </c>
      <c r="E161" s="29">
        <v>6207</v>
      </c>
      <c r="F161" s="29">
        <v>12783</v>
      </c>
      <c r="G161" s="29">
        <v>6207</v>
      </c>
      <c r="H161" s="29">
        <v>73553</v>
      </c>
      <c r="I161" s="29">
        <v>8967</v>
      </c>
      <c r="J161" s="29">
        <v>98266808</v>
      </c>
      <c r="K161" s="29">
        <v>1420</v>
      </c>
      <c r="L161" s="29">
        <v>2399</v>
      </c>
      <c r="N161" s="34"/>
      <c r="O161" s="29">
        <f t="shared" si="32"/>
        <v>1909.5</v>
      </c>
      <c r="P161" s="32" cm="1">
        <f t="array" ref="P161">WPNFACTOR(C161)</f>
        <v>2.5</v>
      </c>
      <c r="Q161" s="34" cm="1">
        <f t="array" ref="Q161">HPFACTOr(C161)</f>
        <v>4</v>
      </c>
      <c r="R161" s="33">
        <f t="shared" si="33"/>
        <v>763.8</v>
      </c>
      <c r="S161" s="34">
        <f t="shared" si="34"/>
        <v>24566702</v>
      </c>
      <c r="T161" s="33">
        <f t="shared" si="35"/>
        <v>763.8</v>
      </c>
      <c r="U161" s="42">
        <f t="shared" si="36"/>
        <v>24566702</v>
      </c>
      <c r="V161" s="44"/>
      <c r="W161" s="29">
        <f t="shared" si="38"/>
        <v>18764046987.599998</v>
      </c>
      <c r="X161" s="41">
        <f t="shared" si="37"/>
        <v>34.127251967519612</v>
      </c>
      <c r="Y161" s="33">
        <f t="shared" si="39"/>
        <v>370.1106890102912</v>
      </c>
      <c r="Z161" s="33">
        <v>1.33</v>
      </c>
      <c r="AA161" s="29">
        <f t="shared" si="40"/>
        <v>492.24721638368732</v>
      </c>
      <c r="AB161" s="33">
        <f t="shared" si="41"/>
        <v>2657.3096863175801</v>
      </c>
      <c r="AD161" s="46">
        <f t="shared" si="42"/>
        <v>0</v>
      </c>
    </row>
    <row r="162" spans="1:30" x14ac:dyDescent="0.2">
      <c r="A162" s="30" t="s">
        <v>8856</v>
      </c>
      <c r="B162" s="29">
        <v>1</v>
      </c>
      <c r="C162" s="29">
        <v>1</v>
      </c>
      <c r="D162" s="29">
        <v>210</v>
      </c>
      <c r="E162" s="29">
        <v>8000</v>
      </c>
      <c r="F162" s="29">
        <v>2000</v>
      </c>
      <c r="G162" s="29">
        <v>2000</v>
      </c>
      <c r="H162" s="29">
        <v>36000</v>
      </c>
      <c r="I162" s="29">
        <v>4000</v>
      </c>
      <c r="J162" s="29">
        <v>43560000</v>
      </c>
      <c r="K162" s="29">
        <v>728</v>
      </c>
      <c r="L162" s="29">
        <v>1229</v>
      </c>
      <c r="M162" s="29">
        <v>0</v>
      </c>
      <c r="N162" s="34">
        <v>30</v>
      </c>
      <c r="O162" s="29">
        <f t="shared" si="32"/>
        <v>978.5</v>
      </c>
      <c r="P162" s="32" cm="1">
        <f t="array" ref="P162">WPNFACTOR(C162)</f>
        <v>2</v>
      </c>
      <c r="Q162" s="34" cm="1">
        <f t="array" ref="Q162">HPFACTOr(C162)</f>
        <v>5</v>
      </c>
      <c r="R162" s="33">
        <f t="shared" si="33"/>
        <v>489.25</v>
      </c>
      <c r="S162" s="34">
        <f t="shared" si="34"/>
        <v>8712000</v>
      </c>
      <c r="T162" s="33">
        <f t="shared" si="35"/>
        <v>525.94375000000002</v>
      </c>
      <c r="U162" s="42">
        <f t="shared" si="36"/>
        <v>8712000</v>
      </c>
      <c r="V162" s="44"/>
      <c r="W162" s="29">
        <f t="shared" si="38"/>
        <v>4582021950</v>
      </c>
      <c r="X162" s="41">
        <f t="shared" si="37"/>
        <v>32.093337223820534</v>
      </c>
      <c r="Y162" s="33">
        <f t="shared" si="39"/>
        <v>260.1742380366785</v>
      </c>
      <c r="Z162" s="33">
        <v>1.33</v>
      </c>
      <c r="AA162" s="29">
        <f t="shared" si="40"/>
        <v>346.03173658878245</v>
      </c>
      <c r="AB162" s="33">
        <f t="shared" si="41"/>
        <v>1660.9340499815212</v>
      </c>
      <c r="AC162" s="29">
        <v>255</v>
      </c>
      <c r="AD162" s="46">
        <f t="shared" si="42"/>
        <v>0.15352807054731463</v>
      </c>
    </row>
    <row r="163" spans="1:30" x14ac:dyDescent="0.2">
      <c r="A163" s="30" t="s">
        <v>8856</v>
      </c>
      <c r="B163" s="29">
        <v>2</v>
      </c>
      <c r="C163" s="29">
        <v>1</v>
      </c>
      <c r="D163" s="29">
        <v>240</v>
      </c>
      <c r="E163" s="29">
        <v>10965</v>
      </c>
      <c r="F163" s="29">
        <v>1762</v>
      </c>
      <c r="G163" s="29">
        <v>12000</v>
      </c>
      <c r="H163" s="29">
        <v>40500</v>
      </c>
      <c r="I163" s="29">
        <v>5000</v>
      </c>
      <c r="J163" s="29">
        <v>55687500</v>
      </c>
      <c r="K163" s="29">
        <v>840</v>
      </c>
      <c r="L163" s="29">
        <v>1439</v>
      </c>
      <c r="M163" s="29">
        <v>10</v>
      </c>
      <c r="N163" s="34">
        <v>30</v>
      </c>
      <c r="O163" s="29">
        <f t="shared" si="32"/>
        <v>1139.5</v>
      </c>
      <c r="P163" s="32" cm="1">
        <f t="array" ref="P163">WPNFACTOR(C163)</f>
        <v>2</v>
      </c>
      <c r="Q163" s="34" cm="1">
        <f t="array" ref="Q163">HPFACTOr(C163)</f>
        <v>5</v>
      </c>
      <c r="R163" s="33">
        <f t="shared" si="33"/>
        <v>569.75</v>
      </c>
      <c r="S163" s="34">
        <f t="shared" si="34"/>
        <v>11137500</v>
      </c>
      <c r="T163" s="33">
        <f t="shared" si="35"/>
        <v>612.48124999999993</v>
      </c>
      <c r="U163" s="42">
        <f t="shared" si="36"/>
        <v>11571428.571428571</v>
      </c>
      <c r="V163" s="44"/>
      <c r="W163" s="29">
        <f t="shared" si="38"/>
        <v>7087283035.7142849</v>
      </c>
      <c r="X163" s="41">
        <f t="shared" si="37"/>
        <v>32.722585519231224</v>
      </c>
      <c r="Y163" s="33">
        <f t="shared" si="39"/>
        <v>290.14824247540099</v>
      </c>
      <c r="Z163" s="33">
        <v>1.33</v>
      </c>
      <c r="AA163" s="29">
        <f t="shared" si="40"/>
        <v>385.89716249228331</v>
      </c>
      <c r="AB163" s="33">
        <f t="shared" si="41"/>
        <v>1920.8491465797247</v>
      </c>
      <c r="AC163" s="29">
        <v>279</v>
      </c>
      <c r="AD163" s="46">
        <f t="shared" si="42"/>
        <v>0.14524826194539486</v>
      </c>
    </row>
    <row r="164" spans="1:30" x14ac:dyDescent="0.2">
      <c r="A164" s="30" t="s">
        <v>8856</v>
      </c>
      <c r="B164" s="29">
        <v>3</v>
      </c>
      <c r="C164" s="29">
        <v>2</v>
      </c>
      <c r="D164" s="29">
        <v>270</v>
      </c>
      <c r="E164" s="29">
        <v>4000</v>
      </c>
      <c r="F164" s="29">
        <v>4000</v>
      </c>
      <c r="G164" s="29">
        <v>11500</v>
      </c>
      <c r="H164" s="29">
        <v>51000</v>
      </c>
      <c r="I164" s="29">
        <v>7500</v>
      </c>
      <c r="J164" s="29">
        <v>31416000</v>
      </c>
      <c r="K164" s="29">
        <v>2126</v>
      </c>
      <c r="L164" s="29">
        <v>3643</v>
      </c>
      <c r="M164" s="29">
        <v>35</v>
      </c>
      <c r="N164" s="34">
        <v>30</v>
      </c>
      <c r="O164" s="29">
        <f t="shared" si="32"/>
        <v>2884.5</v>
      </c>
      <c r="P164" s="32" cm="1">
        <f t="array" ref="P164">WPNFACTOR(C164)</f>
        <v>4.5</v>
      </c>
      <c r="Q164" s="34" cm="1">
        <f t="array" ref="Q164">HPFACTOr(C164)</f>
        <v>2</v>
      </c>
      <c r="R164" s="33">
        <f t="shared" si="33"/>
        <v>641</v>
      </c>
      <c r="S164" s="34">
        <f t="shared" si="34"/>
        <v>15708000</v>
      </c>
      <c r="T164" s="33">
        <f t="shared" si="35"/>
        <v>689.07499999999993</v>
      </c>
      <c r="U164" s="42">
        <f t="shared" si="36"/>
        <v>18081151.079136688</v>
      </c>
      <c r="V164" s="44"/>
      <c r="W164" s="29">
        <f t="shared" si="38"/>
        <v>12459269179.856112</v>
      </c>
      <c r="X164" s="41">
        <f t="shared" si="37"/>
        <v>33.53650039592582</v>
      </c>
      <c r="Y164" s="33">
        <f t="shared" si="39"/>
        <v>334.09743561131165</v>
      </c>
      <c r="Z164" s="33">
        <v>1.33</v>
      </c>
      <c r="AA164" s="29">
        <f t="shared" si="40"/>
        <v>444.34958936304452</v>
      </c>
      <c r="AB164" s="33">
        <f t="shared" si="41"/>
        <v>2318.2709309883526</v>
      </c>
      <c r="AC164" s="29">
        <v>279</v>
      </c>
      <c r="AD164" s="46">
        <f t="shared" si="42"/>
        <v>0.12034831488874057</v>
      </c>
    </row>
    <row r="165" spans="1:30" x14ac:dyDescent="0.2">
      <c r="A165" s="30" t="s">
        <v>8856</v>
      </c>
      <c r="B165" s="29">
        <v>4</v>
      </c>
      <c r="C165" s="29">
        <v>1</v>
      </c>
      <c r="D165" s="29">
        <v>305</v>
      </c>
      <c r="E165" s="29">
        <v>15000</v>
      </c>
      <c r="F165" s="29">
        <v>3500</v>
      </c>
      <c r="G165" s="29">
        <v>3500</v>
      </c>
      <c r="H165" s="29">
        <v>58500</v>
      </c>
      <c r="I165" s="29">
        <v>8000</v>
      </c>
      <c r="J165" s="29">
        <v>101351256</v>
      </c>
      <c r="K165" s="29">
        <v>1067</v>
      </c>
      <c r="L165" s="29">
        <v>1829</v>
      </c>
      <c r="M165" s="29">
        <v>15</v>
      </c>
      <c r="N165" s="34">
        <v>30</v>
      </c>
      <c r="O165" s="29">
        <f t="shared" si="32"/>
        <v>1448</v>
      </c>
      <c r="P165" s="32" cm="1">
        <f t="array" ref="P165">WPNFACTOR(C165)</f>
        <v>2</v>
      </c>
      <c r="Q165" s="34" cm="1">
        <f t="array" ref="Q165">HPFACTOr(C165)</f>
        <v>5</v>
      </c>
      <c r="R165" s="33">
        <f t="shared" si="33"/>
        <v>724</v>
      </c>
      <c r="S165" s="34">
        <f t="shared" si="34"/>
        <v>20270251.199999999</v>
      </c>
      <c r="T165" s="33">
        <f t="shared" si="35"/>
        <v>778.3</v>
      </c>
      <c r="U165" s="42">
        <f t="shared" si="36"/>
        <v>21478411.867549669</v>
      </c>
      <c r="V165" s="44"/>
      <c r="W165" s="29">
        <f t="shared" si="38"/>
        <v>16716647956.513906</v>
      </c>
      <c r="X165" s="41">
        <f t="shared" si="37"/>
        <v>33.96056653425056</v>
      </c>
      <c r="Y165" s="33">
        <f t="shared" si="39"/>
        <v>359.57318680038583</v>
      </c>
      <c r="Z165" s="33">
        <v>1.33</v>
      </c>
      <c r="AA165" s="29">
        <f t="shared" si="40"/>
        <v>478.23233844451318</v>
      </c>
      <c r="AB165" s="33">
        <f t="shared" si="41"/>
        <v>2556.9156353593048</v>
      </c>
      <c r="AD165" s="46">
        <f t="shared" si="42"/>
        <v>0</v>
      </c>
    </row>
    <row r="166" spans="1:30" x14ac:dyDescent="0.2">
      <c r="A166" s="30" t="s">
        <v>8856</v>
      </c>
      <c r="B166" s="29">
        <v>5</v>
      </c>
      <c r="C166" s="29">
        <v>1</v>
      </c>
      <c r="D166" s="29">
        <v>330</v>
      </c>
      <c r="E166" s="29">
        <v>12500</v>
      </c>
      <c r="F166" s="29">
        <v>6000</v>
      </c>
      <c r="G166" s="29">
        <v>6000</v>
      </c>
      <c r="H166" s="29">
        <v>73500</v>
      </c>
      <c r="I166" s="29">
        <v>9000</v>
      </c>
      <c r="J166" s="29">
        <v>137445008</v>
      </c>
      <c r="K166" s="29">
        <v>1155</v>
      </c>
      <c r="L166" s="29">
        <v>1979</v>
      </c>
      <c r="M166" s="29">
        <v>30</v>
      </c>
      <c r="N166" s="34">
        <v>40</v>
      </c>
      <c r="O166" s="29">
        <f t="shared" si="32"/>
        <v>1567</v>
      </c>
      <c r="P166" s="32" cm="1">
        <f t="array" ref="P166">WPNFACTOR(C166)</f>
        <v>2</v>
      </c>
      <c r="Q166" s="34" cm="1">
        <f t="array" ref="Q166">HPFACTOr(C166)</f>
        <v>5</v>
      </c>
      <c r="R166" s="33">
        <f t="shared" si="33"/>
        <v>783.5</v>
      </c>
      <c r="S166" s="34">
        <f t="shared" si="34"/>
        <v>27489001.600000001</v>
      </c>
      <c r="T166" s="33">
        <f t="shared" si="35"/>
        <v>861.85</v>
      </c>
      <c r="U166" s="42">
        <f t="shared" si="36"/>
        <v>30973522.92957747</v>
      </c>
      <c r="V166" s="44"/>
      <c r="W166" s="29">
        <f t="shared" si="38"/>
        <v>26694530736.856342</v>
      </c>
      <c r="X166" s="41">
        <f t="shared" si="37"/>
        <v>34.635825136963497</v>
      </c>
      <c r="Y166" s="33">
        <f t="shared" si="39"/>
        <v>404.20862169567891</v>
      </c>
      <c r="Z166" s="33">
        <v>1.33</v>
      </c>
      <c r="AA166" s="29">
        <f t="shared" si="40"/>
        <v>537.59746685525295</v>
      </c>
      <c r="AB166" s="33">
        <f t="shared" si="41"/>
        <v>2988.6433869484781</v>
      </c>
      <c r="AD166" s="46">
        <f t="shared" si="42"/>
        <v>0</v>
      </c>
    </row>
    <row r="167" spans="1:30" x14ac:dyDescent="0.2">
      <c r="A167" s="30" t="s">
        <v>8856</v>
      </c>
      <c r="B167" s="29">
        <v>6</v>
      </c>
      <c r="C167" s="29">
        <v>4</v>
      </c>
      <c r="D167" s="29">
        <v>360</v>
      </c>
      <c r="E167" s="29">
        <v>6500</v>
      </c>
      <c r="F167" s="29">
        <v>18500</v>
      </c>
      <c r="G167" s="29">
        <v>6500</v>
      </c>
      <c r="H167" s="29">
        <v>83500</v>
      </c>
      <c r="I167" s="29">
        <v>11500</v>
      </c>
      <c r="J167" s="29">
        <v>135938000</v>
      </c>
      <c r="K167" s="29">
        <v>2524</v>
      </c>
      <c r="L167" s="29">
        <v>4319</v>
      </c>
      <c r="M167" s="29">
        <v>40</v>
      </c>
      <c r="N167" s="34">
        <v>45</v>
      </c>
      <c r="O167" s="29">
        <f t="shared" si="32"/>
        <v>3421.5</v>
      </c>
      <c r="P167" s="32" cm="1">
        <f t="array" ref="P167">WPNFACTOR(C167)</f>
        <v>4</v>
      </c>
      <c r="Q167" s="34" cm="1">
        <f t="array" ref="Q167">HPFACTOr(C167)</f>
        <v>4</v>
      </c>
      <c r="R167" s="33">
        <f t="shared" si="33"/>
        <v>855.375</v>
      </c>
      <c r="S167" s="34">
        <f t="shared" si="34"/>
        <v>33984500</v>
      </c>
      <c r="T167" s="33">
        <f t="shared" si="35"/>
        <v>951.60468750000007</v>
      </c>
      <c r="U167" s="42">
        <f t="shared" si="36"/>
        <v>39981764.705882356</v>
      </c>
      <c r="V167" s="44"/>
      <c r="W167" s="29">
        <f t="shared" si="38"/>
        <v>38046834708.639709</v>
      </c>
      <c r="X167" s="41">
        <f t="shared" si="37"/>
        <v>35.14705738315174</v>
      </c>
      <c r="Y167" s="33">
        <f t="shared" si="39"/>
        <v>441.65142182221751</v>
      </c>
      <c r="Z167" s="33">
        <v>1.33</v>
      </c>
      <c r="AA167" s="29">
        <f t="shared" si="40"/>
        <v>587.39639102354931</v>
      </c>
      <c r="AB167" s="33">
        <f t="shared" si="41"/>
        <v>3363.3560427169355</v>
      </c>
      <c r="AD167" s="46">
        <f t="shared" si="42"/>
        <v>0</v>
      </c>
    </row>
    <row r="168" spans="1:30" x14ac:dyDescent="0.2">
      <c r="A168" s="30" t="s">
        <v>8856</v>
      </c>
      <c r="B168" s="29">
        <v>7</v>
      </c>
      <c r="C168" s="29">
        <v>6</v>
      </c>
      <c r="D168" s="29">
        <v>390</v>
      </c>
      <c r="E168" s="29">
        <v>22500</v>
      </c>
      <c r="F168" s="29">
        <v>6500</v>
      </c>
      <c r="G168" s="29">
        <v>6500</v>
      </c>
      <c r="H168" s="29">
        <v>81500</v>
      </c>
      <c r="I168" s="29">
        <v>10500</v>
      </c>
      <c r="J168" s="29">
        <v>143440000</v>
      </c>
      <c r="K168" s="29">
        <v>1092</v>
      </c>
      <c r="L168" s="29">
        <v>2080</v>
      </c>
      <c r="M168" s="29">
        <v>10</v>
      </c>
      <c r="N168" s="34">
        <v>45</v>
      </c>
      <c r="O168" s="29">
        <f t="shared" si="32"/>
        <v>1586</v>
      </c>
      <c r="P168" s="32" cm="1">
        <f t="array" ref="P168">WPNFACTOR(C168)</f>
        <v>2</v>
      </c>
      <c r="Q168" s="34" cm="1">
        <f t="array" ref="Q168">HPFACTOr(C168)</f>
        <v>4</v>
      </c>
      <c r="R168" s="33">
        <f t="shared" si="33"/>
        <v>793</v>
      </c>
      <c r="S168" s="34">
        <f t="shared" si="34"/>
        <v>35860000</v>
      </c>
      <c r="T168" s="33">
        <f t="shared" si="35"/>
        <v>882.21250000000009</v>
      </c>
      <c r="U168" s="42">
        <f t="shared" si="36"/>
        <v>37257142.857142858</v>
      </c>
      <c r="V168" s="44"/>
      <c r="W168" s="29">
        <f t="shared" si="38"/>
        <v>32868717142.857147</v>
      </c>
      <c r="X168" s="41">
        <f t="shared" si="37"/>
        <v>34.935996098393296</v>
      </c>
      <c r="Y168" s="33">
        <f t="shared" si="39"/>
        <v>425.7902264923934</v>
      </c>
      <c r="Z168" s="33">
        <v>1.33</v>
      </c>
      <c r="AA168" s="29">
        <f t="shared" si="40"/>
        <v>566.3010012348833</v>
      </c>
      <c r="AB168" s="33">
        <f t="shared" si="41"/>
        <v>3203.2751995175176</v>
      </c>
      <c r="AD168" s="46">
        <f t="shared" si="42"/>
        <v>0</v>
      </c>
    </row>
    <row r="169" spans="1:30" x14ac:dyDescent="0.2">
      <c r="A169" s="30" t="s">
        <v>8856</v>
      </c>
      <c r="B169" s="29">
        <v>8</v>
      </c>
      <c r="C169" s="29">
        <v>3</v>
      </c>
      <c r="D169" s="29">
        <v>420</v>
      </c>
      <c r="E169" s="29">
        <v>10500</v>
      </c>
      <c r="F169" s="29">
        <v>22500</v>
      </c>
      <c r="G169" s="29">
        <v>10500</v>
      </c>
      <c r="H169" s="29">
        <v>112500</v>
      </c>
      <c r="I169" s="29">
        <v>15500</v>
      </c>
      <c r="J169" s="29">
        <v>212850000</v>
      </c>
      <c r="K169" s="29">
        <v>1837</v>
      </c>
      <c r="L169" s="29">
        <v>3148</v>
      </c>
      <c r="M169" s="29">
        <v>50</v>
      </c>
      <c r="N169" s="34">
        <v>50</v>
      </c>
      <c r="O169" s="29">
        <f t="shared" si="32"/>
        <v>2492.5</v>
      </c>
      <c r="P169" s="32" cm="1">
        <f t="array" ref="P169">WPNFACTOR(C169)</f>
        <v>2.5</v>
      </c>
      <c r="Q169" s="34" cm="1">
        <f t="array" ref="Q169">HPFACTOr(C169)</f>
        <v>4</v>
      </c>
      <c r="R169" s="33">
        <f t="shared" si="33"/>
        <v>997</v>
      </c>
      <c r="S169" s="34">
        <f t="shared" si="34"/>
        <v>53212500</v>
      </c>
      <c r="T169" s="33">
        <f t="shared" si="35"/>
        <v>1121.625</v>
      </c>
      <c r="U169" s="42">
        <f t="shared" si="36"/>
        <v>65492307.692307688</v>
      </c>
      <c r="V169" s="44"/>
      <c r="W169" s="29">
        <f t="shared" si="38"/>
        <v>73457809615.384613</v>
      </c>
      <c r="X169" s="41">
        <f t="shared" si="37"/>
        <v>36.096196826917939</v>
      </c>
      <c r="Y169" s="33">
        <f t="shared" si="39"/>
        <v>520.60638900810443</v>
      </c>
      <c r="Z169" s="33">
        <v>1.33</v>
      </c>
      <c r="AA169" s="29">
        <f t="shared" si="40"/>
        <v>692.40649738077889</v>
      </c>
      <c r="AB169" s="33">
        <f t="shared" si="41"/>
        <v>4188.0577159847408</v>
      </c>
      <c r="AD169" s="46">
        <f t="shared" si="42"/>
        <v>0</v>
      </c>
    </row>
    <row r="170" spans="1:30" x14ac:dyDescent="0.2">
      <c r="A170" s="30" t="s">
        <v>8856</v>
      </c>
      <c r="B170" s="29">
        <v>9</v>
      </c>
      <c r="C170" s="29">
        <v>6</v>
      </c>
      <c r="D170" s="29">
        <v>455</v>
      </c>
      <c r="E170" s="29">
        <v>29500</v>
      </c>
      <c r="F170" s="29">
        <v>7000</v>
      </c>
      <c r="G170" s="29">
        <v>7000</v>
      </c>
      <c r="H170" s="29">
        <v>115000</v>
      </c>
      <c r="I170" s="29">
        <v>16000</v>
      </c>
      <c r="J170" s="29">
        <v>235290000</v>
      </c>
      <c r="K170" s="29">
        <v>1296</v>
      </c>
      <c r="L170" s="29">
        <v>2441</v>
      </c>
      <c r="M170" s="29">
        <v>50</v>
      </c>
      <c r="N170" s="34">
        <v>55</v>
      </c>
      <c r="O170" s="29">
        <f t="shared" si="32"/>
        <v>1868.5</v>
      </c>
      <c r="P170" s="32" cm="1">
        <f t="array" ref="P170">WPNFACTOR(C170)</f>
        <v>2</v>
      </c>
      <c r="Q170" s="34" cm="1">
        <f t="array" ref="Q170">HPFACTOr(C170)</f>
        <v>4</v>
      </c>
      <c r="R170" s="33">
        <f t="shared" si="33"/>
        <v>934.25</v>
      </c>
      <c r="S170" s="34">
        <f t="shared" si="34"/>
        <v>58822500</v>
      </c>
      <c r="T170" s="33">
        <f t="shared" si="35"/>
        <v>1062.7093749999999</v>
      </c>
      <c r="U170" s="42">
        <f t="shared" si="36"/>
        <v>72396923.076923072</v>
      </c>
      <c r="V170" s="44"/>
      <c r="W170" s="29">
        <f t="shared" si="38"/>
        <v>76936888874.999985</v>
      </c>
      <c r="X170" s="41">
        <f t="shared" si="37"/>
        <v>36.162956440902775</v>
      </c>
      <c r="Y170" s="33">
        <f t="shared" si="39"/>
        <v>526.66402653439854</v>
      </c>
      <c r="Z170" s="33">
        <v>1.33</v>
      </c>
      <c r="AA170" s="29">
        <f t="shared" si="40"/>
        <v>700.46315529075014</v>
      </c>
      <c r="AB170" s="33">
        <f t="shared" si="41"/>
        <v>4253.1582315029063</v>
      </c>
      <c r="AD170" s="46">
        <f t="shared" si="42"/>
        <v>0</v>
      </c>
    </row>
    <row r="171" spans="1:30" x14ac:dyDescent="0.2">
      <c r="A171" s="30" t="s">
        <v>8856</v>
      </c>
      <c r="B171" s="29">
        <v>10</v>
      </c>
      <c r="C171" s="29">
        <v>6</v>
      </c>
      <c r="D171" s="29">
        <v>500</v>
      </c>
      <c r="E171" s="29">
        <v>38500</v>
      </c>
      <c r="F171" s="29">
        <v>10500</v>
      </c>
      <c r="G171" s="29">
        <v>10500</v>
      </c>
      <c r="H171" s="29">
        <v>158000</v>
      </c>
      <c r="I171" s="29">
        <v>23000</v>
      </c>
      <c r="J171" s="29">
        <v>354552000</v>
      </c>
      <c r="K171" s="29">
        <v>1413</v>
      </c>
      <c r="L171" s="29">
        <v>2699</v>
      </c>
      <c r="M171" s="29">
        <v>60</v>
      </c>
      <c r="N171" s="34">
        <v>60</v>
      </c>
      <c r="O171" s="29">
        <f t="shared" si="32"/>
        <v>2056</v>
      </c>
      <c r="P171" s="32" cm="1">
        <f t="array" ref="P171">WPNFACTOR(C171)</f>
        <v>2</v>
      </c>
      <c r="Q171" s="34" cm="1">
        <f t="array" ref="Q171">HPFACTOr(C171)</f>
        <v>4</v>
      </c>
      <c r="R171" s="33">
        <f t="shared" si="33"/>
        <v>1028</v>
      </c>
      <c r="S171" s="34">
        <f t="shared" si="34"/>
        <v>88638000</v>
      </c>
      <c r="T171" s="33">
        <f t="shared" si="35"/>
        <v>1182.1999999999998</v>
      </c>
      <c r="U171" s="42">
        <f t="shared" si="36"/>
        <v>114371612.90322581</v>
      </c>
      <c r="V171" s="44"/>
      <c r="W171" s="29">
        <f t="shared" si="38"/>
        <v>135210120774.19353</v>
      </c>
      <c r="X171" s="41">
        <f t="shared" si="37"/>
        <v>36.976412188311997</v>
      </c>
      <c r="Y171" s="33">
        <f t="shared" si="39"/>
        <v>606.3903762412798</v>
      </c>
      <c r="Z171" s="33">
        <v>1.33</v>
      </c>
      <c r="AA171" s="29">
        <f t="shared" si="40"/>
        <v>806.49920040090217</v>
      </c>
      <c r="AB171" s="33">
        <f t="shared" si="41"/>
        <v>5132.5879527647348</v>
      </c>
      <c r="AD171" s="46">
        <f t="shared" si="42"/>
        <v>0</v>
      </c>
    </row>
    <row r="172" spans="1:30" x14ac:dyDescent="0.2">
      <c r="A172" s="30" t="s">
        <v>8857</v>
      </c>
      <c r="B172" s="29">
        <v>1</v>
      </c>
      <c r="C172" s="29">
        <v>2</v>
      </c>
      <c r="D172" s="29">
        <v>210</v>
      </c>
      <c r="E172" s="29">
        <v>2000</v>
      </c>
      <c r="F172" s="29">
        <v>2000</v>
      </c>
      <c r="G172" s="29">
        <v>8000</v>
      </c>
      <c r="H172" s="29">
        <v>80000</v>
      </c>
      <c r="I172" s="29">
        <v>4000</v>
      </c>
      <c r="J172" s="29">
        <v>52800000</v>
      </c>
      <c r="K172" s="29">
        <v>630</v>
      </c>
      <c r="L172" s="29">
        <v>1265</v>
      </c>
      <c r="M172" s="29">
        <v>5</v>
      </c>
      <c r="N172" s="34">
        <v>30</v>
      </c>
      <c r="O172" s="29">
        <f t="shared" si="32"/>
        <v>947.5</v>
      </c>
      <c r="P172" s="32" cm="1">
        <f t="array" ref="P172">WPNFACTOR(C172)</f>
        <v>4.5</v>
      </c>
      <c r="Q172" s="34" cm="1">
        <f t="array" ref="Q172">HPFACTOr(C172)</f>
        <v>2</v>
      </c>
      <c r="R172" s="33">
        <f t="shared" si="33"/>
        <v>210.55555555555554</v>
      </c>
      <c r="S172" s="34">
        <f t="shared" si="34"/>
        <v>26400000</v>
      </c>
      <c r="T172" s="33">
        <f t="shared" si="35"/>
        <v>226.3472222222222</v>
      </c>
      <c r="U172" s="42">
        <f t="shared" si="36"/>
        <v>26904458.598726116</v>
      </c>
      <c r="V172" s="44"/>
      <c r="W172" s="29">
        <f t="shared" si="38"/>
        <v>6089749469.2144375</v>
      </c>
      <c r="X172" s="41">
        <f t="shared" si="37"/>
        <v>32.50373573122188</v>
      </c>
      <c r="Y172" s="33">
        <f t="shared" si="39"/>
        <v>279.35075956355536</v>
      </c>
      <c r="Z172" s="33">
        <v>1.33</v>
      </c>
      <c r="AA172" s="29">
        <f t="shared" si="40"/>
        <v>371.53651021952862</v>
      </c>
      <c r="AB172" s="33">
        <f t="shared" si="41"/>
        <v>1826.136100684801</v>
      </c>
      <c r="AC172" s="29">
        <v>259</v>
      </c>
      <c r="AD172" s="46">
        <f t="shared" si="42"/>
        <v>0.14182951637770866</v>
      </c>
    </row>
    <row r="173" spans="1:30" x14ac:dyDescent="0.2">
      <c r="A173" s="30" t="s">
        <v>8857</v>
      </c>
      <c r="B173" s="29">
        <v>2</v>
      </c>
      <c r="C173" s="29">
        <v>1</v>
      </c>
      <c r="D173" s="29">
        <v>240</v>
      </c>
      <c r="E173" s="29">
        <v>12000</v>
      </c>
      <c r="F173" s="29">
        <v>4000</v>
      </c>
      <c r="G173" s="29">
        <v>4000</v>
      </c>
      <c r="H173" s="29">
        <v>100000</v>
      </c>
      <c r="I173" s="29">
        <v>5000</v>
      </c>
      <c r="J173" s="29">
        <v>187500000</v>
      </c>
      <c r="K173" s="29">
        <v>320</v>
      </c>
      <c r="L173" s="29">
        <v>639</v>
      </c>
      <c r="M173" s="29">
        <v>10</v>
      </c>
      <c r="N173" s="34">
        <v>35</v>
      </c>
      <c r="O173" s="29">
        <f t="shared" si="32"/>
        <v>479.5</v>
      </c>
      <c r="P173" s="32" cm="1">
        <f t="array" ref="P173">WPNFACTOR(C173)</f>
        <v>2</v>
      </c>
      <c r="Q173" s="34" cm="1">
        <f t="array" ref="Q173">HPFACTOr(C173)</f>
        <v>5</v>
      </c>
      <c r="R173" s="33">
        <f t="shared" si="33"/>
        <v>239.75</v>
      </c>
      <c r="S173" s="34">
        <f t="shared" si="34"/>
        <v>37500000</v>
      </c>
      <c r="T173" s="33">
        <f t="shared" si="35"/>
        <v>260.72812499999998</v>
      </c>
      <c r="U173" s="42">
        <f t="shared" si="36"/>
        <v>38961038.961038962</v>
      </c>
      <c r="V173" s="44"/>
      <c r="W173" s="29">
        <f t="shared" si="38"/>
        <v>10158238636.363636</v>
      </c>
      <c r="X173" s="41">
        <f t="shared" si="37"/>
        <v>33.241931219992011</v>
      </c>
      <c r="Y173" s="33">
        <f t="shared" si="39"/>
        <v>317.47139677481317</v>
      </c>
      <c r="Z173" s="33">
        <v>1.33</v>
      </c>
      <c r="AA173" s="29">
        <f t="shared" si="40"/>
        <v>422.23695771050154</v>
      </c>
      <c r="AB173" s="33">
        <f t="shared" si="41"/>
        <v>2165.7390985041493</v>
      </c>
      <c r="AD173" s="46">
        <f t="shared" si="42"/>
        <v>0</v>
      </c>
    </row>
    <row r="174" spans="1:30" x14ac:dyDescent="0.2">
      <c r="A174" s="30" t="s">
        <v>8857</v>
      </c>
      <c r="B174" s="29">
        <v>3</v>
      </c>
      <c r="C174" s="29">
        <v>3</v>
      </c>
      <c r="D174" s="29">
        <v>270</v>
      </c>
      <c r="E174" s="29">
        <v>6000</v>
      </c>
      <c r="F174" s="29">
        <v>16000</v>
      </c>
      <c r="G174" s="29">
        <v>6000</v>
      </c>
      <c r="H174" s="29">
        <v>120000</v>
      </c>
      <c r="I174" s="29">
        <v>6000</v>
      </c>
      <c r="J174" s="29">
        <v>201600000</v>
      </c>
      <c r="K174" s="29">
        <v>450</v>
      </c>
      <c r="L174" s="29">
        <v>899</v>
      </c>
      <c r="M174" s="29">
        <v>15</v>
      </c>
      <c r="N174" s="34">
        <v>35</v>
      </c>
      <c r="O174" s="29">
        <f t="shared" si="32"/>
        <v>674.5</v>
      </c>
      <c r="P174" s="32" cm="1">
        <f t="array" ref="P174">WPNFACTOR(C174)</f>
        <v>2.5</v>
      </c>
      <c r="Q174" s="34" cm="1">
        <f t="array" ref="Q174">HPFACTOr(C174)</f>
        <v>4</v>
      </c>
      <c r="R174" s="33">
        <f t="shared" si="33"/>
        <v>269.8</v>
      </c>
      <c r="S174" s="34">
        <f t="shared" si="34"/>
        <v>50400000</v>
      </c>
      <c r="T174" s="33">
        <f t="shared" si="35"/>
        <v>293.40749999999997</v>
      </c>
      <c r="U174" s="42">
        <f t="shared" si="36"/>
        <v>53403973.509933777</v>
      </c>
      <c r="V174" s="44"/>
      <c r="W174" s="29">
        <f t="shared" si="38"/>
        <v>15669126357.615892</v>
      </c>
      <c r="X174" s="41">
        <f t="shared" si="37"/>
        <v>33.867205692521281</v>
      </c>
      <c r="Y174" s="33">
        <f t="shared" si="39"/>
        <v>353.80274304964018</v>
      </c>
      <c r="Z174" s="33">
        <v>1.33</v>
      </c>
      <c r="AA174" s="29">
        <f t="shared" si="40"/>
        <v>470.55764825602148</v>
      </c>
      <c r="AB174" s="33">
        <f t="shared" si="41"/>
        <v>2502.3511938013876</v>
      </c>
      <c r="AD174" s="46">
        <f t="shared" si="42"/>
        <v>0</v>
      </c>
    </row>
    <row r="175" spans="1:30" x14ac:dyDescent="0.2">
      <c r="A175" s="30" t="s">
        <v>8857</v>
      </c>
      <c r="B175" s="29">
        <v>4</v>
      </c>
      <c r="C175" s="29">
        <v>2</v>
      </c>
      <c r="D175" s="29">
        <v>305</v>
      </c>
      <c r="E175" s="29">
        <v>8000</v>
      </c>
      <c r="F175" s="29">
        <v>8000</v>
      </c>
      <c r="G175" s="29">
        <v>20000</v>
      </c>
      <c r="H175" s="29">
        <v>140000</v>
      </c>
      <c r="I175" s="29">
        <v>7000</v>
      </c>
      <c r="J175" s="29">
        <v>132300000</v>
      </c>
      <c r="K175" s="29">
        <v>920</v>
      </c>
      <c r="L175" s="29">
        <v>1829</v>
      </c>
      <c r="M175" s="29">
        <v>20</v>
      </c>
      <c r="N175" s="34">
        <v>40</v>
      </c>
      <c r="O175" s="29">
        <f t="shared" si="32"/>
        <v>1374.5</v>
      </c>
      <c r="P175" s="32" cm="1">
        <f t="array" ref="P175">WPNFACTOR(C175)</f>
        <v>4.5</v>
      </c>
      <c r="Q175" s="34" cm="1">
        <f t="array" ref="Q175">HPFACTOr(C175)</f>
        <v>2</v>
      </c>
      <c r="R175" s="33">
        <f t="shared" si="33"/>
        <v>305.44444444444446</v>
      </c>
      <c r="S175" s="34">
        <f t="shared" si="34"/>
        <v>66150000</v>
      </c>
      <c r="T175" s="33">
        <f t="shared" si="35"/>
        <v>335.98888888888894</v>
      </c>
      <c r="U175" s="42">
        <f t="shared" si="36"/>
        <v>71513513.51351352</v>
      </c>
      <c r="V175" s="44"/>
      <c r="W175" s="29">
        <f t="shared" si="38"/>
        <v>24027745945.945953</v>
      </c>
      <c r="X175" s="41">
        <f t="shared" si="37"/>
        <v>34.483982263794481</v>
      </c>
      <c r="Y175" s="33">
        <f t="shared" si="39"/>
        <v>393.71164275019714</v>
      </c>
      <c r="Z175" s="33">
        <v>1.33</v>
      </c>
      <c r="AA175" s="29">
        <f t="shared" si="40"/>
        <v>523.63648485776218</v>
      </c>
      <c r="AB175" s="33">
        <f t="shared" si="41"/>
        <v>2885.6102841623665</v>
      </c>
      <c r="AD175" s="46">
        <f t="shared" si="42"/>
        <v>0</v>
      </c>
    </row>
    <row r="176" spans="1:30" x14ac:dyDescent="0.2">
      <c r="A176" s="30" t="s">
        <v>8857</v>
      </c>
      <c r="B176" s="29">
        <v>5</v>
      </c>
      <c r="C176" s="29">
        <v>2</v>
      </c>
      <c r="D176" s="29">
        <v>330</v>
      </c>
      <c r="E176" s="29">
        <v>10000</v>
      </c>
      <c r="F176" s="29">
        <v>10000</v>
      </c>
      <c r="G176" s="29">
        <v>24000</v>
      </c>
      <c r="H176" s="29">
        <v>160000</v>
      </c>
      <c r="I176" s="29">
        <v>8000</v>
      </c>
      <c r="J176" s="29">
        <v>163200000</v>
      </c>
      <c r="K176" s="29">
        <v>1000</v>
      </c>
      <c r="L176" s="29">
        <v>1989</v>
      </c>
      <c r="M176" s="29">
        <v>25</v>
      </c>
      <c r="N176" s="34">
        <v>40</v>
      </c>
      <c r="O176" s="29">
        <f t="shared" si="32"/>
        <v>1494.5</v>
      </c>
      <c r="P176" s="32" cm="1">
        <f t="array" ref="P176">WPNFACTOR(C176)</f>
        <v>4.5</v>
      </c>
      <c r="Q176" s="34" cm="1">
        <f t="array" ref="Q176">HPFACTOr(C176)</f>
        <v>2</v>
      </c>
      <c r="R176" s="33">
        <f t="shared" si="33"/>
        <v>332.11111111111109</v>
      </c>
      <c r="S176" s="34">
        <f t="shared" si="34"/>
        <v>81600000</v>
      </c>
      <c r="T176" s="33">
        <f t="shared" si="35"/>
        <v>365.32222222222225</v>
      </c>
      <c r="U176" s="42">
        <f t="shared" si="36"/>
        <v>90041379.31034483</v>
      </c>
      <c r="V176" s="44"/>
      <c r="W176" s="29">
        <f t="shared" si="38"/>
        <v>32894116781.6092</v>
      </c>
      <c r="X176" s="41">
        <f t="shared" si="37"/>
        <v>34.937110525266455</v>
      </c>
      <c r="Y176" s="33">
        <f t="shared" si="39"/>
        <v>425.87246110851765</v>
      </c>
      <c r="Z176" s="33">
        <v>1.33</v>
      </c>
      <c r="AA176" s="29">
        <f t="shared" si="40"/>
        <v>566.41037327432855</v>
      </c>
      <c r="AB176" s="33">
        <f t="shared" si="41"/>
        <v>3204.1001083383485</v>
      </c>
      <c r="AD176" s="46">
        <f t="shared" si="42"/>
        <v>0</v>
      </c>
    </row>
    <row r="177" spans="1:30" x14ac:dyDescent="0.2">
      <c r="A177" s="30" t="s">
        <v>8857</v>
      </c>
      <c r="B177" s="29">
        <v>6</v>
      </c>
      <c r="C177" s="29">
        <v>1</v>
      </c>
      <c r="D177" s="29">
        <v>360</v>
      </c>
      <c r="E177" s="29">
        <v>28000</v>
      </c>
      <c r="F177" s="29">
        <v>12000</v>
      </c>
      <c r="G177" s="29">
        <v>12000</v>
      </c>
      <c r="H177" s="29">
        <v>180000</v>
      </c>
      <c r="I177" s="29">
        <v>10000</v>
      </c>
      <c r="J177" s="29">
        <v>499500000</v>
      </c>
      <c r="K177" s="29">
        <v>480</v>
      </c>
      <c r="L177" s="29">
        <v>959</v>
      </c>
      <c r="M177" s="29">
        <v>40</v>
      </c>
      <c r="N177" s="34">
        <v>45</v>
      </c>
      <c r="O177" s="29">
        <f t="shared" si="32"/>
        <v>719.5</v>
      </c>
      <c r="P177" s="32" cm="1">
        <f t="array" ref="P177">WPNFACTOR(C177)</f>
        <v>2</v>
      </c>
      <c r="Q177" s="34" cm="1">
        <f t="array" ref="Q177">HPFACTOr(C177)</f>
        <v>5</v>
      </c>
      <c r="R177" s="33">
        <f t="shared" si="33"/>
        <v>359.75</v>
      </c>
      <c r="S177" s="34">
        <f t="shared" si="34"/>
        <v>99900000</v>
      </c>
      <c r="T177" s="33">
        <f t="shared" si="35"/>
        <v>400.22187500000001</v>
      </c>
      <c r="U177" s="42">
        <f t="shared" si="36"/>
        <v>117529411.7647059</v>
      </c>
      <c r="V177" s="44"/>
      <c r="W177" s="29">
        <f t="shared" si="38"/>
        <v>47037841544.117653</v>
      </c>
      <c r="X177" s="41">
        <f t="shared" si="37"/>
        <v>35.453102808685586</v>
      </c>
      <c r="Y177" s="33">
        <f t="shared" si="39"/>
        <v>465.70601385449515</v>
      </c>
      <c r="Z177" s="33">
        <v>1.33</v>
      </c>
      <c r="AA177" s="29">
        <f t="shared" si="40"/>
        <v>619.38899842647857</v>
      </c>
      <c r="AB177" s="33">
        <f t="shared" si="41"/>
        <v>3609.794356144494</v>
      </c>
      <c r="AD177" s="46">
        <f t="shared" si="42"/>
        <v>0</v>
      </c>
    </row>
    <row r="178" spans="1:30" x14ac:dyDescent="0.2">
      <c r="A178" s="30" t="s">
        <v>8857</v>
      </c>
      <c r="B178" s="29">
        <v>7</v>
      </c>
      <c r="C178" s="29">
        <v>1</v>
      </c>
      <c r="D178" s="29">
        <v>390</v>
      </c>
      <c r="E178" s="29">
        <v>32000</v>
      </c>
      <c r="F178" s="29">
        <v>14000</v>
      </c>
      <c r="G178" s="29">
        <v>14000</v>
      </c>
      <c r="H178" s="29">
        <v>200000</v>
      </c>
      <c r="I178" s="29">
        <v>11000</v>
      </c>
      <c r="J178" s="29">
        <v>600000000</v>
      </c>
      <c r="K178" s="29">
        <v>520</v>
      </c>
      <c r="L178" s="29">
        <v>1049</v>
      </c>
      <c r="M178" s="29">
        <v>20</v>
      </c>
      <c r="N178" s="34">
        <v>45</v>
      </c>
      <c r="O178" s="29">
        <f t="shared" si="32"/>
        <v>784.5</v>
      </c>
      <c r="P178" s="32" cm="1">
        <f t="array" ref="P178">WPNFACTOR(C178)</f>
        <v>2</v>
      </c>
      <c r="Q178" s="34" cm="1">
        <f t="array" ref="Q178">HPFACTOr(C178)</f>
        <v>5</v>
      </c>
      <c r="R178" s="33">
        <f t="shared" si="33"/>
        <v>392.25</v>
      </c>
      <c r="S178" s="34">
        <f t="shared" si="34"/>
        <v>120000000</v>
      </c>
      <c r="T178" s="33">
        <f t="shared" si="35"/>
        <v>436.37812500000001</v>
      </c>
      <c r="U178" s="42">
        <f t="shared" si="36"/>
        <v>129729729.72972973</v>
      </c>
      <c r="V178" s="44"/>
      <c r="W178" s="29">
        <f t="shared" si="38"/>
        <v>56611216216.216217</v>
      </c>
      <c r="X178" s="41">
        <f t="shared" si="37"/>
        <v>35.720368867238243</v>
      </c>
      <c r="Y178" s="33">
        <f t="shared" si="39"/>
        <v>487.78183292975598</v>
      </c>
      <c r="Z178" s="33">
        <v>1.33</v>
      </c>
      <c r="AA178" s="29">
        <f t="shared" si="40"/>
        <v>648.74983779657543</v>
      </c>
      <c r="AB178" s="33">
        <f t="shared" si="41"/>
        <v>3839.7312505468062</v>
      </c>
      <c r="AD178" s="46">
        <f t="shared" si="42"/>
        <v>0</v>
      </c>
    </row>
    <row r="179" spans="1:30" x14ac:dyDescent="0.2">
      <c r="A179" s="30" t="s">
        <v>8857</v>
      </c>
      <c r="B179" s="29">
        <v>8</v>
      </c>
      <c r="C179" s="29">
        <v>3</v>
      </c>
      <c r="D179" s="29">
        <v>420</v>
      </c>
      <c r="E179" s="29">
        <v>16000</v>
      </c>
      <c r="F179" s="29">
        <v>36000</v>
      </c>
      <c r="G179" s="29">
        <v>16000</v>
      </c>
      <c r="H179" s="29">
        <v>220000</v>
      </c>
      <c r="I179" s="29">
        <v>12000</v>
      </c>
      <c r="J179" s="29">
        <v>567600000</v>
      </c>
      <c r="K179" s="29">
        <v>700</v>
      </c>
      <c r="L179" s="29">
        <v>1399</v>
      </c>
      <c r="M179" s="29">
        <v>60</v>
      </c>
      <c r="N179" s="34">
        <v>50</v>
      </c>
      <c r="O179" s="29">
        <f t="shared" si="32"/>
        <v>1049.5</v>
      </c>
      <c r="P179" s="32" cm="1">
        <f t="array" ref="P179">WPNFACTOR(C179)</f>
        <v>2.5</v>
      </c>
      <c r="Q179" s="34" cm="1">
        <f t="array" ref="Q179">HPFACTOr(C179)</f>
        <v>4</v>
      </c>
      <c r="R179" s="33">
        <f t="shared" si="33"/>
        <v>419.8</v>
      </c>
      <c r="S179" s="34">
        <f t="shared" si="34"/>
        <v>141900000</v>
      </c>
      <c r="T179" s="33">
        <f t="shared" si="35"/>
        <v>472.27500000000003</v>
      </c>
      <c r="U179" s="42">
        <f t="shared" si="36"/>
        <v>183096774.19354838</v>
      </c>
      <c r="V179" s="44"/>
      <c r="W179" s="29">
        <f t="shared" si="38"/>
        <v>86472029032.258072</v>
      </c>
      <c r="X179" s="41">
        <f t="shared" si="37"/>
        <v>36.331514490844953</v>
      </c>
      <c r="Y179" s="33">
        <f t="shared" si="39"/>
        <v>542.27416265255874</v>
      </c>
      <c r="Z179" s="33">
        <v>1.33</v>
      </c>
      <c r="AA179" s="29">
        <f t="shared" si="40"/>
        <v>721.22463632790311</v>
      </c>
      <c r="AB179" s="33">
        <f t="shared" si="41"/>
        <v>4422.0659628023823</v>
      </c>
      <c r="AD179" s="46">
        <f t="shared" si="42"/>
        <v>0</v>
      </c>
    </row>
    <row r="180" spans="1:30" x14ac:dyDescent="0.2">
      <c r="A180" s="30" t="s">
        <v>8857</v>
      </c>
      <c r="B180" s="29">
        <v>9</v>
      </c>
      <c r="C180" s="29">
        <v>3</v>
      </c>
      <c r="D180" s="29">
        <v>455</v>
      </c>
      <c r="E180" s="29">
        <v>28000</v>
      </c>
      <c r="F180" s="29">
        <v>40000</v>
      </c>
      <c r="G180" s="29">
        <v>28000</v>
      </c>
      <c r="H180" s="29">
        <v>250000</v>
      </c>
      <c r="I180" s="29">
        <v>13000</v>
      </c>
      <c r="J180" s="29">
        <v>697500032</v>
      </c>
      <c r="K180" s="29">
        <v>760</v>
      </c>
      <c r="L180" s="29">
        <v>1519</v>
      </c>
      <c r="M180" s="29">
        <v>60</v>
      </c>
      <c r="N180" s="34">
        <v>60</v>
      </c>
      <c r="O180" s="29">
        <f t="shared" si="32"/>
        <v>1139.5</v>
      </c>
      <c r="P180" s="32" cm="1">
        <f t="array" ref="P180">WPNFACTOR(C180)</f>
        <v>2.5</v>
      </c>
      <c r="Q180" s="34" cm="1">
        <f t="array" ref="Q180">HPFACTOr(C180)</f>
        <v>4</v>
      </c>
      <c r="R180" s="33">
        <f t="shared" si="33"/>
        <v>455.8</v>
      </c>
      <c r="S180" s="34">
        <f t="shared" si="34"/>
        <v>174375008</v>
      </c>
      <c r="T180" s="33">
        <f t="shared" si="35"/>
        <v>524.16999999999996</v>
      </c>
      <c r="U180" s="42">
        <f t="shared" si="36"/>
        <v>225000010.32258067</v>
      </c>
      <c r="V180" s="44"/>
      <c r="W180" s="29">
        <f t="shared" si="38"/>
        <v>117938255410.78709</v>
      </c>
      <c r="X180" s="41">
        <f t="shared" si="37"/>
        <v>36.779240802276959</v>
      </c>
      <c r="Y180" s="33">
        <f t="shared" si="39"/>
        <v>586.02166876520653</v>
      </c>
      <c r="Z180" s="33">
        <v>1.33</v>
      </c>
      <c r="AA180" s="29">
        <f t="shared" si="40"/>
        <v>779.40881945772469</v>
      </c>
      <c r="AB180" s="33">
        <f t="shared" si="41"/>
        <v>4904.0124764219145</v>
      </c>
      <c r="AD180" s="46">
        <f t="shared" si="42"/>
        <v>0</v>
      </c>
    </row>
    <row r="181" spans="1:30" x14ac:dyDescent="0.2">
      <c r="A181" s="30" t="s">
        <v>8857</v>
      </c>
      <c r="B181" s="29">
        <v>10</v>
      </c>
      <c r="C181" s="29">
        <v>2</v>
      </c>
      <c r="D181" s="29">
        <v>500</v>
      </c>
      <c r="E181" s="29">
        <v>33333</v>
      </c>
      <c r="F181" s="29">
        <v>33333</v>
      </c>
      <c r="G181" s="29">
        <v>44444</v>
      </c>
      <c r="H181" s="29">
        <v>300000</v>
      </c>
      <c r="I181" s="29">
        <v>15000</v>
      </c>
      <c r="J181" s="29">
        <v>459000000</v>
      </c>
      <c r="K181" s="29">
        <v>1500</v>
      </c>
      <c r="L181" s="29">
        <v>2996</v>
      </c>
      <c r="M181" s="29">
        <v>60</v>
      </c>
      <c r="N181" s="34">
        <v>60</v>
      </c>
      <c r="O181" s="29">
        <f t="shared" si="32"/>
        <v>2248</v>
      </c>
      <c r="P181" s="32" cm="1">
        <f t="array" ref="P181">WPNFACTOR(C181)</f>
        <v>4.5</v>
      </c>
      <c r="Q181" s="34" cm="1">
        <f t="array" ref="Q181">HPFACTOr(C181)</f>
        <v>2</v>
      </c>
      <c r="R181" s="33">
        <f t="shared" si="33"/>
        <v>499.55555555555554</v>
      </c>
      <c r="S181" s="34">
        <f t="shared" si="34"/>
        <v>229500000</v>
      </c>
      <c r="T181" s="33">
        <f t="shared" si="35"/>
        <v>574.48888888888882</v>
      </c>
      <c r="U181" s="42">
        <f t="shared" si="36"/>
        <v>296129032.25806451</v>
      </c>
      <c r="V181" s="44"/>
      <c r="W181" s="29">
        <f t="shared" si="38"/>
        <v>170122838709.6774</v>
      </c>
      <c r="X181" s="41">
        <f t="shared" si="37"/>
        <v>37.307785877186731</v>
      </c>
      <c r="Y181" s="33">
        <f t="shared" si="39"/>
        <v>642.23009854571774</v>
      </c>
      <c r="Z181" s="33">
        <v>1.33</v>
      </c>
      <c r="AA181" s="29">
        <f t="shared" si="40"/>
        <v>854.16603106580465</v>
      </c>
      <c r="AB181" s="33">
        <f t="shared" si="41"/>
        <v>5540.9922187866996</v>
      </c>
      <c r="AD181" s="46">
        <f t="shared" si="42"/>
        <v>0</v>
      </c>
    </row>
    <row r="182" spans="1:30" x14ac:dyDescent="0.2">
      <c r="A182" s="30" t="s">
        <v>8858</v>
      </c>
      <c r="B182" s="29">
        <v>1</v>
      </c>
      <c r="C182" s="29">
        <v>2</v>
      </c>
      <c r="D182" s="29">
        <v>410</v>
      </c>
      <c r="E182" s="29">
        <v>7000</v>
      </c>
      <c r="F182" s="29">
        <v>7000</v>
      </c>
      <c r="G182" s="29">
        <v>20000</v>
      </c>
      <c r="H182" s="29">
        <v>18000</v>
      </c>
      <c r="I182" s="29">
        <v>4000</v>
      </c>
      <c r="J182" s="29">
        <v>10000000</v>
      </c>
      <c r="K182" s="29">
        <v>1416</v>
      </c>
      <c r="L182" s="29">
        <v>2290</v>
      </c>
      <c r="N182" s="34"/>
      <c r="O182" s="29">
        <f t="shared" si="32"/>
        <v>1853</v>
      </c>
      <c r="P182" s="32" cm="1">
        <f t="array" ref="P182">WPNFACTOR(C182)</f>
        <v>4.5</v>
      </c>
      <c r="Q182" s="34" cm="1">
        <f t="array" ref="Q182">HPFACTOr(C182)</f>
        <v>2</v>
      </c>
      <c r="R182" s="33">
        <f t="shared" si="33"/>
        <v>411.77777777777777</v>
      </c>
      <c r="S182" s="34">
        <f t="shared" si="34"/>
        <v>5000000</v>
      </c>
      <c r="T182" s="33">
        <f t="shared" si="35"/>
        <v>411.77777777777777</v>
      </c>
      <c r="U182" s="42">
        <f t="shared" si="36"/>
        <v>5000000</v>
      </c>
      <c r="V182" s="44"/>
      <c r="W182" s="29">
        <f t="shared" si="38"/>
        <v>2058888888.8888888</v>
      </c>
      <c r="X182" s="41">
        <f t="shared" si="37"/>
        <v>30.939218828796488</v>
      </c>
      <c r="Y182" s="33">
        <f t="shared" si="39"/>
        <v>213.01403913661417</v>
      </c>
      <c r="Z182" s="33">
        <v>1.33</v>
      </c>
      <c r="AA182" s="29">
        <f t="shared" si="40"/>
        <v>283.30867205169687</v>
      </c>
      <c r="AB182" s="33">
        <f t="shared" si="41"/>
        <v>1272.1675199499355</v>
      </c>
      <c r="AC182" s="29">
        <v>270</v>
      </c>
      <c r="AD182" s="46">
        <f t="shared" si="42"/>
        <v>0.21223619984467573</v>
      </c>
    </row>
    <row r="183" spans="1:30" x14ac:dyDescent="0.2">
      <c r="A183" s="30" t="s">
        <v>8858</v>
      </c>
      <c r="B183" s="29">
        <v>2</v>
      </c>
      <c r="C183" s="29">
        <v>1</v>
      </c>
      <c r="D183" s="29">
        <v>420</v>
      </c>
      <c r="E183" s="29">
        <v>24000</v>
      </c>
      <c r="F183" s="29">
        <v>8500</v>
      </c>
      <c r="G183" s="29">
        <v>8500</v>
      </c>
      <c r="H183" s="29">
        <v>20000</v>
      </c>
      <c r="I183" s="29">
        <v>5000</v>
      </c>
      <c r="J183" s="29">
        <v>30000000</v>
      </c>
      <c r="K183" s="29">
        <v>651</v>
      </c>
      <c r="L183" s="29">
        <v>1049</v>
      </c>
      <c r="N183" s="34"/>
      <c r="O183" s="29">
        <f t="shared" si="32"/>
        <v>850</v>
      </c>
      <c r="P183" s="32" cm="1">
        <f t="array" ref="P183">WPNFACTOR(C183)</f>
        <v>2</v>
      </c>
      <c r="Q183" s="34" cm="1">
        <f t="array" ref="Q183">HPFACTOr(C183)</f>
        <v>5</v>
      </c>
      <c r="R183" s="33">
        <f t="shared" si="33"/>
        <v>425</v>
      </c>
      <c r="S183" s="34">
        <f t="shared" si="34"/>
        <v>6000000</v>
      </c>
      <c r="T183" s="33">
        <f t="shared" si="35"/>
        <v>425</v>
      </c>
      <c r="U183" s="42">
        <f t="shared" si="36"/>
        <v>6000000</v>
      </c>
      <c r="V183" s="44"/>
      <c r="W183" s="29">
        <f t="shared" si="38"/>
        <v>2550000000</v>
      </c>
      <c r="X183" s="41">
        <f t="shared" si="37"/>
        <v>31.247850101070394</v>
      </c>
      <c r="Y183" s="33">
        <f t="shared" si="39"/>
        <v>224.71654298651535</v>
      </c>
      <c r="Z183" s="33">
        <v>1.33</v>
      </c>
      <c r="AA183" s="29">
        <f t="shared" si="40"/>
        <v>298.87300217206541</v>
      </c>
      <c r="AB183" s="33">
        <f t="shared" si="41"/>
        <v>1366.1972080472335</v>
      </c>
      <c r="AC183" s="29">
        <v>280</v>
      </c>
      <c r="AD183" s="46">
        <f t="shared" si="42"/>
        <v>0.20494844986560648</v>
      </c>
    </row>
    <row r="184" spans="1:30" x14ac:dyDescent="0.2">
      <c r="A184" s="30" t="s">
        <v>8858</v>
      </c>
      <c r="B184" s="29">
        <v>3</v>
      </c>
      <c r="C184" s="29">
        <v>1</v>
      </c>
      <c r="D184" s="29">
        <v>430</v>
      </c>
      <c r="E184" s="29">
        <v>29000</v>
      </c>
      <c r="F184" s="29">
        <v>10000</v>
      </c>
      <c r="G184" s="29">
        <v>10000</v>
      </c>
      <c r="H184" s="29">
        <v>22000</v>
      </c>
      <c r="I184" s="29">
        <v>6000</v>
      </c>
      <c r="J184" s="29">
        <v>25000000</v>
      </c>
      <c r="K184" s="29">
        <v>650</v>
      </c>
      <c r="L184" s="29">
        <v>1096</v>
      </c>
      <c r="N184" s="34"/>
      <c r="O184" s="29">
        <f t="shared" si="32"/>
        <v>873</v>
      </c>
      <c r="P184" s="32" cm="1">
        <f t="array" ref="P184">WPNFACTOR(C184)</f>
        <v>2</v>
      </c>
      <c r="Q184" s="34" cm="1">
        <f t="array" ref="Q184">HPFACTOr(C184)</f>
        <v>5</v>
      </c>
      <c r="R184" s="33">
        <f t="shared" si="33"/>
        <v>436.5</v>
      </c>
      <c r="S184" s="34">
        <f t="shared" si="34"/>
        <v>5000000</v>
      </c>
      <c r="T184" s="33">
        <f t="shared" si="35"/>
        <v>436.5</v>
      </c>
      <c r="U184" s="42">
        <f t="shared" si="36"/>
        <v>5000000</v>
      </c>
      <c r="V184" s="44"/>
      <c r="W184" s="29">
        <f t="shared" si="38"/>
        <v>2182500000</v>
      </c>
      <c r="X184" s="41">
        <f t="shared" si="37"/>
        <v>31.023334507840975</v>
      </c>
      <c r="Y184" s="33">
        <f t="shared" si="39"/>
        <v>216.14170006547161</v>
      </c>
      <c r="Z184" s="33">
        <v>1.33</v>
      </c>
      <c r="AA184" s="29">
        <f t="shared" si="40"/>
        <v>287.46846108707723</v>
      </c>
      <c r="AB184" s="33">
        <f t="shared" si="41"/>
        <v>1297.1337244495887</v>
      </c>
      <c r="AC184" s="29">
        <v>281</v>
      </c>
      <c r="AD184" s="46">
        <f t="shared" si="42"/>
        <v>0.2166314811676309</v>
      </c>
    </row>
    <row r="185" spans="1:30" x14ac:dyDescent="0.2">
      <c r="A185" s="30" t="s">
        <v>8858</v>
      </c>
      <c r="B185" s="29">
        <v>4</v>
      </c>
      <c r="C185" s="29">
        <v>3</v>
      </c>
      <c r="D185" s="29">
        <v>440</v>
      </c>
      <c r="E185" s="29">
        <v>12000</v>
      </c>
      <c r="F185" s="29">
        <v>35000</v>
      </c>
      <c r="G185" s="29">
        <v>12000</v>
      </c>
      <c r="H185" s="29">
        <v>24000</v>
      </c>
      <c r="I185" s="29">
        <v>7500</v>
      </c>
      <c r="J185" s="29">
        <v>35000000</v>
      </c>
      <c r="K185" s="29">
        <v>850</v>
      </c>
      <c r="L185" s="29">
        <v>1396</v>
      </c>
      <c r="N185" s="34"/>
      <c r="O185" s="29">
        <f t="shared" si="32"/>
        <v>1123</v>
      </c>
      <c r="P185" s="32" cm="1">
        <f t="array" ref="P185">WPNFACTOR(C185)</f>
        <v>2.5</v>
      </c>
      <c r="Q185" s="34" cm="1">
        <f t="array" ref="Q185">HPFACTOr(C185)</f>
        <v>4</v>
      </c>
      <c r="R185" s="33">
        <f t="shared" si="33"/>
        <v>449.2</v>
      </c>
      <c r="S185" s="34">
        <f t="shared" si="34"/>
        <v>8750000</v>
      </c>
      <c r="T185" s="33">
        <f t="shared" si="35"/>
        <v>449.2</v>
      </c>
      <c r="U185" s="42">
        <f t="shared" si="36"/>
        <v>8750000</v>
      </c>
      <c r="V185" s="44"/>
      <c r="W185" s="29">
        <f t="shared" si="38"/>
        <v>3930500000</v>
      </c>
      <c r="X185" s="41">
        <f t="shared" si="37"/>
        <v>31.872065703782379</v>
      </c>
      <c r="Y185" s="33">
        <f t="shared" si="39"/>
        <v>250.38709999312402</v>
      </c>
      <c r="Z185" s="33">
        <v>1.33</v>
      </c>
      <c r="AA185" s="29">
        <f t="shared" si="40"/>
        <v>333.01484299085496</v>
      </c>
      <c r="AB185" s="33">
        <f t="shared" si="41"/>
        <v>1578.1535873656844</v>
      </c>
      <c r="AD185" s="46">
        <f t="shared" si="42"/>
        <v>0</v>
      </c>
    </row>
    <row r="186" spans="1:30" x14ac:dyDescent="0.2">
      <c r="A186" s="30" t="s">
        <v>8858</v>
      </c>
      <c r="B186" s="29">
        <v>5</v>
      </c>
      <c r="C186" s="29">
        <v>1</v>
      </c>
      <c r="D186" s="29">
        <v>450</v>
      </c>
      <c r="E186" s="29">
        <v>42000</v>
      </c>
      <c r="F186" s="29">
        <v>15000</v>
      </c>
      <c r="G186" s="29">
        <v>15000</v>
      </c>
      <c r="H186" s="29">
        <v>26000</v>
      </c>
      <c r="I186" s="29">
        <v>9000</v>
      </c>
      <c r="J186" s="29">
        <v>10000000</v>
      </c>
      <c r="K186" s="29">
        <v>703</v>
      </c>
      <c r="L186" s="29">
        <v>1136</v>
      </c>
      <c r="N186" s="34"/>
      <c r="O186" s="29">
        <f t="shared" si="32"/>
        <v>919.5</v>
      </c>
      <c r="P186" s="32" cm="1">
        <f t="array" ref="P186">WPNFACTOR(C186)</f>
        <v>2</v>
      </c>
      <c r="Q186" s="34" cm="1">
        <f t="array" ref="Q186">HPFACTOr(C186)</f>
        <v>5</v>
      </c>
      <c r="R186" s="33">
        <f t="shared" si="33"/>
        <v>459.75</v>
      </c>
      <c r="S186" s="34">
        <f t="shared" si="34"/>
        <v>2000000</v>
      </c>
      <c r="T186" s="33">
        <f t="shared" si="35"/>
        <v>459.75</v>
      </c>
      <c r="U186" s="42">
        <f t="shared" si="36"/>
        <v>2000000</v>
      </c>
      <c r="V186" s="44"/>
      <c r="W186" s="29">
        <f t="shared" si="38"/>
        <v>919500000</v>
      </c>
      <c r="X186" s="41">
        <f t="shared" si="37"/>
        <v>29.776274333736115</v>
      </c>
      <c r="Y186" s="33">
        <f t="shared" si="39"/>
        <v>174.13574704842381</v>
      </c>
      <c r="Z186" s="33">
        <v>1.33</v>
      </c>
      <c r="AA186" s="29">
        <f t="shared" si="40"/>
        <v>231.60054357440367</v>
      </c>
      <c r="AB186" s="33">
        <f t="shared" si="41"/>
        <v>972.41260066214193</v>
      </c>
      <c r="AD186" s="46">
        <f t="shared" si="42"/>
        <v>0</v>
      </c>
    </row>
    <row r="187" spans="1:30" x14ac:dyDescent="0.2">
      <c r="A187" s="30" t="s">
        <v>8858</v>
      </c>
      <c r="B187" s="29">
        <v>6</v>
      </c>
      <c r="C187" s="29">
        <v>2</v>
      </c>
      <c r="D187" s="29">
        <v>460</v>
      </c>
      <c r="E187" s="29">
        <v>18000</v>
      </c>
      <c r="F187" s="29">
        <v>18000</v>
      </c>
      <c r="G187" s="29">
        <v>50000</v>
      </c>
      <c r="H187" s="29">
        <v>29000</v>
      </c>
      <c r="I187" s="29">
        <v>11000</v>
      </c>
      <c r="J187" s="29">
        <v>25000000</v>
      </c>
      <c r="K187" s="29">
        <v>1551</v>
      </c>
      <c r="L187" s="29">
        <v>2599</v>
      </c>
      <c r="N187" s="34"/>
      <c r="O187" s="29">
        <f t="shared" si="32"/>
        <v>2075</v>
      </c>
      <c r="P187" s="32" cm="1">
        <f t="array" ref="P187">WPNFACTOR(C187)</f>
        <v>4.5</v>
      </c>
      <c r="Q187" s="34" cm="1">
        <f t="array" ref="Q187">HPFACTOr(C187)</f>
        <v>2</v>
      </c>
      <c r="R187" s="33">
        <f t="shared" si="33"/>
        <v>461.11111111111109</v>
      </c>
      <c r="S187" s="34">
        <f t="shared" si="34"/>
        <v>12500000</v>
      </c>
      <c r="T187" s="33">
        <f t="shared" si="35"/>
        <v>461.11111111111109</v>
      </c>
      <c r="U187" s="42">
        <f t="shared" si="36"/>
        <v>12500000</v>
      </c>
      <c r="V187" s="44"/>
      <c r="W187" s="29">
        <f t="shared" si="38"/>
        <v>5763888888.8888884</v>
      </c>
      <c r="X187" s="41">
        <f t="shared" si="37"/>
        <v>32.424395378778236</v>
      </c>
      <c r="Y187" s="33">
        <f t="shared" si="39"/>
        <v>275.5363493737305</v>
      </c>
      <c r="Z187" s="33">
        <v>1.33</v>
      </c>
      <c r="AA187" s="29">
        <f t="shared" si="40"/>
        <v>366.46334466706156</v>
      </c>
      <c r="AB187" s="33">
        <f t="shared" si="41"/>
        <v>1792.9652265041234</v>
      </c>
      <c r="AD187" s="46">
        <f t="shared" si="42"/>
        <v>0</v>
      </c>
    </row>
    <row r="188" spans="1:30" x14ac:dyDescent="0.2">
      <c r="A188" s="30" t="s">
        <v>8858</v>
      </c>
      <c r="B188" s="29">
        <v>7</v>
      </c>
      <c r="C188" s="29">
        <v>3</v>
      </c>
      <c r="D188" s="29">
        <v>470</v>
      </c>
      <c r="E188" s="29">
        <v>21000</v>
      </c>
      <c r="F188" s="29">
        <v>60000</v>
      </c>
      <c r="G188" s="29">
        <v>21000</v>
      </c>
      <c r="H188" s="29">
        <v>32000</v>
      </c>
      <c r="I188" s="29">
        <v>13000</v>
      </c>
      <c r="J188" s="29">
        <v>35000000</v>
      </c>
      <c r="K188" s="29">
        <v>902</v>
      </c>
      <c r="L188" s="29">
        <v>1449</v>
      </c>
      <c r="N188" s="34"/>
      <c r="O188" s="29">
        <f t="shared" si="32"/>
        <v>1175.5</v>
      </c>
      <c r="P188" s="32" cm="1">
        <f t="array" ref="P188">WPNFACTOR(C188)</f>
        <v>2.5</v>
      </c>
      <c r="Q188" s="34" cm="1">
        <f t="array" ref="Q188">HPFACTOr(C188)</f>
        <v>4</v>
      </c>
      <c r="R188" s="33">
        <f t="shared" si="33"/>
        <v>470.2</v>
      </c>
      <c r="S188" s="34">
        <f t="shared" si="34"/>
        <v>8750000</v>
      </c>
      <c r="T188" s="33">
        <f t="shared" si="35"/>
        <v>470.2</v>
      </c>
      <c r="U188" s="42">
        <f t="shared" si="36"/>
        <v>8750000</v>
      </c>
      <c r="V188" s="44"/>
      <c r="W188" s="29">
        <f t="shared" si="38"/>
        <v>4114250000</v>
      </c>
      <c r="X188" s="41">
        <f t="shared" si="37"/>
        <v>31.937982315034802</v>
      </c>
      <c r="Y188" s="33">
        <f t="shared" si="39"/>
        <v>253.26353796243686</v>
      </c>
      <c r="Z188" s="33">
        <v>1.33</v>
      </c>
      <c r="AA188" s="29">
        <f t="shared" si="40"/>
        <v>336.84050549004104</v>
      </c>
      <c r="AB188" s="33">
        <f t="shared" si="41"/>
        <v>1602.3727815362454</v>
      </c>
      <c r="AD188" s="46">
        <f t="shared" si="42"/>
        <v>0</v>
      </c>
    </row>
    <row r="189" spans="1:30" x14ac:dyDescent="0.2">
      <c r="A189" s="30" t="s">
        <v>8858</v>
      </c>
      <c r="B189" s="29">
        <v>8</v>
      </c>
      <c r="C189" s="29">
        <v>2</v>
      </c>
      <c r="D189" s="29">
        <v>480</v>
      </c>
      <c r="E189" s="29">
        <v>25000</v>
      </c>
      <c r="F189" s="29">
        <v>25000</v>
      </c>
      <c r="G189" s="29">
        <v>72000</v>
      </c>
      <c r="H189" s="29">
        <v>35000</v>
      </c>
      <c r="I189" s="29">
        <v>15000</v>
      </c>
      <c r="J189" s="29">
        <v>50000000</v>
      </c>
      <c r="K189" s="29">
        <v>1605</v>
      </c>
      <c r="L189" s="29">
        <v>2698</v>
      </c>
      <c r="N189" s="34"/>
      <c r="O189" s="29">
        <f t="shared" si="32"/>
        <v>2151.5</v>
      </c>
      <c r="P189" s="32" cm="1">
        <f t="array" ref="P189">WPNFACTOR(C189)</f>
        <v>4.5</v>
      </c>
      <c r="Q189" s="34" cm="1">
        <f t="array" ref="Q189">HPFACTOr(C189)</f>
        <v>2</v>
      </c>
      <c r="R189" s="33">
        <f t="shared" si="33"/>
        <v>478.11111111111109</v>
      </c>
      <c r="S189" s="34">
        <f t="shared" si="34"/>
        <v>25000000</v>
      </c>
      <c r="T189" s="33">
        <f t="shared" si="35"/>
        <v>478.11111111111109</v>
      </c>
      <c r="U189" s="42">
        <f t="shared" si="36"/>
        <v>25000000</v>
      </c>
      <c r="V189" s="44"/>
      <c r="W189" s="29">
        <f t="shared" si="38"/>
        <v>11952777777.777777</v>
      </c>
      <c r="X189" s="41">
        <f t="shared" si="37"/>
        <v>33.476626882604897</v>
      </c>
      <c r="Y189" s="33">
        <f t="shared" si="39"/>
        <v>330.64899828512222</v>
      </c>
      <c r="Z189" s="33">
        <v>1.33</v>
      </c>
      <c r="AA189" s="29">
        <f t="shared" si="40"/>
        <v>439.76316771921256</v>
      </c>
      <c r="AB189" s="33">
        <f t="shared" si="41"/>
        <v>2286.4214288570565</v>
      </c>
      <c r="AD189" s="46">
        <f t="shared" si="42"/>
        <v>0</v>
      </c>
    </row>
    <row r="190" spans="1:30" x14ac:dyDescent="0.2">
      <c r="A190" s="30" t="s">
        <v>8858</v>
      </c>
      <c r="B190" s="29">
        <v>9</v>
      </c>
      <c r="C190" s="29">
        <v>1</v>
      </c>
      <c r="D190" s="29">
        <v>490</v>
      </c>
      <c r="E190" s="29">
        <v>86000</v>
      </c>
      <c r="F190" s="29">
        <v>30000</v>
      </c>
      <c r="G190" s="29">
        <v>30000</v>
      </c>
      <c r="H190" s="29">
        <v>39000</v>
      </c>
      <c r="I190" s="29">
        <v>19000</v>
      </c>
      <c r="J190" s="29">
        <v>30000000</v>
      </c>
      <c r="K190" s="29">
        <v>750</v>
      </c>
      <c r="L190" s="29">
        <v>1244</v>
      </c>
      <c r="N190" s="34"/>
      <c r="O190" s="29">
        <f t="shared" si="32"/>
        <v>997</v>
      </c>
      <c r="P190" s="32" cm="1">
        <f t="array" ref="P190">WPNFACTOR(C190)</f>
        <v>2</v>
      </c>
      <c r="Q190" s="34" cm="1">
        <f t="array" ref="Q190">HPFACTOr(C190)</f>
        <v>5</v>
      </c>
      <c r="R190" s="33">
        <f t="shared" si="33"/>
        <v>498.5</v>
      </c>
      <c r="S190" s="34">
        <f t="shared" si="34"/>
        <v>6000000</v>
      </c>
      <c r="T190" s="33">
        <f t="shared" si="35"/>
        <v>498.5</v>
      </c>
      <c r="U190" s="42">
        <f t="shared" si="36"/>
        <v>6000000</v>
      </c>
      <c r="V190" s="44"/>
      <c r="W190" s="29">
        <f t="shared" si="38"/>
        <v>2991000000</v>
      </c>
      <c r="X190" s="41">
        <f t="shared" si="37"/>
        <v>31.477980764443526</v>
      </c>
      <c r="Y190" s="33">
        <f t="shared" si="39"/>
        <v>233.85900807003617</v>
      </c>
      <c r="Z190" s="33">
        <v>1.33</v>
      </c>
      <c r="AA190" s="29">
        <f t="shared" si="40"/>
        <v>311.03248073314813</v>
      </c>
      <c r="AB190" s="33">
        <f t="shared" si="41"/>
        <v>1440.8058760789627</v>
      </c>
      <c r="AD190" s="46">
        <f t="shared" si="42"/>
        <v>0</v>
      </c>
    </row>
    <row r="191" spans="1:30" x14ac:dyDescent="0.2">
      <c r="A191" s="30" t="s">
        <v>8858</v>
      </c>
      <c r="B191" s="29">
        <v>10</v>
      </c>
      <c r="C191" s="29">
        <v>2</v>
      </c>
      <c r="D191" s="29">
        <v>500</v>
      </c>
      <c r="E191" s="29">
        <v>35000</v>
      </c>
      <c r="F191" s="29">
        <v>35000</v>
      </c>
      <c r="G191" s="29">
        <v>90000</v>
      </c>
      <c r="H191" s="29">
        <v>43000</v>
      </c>
      <c r="I191" s="29">
        <v>21000</v>
      </c>
      <c r="J191" s="29">
        <v>50000000</v>
      </c>
      <c r="K191" s="29">
        <v>1701</v>
      </c>
      <c r="L191" s="29">
        <v>2798</v>
      </c>
      <c r="N191" s="34"/>
      <c r="O191" s="29">
        <f t="shared" si="32"/>
        <v>2249.5</v>
      </c>
      <c r="P191" s="32" cm="1">
        <f t="array" ref="P191">WPNFACTOR(C191)</f>
        <v>4.5</v>
      </c>
      <c r="Q191" s="34" cm="1">
        <f t="array" ref="Q191">HPFACTOr(C191)</f>
        <v>2</v>
      </c>
      <c r="R191" s="33">
        <f t="shared" si="33"/>
        <v>499.88888888888891</v>
      </c>
      <c r="S191" s="34">
        <f t="shared" si="34"/>
        <v>25000000</v>
      </c>
      <c r="T191" s="33">
        <f t="shared" si="35"/>
        <v>499.88888888888891</v>
      </c>
      <c r="U191" s="42">
        <f t="shared" si="36"/>
        <v>25000000</v>
      </c>
      <c r="V191" s="44"/>
      <c r="W191" s="29">
        <f t="shared" si="38"/>
        <v>12497222222.222223</v>
      </c>
      <c r="X191" s="41">
        <f t="shared" si="37"/>
        <v>33.540888409235635</v>
      </c>
      <c r="Y191" s="33">
        <f t="shared" si="39"/>
        <v>334.35157482041757</v>
      </c>
      <c r="Z191" s="33">
        <v>1.33</v>
      </c>
      <c r="AA191" s="29">
        <f t="shared" si="40"/>
        <v>444.6875945111554</v>
      </c>
      <c r="AB191" s="33">
        <f t="shared" si="41"/>
        <v>2320.6224933731487</v>
      </c>
      <c r="AD191" s="46">
        <f t="shared" si="42"/>
        <v>0</v>
      </c>
    </row>
    <row r="192" spans="1:30" x14ac:dyDescent="0.2">
      <c r="A192" s="30" t="s">
        <v>8859</v>
      </c>
      <c r="B192" s="29">
        <v>1</v>
      </c>
      <c r="C192" s="29">
        <v>3</v>
      </c>
      <c r="D192" s="29">
        <v>210</v>
      </c>
      <c r="E192" s="29">
        <v>3100</v>
      </c>
      <c r="F192" s="29">
        <v>6200</v>
      </c>
      <c r="G192" s="29">
        <v>3100</v>
      </c>
      <c r="H192" s="29">
        <v>10500</v>
      </c>
      <c r="I192" s="29">
        <v>3100</v>
      </c>
      <c r="J192" s="29">
        <v>16000000</v>
      </c>
      <c r="K192" s="29">
        <v>559</v>
      </c>
      <c r="L192" s="29">
        <v>787</v>
      </c>
      <c r="M192" s="29">
        <v>25</v>
      </c>
      <c r="N192" s="34">
        <v>25</v>
      </c>
      <c r="O192" s="29">
        <f t="shared" si="32"/>
        <v>673</v>
      </c>
      <c r="P192" s="32" cm="1">
        <f t="array" ref="P192">WPNFACTOR(C192)</f>
        <v>2.5</v>
      </c>
      <c r="Q192" s="34" cm="1">
        <f t="array" ref="Q192">HPFACTOr(C192)</f>
        <v>4</v>
      </c>
      <c r="R192" s="33">
        <f t="shared" si="33"/>
        <v>269.2</v>
      </c>
      <c r="S192" s="34">
        <f t="shared" si="34"/>
        <v>4000000</v>
      </c>
      <c r="T192" s="33">
        <f t="shared" si="35"/>
        <v>286.02499999999998</v>
      </c>
      <c r="U192" s="42">
        <f t="shared" si="36"/>
        <v>4413793.1034482764</v>
      </c>
      <c r="V192" s="44"/>
      <c r="W192" s="29">
        <f t="shared" si="38"/>
        <v>1262455172.4137931</v>
      </c>
      <c r="X192" s="41">
        <f t="shared" si="37"/>
        <v>30.233585015169897</v>
      </c>
      <c r="Y192" s="33">
        <f t="shared" si="39"/>
        <v>188.49680419489414</v>
      </c>
      <c r="Z192" s="33">
        <v>1.33</v>
      </c>
      <c r="AA192" s="29">
        <f t="shared" si="40"/>
        <v>250.70074957920923</v>
      </c>
      <c r="AB192" s="33">
        <f t="shared" si="41"/>
        <v>1080.7833743783449</v>
      </c>
      <c r="AC192" s="29">
        <v>225</v>
      </c>
      <c r="AD192" s="46">
        <f t="shared" si="42"/>
        <v>0.2081823289791237</v>
      </c>
    </row>
    <row r="193" spans="1:30" x14ac:dyDescent="0.2">
      <c r="A193" s="30" t="s">
        <v>8859</v>
      </c>
      <c r="B193" s="29">
        <v>2</v>
      </c>
      <c r="C193" s="29">
        <v>1</v>
      </c>
      <c r="D193" s="29">
        <v>213</v>
      </c>
      <c r="E193" s="29">
        <v>6560</v>
      </c>
      <c r="F193" s="29">
        <v>3280</v>
      </c>
      <c r="G193" s="29">
        <v>3280</v>
      </c>
      <c r="H193" s="29">
        <v>12000</v>
      </c>
      <c r="I193" s="29">
        <v>3280</v>
      </c>
      <c r="J193" s="29">
        <v>20500000</v>
      </c>
      <c r="K193" s="29">
        <v>561</v>
      </c>
      <c r="L193" s="29">
        <v>772</v>
      </c>
      <c r="M193" s="29">
        <v>25</v>
      </c>
      <c r="N193" s="34">
        <v>25</v>
      </c>
      <c r="O193" s="29">
        <f t="shared" si="32"/>
        <v>666.5</v>
      </c>
      <c r="P193" s="32" cm="1">
        <f t="array" ref="P193">WPNFACTOR(C193)</f>
        <v>2</v>
      </c>
      <c r="Q193" s="34" cm="1">
        <f t="array" ref="Q193">HPFACTOr(C193)</f>
        <v>5</v>
      </c>
      <c r="R193" s="33">
        <f t="shared" si="33"/>
        <v>333.25</v>
      </c>
      <c r="S193" s="34">
        <f t="shared" si="34"/>
        <v>4100000</v>
      </c>
      <c r="T193" s="33">
        <f t="shared" si="35"/>
        <v>354.078125</v>
      </c>
      <c r="U193" s="42">
        <f t="shared" si="36"/>
        <v>4524137.931034483</v>
      </c>
      <c r="V193" s="44"/>
      <c r="W193" s="29">
        <f t="shared" si="38"/>
        <v>1601898275.8620691</v>
      </c>
      <c r="X193" s="41">
        <f t="shared" si="37"/>
        <v>30.577135390266633</v>
      </c>
      <c r="Y193" s="33">
        <f t="shared" si="39"/>
        <v>200.05929474647519</v>
      </c>
      <c r="Z193" s="33">
        <v>1.33</v>
      </c>
      <c r="AA193" s="29">
        <f t="shared" si="40"/>
        <v>266.07886201281201</v>
      </c>
      <c r="AB193" s="33">
        <f t="shared" si="41"/>
        <v>1170.0694618370387</v>
      </c>
      <c r="AC193" s="29">
        <v>229</v>
      </c>
      <c r="AD193" s="46">
        <f t="shared" si="42"/>
        <v>0.19571487631209877</v>
      </c>
    </row>
    <row r="194" spans="1:30" x14ac:dyDescent="0.2">
      <c r="A194" s="30" t="s">
        <v>8859</v>
      </c>
      <c r="B194" s="29">
        <v>3</v>
      </c>
      <c r="C194" s="29">
        <v>2</v>
      </c>
      <c r="D194" s="29">
        <v>216</v>
      </c>
      <c r="E194" s="29">
        <v>3460</v>
      </c>
      <c r="F194" s="29">
        <v>3460</v>
      </c>
      <c r="G194" s="29">
        <v>6920</v>
      </c>
      <c r="H194" s="29">
        <v>13500</v>
      </c>
      <c r="I194" s="29">
        <v>3460</v>
      </c>
      <c r="J194" s="29">
        <v>25000000</v>
      </c>
      <c r="K194" s="29">
        <v>567</v>
      </c>
      <c r="L194" s="29">
        <v>787</v>
      </c>
      <c r="M194" s="29">
        <v>25</v>
      </c>
      <c r="N194" s="34">
        <v>25</v>
      </c>
      <c r="O194" s="29">
        <f t="shared" si="32"/>
        <v>677</v>
      </c>
      <c r="P194" s="32" cm="1">
        <f t="array" ref="P194">WPNFACTOR(C194)</f>
        <v>4.5</v>
      </c>
      <c r="Q194" s="34" cm="1">
        <f t="array" ref="Q194">HPFACTOr(C194)</f>
        <v>2</v>
      </c>
      <c r="R194" s="33">
        <f t="shared" si="33"/>
        <v>150.44444444444446</v>
      </c>
      <c r="S194" s="34">
        <f t="shared" si="34"/>
        <v>12500000</v>
      </c>
      <c r="T194" s="33">
        <f t="shared" si="35"/>
        <v>159.84722222222223</v>
      </c>
      <c r="U194" s="42">
        <f t="shared" si="36"/>
        <v>13793103.448275862</v>
      </c>
      <c r="V194" s="44"/>
      <c r="W194" s="29">
        <f t="shared" si="38"/>
        <v>2204789272.0306516</v>
      </c>
      <c r="X194" s="41">
        <f t="shared" si="37"/>
        <v>31.03799362735435</v>
      </c>
      <c r="Y194" s="33">
        <f t="shared" si="39"/>
        <v>216.6914480419799</v>
      </c>
      <c r="Z194" s="33">
        <v>1.33</v>
      </c>
      <c r="AA194" s="29">
        <f t="shared" si="40"/>
        <v>288.19962589583326</v>
      </c>
      <c r="AB194" s="33">
        <f t="shared" si="41"/>
        <v>1301.5345334762285</v>
      </c>
      <c r="AC194" s="29">
        <v>230</v>
      </c>
      <c r="AD194" s="46">
        <f t="shared" si="42"/>
        <v>0.17671448131744924</v>
      </c>
    </row>
    <row r="195" spans="1:30" x14ac:dyDescent="0.2">
      <c r="A195" s="30" t="s">
        <v>8859</v>
      </c>
      <c r="B195" s="29">
        <v>4</v>
      </c>
      <c r="C195" s="29">
        <v>3</v>
      </c>
      <c r="D195" s="29">
        <v>219</v>
      </c>
      <c r="E195" s="29">
        <v>3640</v>
      </c>
      <c r="F195" s="29">
        <v>7280</v>
      </c>
      <c r="G195" s="29">
        <v>3640</v>
      </c>
      <c r="H195" s="29">
        <v>15000</v>
      </c>
      <c r="I195" s="29">
        <v>3640</v>
      </c>
      <c r="J195" s="29">
        <v>29500000</v>
      </c>
      <c r="K195" s="29">
        <v>582</v>
      </c>
      <c r="L195" s="29">
        <v>819</v>
      </c>
      <c r="M195" s="29">
        <v>25</v>
      </c>
      <c r="N195" s="34">
        <v>25</v>
      </c>
      <c r="O195" s="29">
        <f t="shared" ref="O195:O258" si="43">AVERAGE(K195, L195)</f>
        <v>700.5</v>
      </c>
      <c r="P195" s="32" cm="1">
        <f t="array" ref="P195">WPNFACTOR(C195)</f>
        <v>2.5</v>
      </c>
      <c r="Q195" s="34" cm="1">
        <f t="array" ref="Q195">HPFACTOr(C195)</f>
        <v>4</v>
      </c>
      <c r="R195" s="33">
        <f t="shared" ref="R195:R258" si="44">O195/P195</f>
        <v>280.2</v>
      </c>
      <c r="S195" s="34">
        <f t="shared" ref="S195:S258" si="45">J195/Q195</f>
        <v>7375000</v>
      </c>
      <c r="T195" s="33">
        <f t="shared" ref="T195:T258" si="46">R195*(1 + (N195/400))</f>
        <v>297.71249999999998</v>
      </c>
      <c r="U195" s="42">
        <f t="shared" ref="U195:U258" si="47">S195*1.6/(1 + (0.6*(1 - (M195/100))))</f>
        <v>8137931.0344827585</v>
      </c>
      <c r="V195" s="44"/>
      <c r="W195" s="29">
        <f t="shared" si="38"/>
        <v>2422763793.1034479</v>
      </c>
      <c r="X195" s="41">
        <f t="shared" ref="X195:X258" si="48">LOG(W195, 2)</f>
        <v>31.17400661035224</v>
      </c>
      <c r="Y195" s="33">
        <f t="shared" si="39"/>
        <v>221.85936656180124</v>
      </c>
      <c r="Z195" s="33">
        <v>1.33</v>
      </c>
      <c r="AA195" s="29">
        <f t="shared" si="40"/>
        <v>295.07295752719568</v>
      </c>
      <c r="AB195" s="33">
        <f t="shared" si="41"/>
        <v>1343.0855962151352</v>
      </c>
      <c r="AC195" s="29">
        <v>243</v>
      </c>
      <c r="AD195" s="46">
        <f t="shared" si="42"/>
        <v>0.18092666668809715</v>
      </c>
    </row>
    <row r="196" spans="1:30" x14ac:dyDescent="0.2">
      <c r="A196" s="30" t="s">
        <v>8859</v>
      </c>
      <c r="B196" s="29">
        <v>5</v>
      </c>
      <c r="C196" s="29">
        <v>3</v>
      </c>
      <c r="D196" s="29">
        <v>222</v>
      </c>
      <c r="E196" s="29">
        <v>3820</v>
      </c>
      <c r="F196" s="29">
        <v>7640</v>
      </c>
      <c r="G196" s="29">
        <v>3820</v>
      </c>
      <c r="H196" s="29">
        <v>16500</v>
      </c>
      <c r="I196" s="29">
        <v>3820</v>
      </c>
      <c r="J196" s="29">
        <v>34000000</v>
      </c>
      <c r="K196" s="29">
        <v>598</v>
      </c>
      <c r="L196" s="29">
        <v>837</v>
      </c>
      <c r="M196" s="29">
        <v>25</v>
      </c>
      <c r="N196" s="34">
        <v>25</v>
      </c>
      <c r="O196" s="29">
        <f t="shared" si="43"/>
        <v>717.5</v>
      </c>
      <c r="P196" s="32" cm="1">
        <f t="array" ref="P196">WPNFACTOR(C196)</f>
        <v>2.5</v>
      </c>
      <c r="Q196" s="34" cm="1">
        <f t="array" ref="Q196">HPFACTOr(C196)</f>
        <v>4</v>
      </c>
      <c r="R196" s="33">
        <f t="shared" si="44"/>
        <v>287</v>
      </c>
      <c r="S196" s="34">
        <f t="shared" si="45"/>
        <v>8500000</v>
      </c>
      <c r="T196" s="33">
        <f t="shared" si="46"/>
        <v>304.9375</v>
      </c>
      <c r="U196" s="42">
        <f t="shared" si="47"/>
        <v>9379310.3448275868</v>
      </c>
      <c r="V196" s="44"/>
      <c r="W196" s="29">
        <f t="shared" ref="W196:W259" si="49">T196*U196</f>
        <v>2860103448.2758622</v>
      </c>
      <c r="X196" s="41">
        <f t="shared" si="48"/>
        <v>31.41342018337297</v>
      </c>
      <c r="Y196" s="33">
        <f t="shared" ref="Y196:Y259" si="50">POWER(W196, 1/4)</f>
        <v>231.25729179050623</v>
      </c>
      <c r="Z196" s="33">
        <v>1.33</v>
      </c>
      <c r="AA196" s="29">
        <f t="shared" ref="AA196:AA259" si="51">Y196*Z196</f>
        <v>307.5721980813733</v>
      </c>
      <c r="AB196" s="33">
        <f t="shared" ref="AB196:AB259" si="52">POWER(W196, 1/$AB$1)</f>
        <v>1419.4733629116761</v>
      </c>
      <c r="AC196" s="29">
        <v>246</v>
      </c>
      <c r="AD196" s="46">
        <f t="shared" ref="AD196:AD259" si="53">IF(AC196 = "", ,AC196/AB196)</f>
        <v>0.17330370997268715</v>
      </c>
    </row>
    <row r="197" spans="1:30" x14ac:dyDescent="0.2">
      <c r="A197" s="30" t="s">
        <v>8859</v>
      </c>
      <c r="B197" s="29">
        <v>6</v>
      </c>
      <c r="C197" s="29">
        <v>3</v>
      </c>
      <c r="D197" s="29">
        <v>225</v>
      </c>
      <c r="E197" s="29">
        <v>4000</v>
      </c>
      <c r="F197" s="29">
        <v>8000</v>
      </c>
      <c r="G197" s="29">
        <v>4000</v>
      </c>
      <c r="H197" s="29">
        <v>18000</v>
      </c>
      <c r="I197" s="29">
        <v>4000</v>
      </c>
      <c r="J197" s="29">
        <v>38500000</v>
      </c>
      <c r="K197" s="29">
        <v>601</v>
      </c>
      <c r="L197" s="29">
        <v>850</v>
      </c>
      <c r="M197" s="29">
        <v>25</v>
      </c>
      <c r="N197" s="34">
        <v>25</v>
      </c>
      <c r="O197" s="29">
        <f t="shared" si="43"/>
        <v>725.5</v>
      </c>
      <c r="P197" s="32" cm="1">
        <f t="array" ref="P197">WPNFACTOR(C197)</f>
        <v>2.5</v>
      </c>
      <c r="Q197" s="34" cm="1">
        <f t="array" ref="Q197">HPFACTOr(C197)</f>
        <v>4</v>
      </c>
      <c r="R197" s="33">
        <f t="shared" si="44"/>
        <v>290.2</v>
      </c>
      <c r="S197" s="34">
        <f t="shared" si="45"/>
        <v>9625000</v>
      </c>
      <c r="T197" s="33">
        <f t="shared" si="46"/>
        <v>308.33749999999998</v>
      </c>
      <c r="U197" s="42">
        <f t="shared" si="47"/>
        <v>10620689.655172413</v>
      </c>
      <c r="V197" s="44"/>
      <c r="W197" s="29">
        <f t="shared" si="49"/>
        <v>3274756896.5517235</v>
      </c>
      <c r="X197" s="41">
        <f t="shared" si="48"/>
        <v>31.608740665321225</v>
      </c>
      <c r="Y197" s="33">
        <f t="shared" si="50"/>
        <v>239.21850193325506</v>
      </c>
      <c r="Z197" s="33">
        <v>1.33</v>
      </c>
      <c r="AA197" s="29">
        <f t="shared" si="51"/>
        <v>318.16060757122926</v>
      </c>
      <c r="AB197" s="33">
        <f t="shared" si="52"/>
        <v>1484.9996631562474</v>
      </c>
      <c r="AC197" s="29">
        <v>252</v>
      </c>
      <c r="AD197" s="46">
        <f t="shared" si="53"/>
        <v>0.1696970081894795</v>
      </c>
    </row>
    <row r="198" spans="1:30" x14ac:dyDescent="0.2">
      <c r="A198" s="30" t="s">
        <v>8859</v>
      </c>
      <c r="B198" s="29">
        <v>7</v>
      </c>
      <c r="C198" s="29">
        <v>1</v>
      </c>
      <c r="D198" s="29">
        <v>228</v>
      </c>
      <c r="E198" s="29">
        <v>8360</v>
      </c>
      <c r="F198" s="29">
        <v>4180</v>
      </c>
      <c r="G198" s="29">
        <v>4180</v>
      </c>
      <c r="H198" s="29">
        <v>19500</v>
      </c>
      <c r="I198" s="29">
        <v>4180</v>
      </c>
      <c r="J198" s="29">
        <v>43000000</v>
      </c>
      <c r="K198" s="29">
        <v>614</v>
      </c>
      <c r="L198" s="29">
        <v>862</v>
      </c>
      <c r="M198" s="29">
        <v>25</v>
      </c>
      <c r="N198" s="34">
        <v>25</v>
      </c>
      <c r="O198" s="29">
        <f t="shared" si="43"/>
        <v>738</v>
      </c>
      <c r="P198" s="32" cm="1">
        <f t="array" ref="P198">WPNFACTOR(C198)</f>
        <v>2</v>
      </c>
      <c r="Q198" s="34" cm="1">
        <f t="array" ref="Q198">HPFACTOr(C198)</f>
        <v>5</v>
      </c>
      <c r="R198" s="33">
        <f t="shared" si="44"/>
        <v>369</v>
      </c>
      <c r="S198" s="34">
        <f t="shared" si="45"/>
        <v>8600000</v>
      </c>
      <c r="T198" s="33">
        <f t="shared" si="46"/>
        <v>392.0625</v>
      </c>
      <c r="U198" s="42">
        <f t="shared" si="47"/>
        <v>9489655.1724137943</v>
      </c>
      <c r="V198" s="44"/>
      <c r="W198" s="29">
        <f t="shared" si="49"/>
        <v>3720537931.0344834</v>
      </c>
      <c r="X198" s="41">
        <f t="shared" si="48"/>
        <v>31.792864081322076</v>
      </c>
      <c r="Y198" s="33">
        <f t="shared" si="50"/>
        <v>246.97411287800085</v>
      </c>
      <c r="Z198" s="33">
        <v>1.33</v>
      </c>
      <c r="AA198" s="29">
        <f t="shared" si="51"/>
        <v>328.47557012774115</v>
      </c>
      <c r="AB198" s="33">
        <f t="shared" si="52"/>
        <v>1549.5368621192072</v>
      </c>
      <c r="AC198" s="29">
        <v>255</v>
      </c>
      <c r="AD198" s="46">
        <f t="shared" si="53"/>
        <v>0.16456530091917401</v>
      </c>
    </row>
    <row r="199" spans="1:30" x14ac:dyDescent="0.2">
      <c r="A199" s="30" t="s">
        <v>8859</v>
      </c>
      <c r="B199" s="29">
        <v>8</v>
      </c>
      <c r="C199" s="29">
        <v>1</v>
      </c>
      <c r="D199" s="29">
        <v>231</v>
      </c>
      <c r="E199" s="29">
        <v>8720</v>
      </c>
      <c r="F199" s="29">
        <v>4360</v>
      </c>
      <c r="G199" s="29">
        <v>4360</v>
      </c>
      <c r="H199" s="29">
        <v>21000</v>
      </c>
      <c r="I199" s="29">
        <v>4360</v>
      </c>
      <c r="J199" s="29">
        <v>47500000</v>
      </c>
      <c r="K199" s="29">
        <v>626</v>
      </c>
      <c r="L199" s="29">
        <v>874</v>
      </c>
      <c r="M199" s="29">
        <v>25</v>
      </c>
      <c r="N199" s="34">
        <v>25</v>
      </c>
      <c r="O199" s="29">
        <f t="shared" si="43"/>
        <v>750</v>
      </c>
      <c r="P199" s="32" cm="1">
        <f t="array" ref="P199">WPNFACTOR(C199)</f>
        <v>2</v>
      </c>
      <c r="Q199" s="34" cm="1">
        <f t="array" ref="Q199">HPFACTOr(C199)</f>
        <v>5</v>
      </c>
      <c r="R199" s="33">
        <f t="shared" si="44"/>
        <v>375</v>
      </c>
      <c r="S199" s="34">
        <f t="shared" si="45"/>
        <v>9500000</v>
      </c>
      <c r="T199" s="33">
        <f t="shared" si="46"/>
        <v>398.4375</v>
      </c>
      <c r="U199" s="42">
        <f t="shared" si="47"/>
        <v>10482758.620689655</v>
      </c>
      <c r="V199" s="44"/>
      <c r="W199" s="29">
        <f t="shared" si="49"/>
        <v>4176724137.9310341</v>
      </c>
      <c r="X199" s="41">
        <f t="shared" si="48"/>
        <v>31.959724714273769</v>
      </c>
      <c r="Y199" s="33">
        <f t="shared" si="50"/>
        <v>254.21955141044273</v>
      </c>
      <c r="Z199" s="33">
        <v>1.33</v>
      </c>
      <c r="AA199" s="29">
        <f t="shared" si="51"/>
        <v>338.11200337588883</v>
      </c>
      <c r="AB199" s="33">
        <f t="shared" si="52"/>
        <v>1610.4426515762084</v>
      </c>
      <c r="AC199" s="29">
        <v>259</v>
      </c>
      <c r="AD199" s="46">
        <f t="shared" si="53"/>
        <v>0.16082534807837195</v>
      </c>
    </row>
    <row r="200" spans="1:30" x14ac:dyDescent="0.2">
      <c r="A200" s="30" t="s">
        <v>8859</v>
      </c>
      <c r="B200" s="29">
        <v>9</v>
      </c>
      <c r="C200" s="29">
        <v>3</v>
      </c>
      <c r="D200" s="29">
        <v>234</v>
      </c>
      <c r="E200" s="29">
        <v>4540</v>
      </c>
      <c r="F200" s="29">
        <v>9080</v>
      </c>
      <c r="G200" s="29">
        <v>4540</v>
      </c>
      <c r="H200" s="29">
        <v>22500</v>
      </c>
      <c r="I200" s="29">
        <v>4540</v>
      </c>
      <c r="J200" s="29">
        <v>52000000</v>
      </c>
      <c r="K200" s="29">
        <v>637</v>
      </c>
      <c r="L200" s="29">
        <v>885</v>
      </c>
      <c r="M200" s="29">
        <v>25</v>
      </c>
      <c r="N200" s="34">
        <v>25</v>
      </c>
      <c r="O200" s="29">
        <f t="shared" si="43"/>
        <v>761</v>
      </c>
      <c r="P200" s="32" cm="1">
        <f t="array" ref="P200">WPNFACTOR(C200)</f>
        <v>2.5</v>
      </c>
      <c r="Q200" s="34" cm="1">
        <f t="array" ref="Q200">HPFACTOr(C200)</f>
        <v>4</v>
      </c>
      <c r="R200" s="33">
        <f t="shared" si="44"/>
        <v>304.39999999999998</v>
      </c>
      <c r="S200" s="34">
        <f t="shared" si="45"/>
        <v>13000000</v>
      </c>
      <c r="T200" s="33">
        <f t="shared" si="46"/>
        <v>323.42499999999995</v>
      </c>
      <c r="U200" s="42">
        <f t="shared" si="47"/>
        <v>14344827.586206896</v>
      </c>
      <c r="V200" s="44"/>
      <c r="W200" s="29">
        <f t="shared" si="49"/>
        <v>4639475862.068965</v>
      </c>
      <c r="X200" s="41">
        <f t="shared" si="48"/>
        <v>32.111314682204217</v>
      </c>
      <c r="Y200" s="33">
        <f t="shared" si="50"/>
        <v>260.98601121547568</v>
      </c>
      <c r="Z200" s="33">
        <v>1.33</v>
      </c>
      <c r="AA200" s="29">
        <f t="shared" si="51"/>
        <v>347.1113949165827</v>
      </c>
      <c r="AB200" s="33">
        <f t="shared" si="52"/>
        <v>1667.8473779144354</v>
      </c>
      <c r="AC200" s="29">
        <v>265</v>
      </c>
      <c r="AD200" s="46">
        <f t="shared" si="53"/>
        <v>0.15888743988755735</v>
      </c>
    </row>
    <row r="201" spans="1:30" x14ac:dyDescent="0.2">
      <c r="A201" s="30" t="s">
        <v>8859</v>
      </c>
      <c r="B201" s="29">
        <v>10</v>
      </c>
      <c r="C201" s="29">
        <v>2</v>
      </c>
      <c r="D201" s="29">
        <v>240</v>
      </c>
      <c r="E201" s="29">
        <v>4900</v>
      </c>
      <c r="F201" s="29">
        <v>4900</v>
      </c>
      <c r="G201" s="29">
        <v>9800</v>
      </c>
      <c r="H201" s="29">
        <v>25500</v>
      </c>
      <c r="I201" s="29">
        <v>4900</v>
      </c>
      <c r="J201" s="29">
        <v>61000000</v>
      </c>
      <c r="K201" s="29">
        <v>663</v>
      </c>
      <c r="L201" s="29">
        <v>909</v>
      </c>
      <c r="M201" s="29">
        <v>25</v>
      </c>
      <c r="N201" s="34">
        <v>25</v>
      </c>
      <c r="O201" s="29">
        <f t="shared" si="43"/>
        <v>786</v>
      </c>
      <c r="P201" s="32" cm="1">
        <f t="array" ref="P201">WPNFACTOR(C201)</f>
        <v>4.5</v>
      </c>
      <c r="Q201" s="34" cm="1">
        <f t="array" ref="Q201">HPFACTOr(C201)</f>
        <v>2</v>
      </c>
      <c r="R201" s="33">
        <f t="shared" si="44"/>
        <v>174.66666666666666</v>
      </c>
      <c r="S201" s="34">
        <f t="shared" si="45"/>
        <v>30500000</v>
      </c>
      <c r="T201" s="33">
        <f t="shared" si="46"/>
        <v>185.58333333333331</v>
      </c>
      <c r="U201" s="42">
        <f t="shared" si="47"/>
        <v>33655172.413793102</v>
      </c>
      <c r="V201" s="44"/>
      <c r="W201" s="29">
        <f t="shared" si="49"/>
        <v>6245839080.4597692</v>
      </c>
      <c r="X201" s="41">
        <f t="shared" si="48"/>
        <v>32.540248253826128</v>
      </c>
      <c r="Y201" s="33">
        <f t="shared" si="50"/>
        <v>281.12385376732203</v>
      </c>
      <c r="Z201" s="33">
        <v>1.33</v>
      </c>
      <c r="AA201" s="29">
        <f t="shared" si="51"/>
        <v>373.89472551053831</v>
      </c>
      <c r="AB201" s="33">
        <f t="shared" si="52"/>
        <v>1841.606886342995</v>
      </c>
      <c r="AC201" s="29">
        <v>272</v>
      </c>
      <c r="AD201" s="46">
        <f t="shared" si="53"/>
        <v>0.14769710192609511</v>
      </c>
    </row>
    <row r="202" spans="1:30" x14ac:dyDescent="0.2">
      <c r="A202" s="30" t="s">
        <v>8860</v>
      </c>
      <c r="B202" s="29">
        <v>1</v>
      </c>
      <c r="C202" s="29">
        <v>2</v>
      </c>
      <c r="D202" s="29">
        <v>240</v>
      </c>
      <c r="E202" s="29">
        <v>4900</v>
      </c>
      <c r="F202" s="29">
        <v>4900</v>
      </c>
      <c r="G202" s="29">
        <v>9800</v>
      </c>
      <c r="H202" s="29">
        <v>25500</v>
      </c>
      <c r="I202" s="29">
        <v>4900</v>
      </c>
      <c r="J202" s="29">
        <v>61000000</v>
      </c>
      <c r="K202" s="29">
        <v>662</v>
      </c>
      <c r="L202" s="29">
        <v>908</v>
      </c>
      <c r="M202" s="29">
        <v>25</v>
      </c>
      <c r="N202" s="34">
        <v>25</v>
      </c>
      <c r="O202" s="29">
        <f t="shared" si="43"/>
        <v>785</v>
      </c>
      <c r="P202" s="32" cm="1">
        <f t="array" ref="P202">WPNFACTOR(C202)</f>
        <v>4.5</v>
      </c>
      <c r="Q202" s="34" cm="1">
        <f t="array" ref="Q202">HPFACTOr(C202)</f>
        <v>2</v>
      </c>
      <c r="R202" s="33">
        <f t="shared" si="44"/>
        <v>174.44444444444446</v>
      </c>
      <c r="S202" s="34">
        <f t="shared" si="45"/>
        <v>30500000</v>
      </c>
      <c r="T202" s="33">
        <f t="shared" si="46"/>
        <v>185.34722222222223</v>
      </c>
      <c r="U202" s="42">
        <f t="shared" si="47"/>
        <v>33655172.413793102</v>
      </c>
      <c r="V202" s="44"/>
      <c r="W202" s="29">
        <f t="shared" si="49"/>
        <v>6237892720.3065138</v>
      </c>
      <c r="X202" s="41">
        <f t="shared" si="48"/>
        <v>32.538411595346503</v>
      </c>
      <c r="Y202" s="33">
        <f t="shared" si="50"/>
        <v>281.03439509131323</v>
      </c>
      <c r="Z202" s="33">
        <v>1.33</v>
      </c>
      <c r="AA202" s="29">
        <f t="shared" si="51"/>
        <v>373.77574547144661</v>
      </c>
      <c r="AB202" s="33">
        <f t="shared" si="52"/>
        <v>1840.8255511256043</v>
      </c>
      <c r="AC202" s="29">
        <v>272</v>
      </c>
      <c r="AD202" s="46">
        <f t="shared" si="53"/>
        <v>0.14775979170523842</v>
      </c>
    </row>
    <row r="203" spans="1:30" x14ac:dyDescent="0.2">
      <c r="A203" s="30" t="s">
        <v>8860</v>
      </c>
      <c r="B203" s="29">
        <v>2</v>
      </c>
      <c r="C203" s="29">
        <v>1</v>
      </c>
      <c r="D203" s="29">
        <v>243</v>
      </c>
      <c r="E203" s="29">
        <v>10160</v>
      </c>
      <c r="F203" s="29">
        <v>5080</v>
      </c>
      <c r="G203" s="29">
        <v>5080</v>
      </c>
      <c r="H203" s="29">
        <v>27000</v>
      </c>
      <c r="I203" s="29">
        <v>5080</v>
      </c>
      <c r="J203" s="29">
        <v>65500000</v>
      </c>
      <c r="K203" s="29">
        <v>673</v>
      </c>
      <c r="L203" s="29">
        <v>922</v>
      </c>
      <c r="M203" s="29">
        <v>25</v>
      </c>
      <c r="N203" s="34">
        <v>25</v>
      </c>
      <c r="O203" s="29">
        <f t="shared" si="43"/>
        <v>797.5</v>
      </c>
      <c r="P203" s="32" cm="1">
        <f t="array" ref="P203">WPNFACTOR(C203)</f>
        <v>2</v>
      </c>
      <c r="Q203" s="34" cm="1">
        <f t="array" ref="Q203">HPFACTOr(C203)</f>
        <v>5</v>
      </c>
      <c r="R203" s="33">
        <f t="shared" si="44"/>
        <v>398.75</v>
      </c>
      <c r="S203" s="34">
        <f t="shared" si="45"/>
        <v>13100000</v>
      </c>
      <c r="T203" s="33">
        <f t="shared" si="46"/>
        <v>423.671875</v>
      </c>
      <c r="U203" s="42">
        <f t="shared" si="47"/>
        <v>14455172.413793104</v>
      </c>
      <c r="V203" s="44"/>
      <c r="W203" s="29">
        <f t="shared" si="49"/>
        <v>6124250000</v>
      </c>
      <c r="X203" s="41">
        <f t="shared" si="48"/>
        <v>32.51188603074926</v>
      </c>
      <c r="Y203" s="33">
        <f t="shared" si="50"/>
        <v>279.745576357456</v>
      </c>
      <c r="Z203" s="33">
        <v>1.33</v>
      </c>
      <c r="AA203" s="29">
        <f t="shared" si="51"/>
        <v>372.06161655541649</v>
      </c>
      <c r="AB203" s="33">
        <f t="shared" si="52"/>
        <v>1829.5781722547576</v>
      </c>
      <c r="AC203" s="29">
        <v>277</v>
      </c>
      <c r="AD203" s="46">
        <f t="shared" si="53"/>
        <v>0.15140101920795623</v>
      </c>
    </row>
    <row r="204" spans="1:30" x14ac:dyDescent="0.2">
      <c r="A204" s="30" t="s">
        <v>8860</v>
      </c>
      <c r="B204" s="29">
        <v>3</v>
      </c>
      <c r="C204" s="29">
        <v>1</v>
      </c>
      <c r="D204" s="29">
        <v>246</v>
      </c>
      <c r="E204" s="29">
        <v>10520</v>
      </c>
      <c r="F204" s="29">
        <v>5260</v>
      </c>
      <c r="G204" s="29">
        <v>5260</v>
      </c>
      <c r="H204" s="29">
        <v>28500</v>
      </c>
      <c r="I204" s="29">
        <v>5260</v>
      </c>
      <c r="J204" s="29">
        <v>70000000</v>
      </c>
      <c r="K204" s="29">
        <v>685</v>
      </c>
      <c r="L204" s="29">
        <v>933</v>
      </c>
      <c r="M204" s="29">
        <v>25</v>
      </c>
      <c r="N204" s="34">
        <v>25</v>
      </c>
      <c r="O204" s="29">
        <f t="shared" si="43"/>
        <v>809</v>
      </c>
      <c r="P204" s="32" cm="1">
        <f t="array" ref="P204">WPNFACTOR(C204)</f>
        <v>2</v>
      </c>
      <c r="Q204" s="34" cm="1">
        <f t="array" ref="Q204">HPFACTOr(C204)</f>
        <v>5</v>
      </c>
      <c r="R204" s="33">
        <f t="shared" si="44"/>
        <v>404.5</v>
      </c>
      <c r="S204" s="34">
        <f t="shared" si="45"/>
        <v>14000000</v>
      </c>
      <c r="T204" s="33">
        <f t="shared" si="46"/>
        <v>429.78125</v>
      </c>
      <c r="U204" s="42">
        <f t="shared" si="47"/>
        <v>15448275.862068966</v>
      </c>
      <c r="V204" s="44"/>
      <c r="W204" s="29">
        <f t="shared" si="49"/>
        <v>6639379310.3448277</v>
      </c>
      <c r="X204" s="41">
        <f t="shared" si="48"/>
        <v>32.628401229934525</v>
      </c>
      <c r="Y204" s="33">
        <f t="shared" si="50"/>
        <v>285.45119811228631</v>
      </c>
      <c r="Z204" s="33">
        <v>1.33</v>
      </c>
      <c r="AA204" s="29">
        <f t="shared" si="51"/>
        <v>379.6500934893408</v>
      </c>
      <c r="AB204" s="33">
        <f t="shared" si="52"/>
        <v>1879.5007077540924</v>
      </c>
      <c r="AC204" s="29">
        <v>281</v>
      </c>
      <c r="AD204" s="46">
        <f t="shared" si="53"/>
        <v>0.14950779153245475</v>
      </c>
    </row>
    <row r="205" spans="1:30" x14ac:dyDescent="0.2">
      <c r="A205" s="30" t="s">
        <v>8860</v>
      </c>
      <c r="B205" s="29">
        <v>4</v>
      </c>
      <c r="C205" s="29">
        <v>1</v>
      </c>
      <c r="D205" s="29">
        <v>249</v>
      </c>
      <c r="E205" s="29">
        <v>10880</v>
      </c>
      <c r="F205" s="29">
        <v>5440</v>
      </c>
      <c r="G205" s="29">
        <v>5440</v>
      </c>
      <c r="H205" s="29">
        <v>30000</v>
      </c>
      <c r="I205" s="29">
        <v>5440</v>
      </c>
      <c r="J205" s="29">
        <v>74500000</v>
      </c>
      <c r="K205" s="29">
        <v>697</v>
      </c>
      <c r="L205" s="29">
        <v>946</v>
      </c>
      <c r="M205" s="29">
        <v>25</v>
      </c>
      <c r="N205" s="34">
        <v>25</v>
      </c>
      <c r="O205" s="29">
        <f t="shared" si="43"/>
        <v>821.5</v>
      </c>
      <c r="P205" s="32" cm="1">
        <f t="array" ref="P205">WPNFACTOR(C205)</f>
        <v>2</v>
      </c>
      <c r="Q205" s="34" cm="1">
        <f t="array" ref="Q205">HPFACTOr(C205)</f>
        <v>5</v>
      </c>
      <c r="R205" s="33">
        <f t="shared" si="44"/>
        <v>410.75</v>
      </c>
      <c r="S205" s="34">
        <f t="shared" si="45"/>
        <v>14900000</v>
      </c>
      <c r="T205" s="33">
        <f t="shared" si="46"/>
        <v>436.421875</v>
      </c>
      <c r="U205" s="42">
        <f t="shared" si="47"/>
        <v>16441379.310344828</v>
      </c>
      <c r="V205" s="44"/>
      <c r="W205" s="29">
        <f t="shared" si="49"/>
        <v>7175377586.2068968</v>
      </c>
      <c r="X205" s="41">
        <f t="shared" si="48"/>
        <v>32.740407605971818</v>
      </c>
      <c r="Y205" s="33">
        <f t="shared" si="50"/>
        <v>291.04570177563483</v>
      </c>
      <c r="Z205" s="33">
        <v>1.33</v>
      </c>
      <c r="AA205" s="29">
        <f t="shared" si="51"/>
        <v>387.09078336159433</v>
      </c>
      <c r="AB205" s="33">
        <f t="shared" si="52"/>
        <v>1928.7750812620245</v>
      </c>
      <c r="AC205" s="29">
        <v>282</v>
      </c>
      <c r="AD205" s="46">
        <f t="shared" si="53"/>
        <v>0.14620678312345442</v>
      </c>
    </row>
    <row r="206" spans="1:30" x14ac:dyDescent="0.2">
      <c r="A206" s="30" t="s">
        <v>8860</v>
      </c>
      <c r="B206" s="29">
        <v>5</v>
      </c>
      <c r="C206" s="29">
        <v>3</v>
      </c>
      <c r="D206" s="29">
        <v>252</v>
      </c>
      <c r="E206" s="29">
        <v>5620</v>
      </c>
      <c r="F206" s="29">
        <v>11240</v>
      </c>
      <c r="G206" s="29">
        <v>5620</v>
      </c>
      <c r="H206" s="29">
        <v>31500</v>
      </c>
      <c r="I206" s="29">
        <v>5620</v>
      </c>
      <c r="J206" s="29">
        <v>79000000</v>
      </c>
      <c r="K206" s="29">
        <v>709</v>
      </c>
      <c r="L206" s="29">
        <v>958</v>
      </c>
      <c r="M206" s="29">
        <v>25</v>
      </c>
      <c r="N206" s="34">
        <v>25</v>
      </c>
      <c r="O206" s="29">
        <f t="shared" si="43"/>
        <v>833.5</v>
      </c>
      <c r="P206" s="32" cm="1">
        <f t="array" ref="P206">WPNFACTOR(C206)</f>
        <v>2.5</v>
      </c>
      <c r="Q206" s="34" cm="1">
        <f t="array" ref="Q206">HPFACTOr(C206)</f>
        <v>4</v>
      </c>
      <c r="R206" s="33">
        <f t="shared" si="44"/>
        <v>333.4</v>
      </c>
      <c r="S206" s="34">
        <f t="shared" si="45"/>
        <v>19750000</v>
      </c>
      <c r="T206" s="33">
        <f t="shared" si="46"/>
        <v>354.23749999999995</v>
      </c>
      <c r="U206" s="42">
        <f t="shared" si="47"/>
        <v>21793103.448275864</v>
      </c>
      <c r="V206" s="44"/>
      <c r="W206" s="29">
        <f t="shared" si="49"/>
        <v>7719934482.7586203</v>
      </c>
      <c r="X206" s="41">
        <f t="shared" si="48"/>
        <v>32.8459414577231</v>
      </c>
      <c r="Y206" s="33">
        <f t="shared" si="50"/>
        <v>296.41720211540007</v>
      </c>
      <c r="Z206" s="33">
        <v>1.33</v>
      </c>
      <c r="AA206" s="29">
        <f t="shared" si="51"/>
        <v>394.23487881348211</v>
      </c>
      <c r="AB206" s="33">
        <f t="shared" si="52"/>
        <v>1976.3834334518001</v>
      </c>
      <c r="AC206" s="29">
        <v>291</v>
      </c>
      <c r="AD206" s="46">
        <f t="shared" si="53"/>
        <v>0.14723863551707761</v>
      </c>
    </row>
    <row r="207" spans="1:30" x14ac:dyDescent="0.2">
      <c r="A207" s="30" t="s">
        <v>8860</v>
      </c>
      <c r="B207" s="29">
        <v>6</v>
      </c>
      <c r="C207" s="29">
        <v>2</v>
      </c>
      <c r="D207" s="29">
        <v>255</v>
      </c>
      <c r="E207" s="29">
        <v>5800</v>
      </c>
      <c r="F207" s="29">
        <v>5800</v>
      </c>
      <c r="G207" s="29">
        <v>11600</v>
      </c>
      <c r="H207" s="29">
        <v>33000</v>
      </c>
      <c r="I207" s="29">
        <v>5800</v>
      </c>
      <c r="J207" s="29">
        <v>83500000</v>
      </c>
      <c r="K207" s="29">
        <v>721</v>
      </c>
      <c r="L207" s="29">
        <v>966</v>
      </c>
      <c r="M207" s="29">
        <v>25</v>
      </c>
      <c r="N207" s="34">
        <v>25</v>
      </c>
      <c r="O207" s="29">
        <f t="shared" si="43"/>
        <v>843.5</v>
      </c>
      <c r="P207" s="32" cm="1">
        <f t="array" ref="P207">WPNFACTOR(C207)</f>
        <v>4.5</v>
      </c>
      <c r="Q207" s="34" cm="1">
        <f t="array" ref="Q207">HPFACTOr(C207)</f>
        <v>2</v>
      </c>
      <c r="R207" s="33">
        <f t="shared" si="44"/>
        <v>187.44444444444446</v>
      </c>
      <c r="S207" s="34">
        <f t="shared" si="45"/>
        <v>41750000</v>
      </c>
      <c r="T207" s="33">
        <f t="shared" si="46"/>
        <v>199.15972222222223</v>
      </c>
      <c r="U207" s="42">
        <f t="shared" si="47"/>
        <v>46068965.517241381</v>
      </c>
      <c r="V207" s="44"/>
      <c r="W207" s="29">
        <f t="shared" si="49"/>
        <v>9175082375.4789276</v>
      </c>
      <c r="X207" s="41">
        <f t="shared" si="48"/>
        <v>33.095073964766243</v>
      </c>
      <c r="Y207" s="33">
        <f t="shared" si="50"/>
        <v>309.4941845962129</v>
      </c>
      <c r="Z207" s="33">
        <v>1.33</v>
      </c>
      <c r="AA207" s="29">
        <f t="shared" si="51"/>
        <v>411.62726551296316</v>
      </c>
      <c r="AB207" s="33">
        <f t="shared" si="52"/>
        <v>2093.4856614742876</v>
      </c>
      <c r="AC207" s="29">
        <v>291</v>
      </c>
      <c r="AD207" s="46">
        <f t="shared" si="53"/>
        <v>0.13900262387996015</v>
      </c>
    </row>
    <row r="208" spans="1:30" x14ac:dyDescent="0.2">
      <c r="A208" s="30" t="s">
        <v>8860</v>
      </c>
      <c r="B208" s="29">
        <v>7</v>
      </c>
      <c r="C208" s="29">
        <v>3</v>
      </c>
      <c r="D208" s="29">
        <v>258</v>
      </c>
      <c r="E208" s="29">
        <v>5980</v>
      </c>
      <c r="F208" s="29">
        <v>11960</v>
      </c>
      <c r="G208" s="29">
        <v>5980</v>
      </c>
      <c r="H208" s="29">
        <v>34500</v>
      </c>
      <c r="I208" s="29">
        <v>5980</v>
      </c>
      <c r="J208" s="29">
        <v>88000000</v>
      </c>
      <c r="K208" s="29">
        <v>733</v>
      </c>
      <c r="L208" s="29">
        <v>982</v>
      </c>
      <c r="M208" s="29">
        <v>25</v>
      </c>
      <c r="N208" s="34">
        <v>25</v>
      </c>
      <c r="O208" s="29">
        <f t="shared" si="43"/>
        <v>857.5</v>
      </c>
      <c r="P208" s="32" cm="1">
        <f t="array" ref="P208">WPNFACTOR(C208)</f>
        <v>2.5</v>
      </c>
      <c r="Q208" s="34" cm="1">
        <f t="array" ref="Q208">HPFACTOr(C208)</f>
        <v>4</v>
      </c>
      <c r="R208" s="33">
        <f t="shared" si="44"/>
        <v>343</v>
      </c>
      <c r="S208" s="34">
        <f t="shared" si="45"/>
        <v>22000000</v>
      </c>
      <c r="T208" s="33">
        <f t="shared" si="46"/>
        <v>364.4375</v>
      </c>
      <c r="U208" s="42">
        <f t="shared" si="47"/>
        <v>24275862.068965517</v>
      </c>
      <c r="V208" s="44"/>
      <c r="W208" s="29">
        <f t="shared" si="49"/>
        <v>8847034482.7586212</v>
      </c>
      <c r="X208" s="41">
        <f t="shared" si="48"/>
        <v>33.04254680025705</v>
      </c>
      <c r="Y208" s="33">
        <f t="shared" si="50"/>
        <v>306.68986899510094</v>
      </c>
      <c r="Z208" s="33">
        <v>1.33</v>
      </c>
      <c r="AA208" s="29">
        <f t="shared" si="51"/>
        <v>407.89752576348428</v>
      </c>
      <c r="AB208" s="33">
        <f t="shared" si="52"/>
        <v>2068.2319366089137</v>
      </c>
      <c r="AD208" s="46">
        <f t="shared" si="53"/>
        <v>0</v>
      </c>
    </row>
    <row r="209" spans="1:30" x14ac:dyDescent="0.2">
      <c r="A209" s="30" t="s">
        <v>8860</v>
      </c>
      <c r="B209" s="29">
        <v>8</v>
      </c>
      <c r="C209" s="29">
        <v>2</v>
      </c>
      <c r="D209" s="29">
        <v>261</v>
      </c>
      <c r="E209" s="29">
        <v>6160</v>
      </c>
      <c r="F209" s="29">
        <v>6160</v>
      </c>
      <c r="G209" s="29">
        <v>12320</v>
      </c>
      <c r="H209" s="29">
        <v>36000</v>
      </c>
      <c r="I209" s="29">
        <v>6160</v>
      </c>
      <c r="J209" s="29">
        <v>92500000</v>
      </c>
      <c r="K209" s="29">
        <v>744</v>
      </c>
      <c r="L209" s="29">
        <v>994</v>
      </c>
      <c r="M209" s="29">
        <v>25</v>
      </c>
      <c r="N209" s="34">
        <v>25</v>
      </c>
      <c r="O209" s="29">
        <f t="shared" si="43"/>
        <v>869</v>
      </c>
      <c r="P209" s="32" cm="1">
        <f t="array" ref="P209">WPNFACTOR(C209)</f>
        <v>4.5</v>
      </c>
      <c r="Q209" s="34" cm="1">
        <f t="array" ref="Q209">HPFACTOr(C209)</f>
        <v>2</v>
      </c>
      <c r="R209" s="33">
        <f t="shared" si="44"/>
        <v>193.11111111111111</v>
      </c>
      <c r="S209" s="34">
        <f t="shared" si="45"/>
        <v>46250000</v>
      </c>
      <c r="T209" s="33">
        <f t="shared" si="46"/>
        <v>205.18055555555557</v>
      </c>
      <c r="U209" s="42">
        <f t="shared" si="47"/>
        <v>51034482.758620694</v>
      </c>
      <c r="V209" s="44"/>
      <c r="W209" s="29">
        <f t="shared" si="49"/>
        <v>10471283524.904217</v>
      </c>
      <c r="X209" s="41">
        <f t="shared" si="48"/>
        <v>33.285719241335343</v>
      </c>
      <c r="Y209" s="33">
        <f t="shared" si="50"/>
        <v>319.88949603359282</v>
      </c>
      <c r="Z209" s="33">
        <v>1.33</v>
      </c>
      <c r="AA209" s="29">
        <f t="shared" si="51"/>
        <v>425.45302972467846</v>
      </c>
      <c r="AB209" s="33">
        <f t="shared" si="52"/>
        <v>2187.7614877549586</v>
      </c>
      <c r="AD209" s="46">
        <f t="shared" si="53"/>
        <v>0</v>
      </c>
    </row>
    <row r="210" spans="1:30" x14ac:dyDescent="0.2">
      <c r="A210" s="30" t="s">
        <v>8860</v>
      </c>
      <c r="B210" s="29">
        <v>9</v>
      </c>
      <c r="C210" s="29">
        <v>2</v>
      </c>
      <c r="D210" s="29">
        <v>264</v>
      </c>
      <c r="E210" s="29">
        <v>6340</v>
      </c>
      <c r="F210" s="29">
        <v>6340</v>
      </c>
      <c r="G210" s="29">
        <v>12680</v>
      </c>
      <c r="H210" s="29">
        <v>37500</v>
      </c>
      <c r="I210" s="29">
        <v>6340</v>
      </c>
      <c r="J210" s="29">
        <v>97000000</v>
      </c>
      <c r="K210" s="29">
        <v>756</v>
      </c>
      <c r="L210" s="29">
        <v>1002</v>
      </c>
      <c r="M210" s="29">
        <v>25</v>
      </c>
      <c r="N210" s="34">
        <v>25</v>
      </c>
      <c r="O210" s="29">
        <f t="shared" si="43"/>
        <v>879</v>
      </c>
      <c r="P210" s="32" cm="1">
        <f t="array" ref="P210">WPNFACTOR(C210)</f>
        <v>4.5</v>
      </c>
      <c r="Q210" s="34" cm="1">
        <f t="array" ref="Q210">HPFACTOr(C210)</f>
        <v>2</v>
      </c>
      <c r="R210" s="33">
        <f t="shared" si="44"/>
        <v>195.33333333333334</v>
      </c>
      <c r="S210" s="34">
        <f t="shared" si="45"/>
        <v>48500000</v>
      </c>
      <c r="T210" s="33">
        <f t="shared" si="46"/>
        <v>207.54166666666669</v>
      </c>
      <c r="U210" s="42">
        <f t="shared" si="47"/>
        <v>53517241.379310347</v>
      </c>
      <c r="V210" s="44"/>
      <c r="W210" s="29">
        <f t="shared" si="49"/>
        <v>11107057471.26437</v>
      </c>
      <c r="X210" s="41">
        <f t="shared" si="48"/>
        <v>33.370757611335165</v>
      </c>
      <c r="Y210" s="33">
        <f t="shared" si="50"/>
        <v>324.63829947003478</v>
      </c>
      <c r="Z210" s="33">
        <v>1.33</v>
      </c>
      <c r="AA210" s="29">
        <f t="shared" si="51"/>
        <v>431.76893829514626</v>
      </c>
      <c r="AB210" s="33">
        <f t="shared" si="52"/>
        <v>2231.1717699253991</v>
      </c>
      <c r="AD210" s="46">
        <f t="shared" si="53"/>
        <v>0</v>
      </c>
    </row>
    <row r="211" spans="1:30" x14ac:dyDescent="0.2">
      <c r="A211" s="30" t="s">
        <v>8860</v>
      </c>
      <c r="B211" s="29">
        <v>10</v>
      </c>
      <c r="C211" s="29">
        <v>3</v>
      </c>
      <c r="D211" s="29">
        <v>270</v>
      </c>
      <c r="E211" s="29">
        <v>6700</v>
      </c>
      <c r="F211" s="29">
        <v>13400</v>
      </c>
      <c r="G211" s="29">
        <v>6700</v>
      </c>
      <c r="H211" s="29">
        <v>40500</v>
      </c>
      <c r="I211" s="29">
        <v>6700</v>
      </c>
      <c r="J211" s="29">
        <v>106000000</v>
      </c>
      <c r="K211" s="29">
        <v>781</v>
      </c>
      <c r="L211" s="29">
        <v>1029</v>
      </c>
      <c r="M211" s="29">
        <v>25</v>
      </c>
      <c r="N211" s="34">
        <v>25</v>
      </c>
      <c r="O211" s="29">
        <f t="shared" si="43"/>
        <v>905</v>
      </c>
      <c r="P211" s="32" cm="1">
        <f t="array" ref="P211">WPNFACTOR(C211)</f>
        <v>2.5</v>
      </c>
      <c r="Q211" s="34" cm="1">
        <f t="array" ref="Q211">HPFACTOr(C211)</f>
        <v>4</v>
      </c>
      <c r="R211" s="33">
        <f t="shared" si="44"/>
        <v>362</v>
      </c>
      <c r="S211" s="34">
        <f t="shared" si="45"/>
        <v>26500000</v>
      </c>
      <c r="T211" s="33">
        <f t="shared" si="46"/>
        <v>384.625</v>
      </c>
      <c r="U211" s="42">
        <f t="shared" si="47"/>
        <v>29241379.31034483</v>
      </c>
      <c r="V211" s="44"/>
      <c r="W211" s="29">
        <f t="shared" si="49"/>
        <v>11246965517.241381</v>
      </c>
      <c r="X211" s="41">
        <f t="shared" si="48"/>
        <v>33.388816757093345</v>
      </c>
      <c r="Y211" s="33">
        <f t="shared" si="50"/>
        <v>325.6558175809821</v>
      </c>
      <c r="Z211" s="33">
        <v>1.33</v>
      </c>
      <c r="AA211" s="29">
        <f t="shared" si="51"/>
        <v>433.1222373827062</v>
      </c>
      <c r="AB211" s="33">
        <f t="shared" si="52"/>
        <v>2240.5008922668417</v>
      </c>
      <c r="AD211" s="46">
        <f t="shared" si="53"/>
        <v>0</v>
      </c>
    </row>
    <row r="212" spans="1:30" x14ac:dyDescent="0.2">
      <c r="A212" s="30" t="s">
        <v>8861</v>
      </c>
      <c r="B212" s="29">
        <v>1</v>
      </c>
      <c r="C212" s="29">
        <v>2</v>
      </c>
      <c r="D212" s="29">
        <v>280</v>
      </c>
      <c r="E212" s="29">
        <v>7300</v>
      </c>
      <c r="F212" s="29">
        <v>7300</v>
      </c>
      <c r="G212" s="29">
        <v>14600</v>
      </c>
      <c r="H212" s="29">
        <v>45500</v>
      </c>
      <c r="I212" s="29">
        <v>7300</v>
      </c>
      <c r="J212" s="29">
        <v>121000000</v>
      </c>
      <c r="K212" s="29">
        <v>820</v>
      </c>
      <c r="L212" s="29">
        <v>1069</v>
      </c>
      <c r="M212" s="29">
        <v>25</v>
      </c>
      <c r="N212" s="34">
        <v>25</v>
      </c>
      <c r="O212" s="29">
        <f t="shared" si="43"/>
        <v>944.5</v>
      </c>
      <c r="P212" s="32" cm="1">
        <f t="array" ref="P212">WPNFACTOR(C212)</f>
        <v>4.5</v>
      </c>
      <c r="Q212" s="34" cm="1">
        <f t="array" ref="Q212">HPFACTOr(C212)</f>
        <v>2</v>
      </c>
      <c r="R212" s="33">
        <f t="shared" si="44"/>
        <v>209.88888888888889</v>
      </c>
      <c r="S212" s="34">
        <f t="shared" si="45"/>
        <v>60500000</v>
      </c>
      <c r="T212" s="33">
        <f t="shared" si="46"/>
        <v>223.00694444444443</v>
      </c>
      <c r="U212" s="42">
        <f t="shared" si="47"/>
        <v>66758620.689655177</v>
      </c>
      <c r="V212" s="44"/>
      <c r="W212" s="29">
        <f t="shared" si="49"/>
        <v>14887636015.32567</v>
      </c>
      <c r="X212" s="41">
        <f t="shared" si="48"/>
        <v>33.793395637667594</v>
      </c>
      <c r="Y212" s="33">
        <f t="shared" si="50"/>
        <v>349.30631370214377</v>
      </c>
      <c r="Z212" s="33">
        <v>1.33</v>
      </c>
      <c r="AA212" s="29">
        <f t="shared" si="51"/>
        <v>464.57739722385122</v>
      </c>
      <c r="AB212" s="33">
        <f t="shared" si="52"/>
        <v>2460.0385575359596</v>
      </c>
      <c r="AD212" s="46">
        <f t="shared" si="53"/>
        <v>0</v>
      </c>
    </row>
    <row r="213" spans="1:30" x14ac:dyDescent="0.2">
      <c r="A213" s="30" t="s">
        <v>8861</v>
      </c>
      <c r="B213" s="29">
        <v>2</v>
      </c>
      <c r="C213" s="29">
        <v>1</v>
      </c>
      <c r="D213" s="29">
        <v>283</v>
      </c>
      <c r="E213" s="29">
        <v>14960</v>
      </c>
      <c r="F213" s="29">
        <v>7480</v>
      </c>
      <c r="G213" s="29">
        <v>7480</v>
      </c>
      <c r="H213" s="29">
        <v>47000</v>
      </c>
      <c r="I213" s="29">
        <v>7480</v>
      </c>
      <c r="J213" s="29">
        <v>125500000</v>
      </c>
      <c r="K213" s="29">
        <v>832</v>
      </c>
      <c r="L213" s="29">
        <v>1080</v>
      </c>
      <c r="M213" s="29">
        <v>25</v>
      </c>
      <c r="N213" s="34">
        <v>25</v>
      </c>
      <c r="O213" s="29">
        <f t="shared" si="43"/>
        <v>956</v>
      </c>
      <c r="P213" s="32" cm="1">
        <f t="array" ref="P213">WPNFACTOR(C213)</f>
        <v>2</v>
      </c>
      <c r="Q213" s="34" cm="1">
        <f t="array" ref="Q213">HPFACTOr(C213)</f>
        <v>5</v>
      </c>
      <c r="R213" s="33">
        <f t="shared" si="44"/>
        <v>478</v>
      </c>
      <c r="S213" s="34">
        <f t="shared" si="45"/>
        <v>25100000</v>
      </c>
      <c r="T213" s="33">
        <f t="shared" si="46"/>
        <v>507.875</v>
      </c>
      <c r="U213" s="42">
        <f t="shared" si="47"/>
        <v>27696551.724137932</v>
      </c>
      <c r="V213" s="44"/>
      <c r="W213" s="29">
        <f t="shared" si="49"/>
        <v>14066386206.896553</v>
      </c>
      <c r="X213" s="41">
        <f t="shared" si="48"/>
        <v>33.711532682491104</v>
      </c>
      <c r="Y213" s="33">
        <f t="shared" si="50"/>
        <v>344.38611588073155</v>
      </c>
      <c r="Z213" s="33">
        <v>1.33</v>
      </c>
      <c r="AA213" s="29">
        <f t="shared" si="51"/>
        <v>458.03353412137301</v>
      </c>
      <c r="AB213" s="33">
        <f t="shared" si="52"/>
        <v>2413.9457871985055</v>
      </c>
      <c r="AD213" s="46">
        <f t="shared" si="53"/>
        <v>0</v>
      </c>
    </row>
    <row r="214" spans="1:30" x14ac:dyDescent="0.2">
      <c r="A214" s="30" t="s">
        <v>8861</v>
      </c>
      <c r="B214" s="29">
        <v>3</v>
      </c>
      <c r="C214" s="29">
        <v>3</v>
      </c>
      <c r="D214" s="29">
        <v>286</v>
      </c>
      <c r="E214" s="29">
        <v>7660</v>
      </c>
      <c r="F214" s="29">
        <v>15320</v>
      </c>
      <c r="G214" s="29">
        <v>7660</v>
      </c>
      <c r="H214" s="29">
        <v>48500</v>
      </c>
      <c r="I214" s="29">
        <v>7660</v>
      </c>
      <c r="J214" s="29">
        <v>130000000</v>
      </c>
      <c r="K214" s="29">
        <v>847</v>
      </c>
      <c r="L214" s="29">
        <v>1094</v>
      </c>
      <c r="M214" s="29">
        <v>25</v>
      </c>
      <c r="N214" s="34">
        <v>25</v>
      </c>
      <c r="O214" s="29">
        <f t="shared" si="43"/>
        <v>970.5</v>
      </c>
      <c r="P214" s="32" cm="1">
        <f t="array" ref="P214">WPNFACTOR(C214)</f>
        <v>2.5</v>
      </c>
      <c r="Q214" s="34" cm="1">
        <f t="array" ref="Q214">HPFACTOr(C214)</f>
        <v>4</v>
      </c>
      <c r="R214" s="33">
        <f t="shared" si="44"/>
        <v>388.2</v>
      </c>
      <c r="S214" s="34">
        <f t="shared" si="45"/>
        <v>32500000</v>
      </c>
      <c r="T214" s="33">
        <f t="shared" si="46"/>
        <v>412.46249999999998</v>
      </c>
      <c r="U214" s="42">
        <f t="shared" si="47"/>
        <v>35862068.965517245</v>
      </c>
      <c r="V214" s="44"/>
      <c r="W214" s="29">
        <f t="shared" si="49"/>
        <v>14791758620.689655</v>
      </c>
      <c r="X214" s="41">
        <f t="shared" si="48"/>
        <v>33.784074536301702</v>
      </c>
      <c r="Y214" s="33">
        <f t="shared" si="50"/>
        <v>348.74256125249411</v>
      </c>
      <c r="Z214" s="33">
        <v>1.33</v>
      </c>
      <c r="AA214" s="29">
        <f t="shared" si="51"/>
        <v>463.82760646581721</v>
      </c>
      <c r="AB214" s="33">
        <f t="shared" si="52"/>
        <v>2454.746241384893</v>
      </c>
      <c r="AD214" s="46">
        <f t="shared" si="53"/>
        <v>0</v>
      </c>
    </row>
    <row r="215" spans="1:30" x14ac:dyDescent="0.2">
      <c r="A215" s="30" t="s">
        <v>8861</v>
      </c>
      <c r="B215" s="29">
        <v>4</v>
      </c>
      <c r="C215" s="29">
        <v>1</v>
      </c>
      <c r="D215" s="29">
        <v>289</v>
      </c>
      <c r="E215" s="29">
        <v>15680</v>
      </c>
      <c r="F215" s="29">
        <v>7840</v>
      </c>
      <c r="G215" s="29">
        <v>7840</v>
      </c>
      <c r="H215" s="29">
        <v>50000</v>
      </c>
      <c r="I215" s="29">
        <v>7840</v>
      </c>
      <c r="J215" s="29">
        <v>134500000</v>
      </c>
      <c r="K215" s="29">
        <v>857</v>
      </c>
      <c r="L215" s="29">
        <v>1106</v>
      </c>
      <c r="M215" s="29">
        <v>25</v>
      </c>
      <c r="N215" s="34">
        <v>25</v>
      </c>
      <c r="O215" s="29">
        <f t="shared" si="43"/>
        <v>981.5</v>
      </c>
      <c r="P215" s="32" cm="1">
        <f t="array" ref="P215">WPNFACTOR(C215)</f>
        <v>2</v>
      </c>
      <c r="Q215" s="34" cm="1">
        <f t="array" ref="Q215">HPFACTOr(C215)</f>
        <v>5</v>
      </c>
      <c r="R215" s="33">
        <f t="shared" si="44"/>
        <v>490.75</v>
      </c>
      <c r="S215" s="34">
        <f t="shared" si="45"/>
        <v>26900000</v>
      </c>
      <c r="T215" s="33">
        <f t="shared" si="46"/>
        <v>521.421875</v>
      </c>
      <c r="U215" s="42">
        <f t="shared" si="47"/>
        <v>29682758.620689657</v>
      </c>
      <c r="V215" s="44"/>
      <c r="W215" s="29">
        <f t="shared" si="49"/>
        <v>15477239655.172415</v>
      </c>
      <c r="X215" s="41">
        <f t="shared" si="48"/>
        <v>33.849429140582373</v>
      </c>
      <c r="Y215" s="33">
        <f t="shared" si="50"/>
        <v>352.71455123759949</v>
      </c>
      <c r="Z215" s="33">
        <v>1.33</v>
      </c>
      <c r="AA215" s="29">
        <f t="shared" si="51"/>
        <v>469.11035314600736</v>
      </c>
      <c r="AB215" s="33">
        <f t="shared" si="52"/>
        <v>2492.0944757006978</v>
      </c>
      <c r="AD215" s="46">
        <f t="shared" si="53"/>
        <v>0</v>
      </c>
    </row>
    <row r="216" spans="1:30" x14ac:dyDescent="0.2">
      <c r="A216" s="30" t="s">
        <v>8861</v>
      </c>
      <c r="B216" s="29">
        <v>5</v>
      </c>
      <c r="C216" s="29">
        <v>3</v>
      </c>
      <c r="D216" s="29">
        <v>292</v>
      </c>
      <c r="E216" s="29">
        <v>8020</v>
      </c>
      <c r="F216" s="29">
        <v>16040</v>
      </c>
      <c r="G216" s="29">
        <v>8020</v>
      </c>
      <c r="H216" s="29">
        <v>51500</v>
      </c>
      <c r="I216" s="29">
        <v>8020</v>
      </c>
      <c r="J216" s="29">
        <v>139000000</v>
      </c>
      <c r="K216" s="29">
        <v>868</v>
      </c>
      <c r="L216" s="29">
        <v>1118</v>
      </c>
      <c r="M216" s="29">
        <v>25</v>
      </c>
      <c r="N216" s="34">
        <v>25</v>
      </c>
      <c r="O216" s="29">
        <f t="shared" si="43"/>
        <v>993</v>
      </c>
      <c r="P216" s="32" cm="1">
        <f t="array" ref="P216">WPNFACTOR(C216)</f>
        <v>2.5</v>
      </c>
      <c r="Q216" s="34" cm="1">
        <f t="array" ref="Q216">HPFACTOr(C216)</f>
        <v>4</v>
      </c>
      <c r="R216" s="33">
        <f t="shared" si="44"/>
        <v>397.2</v>
      </c>
      <c r="S216" s="34">
        <f t="shared" si="45"/>
        <v>34750000</v>
      </c>
      <c r="T216" s="33">
        <f t="shared" si="46"/>
        <v>422.02499999999998</v>
      </c>
      <c r="U216" s="42">
        <f t="shared" si="47"/>
        <v>38344827.586206898</v>
      </c>
      <c r="V216" s="44"/>
      <c r="W216" s="29">
        <f t="shared" si="49"/>
        <v>16182475862.068966</v>
      </c>
      <c r="X216" s="41">
        <f t="shared" si="48"/>
        <v>33.913713300811466</v>
      </c>
      <c r="Y216" s="33">
        <f t="shared" si="50"/>
        <v>356.665614646395</v>
      </c>
      <c r="Z216" s="33">
        <v>1.33</v>
      </c>
      <c r="AA216" s="29">
        <f t="shared" si="51"/>
        <v>474.36526747970538</v>
      </c>
      <c r="AB216" s="33">
        <f t="shared" si="52"/>
        <v>2529.385294480569</v>
      </c>
      <c r="AD216" s="46">
        <f t="shared" si="53"/>
        <v>0</v>
      </c>
    </row>
    <row r="217" spans="1:30" x14ac:dyDescent="0.2">
      <c r="A217" s="30" t="s">
        <v>8861</v>
      </c>
      <c r="B217" s="29">
        <v>6</v>
      </c>
      <c r="C217" s="29">
        <v>1</v>
      </c>
      <c r="D217" s="29">
        <v>295</v>
      </c>
      <c r="E217" s="29">
        <v>16400</v>
      </c>
      <c r="F217" s="29">
        <v>8200</v>
      </c>
      <c r="G217" s="29">
        <v>8200</v>
      </c>
      <c r="H217" s="29">
        <v>53000</v>
      </c>
      <c r="I217" s="29">
        <v>8200</v>
      </c>
      <c r="J217" s="29">
        <v>143500000</v>
      </c>
      <c r="K217" s="29">
        <v>880</v>
      </c>
      <c r="L217" s="29">
        <v>1130</v>
      </c>
      <c r="M217" s="29">
        <v>25</v>
      </c>
      <c r="N217" s="34">
        <v>25</v>
      </c>
      <c r="O217" s="29">
        <f t="shared" si="43"/>
        <v>1005</v>
      </c>
      <c r="P217" s="32" cm="1">
        <f t="array" ref="P217">WPNFACTOR(C217)</f>
        <v>2</v>
      </c>
      <c r="Q217" s="34" cm="1">
        <f t="array" ref="Q217">HPFACTOr(C217)</f>
        <v>5</v>
      </c>
      <c r="R217" s="33">
        <f t="shared" si="44"/>
        <v>502.5</v>
      </c>
      <c r="S217" s="34">
        <f t="shared" si="45"/>
        <v>28700000</v>
      </c>
      <c r="T217" s="33">
        <f t="shared" si="46"/>
        <v>533.90625</v>
      </c>
      <c r="U217" s="42">
        <f t="shared" si="47"/>
        <v>31668965.517241381</v>
      </c>
      <c r="V217" s="44"/>
      <c r="W217" s="29">
        <f t="shared" si="49"/>
        <v>16908258620.689655</v>
      </c>
      <c r="X217" s="41">
        <f t="shared" si="48"/>
        <v>33.977009033301556</v>
      </c>
      <c r="Y217" s="33">
        <f t="shared" si="50"/>
        <v>360.59916811622287</v>
      </c>
      <c r="Z217" s="33">
        <v>1.33</v>
      </c>
      <c r="AA217" s="29">
        <f t="shared" si="51"/>
        <v>479.59689359457644</v>
      </c>
      <c r="AB217" s="33">
        <f t="shared" si="52"/>
        <v>2566.6478939400554</v>
      </c>
      <c r="AD217" s="46">
        <f t="shared" si="53"/>
        <v>0</v>
      </c>
    </row>
    <row r="218" spans="1:30" x14ac:dyDescent="0.2">
      <c r="A218" s="30" t="s">
        <v>8861</v>
      </c>
      <c r="B218" s="29">
        <v>7</v>
      </c>
      <c r="C218" s="29">
        <v>3</v>
      </c>
      <c r="D218" s="29">
        <v>298</v>
      </c>
      <c r="E218" s="29">
        <v>8380</v>
      </c>
      <c r="F218" s="29">
        <v>16760</v>
      </c>
      <c r="G218" s="29">
        <v>8380</v>
      </c>
      <c r="H218" s="29">
        <v>54500</v>
      </c>
      <c r="I218" s="29">
        <v>8380</v>
      </c>
      <c r="J218" s="29">
        <v>148000000</v>
      </c>
      <c r="K218" s="29">
        <v>894</v>
      </c>
      <c r="L218" s="29">
        <v>1142</v>
      </c>
      <c r="M218" s="29">
        <v>25</v>
      </c>
      <c r="N218" s="34">
        <v>25</v>
      </c>
      <c r="O218" s="29">
        <f t="shared" si="43"/>
        <v>1018</v>
      </c>
      <c r="P218" s="32" cm="1">
        <f t="array" ref="P218">WPNFACTOR(C218)</f>
        <v>2.5</v>
      </c>
      <c r="Q218" s="34" cm="1">
        <f t="array" ref="Q218">HPFACTOr(C218)</f>
        <v>4</v>
      </c>
      <c r="R218" s="33">
        <f t="shared" si="44"/>
        <v>407.2</v>
      </c>
      <c r="S218" s="34">
        <f t="shared" si="45"/>
        <v>37000000</v>
      </c>
      <c r="T218" s="33">
        <f t="shared" si="46"/>
        <v>432.65</v>
      </c>
      <c r="U218" s="42">
        <f t="shared" si="47"/>
        <v>40827586.206896551</v>
      </c>
      <c r="V218" s="44"/>
      <c r="W218" s="29">
        <f t="shared" si="49"/>
        <v>17664055172.413792</v>
      </c>
      <c r="X218" s="41">
        <f t="shared" si="48"/>
        <v>34.040097532264227</v>
      </c>
      <c r="Y218" s="33">
        <f t="shared" si="50"/>
        <v>364.563011519741</v>
      </c>
      <c r="Z218" s="33">
        <v>1.33</v>
      </c>
      <c r="AA218" s="29">
        <f t="shared" si="51"/>
        <v>484.86880532125554</v>
      </c>
      <c r="AB218" s="33">
        <f t="shared" si="52"/>
        <v>2604.3347400978673</v>
      </c>
      <c r="AD218" s="46">
        <f t="shared" si="53"/>
        <v>0</v>
      </c>
    </row>
    <row r="219" spans="1:30" x14ac:dyDescent="0.2">
      <c r="A219" s="30" t="s">
        <v>8861</v>
      </c>
      <c r="B219" s="29">
        <v>8</v>
      </c>
      <c r="C219" s="29">
        <v>2</v>
      </c>
      <c r="D219" s="29">
        <v>301</v>
      </c>
      <c r="E219" s="29">
        <v>8560</v>
      </c>
      <c r="F219" s="29">
        <v>8560</v>
      </c>
      <c r="G219" s="29">
        <v>17120</v>
      </c>
      <c r="H219" s="29">
        <v>56000</v>
      </c>
      <c r="I219" s="29">
        <v>8560</v>
      </c>
      <c r="J219" s="29">
        <v>152500000</v>
      </c>
      <c r="K219" s="29">
        <v>908</v>
      </c>
      <c r="L219" s="29">
        <v>1152</v>
      </c>
      <c r="M219" s="29">
        <v>25</v>
      </c>
      <c r="N219" s="34">
        <v>25</v>
      </c>
      <c r="O219" s="29">
        <f t="shared" si="43"/>
        <v>1030</v>
      </c>
      <c r="P219" s="32" cm="1">
        <f t="array" ref="P219">WPNFACTOR(C219)</f>
        <v>4.5</v>
      </c>
      <c r="Q219" s="34" cm="1">
        <f t="array" ref="Q219">HPFACTOr(C219)</f>
        <v>2</v>
      </c>
      <c r="R219" s="33">
        <f t="shared" si="44"/>
        <v>228.88888888888889</v>
      </c>
      <c r="S219" s="34">
        <f t="shared" si="45"/>
        <v>76250000</v>
      </c>
      <c r="T219" s="33">
        <f t="shared" si="46"/>
        <v>243.19444444444443</v>
      </c>
      <c r="U219" s="42">
        <f t="shared" si="47"/>
        <v>84137931.034482762</v>
      </c>
      <c r="V219" s="44"/>
      <c r="W219" s="29">
        <f t="shared" si="49"/>
        <v>20461877394.636013</v>
      </c>
      <c r="X219" s="41">
        <f t="shared" si="48"/>
        <v>34.25221946852546</v>
      </c>
      <c r="Y219" s="33">
        <f t="shared" si="50"/>
        <v>378.21292781850207</v>
      </c>
      <c r="Z219" s="33">
        <v>1.33</v>
      </c>
      <c r="AA219" s="29">
        <f t="shared" si="51"/>
        <v>503.02319399860778</v>
      </c>
      <c r="AB219" s="33">
        <f t="shared" si="52"/>
        <v>2735.1542656079068</v>
      </c>
      <c r="AD219" s="46">
        <f t="shared" si="53"/>
        <v>0</v>
      </c>
    </row>
    <row r="220" spans="1:30" x14ac:dyDescent="0.2">
      <c r="A220" s="30" t="s">
        <v>8861</v>
      </c>
      <c r="B220" s="29">
        <v>9</v>
      </c>
      <c r="C220" s="29">
        <v>2</v>
      </c>
      <c r="D220" s="29">
        <v>304</v>
      </c>
      <c r="E220" s="29">
        <v>8740</v>
      </c>
      <c r="F220" s="29">
        <v>8740</v>
      </c>
      <c r="G220" s="29">
        <v>17480</v>
      </c>
      <c r="H220" s="29">
        <v>57500</v>
      </c>
      <c r="I220" s="29">
        <v>8740</v>
      </c>
      <c r="J220" s="29">
        <v>157000000</v>
      </c>
      <c r="K220" s="29">
        <v>918</v>
      </c>
      <c r="L220" s="29">
        <v>1162</v>
      </c>
      <c r="M220" s="29">
        <v>25</v>
      </c>
      <c r="N220" s="34">
        <v>25</v>
      </c>
      <c r="O220" s="29">
        <f t="shared" si="43"/>
        <v>1040</v>
      </c>
      <c r="P220" s="32" cm="1">
        <f t="array" ref="P220">WPNFACTOR(C220)</f>
        <v>4.5</v>
      </c>
      <c r="Q220" s="34" cm="1">
        <f t="array" ref="Q220">HPFACTOr(C220)</f>
        <v>2</v>
      </c>
      <c r="R220" s="33">
        <f t="shared" si="44"/>
        <v>231.11111111111111</v>
      </c>
      <c r="S220" s="34">
        <f t="shared" si="45"/>
        <v>78500000</v>
      </c>
      <c r="T220" s="33">
        <f t="shared" si="46"/>
        <v>245.55555555555557</v>
      </c>
      <c r="U220" s="42">
        <f t="shared" si="47"/>
        <v>86620689.655172423</v>
      </c>
      <c r="V220" s="44"/>
      <c r="W220" s="29">
        <f t="shared" si="49"/>
        <v>21270191570.881229</v>
      </c>
      <c r="X220" s="41">
        <f t="shared" si="48"/>
        <v>34.308113975924712</v>
      </c>
      <c r="Y220" s="33">
        <f t="shared" si="50"/>
        <v>381.89401336491659</v>
      </c>
      <c r="Z220" s="33">
        <v>1.33</v>
      </c>
      <c r="AA220" s="29">
        <f t="shared" si="51"/>
        <v>507.91903777533906</v>
      </c>
      <c r="AB220" s="33">
        <f t="shared" si="52"/>
        <v>2770.7061400896664</v>
      </c>
      <c r="AD220" s="46">
        <f t="shared" si="53"/>
        <v>0</v>
      </c>
    </row>
    <row r="221" spans="1:30" x14ac:dyDescent="0.2">
      <c r="A221" s="30" t="s">
        <v>8861</v>
      </c>
      <c r="B221" s="29">
        <v>10</v>
      </c>
      <c r="C221" s="29">
        <v>3</v>
      </c>
      <c r="D221" s="29">
        <v>310</v>
      </c>
      <c r="E221" s="29">
        <v>9100</v>
      </c>
      <c r="F221" s="29">
        <v>18200</v>
      </c>
      <c r="G221" s="29">
        <v>9100</v>
      </c>
      <c r="H221" s="29">
        <v>60500</v>
      </c>
      <c r="I221" s="29">
        <v>9100</v>
      </c>
      <c r="J221" s="29">
        <v>166000000</v>
      </c>
      <c r="K221" s="29">
        <v>941</v>
      </c>
      <c r="L221" s="29">
        <v>1189</v>
      </c>
      <c r="M221" s="29">
        <v>25</v>
      </c>
      <c r="N221" s="34">
        <v>25</v>
      </c>
      <c r="O221" s="29">
        <f t="shared" si="43"/>
        <v>1065</v>
      </c>
      <c r="P221" s="32" cm="1">
        <f t="array" ref="P221">WPNFACTOR(C221)</f>
        <v>2.5</v>
      </c>
      <c r="Q221" s="34" cm="1">
        <f t="array" ref="Q221">HPFACTOr(C221)</f>
        <v>4</v>
      </c>
      <c r="R221" s="33">
        <f t="shared" si="44"/>
        <v>426</v>
      </c>
      <c r="S221" s="34">
        <f t="shared" si="45"/>
        <v>41500000</v>
      </c>
      <c r="T221" s="33">
        <f t="shared" si="46"/>
        <v>452.625</v>
      </c>
      <c r="U221" s="42">
        <f t="shared" si="47"/>
        <v>45793103.448275864</v>
      </c>
      <c r="V221" s="44"/>
      <c r="W221" s="29">
        <f t="shared" si="49"/>
        <v>20727103448.275864</v>
      </c>
      <c r="X221" s="41">
        <f t="shared" si="48"/>
        <v>34.270799467019707</v>
      </c>
      <c r="Y221" s="33">
        <f t="shared" si="50"/>
        <v>379.43261046113531</v>
      </c>
      <c r="Z221" s="33">
        <v>1.33</v>
      </c>
      <c r="AA221" s="29">
        <f t="shared" si="51"/>
        <v>504.64537191330999</v>
      </c>
      <c r="AB221" s="33">
        <f t="shared" si="52"/>
        <v>2746.9212243247121</v>
      </c>
      <c r="AD221" s="46">
        <f t="shared" si="53"/>
        <v>0</v>
      </c>
    </row>
    <row r="222" spans="1:30" x14ac:dyDescent="0.2">
      <c r="A222" s="30" t="s">
        <v>8862</v>
      </c>
      <c r="B222" s="29">
        <v>1</v>
      </c>
      <c r="C222" s="29">
        <v>1</v>
      </c>
      <c r="D222" s="29">
        <v>313</v>
      </c>
      <c r="E222" s="29">
        <v>18560</v>
      </c>
      <c r="F222" s="29">
        <v>9280</v>
      </c>
      <c r="G222" s="29">
        <v>9280</v>
      </c>
      <c r="H222" s="29">
        <v>62000</v>
      </c>
      <c r="I222" s="29">
        <v>9280</v>
      </c>
      <c r="J222" s="29">
        <v>170500000</v>
      </c>
      <c r="K222" s="29">
        <v>953</v>
      </c>
      <c r="L222" s="29">
        <v>1199</v>
      </c>
      <c r="M222" s="29">
        <v>25</v>
      </c>
      <c r="N222" s="34">
        <v>25</v>
      </c>
      <c r="O222" s="29">
        <f t="shared" si="43"/>
        <v>1076</v>
      </c>
      <c r="P222" s="32" cm="1">
        <f t="array" ref="P222">WPNFACTOR(C222)</f>
        <v>2</v>
      </c>
      <c r="Q222" s="34" cm="1">
        <f t="array" ref="Q222">HPFACTOr(C222)</f>
        <v>5</v>
      </c>
      <c r="R222" s="33">
        <f t="shared" si="44"/>
        <v>538</v>
      </c>
      <c r="S222" s="34">
        <f t="shared" si="45"/>
        <v>34100000</v>
      </c>
      <c r="T222" s="33">
        <f t="shared" si="46"/>
        <v>571.625</v>
      </c>
      <c r="U222" s="42">
        <f t="shared" si="47"/>
        <v>37627586.206896551</v>
      </c>
      <c r="V222" s="44"/>
      <c r="W222" s="29">
        <f t="shared" si="49"/>
        <v>21508868965.517242</v>
      </c>
      <c r="X222" s="41">
        <f t="shared" si="48"/>
        <v>34.324212612140379</v>
      </c>
      <c r="Y222" s="33">
        <f t="shared" si="50"/>
        <v>382.96086326061618</v>
      </c>
      <c r="Z222" s="33">
        <v>1.33</v>
      </c>
      <c r="AA222" s="29">
        <f t="shared" si="51"/>
        <v>509.33794813661956</v>
      </c>
      <c r="AB222" s="33">
        <f t="shared" si="52"/>
        <v>2781.031179211041</v>
      </c>
      <c r="AD222" s="46">
        <f t="shared" si="53"/>
        <v>0</v>
      </c>
    </row>
    <row r="223" spans="1:30" x14ac:dyDescent="0.2">
      <c r="A223" s="30" t="s">
        <v>8862</v>
      </c>
      <c r="B223" s="29">
        <v>2</v>
      </c>
      <c r="C223" s="29">
        <v>1</v>
      </c>
      <c r="D223" s="29">
        <v>316</v>
      </c>
      <c r="E223" s="29">
        <v>18920</v>
      </c>
      <c r="F223" s="29">
        <v>9460</v>
      </c>
      <c r="G223" s="29">
        <v>9460</v>
      </c>
      <c r="H223" s="29">
        <v>63500</v>
      </c>
      <c r="I223" s="29">
        <v>9460</v>
      </c>
      <c r="J223" s="29">
        <v>175000000</v>
      </c>
      <c r="K223" s="29">
        <v>964</v>
      </c>
      <c r="L223" s="29">
        <v>1211</v>
      </c>
      <c r="M223" s="29">
        <v>25</v>
      </c>
      <c r="N223" s="34">
        <v>25</v>
      </c>
      <c r="O223" s="29">
        <f t="shared" si="43"/>
        <v>1087.5</v>
      </c>
      <c r="P223" s="32" cm="1">
        <f t="array" ref="P223">WPNFACTOR(C223)</f>
        <v>2</v>
      </c>
      <c r="Q223" s="34" cm="1">
        <f t="array" ref="Q223">HPFACTOr(C223)</f>
        <v>5</v>
      </c>
      <c r="R223" s="33">
        <f t="shared" si="44"/>
        <v>543.75</v>
      </c>
      <c r="S223" s="34">
        <f t="shared" si="45"/>
        <v>35000000</v>
      </c>
      <c r="T223" s="33">
        <f t="shared" si="46"/>
        <v>577.734375</v>
      </c>
      <c r="U223" s="42">
        <f t="shared" si="47"/>
        <v>38620689.655172415</v>
      </c>
      <c r="V223" s="44"/>
      <c r="W223" s="29">
        <f t="shared" si="49"/>
        <v>22312500000</v>
      </c>
      <c r="X223" s="41">
        <f t="shared" si="48"/>
        <v>34.377133118015365</v>
      </c>
      <c r="Y223" s="33">
        <f t="shared" si="50"/>
        <v>386.4889292889211</v>
      </c>
      <c r="Z223" s="33">
        <v>1.33</v>
      </c>
      <c r="AA223" s="29">
        <f t="shared" si="51"/>
        <v>514.03027595426511</v>
      </c>
      <c r="AB223" s="33">
        <f t="shared" si="52"/>
        <v>2815.2442350822794</v>
      </c>
      <c r="AD223" s="46">
        <f t="shared" si="53"/>
        <v>0</v>
      </c>
    </row>
    <row r="224" spans="1:30" x14ac:dyDescent="0.2">
      <c r="A224" s="30" t="s">
        <v>8862</v>
      </c>
      <c r="B224" s="29">
        <v>3</v>
      </c>
      <c r="C224" s="29">
        <v>2</v>
      </c>
      <c r="D224" s="29">
        <v>319</v>
      </c>
      <c r="E224" s="29">
        <v>9640</v>
      </c>
      <c r="F224" s="29">
        <v>9640</v>
      </c>
      <c r="G224" s="29">
        <v>19280</v>
      </c>
      <c r="H224" s="29">
        <v>65000</v>
      </c>
      <c r="I224" s="29">
        <v>9640</v>
      </c>
      <c r="J224" s="29">
        <v>179500000</v>
      </c>
      <c r="K224" s="29">
        <v>977</v>
      </c>
      <c r="L224" s="29">
        <v>1225</v>
      </c>
      <c r="M224" s="29">
        <v>25</v>
      </c>
      <c r="N224" s="34">
        <v>25</v>
      </c>
      <c r="O224" s="29">
        <f t="shared" si="43"/>
        <v>1101</v>
      </c>
      <c r="P224" s="32" cm="1">
        <f t="array" ref="P224">WPNFACTOR(C224)</f>
        <v>4.5</v>
      </c>
      <c r="Q224" s="34" cm="1">
        <f t="array" ref="Q224">HPFACTOr(C224)</f>
        <v>2</v>
      </c>
      <c r="R224" s="33">
        <f t="shared" si="44"/>
        <v>244.66666666666666</v>
      </c>
      <c r="S224" s="34">
        <f t="shared" si="45"/>
        <v>89750000</v>
      </c>
      <c r="T224" s="33">
        <f t="shared" si="46"/>
        <v>259.95833333333331</v>
      </c>
      <c r="U224" s="42">
        <f t="shared" si="47"/>
        <v>99034482.758620694</v>
      </c>
      <c r="V224" s="44"/>
      <c r="W224" s="29">
        <f t="shared" si="49"/>
        <v>25744839080.45977</v>
      </c>
      <c r="X224" s="41">
        <f t="shared" si="48"/>
        <v>34.583564201392051</v>
      </c>
      <c r="Y224" s="33">
        <f t="shared" si="50"/>
        <v>400.56458121309248</v>
      </c>
      <c r="Z224" s="33">
        <v>1.33</v>
      </c>
      <c r="AA224" s="29">
        <f t="shared" si="51"/>
        <v>532.75089301341302</v>
      </c>
      <c r="AB224" s="33">
        <f t="shared" si="52"/>
        <v>2952.7729965326166</v>
      </c>
      <c r="AD224" s="46">
        <f t="shared" si="53"/>
        <v>0</v>
      </c>
    </row>
    <row r="225" spans="1:30" x14ac:dyDescent="0.2">
      <c r="A225" s="30" t="s">
        <v>8862</v>
      </c>
      <c r="B225" s="29">
        <v>4</v>
      </c>
      <c r="C225" s="29">
        <v>1</v>
      </c>
      <c r="D225" s="29">
        <v>322</v>
      </c>
      <c r="E225" s="29">
        <v>19640</v>
      </c>
      <c r="F225" s="29">
        <v>9820</v>
      </c>
      <c r="G225" s="29">
        <v>9820</v>
      </c>
      <c r="H225" s="29">
        <v>66500</v>
      </c>
      <c r="I225" s="29">
        <v>9820</v>
      </c>
      <c r="J225" s="29">
        <v>184000000</v>
      </c>
      <c r="K225" s="29">
        <v>989</v>
      </c>
      <c r="L225" s="29">
        <v>1237</v>
      </c>
      <c r="M225" s="29">
        <v>25</v>
      </c>
      <c r="N225" s="34">
        <v>25</v>
      </c>
      <c r="O225" s="29">
        <f t="shared" si="43"/>
        <v>1113</v>
      </c>
      <c r="P225" s="32" cm="1">
        <f t="array" ref="P225">WPNFACTOR(C225)</f>
        <v>2</v>
      </c>
      <c r="Q225" s="34" cm="1">
        <f t="array" ref="Q225">HPFACTOr(C225)</f>
        <v>5</v>
      </c>
      <c r="R225" s="33">
        <f t="shared" si="44"/>
        <v>556.5</v>
      </c>
      <c r="S225" s="34">
        <f t="shared" si="45"/>
        <v>36800000</v>
      </c>
      <c r="T225" s="33">
        <f t="shared" si="46"/>
        <v>591.28125</v>
      </c>
      <c r="U225" s="42">
        <f t="shared" si="47"/>
        <v>40606896.551724136</v>
      </c>
      <c r="V225" s="44"/>
      <c r="W225" s="29">
        <f t="shared" si="49"/>
        <v>24010096551.724136</v>
      </c>
      <c r="X225" s="41">
        <f t="shared" si="48"/>
        <v>34.482922153958555</v>
      </c>
      <c r="Y225" s="33">
        <f t="shared" si="50"/>
        <v>393.63932336897773</v>
      </c>
      <c r="Z225" s="33">
        <v>1.33</v>
      </c>
      <c r="AA225" s="29">
        <f t="shared" si="51"/>
        <v>523.54030008074039</v>
      </c>
      <c r="AB225" s="33">
        <f t="shared" si="52"/>
        <v>2884.9035768889999</v>
      </c>
      <c r="AD225" s="46">
        <f t="shared" si="53"/>
        <v>0</v>
      </c>
    </row>
    <row r="226" spans="1:30" x14ac:dyDescent="0.2">
      <c r="A226" s="30" t="s">
        <v>8862</v>
      </c>
      <c r="B226" s="29">
        <v>5</v>
      </c>
      <c r="C226" s="29">
        <v>2</v>
      </c>
      <c r="D226" s="29">
        <v>325</v>
      </c>
      <c r="E226" s="29">
        <v>10000</v>
      </c>
      <c r="F226" s="29">
        <v>10000</v>
      </c>
      <c r="G226" s="29">
        <v>20000</v>
      </c>
      <c r="H226" s="29">
        <v>68000</v>
      </c>
      <c r="I226" s="29">
        <v>10000</v>
      </c>
      <c r="J226" s="29">
        <v>188500000</v>
      </c>
      <c r="K226" s="29">
        <v>1000</v>
      </c>
      <c r="L226" s="29">
        <v>1247</v>
      </c>
      <c r="M226" s="29">
        <v>25</v>
      </c>
      <c r="N226" s="34">
        <v>25</v>
      </c>
      <c r="O226" s="29">
        <f t="shared" si="43"/>
        <v>1123.5</v>
      </c>
      <c r="P226" s="32" cm="1">
        <f t="array" ref="P226">WPNFACTOR(C226)</f>
        <v>4.5</v>
      </c>
      <c r="Q226" s="34" cm="1">
        <f t="array" ref="Q226">HPFACTOr(C226)</f>
        <v>2</v>
      </c>
      <c r="R226" s="33">
        <f t="shared" si="44"/>
        <v>249.66666666666666</v>
      </c>
      <c r="S226" s="34">
        <f t="shared" si="45"/>
        <v>94250000</v>
      </c>
      <c r="T226" s="33">
        <f t="shared" si="46"/>
        <v>265.27083333333331</v>
      </c>
      <c r="U226" s="42">
        <f t="shared" si="47"/>
        <v>104000000</v>
      </c>
      <c r="V226" s="44"/>
      <c r="W226" s="29">
        <f t="shared" si="49"/>
        <v>27588166666.666664</v>
      </c>
      <c r="X226" s="41">
        <f t="shared" si="48"/>
        <v>34.683330536453205</v>
      </c>
      <c r="Y226" s="33">
        <f t="shared" si="50"/>
        <v>407.54982430618315</v>
      </c>
      <c r="Z226" s="33">
        <v>1.33</v>
      </c>
      <c r="AA226" s="29">
        <f t="shared" si="51"/>
        <v>542.04126632722364</v>
      </c>
      <c r="AB226" s="33">
        <f t="shared" si="52"/>
        <v>3021.6276574119784</v>
      </c>
      <c r="AD226" s="46">
        <f t="shared" si="53"/>
        <v>0</v>
      </c>
    </row>
    <row r="227" spans="1:30" x14ac:dyDescent="0.2">
      <c r="A227" s="30" t="s">
        <v>8862</v>
      </c>
      <c r="B227" s="29">
        <v>6</v>
      </c>
      <c r="C227" s="29">
        <v>3</v>
      </c>
      <c r="D227" s="29">
        <v>328</v>
      </c>
      <c r="E227" s="29">
        <v>10180</v>
      </c>
      <c r="F227" s="29">
        <v>20360</v>
      </c>
      <c r="G227" s="29">
        <v>10180</v>
      </c>
      <c r="H227" s="29">
        <v>69500</v>
      </c>
      <c r="I227" s="29">
        <v>10180</v>
      </c>
      <c r="J227" s="29">
        <v>193000000</v>
      </c>
      <c r="K227" s="29">
        <v>1016</v>
      </c>
      <c r="L227" s="29">
        <v>1254</v>
      </c>
      <c r="M227" s="29">
        <v>25</v>
      </c>
      <c r="N227" s="34">
        <v>25</v>
      </c>
      <c r="O227" s="29">
        <f t="shared" si="43"/>
        <v>1135</v>
      </c>
      <c r="P227" s="32" cm="1">
        <f t="array" ref="P227">WPNFACTOR(C227)</f>
        <v>2.5</v>
      </c>
      <c r="Q227" s="34" cm="1">
        <f t="array" ref="Q227">HPFACTOr(C227)</f>
        <v>4</v>
      </c>
      <c r="R227" s="33">
        <f t="shared" si="44"/>
        <v>454</v>
      </c>
      <c r="S227" s="34">
        <f t="shared" si="45"/>
        <v>48250000</v>
      </c>
      <c r="T227" s="33">
        <f t="shared" si="46"/>
        <v>482.375</v>
      </c>
      <c r="U227" s="42">
        <f t="shared" si="47"/>
        <v>53241379.31034483</v>
      </c>
      <c r="V227" s="44"/>
      <c r="W227" s="29">
        <f t="shared" si="49"/>
        <v>25682310344.827587</v>
      </c>
      <c r="X227" s="41">
        <f t="shared" si="48"/>
        <v>34.580055940005941</v>
      </c>
      <c r="Y227" s="33">
        <f t="shared" si="50"/>
        <v>400.32113784177358</v>
      </c>
      <c r="Z227" s="33">
        <v>1.33</v>
      </c>
      <c r="AA227" s="29">
        <f t="shared" si="51"/>
        <v>532.42711332955889</v>
      </c>
      <c r="AB227" s="33">
        <f t="shared" si="52"/>
        <v>2950.3805061160997</v>
      </c>
      <c r="AD227" s="46">
        <f t="shared" si="53"/>
        <v>0</v>
      </c>
    </row>
    <row r="228" spans="1:30" x14ac:dyDescent="0.2">
      <c r="A228" s="30" t="s">
        <v>8862</v>
      </c>
      <c r="B228" s="29">
        <v>7</v>
      </c>
      <c r="C228" s="29">
        <v>2</v>
      </c>
      <c r="D228" s="29">
        <v>331</v>
      </c>
      <c r="E228" s="29">
        <v>10360</v>
      </c>
      <c r="F228" s="29">
        <v>10360</v>
      </c>
      <c r="G228" s="29">
        <v>20720</v>
      </c>
      <c r="H228" s="29">
        <v>71000</v>
      </c>
      <c r="I228" s="29">
        <v>10360</v>
      </c>
      <c r="J228" s="29">
        <v>197500000</v>
      </c>
      <c r="K228" s="29">
        <v>1024</v>
      </c>
      <c r="L228" s="29">
        <v>1274</v>
      </c>
      <c r="M228" s="29">
        <v>25</v>
      </c>
      <c r="N228" s="34">
        <v>25</v>
      </c>
      <c r="O228" s="29">
        <f t="shared" si="43"/>
        <v>1149</v>
      </c>
      <c r="P228" s="32" cm="1">
        <f t="array" ref="P228">WPNFACTOR(C228)</f>
        <v>4.5</v>
      </c>
      <c r="Q228" s="34" cm="1">
        <f t="array" ref="Q228">HPFACTOr(C228)</f>
        <v>2</v>
      </c>
      <c r="R228" s="33">
        <f t="shared" si="44"/>
        <v>255.33333333333334</v>
      </c>
      <c r="S228" s="34">
        <f t="shared" si="45"/>
        <v>98750000</v>
      </c>
      <c r="T228" s="33">
        <f t="shared" si="46"/>
        <v>271.29166666666669</v>
      </c>
      <c r="U228" s="42">
        <f t="shared" si="47"/>
        <v>108965517.24137932</v>
      </c>
      <c r="V228" s="44"/>
      <c r="W228" s="29">
        <f t="shared" si="49"/>
        <v>29561436781.6092</v>
      </c>
      <c r="X228" s="41">
        <f t="shared" si="48"/>
        <v>34.782997339715209</v>
      </c>
      <c r="Y228" s="33">
        <f t="shared" si="50"/>
        <v>414.64972776772959</v>
      </c>
      <c r="Z228" s="33">
        <v>1.33</v>
      </c>
      <c r="AA228" s="29">
        <f t="shared" si="51"/>
        <v>551.48413793108034</v>
      </c>
      <c r="AB228" s="33">
        <f t="shared" si="52"/>
        <v>3092.0168084934098</v>
      </c>
      <c r="AD228" s="46">
        <f t="shared" si="53"/>
        <v>0</v>
      </c>
    </row>
    <row r="229" spans="1:30" x14ac:dyDescent="0.2">
      <c r="A229" s="30" t="s">
        <v>8862</v>
      </c>
      <c r="B229" s="29">
        <v>8</v>
      </c>
      <c r="C229" s="29">
        <v>2</v>
      </c>
      <c r="D229" s="29">
        <v>334</v>
      </c>
      <c r="E229" s="29">
        <v>10540</v>
      </c>
      <c r="F229" s="29">
        <v>10540</v>
      </c>
      <c r="G229" s="29">
        <v>21080</v>
      </c>
      <c r="H229" s="29">
        <v>72500</v>
      </c>
      <c r="I229" s="29">
        <v>10540</v>
      </c>
      <c r="J229" s="29">
        <v>202000000</v>
      </c>
      <c r="K229" s="29">
        <v>1037</v>
      </c>
      <c r="L229" s="29">
        <v>1286</v>
      </c>
      <c r="M229" s="29">
        <v>25</v>
      </c>
      <c r="N229" s="34">
        <v>25</v>
      </c>
      <c r="O229" s="29">
        <f t="shared" si="43"/>
        <v>1161.5</v>
      </c>
      <c r="P229" s="32" cm="1">
        <f t="array" ref="P229">WPNFACTOR(C229)</f>
        <v>4.5</v>
      </c>
      <c r="Q229" s="34" cm="1">
        <f t="array" ref="Q229">HPFACTOr(C229)</f>
        <v>2</v>
      </c>
      <c r="R229" s="33">
        <f t="shared" si="44"/>
        <v>258.11111111111109</v>
      </c>
      <c r="S229" s="34">
        <f t="shared" si="45"/>
        <v>101000000</v>
      </c>
      <c r="T229" s="33">
        <f t="shared" si="46"/>
        <v>274.24305555555554</v>
      </c>
      <c r="U229" s="42">
        <f t="shared" si="47"/>
        <v>111448275.86206897</v>
      </c>
      <c r="V229" s="44"/>
      <c r="W229" s="29">
        <f t="shared" si="49"/>
        <v>30563915708.81226</v>
      </c>
      <c r="X229" s="41">
        <f t="shared" si="48"/>
        <v>34.831110335565235</v>
      </c>
      <c r="Y229" s="33">
        <f t="shared" si="50"/>
        <v>418.12125793800834</v>
      </c>
      <c r="Z229" s="33">
        <v>1.33</v>
      </c>
      <c r="AA229" s="29">
        <f t="shared" si="51"/>
        <v>556.10127305755111</v>
      </c>
      <c r="AB229" s="33">
        <f t="shared" si="52"/>
        <v>3126.5808563451028</v>
      </c>
      <c r="AD229" s="46">
        <f t="shared" si="53"/>
        <v>0</v>
      </c>
    </row>
    <row r="230" spans="1:30" x14ac:dyDescent="0.2">
      <c r="A230" s="30" t="s">
        <v>8862</v>
      </c>
      <c r="B230" s="29">
        <v>9</v>
      </c>
      <c r="C230" s="29">
        <v>1</v>
      </c>
      <c r="D230" s="29">
        <v>337</v>
      </c>
      <c r="E230" s="29">
        <v>21440</v>
      </c>
      <c r="F230" s="29">
        <v>10720</v>
      </c>
      <c r="G230" s="29">
        <v>10720</v>
      </c>
      <c r="H230" s="29">
        <v>74000</v>
      </c>
      <c r="I230" s="29">
        <v>10720</v>
      </c>
      <c r="J230" s="29">
        <v>206500000</v>
      </c>
      <c r="K230" s="29">
        <v>1050</v>
      </c>
      <c r="L230" s="29">
        <v>1298</v>
      </c>
      <c r="M230" s="29">
        <v>25</v>
      </c>
      <c r="N230" s="34">
        <v>25</v>
      </c>
      <c r="O230" s="29">
        <f t="shared" si="43"/>
        <v>1174</v>
      </c>
      <c r="P230" s="32" cm="1">
        <f t="array" ref="P230">WPNFACTOR(C230)</f>
        <v>2</v>
      </c>
      <c r="Q230" s="34" cm="1">
        <f t="array" ref="Q230">HPFACTOr(C230)</f>
        <v>5</v>
      </c>
      <c r="R230" s="33">
        <f t="shared" si="44"/>
        <v>587</v>
      </c>
      <c r="S230" s="34">
        <f t="shared" si="45"/>
        <v>41300000</v>
      </c>
      <c r="T230" s="33">
        <f t="shared" si="46"/>
        <v>623.6875</v>
      </c>
      <c r="U230" s="42">
        <f t="shared" si="47"/>
        <v>45572413.793103449</v>
      </c>
      <c r="V230" s="44"/>
      <c r="W230" s="29">
        <f t="shared" si="49"/>
        <v>28422944827.586208</v>
      </c>
      <c r="X230" s="41">
        <f t="shared" si="48"/>
        <v>34.726336985089077</v>
      </c>
      <c r="Y230" s="33">
        <f t="shared" si="50"/>
        <v>410.59841447626405</v>
      </c>
      <c r="Z230" s="33">
        <v>1.33</v>
      </c>
      <c r="AA230" s="29">
        <f t="shared" si="51"/>
        <v>546.0958912534312</v>
      </c>
      <c r="AB230" s="33">
        <f t="shared" si="52"/>
        <v>3051.8020284468244</v>
      </c>
      <c r="AD230" s="46">
        <f t="shared" si="53"/>
        <v>0</v>
      </c>
    </row>
    <row r="231" spans="1:30" x14ac:dyDescent="0.2">
      <c r="A231" s="30" t="s">
        <v>8862</v>
      </c>
      <c r="B231" s="29">
        <v>10</v>
      </c>
      <c r="C231" s="29">
        <v>2</v>
      </c>
      <c r="D231" s="29">
        <v>340</v>
      </c>
      <c r="E231" s="29">
        <v>10900</v>
      </c>
      <c r="F231" s="29">
        <v>10900</v>
      </c>
      <c r="G231" s="29">
        <v>21800</v>
      </c>
      <c r="H231" s="29">
        <v>75500</v>
      </c>
      <c r="I231" s="29">
        <v>10900</v>
      </c>
      <c r="J231" s="29">
        <v>211000000</v>
      </c>
      <c r="K231" s="29">
        <v>1061</v>
      </c>
      <c r="L231" s="29">
        <v>1310</v>
      </c>
      <c r="M231" s="29">
        <v>25</v>
      </c>
      <c r="N231" s="34">
        <v>25</v>
      </c>
      <c r="O231" s="29">
        <f t="shared" si="43"/>
        <v>1185.5</v>
      </c>
      <c r="P231" s="32" cm="1">
        <f t="array" ref="P231">WPNFACTOR(C231)</f>
        <v>4.5</v>
      </c>
      <c r="Q231" s="34" cm="1">
        <f t="array" ref="Q231">HPFACTOr(C231)</f>
        <v>2</v>
      </c>
      <c r="R231" s="33">
        <f t="shared" si="44"/>
        <v>263.44444444444446</v>
      </c>
      <c r="S231" s="34">
        <f t="shared" si="45"/>
        <v>105500000</v>
      </c>
      <c r="T231" s="33">
        <f t="shared" si="46"/>
        <v>279.90972222222223</v>
      </c>
      <c r="U231" s="42">
        <f t="shared" si="47"/>
        <v>116413793.10344829</v>
      </c>
      <c r="V231" s="44"/>
      <c r="W231" s="29">
        <f t="shared" si="49"/>
        <v>32585352490.421459</v>
      </c>
      <c r="X231" s="41">
        <f t="shared" si="48"/>
        <v>34.923504550193819</v>
      </c>
      <c r="Y231" s="33">
        <f t="shared" si="50"/>
        <v>424.8695491196512</v>
      </c>
      <c r="Z231" s="33">
        <v>1.33</v>
      </c>
      <c r="AA231" s="29">
        <f t="shared" si="51"/>
        <v>565.07650032913614</v>
      </c>
      <c r="AB231" s="33">
        <f t="shared" si="52"/>
        <v>3194.0433619471946</v>
      </c>
      <c r="AD231" s="46">
        <f t="shared" si="53"/>
        <v>0</v>
      </c>
    </row>
    <row r="232" spans="1:30" x14ac:dyDescent="0.2">
      <c r="A232" s="30" t="s">
        <v>8863</v>
      </c>
      <c r="B232" s="29">
        <v>1</v>
      </c>
      <c r="C232" s="29">
        <v>1</v>
      </c>
      <c r="D232" s="29">
        <v>480</v>
      </c>
      <c r="E232" s="29">
        <v>66000</v>
      </c>
      <c r="F232" s="29">
        <v>35000</v>
      </c>
      <c r="G232" s="29">
        <v>35000</v>
      </c>
      <c r="H232" s="29">
        <v>174000</v>
      </c>
      <c r="I232" s="29">
        <v>35000</v>
      </c>
      <c r="J232" s="29">
        <v>540000000</v>
      </c>
      <c r="K232" s="29">
        <v>1901</v>
      </c>
      <c r="L232" s="29">
        <v>2144</v>
      </c>
      <c r="M232" s="29">
        <v>25</v>
      </c>
      <c r="N232" s="34">
        <v>25</v>
      </c>
      <c r="O232" s="29">
        <f t="shared" si="43"/>
        <v>2022.5</v>
      </c>
      <c r="P232" s="32" cm="1">
        <f t="array" ref="P232">WPNFACTOR(C232)</f>
        <v>2</v>
      </c>
      <c r="Q232" s="34" cm="1">
        <f t="array" ref="Q232">HPFACTOr(C232)</f>
        <v>5</v>
      </c>
      <c r="R232" s="33">
        <f t="shared" si="44"/>
        <v>1011.25</v>
      </c>
      <c r="S232" s="34">
        <f t="shared" si="45"/>
        <v>108000000</v>
      </c>
      <c r="T232" s="33">
        <f t="shared" si="46"/>
        <v>1074.453125</v>
      </c>
      <c r="U232" s="42">
        <f t="shared" si="47"/>
        <v>119172413.79310346</v>
      </c>
      <c r="V232" s="44"/>
      <c r="W232" s="29">
        <f t="shared" si="49"/>
        <v>128045172413.79311</v>
      </c>
      <c r="X232" s="41">
        <f t="shared" si="48"/>
        <v>36.897861904927751</v>
      </c>
      <c r="Y232" s="33">
        <f t="shared" si="50"/>
        <v>598.19227778247932</v>
      </c>
      <c r="Z232" s="33">
        <v>1.33</v>
      </c>
      <c r="AA232" s="29">
        <f t="shared" si="51"/>
        <v>795.59572945069749</v>
      </c>
      <c r="AB232" s="33">
        <f t="shared" si="52"/>
        <v>5040.2769806336537</v>
      </c>
      <c r="AD232" s="46">
        <f t="shared" si="53"/>
        <v>0</v>
      </c>
    </row>
    <row r="233" spans="1:30" x14ac:dyDescent="0.2">
      <c r="A233" s="30" t="s">
        <v>8863</v>
      </c>
      <c r="B233" s="29">
        <v>2</v>
      </c>
      <c r="C233" s="29">
        <v>2</v>
      </c>
      <c r="D233" s="29">
        <v>483</v>
      </c>
      <c r="E233" s="29">
        <v>35750</v>
      </c>
      <c r="F233" s="29">
        <v>35750</v>
      </c>
      <c r="G233" s="29">
        <v>67350</v>
      </c>
      <c r="H233" s="29">
        <v>176400</v>
      </c>
      <c r="I233" s="29">
        <v>35750</v>
      </c>
      <c r="J233" s="29">
        <v>549000000</v>
      </c>
      <c r="K233" s="29">
        <v>1918</v>
      </c>
      <c r="L233" s="29">
        <v>2162</v>
      </c>
      <c r="M233" s="29">
        <v>25</v>
      </c>
      <c r="N233" s="34">
        <v>25</v>
      </c>
      <c r="O233" s="29">
        <f t="shared" si="43"/>
        <v>2040</v>
      </c>
      <c r="P233" s="32" cm="1">
        <f t="array" ref="P233">WPNFACTOR(C233)</f>
        <v>4.5</v>
      </c>
      <c r="Q233" s="34" cm="1">
        <f t="array" ref="Q233">HPFACTOr(C233)</f>
        <v>2</v>
      </c>
      <c r="R233" s="33">
        <f t="shared" si="44"/>
        <v>453.33333333333331</v>
      </c>
      <c r="S233" s="34">
        <f t="shared" si="45"/>
        <v>274500000</v>
      </c>
      <c r="T233" s="33">
        <f t="shared" si="46"/>
        <v>481.66666666666663</v>
      </c>
      <c r="U233" s="42">
        <f t="shared" si="47"/>
        <v>302896551.72413796</v>
      </c>
      <c r="V233" s="44"/>
      <c r="W233" s="29">
        <f t="shared" si="49"/>
        <v>145895172413.79312</v>
      </c>
      <c r="X233" s="41">
        <f t="shared" si="48"/>
        <v>37.086141189868691</v>
      </c>
      <c r="Y233" s="33">
        <f t="shared" si="50"/>
        <v>618.03095852360548</v>
      </c>
      <c r="Z233" s="33">
        <v>1.33</v>
      </c>
      <c r="AA233" s="29">
        <f t="shared" si="51"/>
        <v>821.98117483639533</v>
      </c>
      <c r="AB233" s="33">
        <f t="shared" si="52"/>
        <v>5264.376888852209</v>
      </c>
      <c r="AD233" s="46">
        <f t="shared" si="53"/>
        <v>0</v>
      </c>
    </row>
    <row r="234" spans="1:30" x14ac:dyDescent="0.2">
      <c r="A234" s="30" t="s">
        <v>8863</v>
      </c>
      <c r="B234" s="29">
        <v>3</v>
      </c>
      <c r="C234" s="29">
        <v>3</v>
      </c>
      <c r="D234" s="29">
        <v>486</v>
      </c>
      <c r="E234" s="29">
        <v>36500</v>
      </c>
      <c r="F234" s="29">
        <v>68700</v>
      </c>
      <c r="G234" s="29">
        <v>36500</v>
      </c>
      <c r="H234" s="29">
        <v>178800</v>
      </c>
      <c r="I234" s="29">
        <v>36500</v>
      </c>
      <c r="J234" s="29">
        <v>558000000</v>
      </c>
      <c r="K234" s="29">
        <v>1931</v>
      </c>
      <c r="L234" s="29">
        <v>2174</v>
      </c>
      <c r="M234" s="29">
        <v>25</v>
      </c>
      <c r="N234" s="34">
        <v>25</v>
      </c>
      <c r="O234" s="29">
        <f t="shared" si="43"/>
        <v>2052.5</v>
      </c>
      <c r="P234" s="32" cm="1">
        <f t="array" ref="P234">WPNFACTOR(C234)</f>
        <v>2.5</v>
      </c>
      <c r="Q234" s="34" cm="1">
        <f t="array" ref="Q234">HPFACTOr(C234)</f>
        <v>4</v>
      </c>
      <c r="R234" s="33">
        <f t="shared" si="44"/>
        <v>821</v>
      </c>
      <c r="S234" s="34">
        <f t="shared" si="45"/>
        <v>139500000</v>
      </c>
      <c r="T234" s="33">
        <f t="shared" si="46"/>
        <v>872.3125</v>
      </c>
      <c r="U234" s="42">
        <f t="shared" si="47"/>
        <v>153931034.48275861</v>
      </c>
      <c r="V234" s="44"/>
      <c r="W234" s="29">
        <f t="shared" si="49"/>
        <v>134275965517.24138</v>
      </c>
      <c r="X234" s="41">
        <f t="shared" si="48"/>
        <v>36.966410139053934</v>
      </c>
      <c r="Y234" s="33">
        <f t="shared" si="50"/>
        <v>605.3402767485627</v>
      </c>
      <c r="Z234" s="33">
        <v>1.33</v>
      </c>
      <c r="AA234" s="29">
        <f t="shared" si="51"/>
        <v>805.10256807558847</v>
      </c>
      <c r="AB234" s="33">
        <f t="shared" si="52"/>
        <v>5120.7404212458359</v>
      </c>
      <c r="AD234" s="46">
        <f t="shared" si="53"/>
        <v>0</v>
      </c>
    </row>
    <row r="235" spans="1:30" x14ac:dyDescent="0.2">
      <c r="A235" s="30" t="s">
        <v>8863</v>
      </c>
      <c r="B235" s="29">
        <v>4</v>
      </c>
      <c r="C235" s="29">
        <v>1</v>
      </c>
      <c r="D235" s="29">
        <v>489</v>
      </c>
      <c r="E235" s="29">
        <v>70050</v>
      </c>
      <c r="F235" s="29">
        <v>37250</v>
      </c>
      <c r="G235" s="29">
        <v>37250</v>
      </c>
      <c r="H235" s="29">
        <v>181200</v>
      </c>
      <c r="I235" s="29">
        <v>37250</v>
      </c>
      <c r="J235" s="29">
        <v>567000000</v>
      </c>
      <c r="K235" s="29">
        <v>1948</v>
      </c>
      <c r="L235" s="29">
        <v>2189</v>
      </c>
      <c r="M235" s="29">
        <v>25</v>
      </c>
      <c r="N235" s="34">
        <v>25</v>
      </c>
      <c r="O235" s="29">
        <f t="shared" si="43"/>
        <v>2068.5</v>
      </c>
      <c r="P235" s="32" cm="1">
        <f t="array" ref="P235">WPNFACTOR(C235)</f>
        <v>2</v>
      </c>
      <c r="Q235" s="34" cm="1">
        <f t="array" ref="Q235">HPFACTOr(C235)</f>
        <v>5</v>
      </c>
      <c r="R235" s="33">
        <f t="shared" si="44"/>
        <v>1034.25</v>
      </c>
      <c r="S235" s="34">
        <f t="shared" si="45"/>
        <v>113400000</v>
      </c>
      <c r="T235" s="33">
        <f t="shared" si="46"/>
        <v>1098.890625</v>
      </c>
      <c r="U235" s="42">
        <f t="shared" si="47"/>
        <v>125131034.48275863</v>
      </c>
      <c r="V235" s="44"/>
      <c r="W235" s="29">
        <f t="shared" si="49"/>
        <v>137505320689.65518</v>
      </c>
      <c r="X235" s="41">
        <f t="shared" si="48"/>
        <v>37.000696487736946</v>
      </c>
      <c r="Y235" s="33">
        <f t="shared" si="50"/>
        <v>608.94753361997175</v>
      </c>
      <c r="Z235" s="33">
        <v>1.33</v>
      </c>
      <c r="AA235" s="29">
        <f t="shared" si="51"/>
        <v>809.90021971456247</v>
      </c>
      <c r="AB235" s="33">
        <f t="shared" si="52"/>
        <v>5161.4671514792644</v>
      </c>
      <c r="AD235" s="46">
        <f t="shared" si="53"/>
        <v>0</v>
      </c>
    </row>
    <row r="236" spans="1:30" x14ac:dyDescent="0.2">
      <c r="A236" s="30" t="s">
        <v>8863</v>
      </c>
      <c r="B236" s="29">
        <v>5</v>
      </c>
      <c r="C236" s="29">
        <v>2</v>
      </c>
      <c r="D236" s="29">
        <v>492</v>
      </c>
      <c r="E236" s="29">
        <v>38000</v>
      </c>
      <c r="F236" s="29">
        <v>38000</v>
      </c>
      <c r="G236" s="29">
        <v>71400</v>
      </c>
      <c r="H236" s="29">
        <v>183600</v>
      </c>
      <c r="I236" s="29">
        <v>38000</v>
      </c>
      <c r="J236" s="29">
        <v>576000000</v>
      </c>
      <c r="K236" s="29">
        <v>1962</v>
      </c>
      <c r="L236" s="29">
        <v>2202</v>
      </c>
      <c r="M236" s="29">
        <v>25</v>
      </c>
      <c r="N236" s="34">
        <v>25</v>
      </c>
      <c r="O236" s="29">
        <f t="shared" si="43"/>
        <v>2082</v>
      </c>
      <c r="P236" s="32" cm="1">
        <f t="array" ref="P236">WPNFACTOR(C236)</f>
        <v>4.5</v>
      </c>
      <c r="Q236" s="34" cm="1">
        <f t="array" ref="Q236">HPFACTOr(C236)</f>
        <v>2</v>
      </c>
      <c r="R236" s="33">
        <f t="shared" si="44"/>
        <v>462.66666666666669</v>
      </c>
      <c r="S236" s="34">
        <f t="shared" si="45"/>
        <v>288000000</v>
      </c>
      <c r="T236" s="33">
        <f t="shared" si="46"/>
        <v>491.58333333333337</v>
      </c>
      <c r="U236" s="42">
        <f t="shared" si="47"/>
        <v>317793103.44827586</v>
      </c>
      <c r="V236" s="44"/>
      <c r="W236" s="29">
        <f t="shared" si="49"/>
        <v>156221793103.4483</v>
      </c>
      <c r="X236" s="41">
        <f t="shared" si="48"/>
        <v>37.184804768746361</v>
      </c>
      <c r="Y236" s="33">
        <f t="shared" si="50"/>
        <v>628.6883382846629</v>
      </c>
      <c r="Z236" s="33">
        <v>1.33</v>
      </c>
      <c r="AA236" s="29">
        <f t="shared" si="51"/>
        <v>836.15548991860169</v>
      </c>
      <c r="AB236" s="33">
        <f t="shared" si="52"/>
        <v>5385.7625993537913</v>
      </c>
      <c r="AD236" s="46">
        <f t="shared" si="53"/>
        <v>0</v>
      </c>
    </row>
    <row r="237" spans="1:30" x14ac:dyDescent="0.2">
      <c r="A237" s="30" t="s">
        <v>8863</v>
      </c>
      <c r="B237" s="29">
        <v>6</v>
      </c>
      <c r="C237" s="29">
        <v>1</v>
      </c>
      <c r="D237" s="29">
        <v>495</v>
      </c>
      <c r="E237" s="29">
        <v>72750</v>
      </c>
      <c r="F237" s="29">
        <v>38750</v>
      </c>
      <c r="G237" s="29">
        <v>38750</v>
      </c>
      <c r="H237" s="29">
        <v>186000</v>
      </c>
      <c r="I237" s="29">
        <v>38750</v>
      </c>
      <c r="J237" s="29">
        <v>585000000</v>
      </c>
      <c r="K237" s="29">
        <v>1980</v>
      </c>
      <c r="L237" s="29">
        <v>2216</v>
      </c>
      <c r="M237" s="29">
        <v>25</v>
      </c>
      <c r="N237" s="34">
        <v>25</v>
      </c>
      <c r="O237" s="29">
        <f t="shared" si="43"/>
        <v>2098</v>
      </c>
      <c r="P237" s="32" cm="1">
        <f t="array" ref="P237">WPNFACTOR(C237)</f>
        <v>2</v>
      </c>
      <c r="Q237" s="34" cm="1">
        <f t="array" ref="Q237">HPFACTOr(C237)</f>
        <v>5</v>
      </c>
      <c r="R237" s="33">
        <f t="shared" si="44"/>
        <v>1049</v>
      </c>
      <c r="S237" s="34">
        <f t="shared" si="45"/>
        <v>117000000</v>
      </c>
      <c r="T237" s="33">
        <f t="shared" si="46"/>
        <v>1114.5625</v>
      </c>
      <c r="U237" s="42">
        <f t="shared" si="47"/>
        <v>129103448.27586207</v>
      </c>
      <c r="V237" s="44"/>
      <c r="W237" s="29">
        <f t="shared" si="49"/>
        <v>143893862068.96552</v>
      </c>
      <c r="X237" s="41">
        <f t="shared" si="48"/>
        <v>37.066214097607613</v>
      </c>
      <c r="Y237" s="33">
        <f t="shared" si="50"/>
        <v>615.90051504905762</v>
      </c>
      <c r="Z237" s="33">
        <v>1.33</v>
      </c>
      <c r="AA237" s="29">
        <f t="shared" si="51"/>
        <v>819.14768501524668</v>
      </c>
      <c r="AB237" s="33">
        <f t="shared" si="52"/>
        <v>5240.1946937955345</v>
      </c>
      <c r="AD237" s="46">
        <f t="shared" si="53"/>
        <v>0</v>
      </c>
    </row>
    <row r="238" spans="1:30" x14ac:dyDescent="0.2">
      <c r="A238" s="30" t="s">
        <v>8863</v>
      </c>
      <c r="B238" s="29">
        <v>7</v>
      </c>
      <c r="C238" s="29">
        <v>3</v>
      </c>
      <c r="D238" s="29">
        <v>498</v>
      </c>
      <c r="E238" s="29">
        <v>39500</v>
      </c>
      <c r="F238" s="29">
        <v>74100</v>
      </c>
      <c r="G238" s="29">
        <v>39500</v>
      </c>
      <c r="H238" s="29">
        <v>188400</v>
      </c>
      <c r="I238" s="29">
        <v>39500</v>
      </c>
      <c r="J238" s="29">
        <v>594000000</v>
      </c>
      <c r="K238" s="29">
        <v>1996</v>
      </c>
      <c r="L238" s="29">
        <v>2235</v>
      </c>
      <c r="M238" s="29">
        <v>25</v>
      </c>
      <c r="N238" s="34">
        <v>25</v>
      </c>
      <c r="O238" s="29">
        <f t="shared" si="43"/>
        <v>2115.5</v>
      </c>
      <c r="P238" s="32" cm="1">
        <f t="array" ref="P238">WPNFACTOR(C238)</f>
        <v>2.5</v>
      </c>
      <c r="Q238" s="34" cm="1">
        <f t="array" ref="Q238">HPFACTOr(C238)</f>
        <v>4</v>
      </c>
      <c r="R238" s="33">
        <f t="shared" si="44"/>
        <v>846.2</v>
      </c>
      <c r="S238" s="34">
        <f t="shared" si="45"/>
        <v>148500000</v>
      </c>
      <c r="T238" s="33">
        <f t="shared" si="46"/>
        <v>899.08750000000009</v>
      </c>
      <c r="U238" s="42">
        <f t="shared" si="47"/>
        <v>163862068.96551725</v>
      </c>
      <c r="V238" s="44"/>
      <c r="W238" s="29">
        <f t="shared" si="49"/>
        <v>147326337931.03452</v>
      </c>
      <c r="X238" s="41">
        <f t="shared" si="48"/>
        <v>37.100224411716695</v>
      </c>
      <c r="Y238" s="33">
        <f t="shared" si="50"/>
        <v>619.54106566903647</v>
      </c>
      <c r="Z238" s="33">
        <v>1.33</v>
      </c>
      <c r="AA238" s="29">
        <f t="shared" si="51"/>
        <v>823.98961733981855</v>
      </c>
      <c r="AB238" s="33">
        <f t="shared" si="52"/>
        <v>5281.5346244532893</v>
      </c>
      <c r="AD238" s="46">
        <f t="shared" si="53"/>
        <v>0</v>
      </c>
    </row>
    <row r="239" spans="1:30" x14ac:dyDescent="0.2">
      <c r="A239" s="30" t="s">
        <v>8863</v>
      </c>
      <c r="B239" s="29">
        <v>8</v>
      </c>
      <c r="C239" s="29">
        <v>3</v>
      </c>
      <c r="D239" s="29">
        <v>501</v>
      </c>
      <c r="E239" s="29">
        <v>40250</v>
      </c>
      <c r="F239" s="29">
        <v>80500</v>
      </c>
      <c r="G239" s="29">
        <v>40250</v>
      </c>
      <c r="H239" s="29">
        <v>190800</v>
      </c>
      <c r="I239" s="29">
        <v>40250</v>
      </c>
      <c r="J239" s="29">
        <v>603000000</v>
      </c>
      <c r="K239" s="29">
        <v>2017</v>
      </c>
      <c r="L239" s="29">
        <v>2254</v>
      </c>
      <c r="M239" s="29">
        <v>25</v>
      </c>
      <c r="N239" s="34">
        <v>25</v>
      </c>
      <c r="O239" s="29">
        <f t="shared" si="43"/>
        <v>2135.5</v>
      </c>
      <c r="P239" s="32" cm="1">
        <f t="array" ref="P239">WPNFACTOR(C239)</f>
        <v>2.5</v>
      </c>
      <c r="Q239" s="34" cm="1">
        <f t="array" ref="Q239">HPFACTOr(C239)</f>
        <v>4</v>
      </c>
      <c r="R239" s="33">
        <f t="shared" si="44"/>
        <v>854.2</v>
      </c>
      <c r="S239" s="34">
        <f t="shared" si="45"/>
        <v>150750000</v>
      </c>
      <c r="T239" s="33">
        <f t="shared" si="46"/>
        <v>907.58750000000009</v>
      </c>
      <c r="U239" s="42">
        <f t="shared" si="47"/>
        <v>166344827.58620691</v>
      </c>
      <c r="V239" s="44"/>
      <c r="W239" s="29">
        <f t="shared" si="49"/>
        <v>150972486206.89658</v>
      </c>
      <c r="X239" s="41">
        <f t="shared" si="48"/>
        <v>37.135494695101805</v>
      </c>
      <c r="Y239" s="33">
        <f t="shared" si="50"/>
        <v>623.33921792176113</v>
      </c>
      <c r="Z239" s="33">
        <v>1.33</v>
      </c>
      <c r="AA239" s="29">
        <f t="shared" si="51"/>
        <v>829.04115983594238</v>
      </c>
      <c r="AB239" s="33">
        <f t="shared" si="52"/>
        <v>5324.7505737462689</v>
      </c>
      <c r="AD239" s="46">
        <f t="shared" si="53"/>
        <v>0</v>
      </c>
    </row>
    <row r="240" spans="1:30" x14ac:dyDescent="0.2">
      <c r="A240" s="30" t="s">
        <v>8863</v>
      </c>
      <c r="B240" s="29">
        <v>9</v>
      </c>
      <c r="C240" s="29">
        <v>1</v>
      </c>
      <c r="D240" s="29">
        <v>504</v>
      </c>
      <c r="E240" s="29">
        <v>82000</v>
      </c>
      <c r="F240" s="29">
        <v>41000</v>
      </c>
      <c r="G240" s="29">
        <v>41000</v>
      </c>
      <c r="H240" s="29">
        <v>193200</v>
      </c>
      <c r="I240" s="29">
        <v>41000</v>
      </c>
      <c r="J240" s="29">
        <v>612000000</v>
      </c>
      <c r="K240" s="29">
        <v>2020</v>
      </c>
      <c r="L240" s="29">
        <v>2267</v>
      </c>
      <c r="M240" s="29">
        <v>25</v>
      </c>
      <c r="N240" s="34">
        <v>25</v>
      </c>
      <c r="O240" s="29">
        <f t="shared" si="43"/>
        <v>2143.5</v>
      </c>
      <c r="P240" s="32" cm="1">
        <f t="array" ref="P240">WPNFACTOR(C240)</f>
        <v>2</v>
      </c>
      <c r="Q240" s="34" cm="1">
        <f t="array" ref="Q240">HPFACTOr(C240)</f>
        <v>5</v>
      </c>
      <c r="R240" s="33">
        <f t="shared" si="44"/>
        <v>1071.75</v>
      </c>
      <c r="S240" s="34">
        <f t="shared" si="45"/>
        <v>122400000</v>
      </c>
      <c r="T240" s="33">
        <f t="shared" si="46"/>
        <v>1138.734375</v>
      </c>
      <c r="U240" s="42">
        <f t="shared" si="47"/>
        <v>135062068.96551725</v>
      </c>
      <c r="V240" s="44"/>
      <c r="W240" s="29">
        <f t="shared" si="49"/>
        <v>153799820689.65518</v>
      </c>
      <c r="X240" s="41">
        <f t="shared" si="48"/>
        <v>37.162262865069202</v>
      </c>
      <c r="Y240" s="33">
        <f t="shared" si="50"/>
        <v>626.23733712663102</v>
      </c>
      <c r="Z240" s="33">
        <v>1.33</v>
      </c>
      <c r="AA240" s="29">
        <f t="shared" si="51"/>
        <v>832.89565837841928</v>
      </c>
      <c r="AB240" s="33">
        <f t="shared" si="52"/>
        <v>5357.7849303327348</v>
      </c>
      <c r="AD240" s="46">
        <f t="shared" si="53"/>
        <v>0</v>
      </c>
    </row>
    <row r="241" spans="1:30" x14ac:dyDescent="0.2">
      <c r="A241" s="30" t="s">
        <v>8863</v>
      </c>
      <c r="B241" s="29">
        <v>10</v>
      </c>
      <c r="C241" s="29">
        <v>1</v>
      </c>
      <c r="D241" s="29">
        <v>510</v>
      </c>
      <c r="E241" s="29">
        <v>85000</v>
      </c>
      <c r="F241" s="29">
        <v>42500</v>
      </c>
      <c r="G241" s="29">
        <v>42500</v>
      </c>
      <c r="H241" s="29">
        <v>198000</v>
      </c>
      <c r="I241" s="29">
        <v>42500</v>
      </c>
      <c r="J241" s="29">
        <v>630000000</v>
      </c>
      <c r="K241" s="29">
        <v>2064</v>
      </c>
      <c r="L241" s="29">
        <v>2296</v>
      </c>
      <c r="M241" s="29">
        <v>25</v>
      </c>
      <c r="N241" s="34">
        <v>25</v>
      </c>
      <c r="O241" s="29">
        <f t="shared" si="43"/>
        <v>2180</v>
      </c>
      <c r="P241" s="32" cm="1">
        <f t="array" ref="P241">WPNFACTOR(C241)</f>
        <v>2</v>
      </c>
      <c r="Q241" s="34" cm="1">
        <f t="array" ref="Q241">HPFACTOr(C241)</f>
        <v>5</v>
      </c>
      <c r="R241" s="33">
        <f t="shared" si="44"/>
        <v>1090</v>
      </c>
      <c r="S241" s="34">
        <f t="shared" si="45"/>
        <v>126000000</v>
      </c>
      <c r="T241" s="33">
        <f t="shared" si="46"/>
        <v>1158.125</v>
      </c>
      <c r="U241" s="42">
        <f t="shared" si="47"/>
        <v>139034482.75862068</v>
      </c>
      <c r="V241" s="44"/>
      <c r="W241" s="29">
        <f t="shared" si="49"/>
        <v>161019310344.82758</v>
      </c>
      <c r="X241" s="41">
        <f t="shared" si="48"/>
        <v>37.228442758611145</v>
      </c>
      <c r="Y241" s="33">
        <f t="shared" si="50"/>
        <v>633.46042898120095</v>
      </c>
      <c r="Z241" s="33">
        <v>1.33</v>
      </c>
      <c r="AA241" s="29">
        <f t="shared" si="51"/>
        <v>842.50237054499735</v>
      </c>
      <c r="AB241" s="33">
        <f t="shared" si="52"/>
        <v>5440.339312844827</v>
      </c>
      <c r="AD241" s="46">
        <f t="shared" si="53"/>
        <v>0</v>
      </c>
    </row>
    <row r="242" spans="1:30" x14ac:dyDescent="0.2">
      <c r="A242" s="30" t="s">
        <v>8864</v>
      </c>
      <c r="B242" s="29">
        <v>1</v>
      </c>
      <c r="C242" s="29">
        <v>3</v>
      </c>
      <c r="D242" s="29">
        <v>410</v>
      </c>
      <c r="E242" s="29">
        <v>8720</v>
      </c>
      <c r="F242" s="29">
        <v>34720</v>
      </c>
      <c r="G242" s="29">
        <v>8680</v>
      </c>
      <c r="H242" s="29">
        <v>33600</v>
      </c>
      <c r="I242" s="29">
        <v>12436</v>
      </c>
      <c r="J242" s="29">
        <v>55238400</v>
      </c>
      <c r="K242" s="29">
        <v>671</v>
      </c>
      <c r="L242" s="29">
        <v>1034</v>
      </c>
      <c r="N242" s="34"/>
      <c r="O242" s="29">
        <f t="shared" si="43"/>
        <v>852.5</v>
      </c>
      <c r="P242" s="32" cm="1">
        <f t="array" ref="P242">WPNFACTOR(C242)</f>
        <v>2.5</v>
      </c>
      <c r="Q242" s="34" cm="1">
        <f t="array" ref="Q242">HPFACTOr(C242)</f>
        <v>4</v>
      </c>
      <c r="R242" s="33">
        <f t="shared" si="44"/>
        <v>341</v>
      </c>
      <c r="S242" s="34">
        <f t="shared" si="45"/>
        <v>13809600</v>
      </c>
      <c r="T242" s="33">
        <f t="shared" si="46"/>
        <v>341</v>
      </c>
      <c r="U242" s="42">
        <f t="shared" si="47"/>
        <v>13809600</v>
      </c>
      <c r="V242" s="44"/>
      <c r="W242" s="29">
        <f t="shared" si="49"/>
        <v>4709073600</v>
      </c>
      <c r="X242" s="41">
        <f t="shared" si="48"/>
        <v>32.13279612525934</v>
      </c>
      <c r="Y242" s="33">
        <f t="shared" si="50"/>
        <v>261.95932914301784</v>
      </c>
      <c r="Z242" s="33">
        <v>1.33</v>
      </c>
      <c r="AA242" s="29">
        <f t="shared" si="51"/>
        <v>348.40590776021372</v>
      </c>
      <c r="AB242" s="33">
        <f t="shared" si="52"/>
        <v>1676.145927071773</v>
      </c>
      <c r="AD242" s="46">
        <f t="shared" si="53"/>
        <v>0</v>
      </c>
    </row>
    <row r="243" spans="1:30" x14ac:dyDescent="0.2">
      <c r="A243" s="30" t="s">
        <v>8864</v>
      </c>
      <c r="B243" s="29">
        <v>2</v>
      </c>
      <c r="C243" s="29">
        <v>2</v>
      </c>
      <c r="D243" s="29">
        <v>420</v>
      </c>
      <c r="E243" s="29">
        <v>11100</v>
      </c>
      <c r="F243" s="29">
        <v>11200</v>
      </c>
      <c r="G243" s="29">
        <v>45000</v>
      </c>
      <c r="H243" s="29">
        <v>42800</v>
      </c>
      <c r="I243" s="29">
        <v>15940</v>
      </c>
      <c r="J243" s="29">
        <v>36037600</v>
      </c>
      <c r="K243" s="29">
        <v>967</v>
      </c>
      <c r="L243" s="29">
        <v>2193</v>
      </c>
      <c r="N243" s="34"/>
      <c r="O243" s="29">
        <f t="shared" si="43"/>
        <v>1580</v>
      </c>
      <c r="P243" s="32" cm="1">
        <f t="array" ref="P243">WPNFACTOR(C243)</f>
        <v>4.5</v>
      </c>
      <c r="Q243" s="34" cm="1">
        <f t="array" ref="Q243">HPFACTOr(C243)</f>
        <v>2</v>
      </c>
      <c r="R243" s="33">
        <f t="shared" si="44"/>
        <v>351.11111111111109</v>
      </c>
      <c r="S243" s="34">
        <f t="shared" si="45"/>
        <v>18018800</v>
      </c>
      <c r="T243" s="33">
        <f t="shared" si="46"/>
        <v>351.11111111111109</v>
      </c>
      <c r="U243" s="42">
        <f t="shared" si="47"/>
        <v>18018800</v>
      </c>
      <c r="V243" s="44"/>
      <c r="W243" s="29">
        <f t="shared" si="49"/>
        <v>6326600888.8888884</v>
      </c>
      <c r="X243" s="41">
        <f t="shared" si="48"/>
        <v>32.558783440864424</v>
      </c>
      <c r="Y243" s="33">
        <f t="shared" si="50"/>
        <v>282.02824799720042</v>
      </c>
      <c r="Z243" s="33">
        <v>1.33</v>
      </c>
      <c r="AA243" s="29">
        <f t="shared" si="51"/>
        <v>375.09756983627659</v>
      </c>
      <c r="AB243" s="33">
        <f t="shared" si="52"/>
        <v>1849.5105487639833</v>
      </c>
      <c r="AD243" s="46">
        <f t="shared" si="53"/>
        <v>0</v>
      </c>
    </row>
    <row r="244" spans="1:30" x14ac:dyDescent="0.2">
      <c r="A244" s="30" t="s">
        <v>8864</v>
      </c>
      <c r="B244" s="29">
        <v>3</v>
      </c>
      <c r="C244" s="29">
        <v>1</v>
      </c>
      <c r="D244" s="29">
        <v>430</v>
      </c>
      <c r="E244" s="29">
        <v>45800</v>
      </c>
      <c r="F244" s="29">
        <v>16060</v>
      </c>
      <c r="G244" s="29">
        <v>15935</v>
      </c>
      <c r="H244" s="29">
        <v>44400</v>
      </c>
      <c r="I244" s="29">
        <v>10170</v>
      </c>
      <c r="J244" s="29">
        <v>95682000</v>
      </c>
      <c r="K244" s="29">
        <v>481</v>
      </c>
      <c r="L244" s="29">
        <v>971</v>
      </c>
      <c r="N244" s="34"/>
      <c r="O244" s="29">
        <f t="shared" si="43"/>
        <v>726</v>
      </c>
      <c r="P244" s="32" cm="1">
        <f t="array" ref="P244">WPNFACTOR(C244)</f>
        <v>2</v>
      </c>
      <c r="Q244" s="34" cm="1">
        <f t="array" ref="Q244">HPFACTOr(C244)</f>
        <v>5</v>
      </c>
      <c r="R244" s="33">
        <f t="shared" si="44"/>
        <v>363</v>
      </c>
      <c r="S244" s="34">
        <f t="shared" si="45"/>
        <v>19136400</v>
      </c>
      <c r="T244" s="33">
        <f t="shared" si="46"/>
        <v>363</v>
      </c>
      <c r="U244" s="42">
        <f t="shared" si="47"/>
        <v>19136400</v>
      </c>
      <c r="V244" s="44"/>
      <c r="W244" s="29">
        <f t="shared" si="49"/>
        <v>6946513200</v>
      </c>
      <c r="X244" s="41">
        <f t="shared" si="48"/>
        <v>32.693641853209684</v>
      </c>
      <c r="Y244" s="33">
        <f t="shared" si="50"/>
        <v>288.69663133188527</v>
      </c>
      <c r="Z244" s="33">
        <v>1.33</v>
      </c>
      <c r="AA244" s="29">
        <f t="shared" si="51"/>
        <v>383.96651967140741</v>
      </c>
      <c r="AB244" s="33">
        <f t="shared" si="52"/>
        <v>1908.0465028287315</v>
      </c>
      <c r="AD244" s="46">
        <f t="shared" si="53"/>
        <v>0</v>
      </c>
    </row>
    <row r="245" spans="1:30" x14ac:dyDescent="0.2">
      <c r="A245" s="30" t="s">
        <v>8864</v>
      </c>
      <c r="B245" s="29">
        <v>4</v>
      </c>
      <c r="C245" s="29">
        <v>3</v>
      </c>
      <c r="D245" s="29">
        <v>440</v>
      </c>
      <c r="E245" s="29">
        <v>11800</v>
      </c>
      <c r="F245" s="29">
        <v>47000</v>
      </c>
      <c r="G245" s="29">
        <v>11750</v>
      </c>
      <c r="H245" s="29">
        <v>45600</v>
      </c>
      <c r="I245" s="29">
        <v>16805</v>
      </c>
      <c r="J245" s="29">
        <v>80438400</v>
      </c>
      <c r="K245" s="29">
        <v>743</v>
      </c>
      <c r="L245" s="29">
        <v>1142</v>
      </c>
      <c r="N245" s="34"/>
      <c r="O245" s="29">
        <f t="shared" si="43"/>
        <v>942.5</v>
      </c>
      <c r="P245" s="32" cm="1">
        <f t="array" ref="P245">WPNFACTOR(C245)</f>
        <v>2.5</v>
      </c>
      <c r="Q245" s="34" cm="1">
        <f t="array" ref="Q245">HPFACTOr(C245)</f>
        <v>4</v>
      </c>
      <c r="R245" s="33">
        <f t="shared" si="44"/>
        <v>377</v>
      </c>
      <c r="S245" s="34">
        <f t="shared" si="45"/>
        <v>20109600</v>
      </c>
      <c r="T245" s="33">
        <f t="shared" si="46"/>
        <v>377</v>
      </c>
      <c r="U245" s="42">
        <f t="shared" si="47"/>
        <v>20109600</v>
      </c>
      <c r="V245" s="44"/>
      <c r="W245" s="29">
        <f t="shared" si="49"/>
        <v>7581319200</v>
      </c>
      <c r="X245" s="41">
        <f t="shared" si="48"/>
        <v>32.81980176276565</v>
      </c>
      <c r="Y245" s="33">
        <f t="shared" si="50"/>
        <v>295.07756813276109</v>
      </c>
      <c r="Z245" s="33">
        <v>1.33</v>
      </c>
      <c r="AA245" s="29">
        <f t="shared" si="51"/>
        <v>392.45316561657228</v>
      </c>
      <c r="AB245" s="33">
        <f t="shared" si="52"/>
        <v>1964.4829360353817</v>
      </c>
      <c r="AD245" s="46">
        <f t="shared" si="53"/>
        <v>0</v>
      </c>
    </row>
    <row r="246" spans="1:30" x14ac:dyDescent="0.2">
      <c r="A246" s="30" t="s">
        <v>8864</v>
      </c>
      <c r="B246" s="29">
        <v>5</v>
      </c>
      <c r="C246" s="29">
        <v>1</v>
      </c>
      <c r="D246" s="29">
        <v>450</v>
      </c>
      <c r="E246" s="29">
        <v>57840</v>
      </c>
      <c r="F246" s="29">
        <v>20280</v>
      </c>
      <c r="G246" s="29">
        <v>20130</v>
      </c>
      <c r="H246" s="29">
        <v>56160</v>
      </c>
      <c r="I246" s="29">
        <v>12780</v>
      </c>
      <c r="J246" s="29">
        <v>126640800</v>
      </c>
      <c r="K246" s="29">
        <v>505</v>
      </c>
      <c r="L246" s="29">
        <v>1044</v>
      </c>
      <c r="N246" s="34"/>
      <c r="O246" s="29">
        <f t="shared" si="43"/>
        <v>774.5</v>
      </c>
      <c r="P246" s="32" cm="1">
        <f t="array" ref="P246">WPNFACTOR(C246)</f>
        <v>2</v>
      </c>
      <c r="Q246" s="34" cm="1">
        <f t="array" ref="Q246">HPFACTOr(C246)</f>
        <v>5</v>
      </c>
      <c r="R246" s="33">
        <f t="shared" si="44"/>
        <v>387.25</v>
      </c>
      <c r="S246" s="34">
        <f t="shared" si="45"/>
        <v>25328160</v>
      </c>
      <c r="T246" s="33">
        <f t="shared" si="46"/>
        <v>387.25</v>
      </c>
      <c r="U246" s="42">
        <f t="shared" si="47"/>
        <v>25328160</v>
      </c>
      <c r="V246" s="44"/>
      <c r="W246" s="29">
        <f t="shared" si="49"/>
        <v>9808329960</v>
      </c>
      <c r="X246" s="41">
        <f t="shared" si="48"/>
        <v>33.191360367236868</v>
      </c>
      <c r="Y246" s="33">
        <f t="shared" si="50"/>
        <v>314.70146660123589</v>
      </c>
      <c r="Z246" s="33">
        <v>1.33</v>
      </c>
      <c r="AA246" s="29">
        <f t="shared" si="51"/>
        <v>418.55295057964378</v>
      </c>
      <c r="AB246" s="33">
        <f t="shared" si="52"/>
        <v>2140.581112747906</v>
      </c>
      <c r="AD246" s="46">
        <f t="shared" si="53"/>
        <v>0</v>
      </c>
    </row>
    <row r="247" spans="1:30" x14ac:dyDescent="0.2">
      <c r="A247" s="30" t="s">
        <v>8864</v>
      </c>
      <c r="B247" s="29">
        <v>6</v>
      </c>
      <c r="C247" s="29">
        <v>1</v>
      </c>
      <c r="D247" s="29">
        <v>460</v>
      </c>
      <c r="E247" s="29">
        <v>59280</v>
      </c>
      <c r="F247" s="29">
        <v>20784</v>
      </c>
      <c r="G247" s="29">
        <v>20634</v>
      </c>
      <c r="H247" s="29">
        <v>57600</v>
      </c>
      <c r="I247" s="29">
        <v>13068</v>
      </c>
      <c r="J247" s="29">
        <v>132768000</v>
      </c>
      <c r="K247" s="29">
        <v>517</v>
      </c>
      <c r="L247" s="29">
        <v>1080</v>
      </c>
      <c r="N247" s="34"/>
      <c r="O247" s="29">
        <f t="shared" si="43"/>
        <v>798.5</v>
      </c>
      <c r="P247" s="32" cm="1">
        <f t="array" ref="P247">WPNFACTOR(C247)</f>
        <v>2</v>
      </c>
      <c r="Q247" s="34" cm="1">
        <f t="array" ref="Q247">HPFACTOr(C247)</f>
        <v>5</v>
      </c>
      <c r="R247" s="33">
        <f t="shared" si="44"/>
        <v>399.25</v>
      </c>
      <c r="S247" s="34">
        <f t="shared" si="45"/>
        <v>26553600</v>
      </c>
      <c r="T247" s="33">
        <f t="shared" si="46"/>
        <v>399.25</v>
      </c>
      <c r="U247" s="42">
        <f t="shared" si="47"/>
        <v>26553600</v>
      </c>
      <c r="V247" s="44"/>
      <c r="W247" s="29">
        <f t="shared" si="49"/>
        <v>10601524800</v>
      </c>
      <c r="X247" s="41">
        <f t="shared" si="48"/>
        <v>33.303552729057607</v>
      </c>
      <c r="Y247" s="33">
        <f t="shared" si="50"/>
        <v>320.87958212856137</v>
      </c>
      <c r="Z247" s="33">
        <v>1.33</v>
      </c>
      <c r="AA247" s="29">
        <f t="shared" si="51"/>
        <v>426.76984423098662</v>
      </c>
      <c r="AB247" s="33">
        <f t="shared" si="52"/>
        <v>2196.794560535614</v>
      </c>
      <c r="AD247" s="46">
        <f t="shared" si="53"/>
        <v>0</v>
      </c>
    </row>
    <row r="248" spans="1:30" x14ac:dyDescent="0.2">
      <c r="A248" s="30" t="s">
        <v>8864</v>
      </c>
      <c r="B248" s="29">
        <v>7</v>
      </c>
      <c r="C248" s="29">
        <v>2</v>
      </c>
      <c r="D248" s="29">
        <v>470</v>
      </c>
      <c r="E248" s="29">
        <v>15120</v>
      </c>
      <c r="F248" s="29">
        <v>15240</v>
      </c>
      <c r="G248" s="29">
        <v>61200</v>
      </c>
      <c r="H248" s="29">
        <v>58560</v>
      </c>
      <c r="I248" s="29">
        <v>21648</v>
      </c>
      <c r="J248" s="29">
        <v>55163520</v>
      </c>
      <c r="K248" s="29">
        <v>1087</v>
      </c>
      <c r="L248" s="29">
        <v>2611</v>
      </c>
      <c r="N248" s="34"/>
      <c r="O248" s="29">
        <f t="shared" si="43"/>
        <v>1849</v>
      </c>
      <c r="P248" s="32" cm="1">
        <f t="array" ref="P248">WPNFACTOR(C248)</f>
        <v>4.5</v>
      </c>
      <c r="Q248" s="34" cm="1">
        <f t="array" ref="Q248">HPFACTOr(C248)</f>
        <v>2</v>
      </c>
      <c r="R248" s="33">
        <f t="shared" si="44"/>
        <v>410.88888888888891</v>
      </c>
      <c r="S248" s="34">
        <f t="shared" si="45"/>
        <v>27581760</v>
      </c>
      <c r="T248" s="33">
        <f t="shared" si="46"/>
        <v>410.88888888888891</v>
      </c>
      <c r="U248" s="42">
        <f t="shared" si="47"/>
        <v>27581760</v>
      </c>
      <c r="V248" s="44"/>
      <c r="W248" s="29">
        <f t="shared" si="49"/>
        <v>11333038720</v>
      </c>
      <c r="X248" s="41">
        <f t="shared" si="48"/>
        <v>33.399815690746074</v>
      </c>
      <c r="Y248" s="33">
        <f t="shared" si="50"/>
        <v>326.2770996718728</v>
      </c>
      <c r="Z248" s="33">
        <v>1.33</v>
      </c>
      <c r="AA248" s="29">
        <f t="shared" si="51"/>
        <v>433.94854256359088</v>
      </c>
      <c r="AB248" s="33">
        <f t="shared" si="52"/>
        <v>2246.2019030380902</v>
      </c>
      <c r="AD248" s="46">
        <f t="shared" si="53"/>
        <v>0</v>
      </c>
    </row>
    <row r="249" spans="1:30" x14ac:dyDescent="0.2">
      <c r="A249" s="30" t="s">
        <v>8864</v>
      </c>
      <c r="B249" s="29">
        <v>8</v>
      </c>
      <c r="C249" s="29">
        <v>2</v>
      </c>
      <c r="D249" s="29">
        <v>480</v>
      </c>
      <c r="E249" s="29">
        <v>18060</v>
      </c>
      <c r="F249" s="29">
        <v>18200</v>
      </c>
      <c r="G249" s="29">
        <v>73080</v>
      </c>
      <c r="H249" s="29">
        <v>70000</v>
      </c>
      <c r="I249" s="29">
        <v>25844</v>
      </c>
      <c r="J249" s="29">
        <v>67340000</v>
      </c>
      <c r="K249" s="29">
        <v>1120</v>
      </c>
      <c r="L249" s="29">
        <v>2695</v>
      </c>
      <c r="N249" s="34"/>
      <c r="O249" s="29">
        <f t="shared" si="43"/>
        <v>1907.5</v>
      </c>
      <c r="P249" s="32" cm="1">
        <f t="array" ref="P249">WPNFACTOR(C249)</f>
        <v>4.5</v>
      </c>
      <c r="Q249" s="34" cm="1">
        <f t="array" ref="Q249">HPFACTOr(C249)</f>
        <v>2</v>
      </c>
      <c r="R249" s="33">
        <f t="shared" si="44"/>
        <v>423.88888888888891</v>
      </c>
      <c r="S249" s="34">
        <f t="shared" si="45"/>
        <v>33670000</v>
      </c>
      <c r="T249" s="33">
        <f t="shared" si="46"/>
        <v>423.88888888888891</v>
      </c>
      <c r="U249" s="42">
        <f t="shared" si="47"/>
        <v>33670000</v>
      </c>
      <c r="V249" s="44"/>
      <c r="W249" s="29">
        <f t="shared" si="49"/>
        <v>14272338888.888889</v>
      </c>
      <c r="X249" s="41">
        <f t="shared" si="48"/>
        <v>33.73250272565668</v>
      </c>
      <c r="Y249" s="33">
        <f t="shared" si="50"/>
        <v>345.63983354213201</v>
      </c>
      <c r="Z249" s="33">
        <v>1.33</v>
      </c>
      <c r="AA249" s="29">
        <f t="shared" si="51"/>
        <v>459.70097861103562</v>
      </c>
      <c r="AB249" s="33">
        <f t="shared" si="52"/>
        <v>2425.6699966909914</v>
      </c>
      <c r="AD249" s="46">
        <f t="shared" si="53"/>
        <v>0</v>
      </c>
    </row>
    <row r="250" spans="1:30" x14ac:dyDescent="0.2">
      <c r="A250" s="30" t="s">
        <v>8864</v>
      </c>
      <c r="B250" s="29">
        <v>9</v>
      </c>
      <c r="C250" s="29">
        <v>1</v>
      </c>
      <c r="D250" s="29">
        <v>490</v>
      </c>
      <c r="E250" s="29">
        <v>74200</v>
      </c>
      <c r="F250" s="29">
        <v>26012</v>
      </c>
      <c r="G250" s="29">
        <v>25837</v>
      </c>
      <c r="H250" s="29">
        <v>72240</v>
      </c>
      <c r="I250" s="29">
        <v>16254</v>
      </c>
      <c r="J250" s="29">
        <v>177349200</v>
      </c>
      <c r="K250" s="29">
        <v>553</v>
      </c>
      <c r="L250" s="29">
        <v>1188</v>
      </c>
      <c r="N250" s="34"/>
      <c r="O250" s="29">
        <f t="shared" si="43"/>
        <v>870.5</v>
      </c>
      <c r="P250" s="32" cm="1">
        <f t="array" ref="P250">WPNFACTOR(C250)</f>
        <v>2</v>
      </c>
      <c r="Q250" s="34" cm="1">
        <f t="array" ref="Q250">HPFACTOr(C250)</f>
        <v>5</v>
      </c>
      <c r="R250" s="33">
        <f t="shared" si="44"/>
        <v>435.25</v>
      </c>
      <c r="S250" s="34">
        <f t="shared" si="45"/>
        <v>35469840</v>
      </c>
      <c r="T250" s="33">
        <f t="shared" si="46"/>
        <v>435.25</v>
      </c>
      <c r="U250" s="42">
        <f t="shared" si="47"/>
        <v>35469840</v>
      </c>
      <c r="V250" s="44"/>
      <c r="W250" s="29">
        <f t="shared" si="49"/>
        <v>15438247860</v>
      </c>
      <c r="X250" s="41">
        <f t="shared" si="48"/>
        <v>33.845789974334018</v>
      </c>
      <c r="Y250" s="33">
        <f t="shared" si="50"/>
        <v>352.49219269829803</v>
      </c>
      <c r="Z250" s="33">
        <v>1.33</v>
      </c>
      <c r="AA250" s="29">
        <f t="shared" si="51"/>
        <v>468.81461628873637</v>
      </c>
      <c r="AB250" s="33">
        <f t="shared" si="52"/>
        <v>2489.9999387106659</v>
      </c>
      <c r="AD250" s="46">
        <f t="shared" si="53"/>
        <v>0</v>
      </c>
    </row>
    <row r="251" spans="1:30" x14ac:dyDescent="0.2">
      <c r="A251" s="30" t="s">
        <v>8864</v>
      </c>
      <c r="B251" s="29">
        <v>10</v>
      </c>
      <c r="C251" s="29">
        <v>3</v>
      </c>
      <c r="D251" s="29">
        <v>500</v>
      </c>
      <c r="E251" s="29">
        <v>19040</v>
      </c>
      <c r="F251" s="29">
        <v>75880</v>
      </c>
      <c r="G251" s="29">
        <v>18970</v>
      </c>
      <c r="H251" s="29">
        <v>73920</v>
      </c>
      <c r="I251" s="29">
        <v>27055</v>
      </c>
      <c r="J251" s="29">
        <v>148135680</v>
      </c>
      <c r="K251" s="29">
        <v>886</v>
      </c>
      <c r="L251" s="29">
        <v>1358</v>
      </c>
      <c r="N251" s="34"/>
      <c r="O251" s="29">
        <f t="shared" si="43"/>
        <v>1122</v>
      </c>
      <c r="P251" s="32" cm="1">
        <f t="array" ref="P251">WPNFACTOR(C251)</f>
        <v>2.5</v>
      </c>
      <c r="Q251" s="34" cm="1">
        <f t="array" ref="Q251">HPFACTOr(C251)</f>
        <v>4</v>
      </c>
      <c r="R251" s="33">
        <f t="shared" si="44"/>
        <v>448.8</v>
      </c>
      <c r="S251" s="34">
        <f t="shared" si="45"/>
        <v>37033920</v>
      </c>
      <c r="T251" s="33">
        <f t="shared" si="46"/>
        <v>448.8</v>
      </c>
      <c r="U251" s="42">
        <f t="shared" si="47"/>
        <v>37033920</v>
      </c>
      <c r="V251" s="44"/>
      <c r="W251" s="29">
        <f t="shared" si="49"/>
        <v>16620823296</v>
      </c>
      <c r="X251" s="41">
        <f t="shared" si="48"/>
        <v>33.952272795220061</v>
      </c>
      <c r="Y251" s="33">
        <f t="shared" si="50"/>
        <v>359.05678102700386</v>
      </c>
      <c r="Z251" s="33">
        <v>1.33</v>
      </c>
      <c r="AA251" s="29">
        <f t="shared" si="51"/>
        <v>477.54551876591518</v>
      </c>
      <c r="AB251" s="33">
        <f t="shared" si="52"/>
        <v>2552.0206102180114</v>
      </c>
      <c r="AD251" s="46">
        <f t="shared" si="53"/>
        <v>0</v>
      </c>
    </row>
    <row r="252" spans="1:30" x14ac:dyDescent="0.2">
      <c r="A252" s="30" t="s">
        <v>8865</v>
      </c>
      <c r="B252" s="29">
        <v>1</v>
      </c>
      <c r="C252" s="29">
        <v>2</v>
      </c>
      <c r="D252" s="29">
        <v>325</v>
      </c>
      <c r="E252" s="29">
        <v>3221</v>
      </c>
      <c r="F252" s="29">
        <v>3221</v>
      </c>
      <c r="G252" s="29">
        <v>16577</v>
      </c>
      <c r="H252" s="29">
        <v>61790</v>
      </c>
      <c r="I252" s="29">
        <v>8964</v>
      </c>
      <c r="J252" s="29">
        <v>64459324</v>
      </c>
      <c r="K252" s="29">
        <v>861</v>
      </c>
      <c r="L252" s="29">
        <v>2432</v>
      </c>
      <c r="N252" s="34"/>
      <c r="O252" s="29">
        <f t="shared" si="43"/>
        <v>1646.5</v>
      </c>
      <c r="P252" s="32" cm="1">
        <f t="array" ref="P252">WPNFACTOR(C252)</f>
        <v>4.5</v>
      </c>
      <c r="Q252" s="34" cm="1">
        <f t="array" ref="Q252">HPFACTOr(C252)</f>
        <v>2</v>
      </c>
      <c r="R252" s="33">
        <f t="shared" si="44"/>
        <v>365.88888888888891</v>
      </c>
      <c r="S252" s="34">
        <f t="shared" si="45"/>
        <v>32229662</v>
      </c>
      <c r="T252" s="33">
        <f t="shared" si="46"/>
        <v>365.88888888888891</v>
      </c>
      <c r="U252" s="42">
        <f t="shared" si="47"/>
        <v>32229662</v>
      </c>
      <c r="V252" s="44"/>
      <c r="W252" s="29">
        <f t="shared" si="49"/>
        <v>11792475218.444445</v>
      </c>
      <c r="X252" s="41">
        <f t="shared" si="48"/>
        <v>33.457147517961197</v>
      </c>
      <c r="Y252" s="33">
        <f t="shared" si="50"/>
        <v>329.53476868759873</v>
      </c>
      <c r="Z252" s="33">
        <v>1.33</v>
      </c>
      <c r="AA252" s="29">
        <f t="shared" si="51"/>
        <v>438.28124235450633</v>
      </c>
      <c r="AB252" s="33">
        <f t="shared" si="52"/>
        <v>2276.1540797288367</v>
      </c>
      <c r="AD252" s="46">
        <f t="shared" si="53"/>
        <v>0</v>
      </c>
    </row>
    <row r="253" spans="1:30" x14ac:dyDescent="0.2">
      <c r="A253" s="30" t="s">
        <v>8865</v>
      </c>
      <c r="B253" s="29">
        <v>2</v>
      </c>
      <c r="C253" s="29">
        <v>2</v>
      </c>
      <c r="D253" s="29">
        <v>332</v>
      </c>
      <c r="E253" s="29">
        <v>6128</v>
      </c>
      <c r="F253" s="29">
        <v>6057</v>
      </c>
      <c r="G253" s="29">
        <v>17028</v>
      </c>
      <c r="H253" s="29">
        <v>76695</v>
      </c>
      <c r="I253" s="29">
        <v>10905</v>
      </c>
      <c r="J253" s="29">
        <v>83003160</v>
      </c>
      <c r="K253" s="29">
        <v>1291</v>
      </c>
      <c r="L253" s="29">
        <v>2100</v>
      </c>
      <c r="N253" s="34"/>
      <c r="O253" s="29">
        <f t="shared" si="43"/>
        <v>1695.5</v>
      </c>
      <c r="P253" s="32" cm="1">
        <f t="array" ref="P253">WPNFACTOR(C253)</f>
        <v>4.5</v>
      </c>
      <c r="Q253" s="34" cm="1">
        <f t="array" ref="Q253">HPFACTOr(C253)</f>
        <v>2</v>
      </c>
      <c r="R253" s="33">
        <f t="shared" si="44"/>
        <v>376.77777777777777</v>
      </c>
      <c r="S253" s="34">
        <f t="shared" si="45"/>
        <v>41501580</v>
      </c>
      <c r="T253" s="33">
        <f t="shared" si="46"/>
        <v>376.77777777777777</v>
      </c>
      <c r="U253" s="42">
        <f t="shared" si="47"/>
        <v>41501580</v>
      </c>
      <c r="V253" s="44"/>
      <c r="W253" s="29">
        <f t="shared" si="49"/>
        <v>15636873086.666666</v>
      </c>
      <c r="X253" s="41">
        <f t="shared" si="48"/>
        <v>33.864232993911415</v>
      </c>
      <c r="Y253" s="33">
        <f t="shared" si="50"/>
        <v>353.62053578377055</v>
      </c>
      <c r="Z253" s="33">
        <v>1.33</v>
      </c>
      <c r="AA253" s="29">
        <f t="shared" si="51"/>
        <v>470.31531259241484</v>
      </c>
      <c r="AB253" s="33">
        <f t="shared" si="52"/>
        <v>2500.6330709638178</v>
      </c>
      <c r="AD253" s="46">
        <f t="shared" si="53"/>
        <v>0</v>
      </c>
    </row>
    <row r="254" spans="1:30" x14ac:dyDescent="0.2">
      <c r="A254" s="30" t="s">
        <v>8865</v>
      </c>
      <c r="B254" s="29">
        <v>3</v>
      </c>
      <c r="C254" s="29">
        <v>2</v>
      </c>
      <c r="D254" s="29">
        <v>340</v>
      </c>
      <c r="E254" s="29">
        <v>5151</v>
      </c>
      <c r="F254" s="29">
        <v>5237</v>
      </c>
      <c r="G254" s="29">
        <v>18553</v>
      </c>
      <c r="H254" s="29">
        <v>79880</v>
      </c>
      <c r="I254" s="29">
        <v>12130</v>
      </c>
      <c r="J254" s="29">
        <v>90152560</v>
      </c>
      <c r="K254" s="29">
        <v>992</v>
      </c>
      <c r="L254" s="29">
        <v>2507</v>
      </c>
      <c r="N254" s="34"/>
      <c r="O254" s="29">
        <f t="shared" si="43"/>
        <v>1749.5</v>
      </c>
      <c r="P254" s="32" cm="1">
        <f t="array" ref="P254">WPNFACTOR(C254)</f>
        <v>4.5</v>
      </c>
      <c r="Q254" s="34" cm="1">
        <f t="array" ref="Q254">HPFACTOr(C254)</f>
        <v>2</v>
      </c>
      <c r="R254" s="33">
        <f t="shared" si="44"/>
        <v>388.77777777777777</v>
      </c>
      <c r="S254" s="34">
        <f t="shared" si="45"/>
        <v>45076280</v>
      </c>
      <c r="T254" s="33">
        <f t="shared" si="46"/>
        <v>388.77777777777777</v>
      </c>
      <c r="U254" s="42">
        <f t="shared" si="47"/>
        <v>45076280</v>
      </c>
      <c r="V254" s="44"/>
      <c r="W254" s="29">
        <f t="shared" si="49"/>
        <v>17524655968.888889</v>
      </c>
      <c r="X254" s="41">
        <f t="shared" si="48"/>
        <v>34.028667071463325</v>
      </c>
      <c r="Y254" s="33">
        <f t="shared" si="50"/>
        <v>363.84161877771328</v>
      </c>
      <c r="Z254" s="33">
        <v>1.33</v>
      </c>
      <c r="AA254" s="29">
        <f t="shared" si="51"/>
        <v>483.90935297435868</v>
      </c>
      <c r="AB254" s="33">
        <f t="shared" si="52"/>
        <v>2597.4657737279413</v>
      </c>
      <c r="AD254" s="46">
        <f t="shared" si="53"/>
        <v>0</v>
      </c>
    </row>
    <row r="255" spans="1:30" x14ac:dyDescent="0.2">
      <c r="A255" s="30" t="s">
        <v>8865</v>
      </c>
      <c r="B255" s="29">
        <v>4</v>
      </c>
      <c r="C255" s="29">
        <v>3</v>
      </c>
      <c r="D255" s="29">
        <v>347</v>
      </c>
      <c r="E255" s="29">
        <v>5875</v>
      </c>
      <c r="F255" s="29">
        <v>20170</v>
      </c>
      <c r="G255" s="29">
        <v>5870</v>
      </c>
      <c r="H255" s="29">
        <v>72300</v>
      </c>
      <c r="I255" s="29">
        <v>9320</v>
      </c>
      <c r="J255" s="29">
        <v>168640000</v>
      </c>
      <c r="K255" s="29">
        <v>540</v>
      </c>
      <c r="L255" s="29">
        <v>1439</v>
      </c>
      <c r="N255" s="34"/>
      <c r="O255" s="29">
        <f t="shared" si="43"/>
        <v>989.5</v>
      </c>
      <c r="P255" s="32" cm="1">
        <f t="array" ref="P255">WPNFACTOR(C255)</f>
        <v>2.5</v>
      </c>
      <c r="Q255" s="34" cm="1">
        <f t="array" ref="Q255">HPFACTOr(C255)</f>
        <v>4</v>
      </c>
      <c r="R255" s="33">
        <f t="shared" si="44"/>
        <v>395.8</v>
      </c>
      <c r="S255" s="34">
        <f t="shared" si="45"/>
        <v>42160000</v>
      </c>
      <c r="T255" s="33">
        <f t="shared" si="46"/>
        <v>395.8</v>
      </c>
      <c r="U255" s="42">
        <f t="shared" si="47"/>
        <v>42160000</v>
      </c>
      <c r="V255" s="44"/>
      <c r="W255" s="29">
        <f t="shared" si="49"/>
        <v>16686928000</v>
      </c>
      <c r="X255" s="41">
        <f t="shared" si="48"/>
        <v>33.95799933334682</v>
      </c>
      <c r="Y255" s="33">
        <f t="shared" si="50"/>
        <v>359.41326192210357</v>
      </c>
      <c r="Z255" s="33">
        <v>1.33</v>
      </c>
      <c r="AA255" s="29">
        <f t="shared" si="51"/>
        <v>478.01963835639776</v>
      </c>
      <c r="AB255" s="33">
        <f t="shared" si="52"/>
        <v>2555.3994522025209</v>
      </c>
      <c r="AD255" s="46">
        <f t="shared" si="53"/>
        <v>0</v>
      </c>
    </row>
    <row r="256" spans="1:30" x14ac:dyDescent="0.2">
      <c r="A256" s="30" t="s">
        <v>8865</v>
      </c>
      <c r="B256" s="29">
        <v>5</v>
      </c>
      <c r="C256" s="29">
        <v>2</v>
      </c>
      <c r="D256" s="29">
        <v>355</v>
      </c>
      <c r="E256" s="29">
        <v>5650</v>
      </c>
      <c r="F256" s="29">
        <v>5744</v>
      </c>
      <c r="G256" s="29">
        <v>19876</v>
      </c>
      <c r="H256" s="29">
        <v>86520</v>
      </c>
      <c r="I256" s="29">
        <v>12519</v>
      </c>
      <c r="J256" s="29">
        <v>104723808</v>
      </c>
      <c r="K256" s="29">
        <v>1557</v>
      </c>
      <c r="L256" s="29">
        <v>2132</v>
      </c>
      <c r="N256" s="34"/>
      <c r="O256" s="29">
        <f t="shared" si="43"/>
        <v>1844.5</v>
      </c>
      <c r="P256" s="32" cm="1">
        <f t="array" ref="P256">WPNFACTOR(C256)</f>
        <v>4.5</v>
      </c>
      <c r="Q256" s="34" cm="1">
        <f t="array" ref="Q256">HPFACTOr(C256)</f>
        <v>2</v>
      </c>
      <c r="R256" s="33">
        <f t="shared" si="44"/>
        <v>409.88888888888891</v>
      </c>
      <c r="S256" s="34">
        <f t="shared" si="45"/>
        <v>52361904</v>
      </c>
      <c r="T256" s="33">
        <f t="shared" si="46"/>
        <v>409.88888888888891</v>
      </c>
      <c r="U256" s="42">
        <f t="shared" si="47"/>
        <v>52361904</v>
      </c>
      <c r="V256" s="44"/>
      <c r="W256" s="29">
        <f t="shared" si="49"/>
        <v>21462562650.666668</v>
      </c>
      <c r="X256" s="41">
        <f t="shared" si="48"/>
        <v>34.321103294431218</v>
      </c>
      <c r="Y256" s="33">
        <f t="shared" si="50"/>
        <v>382.75457810878703</v>
      </c>
      <c r="Z256" s="33">
        <v>1.33</v>
      </c>
      <c r="AA256" s="29">
        <f t="shared" si="51"/>
        <v>509.06358888468679</v>
      </c>
      <c r="AB256" s="33">
        <f t="shared" si="52"/>
        <v>2779.0339901699631</v>
      </c>
      <c r="AD256" s="46">
        <f t="shared" si="53"/>
        <v>0</v>
      </c>
    </row>
    <row r="257" spans="1:30" x14ac:dyDescent="0.2">
      <c r="A257" s="30" t="s">
        <v>8865</v>
      </c>
      <c r="B257" s="29">
        <v>6</v>
      </c>
      <c r="C257" s="29">
        <v>1</v>
      </c>
      <c r="D257" s="29">
        <v>362</v>
      </c>
      <c r="E257" s="29">
        <v>19163</v>
      </c>
      <c r="F257" s="29">
        <v>9228</v>
      </c>
      <c r="G257" s="29">
        <v>9077</v>
      </c>
      <c r="H257" s="29">
        <v>96410</v>
      </c>
      <c r="I257" s="29">
        <v>13359</v>
      </c>
      <c r="J257" s="29">
        <v>306222272</v>
      </c>
      <c r="K257" s="29">
        <v>490</v>
      </c>
      <c r="L257" s="29">
        <v>1181</v>
      </c>
      <c r="N257" s="34"/>
      <c r="O257" s="29">
        <f t="shared" si="43"/>
        <v>835.5</v>
      </c>
      <c r="P257" s="32" cm="1">
        <f t="array" ref="P257">WPNFACTOR(C257)</f>
        <v>2</v>
      </c>
      <c r="Q257" s="34" cm="1">
        <f t="array" ref="Q257">HPFACTOr(C257)</f>
        <v>5</v>
      </c>
      <c r="R257" s="33">
        <f t="shared" si="44"/>
        <v>417.75</v>
      </c>
      <c r="S257" s="34">
        <f t="shared" si="45"/>
        <v>61244454.399999999</v>
      </c>
      <c r="T257" s="33">
        <f t="shared" si="46"/>
        <v>417.75</v>
      </c>
      <c r="U257" s="42">
        <f t="shared" si="47"/>
        <v>61244454.399999999</v>
      </c>
      <c r="V257" s="44"/>
      <c r="W257" s="29">
        <f t="shared" si="49"/>
        <v>25584870825.599998</v>
      </c>
      <c r="X257" s="41">
        <f t="shared" si="48"/>
        <v>34.574571898276425</v>
      </c>
      <c r="Y257" s="33">
        <f t="shared" si="50"/>
        <v>399.94088856068242</v>
      </c>
      <c r="Z257" s="33">
        <v>1.33</v>
      </c>
      <c r="AA257" s="29">
        <f t="shared" si="51"/>
        <v>531.92138178570769</v>
      </c>
      <c r="AB257" s="33">
        <f t="shared" si="52"/>
        <v>2946.6444974706696</v>
      </c>
      <c r="AD257" s="46">
        <f t="shared" si="53"/>
        <v>0</v>
      </c>
    </row>
    <row r="258" spans="1:30" x14ac:dyDescent="0.2">
      <c r="A258" s="30" t="s">
        <v>8865</v>
      </c>
      <c r="B258" s="29">
        <v>7</v>
      </c>
      <c r="C258" s="29">
        <v>2</v>
      </c>
      <c r="D258" s="29">
        <v>370</v>
      </c>
      <c r="E258" s="29">
        <v>7773</v>
      </c>
      <c r="F258" s="29">
        <v>7772</v>
      </c>
      <c r="G258" s="29">
        <v>19358</v>
      </c>
      <c r="H258" s="29">
        <v>91315</v>
      </c>
      <c r="I258" s="29">
        <v>13191</v>
      </c>
      <c r="J258" s="29">
        <v>116878632</v>
      </c>
      <c r="K258" s="29">
        <v>1451</v>
      </c>
      <c r="L258" s="29">
        <v>2356</v>
      </c>
      <c r="N258" s="34"/>
      <c r="O258" s="29">
        <f t="shared" si="43"/>
        <v>1903.5</v>
      </c>
      <c r="P258" s="32" cm="1">
        <f t="array" ref="P258">WPNFACTOR(C258)</f>
        <v>4.5</v>
      </c>
      <c r="Q258" s="34" cm="1">
        <f t="array" ref="Q258">HPFACTOr(C258)</f>
        <v>2</v>
      </c>
      <c r="R258" s="33">
        <f t="shared" si="44"/>
        <v>423</v>
      </c>
      <c r="S258" s="34">
        <f t="shared" si="45"/>
        <v>58439316</v>
      </c>
      <c r="T258" s="33">
        <f t="shared" si="46"/>
        <v>423</v>
      </c>
      <c r="U258" s="42">
        <f t="shared" si="47"/>
        <v>58439316</v>
      </c>
      <c r="V258" s="44"/>
      <c r="W258" s="29">
        <f t="shared" si="49"/>
        <v>24719830668</v>
      </c>
      <c r="X258" s="41">
        <f t="shared" si="48"/>
        <v>34.524949809621035</v>
      </c>
      <c r="Y258" s="33">
        <f t="shared" si="50"/>
        <v>396.51659934542528</v>
      </c>
      <c r="Z258" s="33">
        <v>1.33</v>
      </c>
      <c r="AA258" s="29">
        <f t="shared" si="51"/>
        <v>527.36707712941563</v>
      </c>
      <c r="AB258" s="33">
        <f t="shared" si="52"/>
        <v>2913.0537440195212</v>
      </c>
      <c r="AD258" s="46">
        <f t="shared" si="53"/>
        <v>0</v>
      </c>
    </row>
    <row r="259" spans="1:30" x14ac:dyDescent="0.2">
      <c r="A259" s="30" t="s">
        <v>8865</v>
      </c>
      <c r="B259" s="29">
        <v>8</v>
      </c>
      <c r="C259" s="29">
        <v>2</v>
      </c>
      <c r="D259" s="29">
        <v>377</v>
      </c>
      <c r="E259" s="29">
        <v>5774</v>
      </c>
      <c r="F259" s="29">
        <v>5775</v>
      </c>
      <c r="G259" s="29">
        <v>24520</v>
      </c>
      <c r="H259" s="29">
        <v>96430</v>
      </c>
      <c r="I259" s="29">
        <v>13751</v>
      </c>
      <c r="J259" s="29">
        <v>125754360</v>
      </c>
      <c r="K259" s="29">
        <v>1592</v>
      </c>
      <c r="L259" s="29">
        <v>2385</v>
      </c>
      <c r="N259" s="34"/>
      <c r="O259" s="29">
        <f t="shared" ref="O259:O422" si="54">AVERAGE(K259, L259)</f>
        <v>1988.5</v>
      </c>
      <c r="P259" s="32" cm="1">
        <f t="array" ref="P259">WPNFACTOR(C259)</f>
        <v>4.5</v>
      </c>
      <c r="Q259" s="34" cm="1">
        <f t="array" ref="Q259">HPFACTOr(C259)</f>
        <v>2</v>
      </c>
      <c r="R259" s="33">
        <f t="shared" ref="R259:R422" si="55">O259/P259</f>
        <v>441.88888888888891</v>
      </c>
      <c r="S259" s="34">
        <f t="shared" ref="S259:S422" si="56">J259/Q259</f>
        <v>62877180</v>
      </c>
      <c r="T259" s="33">
        <f t="shared" ref="T259:T422" si="57">R259*(1 + (N259/400))</f>
        <v>441.88888888888891</v>
      </c>
      <c r="U259" s="42">
        <f t="shared" ref="U259:U422" si="58">S259*1.6/(1 + (0.6*(1 - (M259/100))))</f>
        <v>62877180</v>
      </c>
      <c r="V259" s="44"/>
      <c r="W259" s="29">
        <f t="shared" si="49"/>
        <v>27784727206.666668</v>
      </c>
      <c r="X259" s="41">
        <f t="shared" ref="X259:X422" si="59">LOG(W259, 2)</f>
        <v>34.693573024702026</v>
      </c>
      <c r="Y259" s="33">
        <f t="shared" si="50"/>
        <v>408.27382190086996</v>
      </c>
      <c r="Z259" s="33">
        <v>1.33</v>
      </c>
      <c r="AA259" s="29">
        <f t="shared" si="51"/>
        <v>543.00418312815702</v>
      </c>
      <c r="AB259" s="33">
        <f t="shared" si="52"/>
        <v>3028.7868593349831</v>
      </c>
      <c r="AD259" s="46">
        <f t="shared" si="53"/>
        <v>0</v>
      </c>
    </row>
    <row r="260" spans="1:30" x14ac:dyDescent="0.2">
      <c r="A260" s="30" t="s">
        <v>8865</v>
      </c>
      <c r="B260" s="29">
        <v>9</v>
      </c>
      <c r="C260" s="29">
        <v>3</v>
      </c>
      <c r="D260" s="29">
        <v>385</v>
      </c>
      <c r="E260" s="29">
        <v>12400</v>
      </c>
      <c r="F260" s="29">
        <v>29300</v>
      </c>
      <c r="G260" s="29">
        <v>12600</v>
      </c>
      <c r="H260" s="29">
        <v>130350</v>
      </c>
      <c r="I260" s="29">
        <v>18640</v>
      </c>
      <c r="J260" s="29">
        <v>379430016</v>
      </c>
      <c r="K260" s="29">
        <v>848</v>
      </c>
      <c r="L260" s="29">
        <v>2091</v>
      </c>
      <c r="N260" s="34"/>
      <c r="O260" s="29">
        <f t="shared" si="54"/>
        <v>1469.5</v>
      </c>
      <c r="P260" s="32" cm="1">
        <f t="array" ref="P260">WPNFACTOR(C260)</f>
        <v>2.5</v>
      </c>
      <c r="Q260" s="34" cm="1">
        <f t="array" ref="Q260">HPFACTOr(C260)</f>
        <v>4</v>
      </c>
      <c r="R260" s="33">
        <f t="shared" si="55"/>
        <v>587.79999999999995</v>
      </c>
      <c r="S260" s="34">
        <f t="shared" si="56"/>
        <v>94857504</v>
      </c>
      <c r="T260" s="33">
        <f t="shared" si="57"/>
        <v>587.79999999999995</v>
      </c>
      <c r="U260" s="42">
        <f t="shared" si="58"/>
        <v>94857504</v>
      </c>
      <c r="V260" s="44"/>
      <c r="W260" s="29">
        <f t="shared" ref="W260:W406" si="60">T260*U260</f>
        <v>55757240851.199997</v>
      </c>
      <c r="X260" s="41">
        <f t="shared" si="59"/>
        <v>35.69844012003729</v>
      </c>
      <c r="Y260" s="33">
        <f t="shared" ref="Y260:Y423" si="61">POWER(W260, 1/4)</f>
        <v>485.93179760078436</v>
      </c>
      <c r="Z260" s="33">
        <v>1.33</v>
      </c>
      <c r="AA260" s="29">
        <f t="shared" ref="AA260:AA423" si="62">Y260*Z260</f>
        <v>646.28929080904322</v>
      </c>
      <c r="AB260" s="33">
        <f t="shared" ref="AB260:AB423" si="63">POWER(W260, 1/$AB$1)</f>
        <v>3820.3260060761527</v>
      </c>
      <c r="AD260" s="46">
        <f t="shared" ref="AD260:AD423" si="64">IF(AC260 = "", ,AC260/AB260)</f>
        <v>0</v>
      </c>
    </row>
    <row r="261" spans="1:30" x14ac:dyDescent="0.2">
      <c r="A261" s="30" t="s">
        <v>8865</v>
      </c>
      <c r="B261" s="29">
        <v>10</v>
      </c>
      <c r="C261" s="29">
        <v>2</v>
      </c>
      <c r="D261" s="29">
        <v>400</v>
      </c>
      <c r="E261" s="29">
        <v>8447</v>
      </c>
      <c r="F261" s="29">
        <v>8378</v>
      </c>
      <c r="G261" s="29">
        <v>30585</v>
      </c>
      <c r="H261" s="29">
        <v>126470</v>
      </c>
      <c r="I261" s="29">
        <v>18375</v>
      </c>
      <c r="J261" s="29">
        <v>190324704</v>
      </c>
      <c r="K261" s="29">
        <v>1912</v>
      </c>
      <c r="L261" s="29">
        <v>2949</v>
      </c>
      <c r="N261" s="34"/>
      <c r="O261" s="29">
        <f t="shared" si="54"/>
        <v>2430.5</v>
      </c>
      <c r="P261" s="32" cm="1">
        <f t="array" ref="P261">WPNFACTOR(C261)</f>
        <v>4.5</v>
      </c>
      <c r="Q261" s="34" cm="1">
        <f t="array" ref="Q261">HPFACTOr(C261)</f>
        <v>2</v>
      </c>
      <c r="R261" s="33">
        <f t="shared" si="55"/>
        <v>540.11111111111109</v>
      </c>
      <c r="S261" s="34">
        <f t="shared" si="56"/>
        <v>95162352</v>
      </c>
      <c r="T261" s="33">
        <f t="shared" si="57"/>
        <v>540.11111111111109</v>
      </c>
      <c r="U261" s="42">
        <f t="shared" si="58"/>
        <v>95162352</v>
      </c>
      <c r="V261" s="44"/>
      <c r="W261" s="29">
        <f t="shared" si="60"/>
        <v>51398243674.666664</v>
      </c>
      <c r="X261" s="41">
        <f t="shared" si="59"/>
        <v>35.581000010916519</v>
      </c>
      <c r="Y261" s="33">
        <f t="shared" si="61"/>
        <v>476.14263360103502</v>
      </c>
      <c r="Z261" s="33">
        <v>1.33</v>
      </c>
      <c r="AA261" s="29">
        <f t="shared" si="62"/>
        <v>633.26970268937657</v>
      </c>
      <c r="AB261" s="33">
        <f t="shared" si="63"/>
        <v>3718.0574239941984</v>
      </c>
      <c r="AD261" s="46">
        <f t="shared" si="64"/>
        <v>0</v>
      </c>
    </row>
    <row r="262" spans="1:30" x14ac:dyDescent="0.2">
      <c r="A262" s="30" t="s">
        <v>8866</v>
      </c>
      <c r="B262" s="29">
        <v>1</v>
      </c>
      <c r="C262" s="29">
        <v>5</v>
      </c>
      <c r="D262" s="29">
        <v>348</v>
      </c>
      <c r="E262" s="29">
        <v>17737</v>
      </c>
      <c r="F262" s="29">
        <v>3446</v>
      </c>
      <c r="G262" s="29">
        <v>3446</v>
      </c>
      <c r="H262" s="29">
        <v>66115</v>
      </c>
      <c r="I262" s="29">
        <v>9591</v>
      </c>
      <c r="J262" s="29">
        <v>115370672</v>
      </c>
      <c r="K262" s="29">
        <v>1187</v>
      </c>
      <c r="L262" s="29">
        <v>2007</v>
      </c>
      <c r="N262" s="34"/>
      <c r="O262" s="29">
        <f t="shared" si="54"/>
        <v>1597</v>
      </c>
      <c r="P262" s="32" cm="1">
        <f t="array" ref="P262">WPNFACTOR(C262)</f>
        <v>2</v>
      </c>
      <c r="Q262" s="34" cm="1">
        <f t="array" ref="Q262">HPFACTOr(C262)</f>
        <v>5</v>
      </c>
      <c r="R262" s="33">
        <f t="shared" si="55"/>
        <v>798.5</v>
      </c>
      <c r="S262" s="34">
        <f t="shared" si="56"/>
        <v>23074134.399999999</v>
      </c>
      <c r="T262" s="33">
        <f t="shared" si="57"/>
        <v>798.5</v>
      </c>
      <c r="U262" s="42">
        <f t="shared" si="58"/>
        <v>23074134.399999999</v>
      </c>
      <c r="V262" s="44"/>
      <c r="W262" s="29">
        <f t="shared" si="60"/>
        <v>18424696318.399998</v>
      </c>
      <c r="X262" s="41">
        <f t="shared" si="59"/>
        <v>34.100921789439617</v>
      </c>
      <c r="Y262" s="33">
        <f t="shared" si="61"/>
        <v>368.42584189334775</v>
      </c>
      <c r="Z262" s="33">
        <v>1.33</v>
      </c>
      <c r="AA262" s="29">
        <f t="shared" si="62"/>
        <v>490.00636971815254</v>
      </c>
      <c r="AB262" s="33">
        <f t="shared" si="63"/>
        <v>2641.1928492987768</v>
      </c>
      <c r="AD262" s="46">
        <f t="shared" si="64"/>
        <v>0</v>
      </c>
    </row>
    <row r="263" spans="1:30" x14ac:dyDescent="0.2">
      <c r="A263" s="30" t="s">
        <v>8866</v>
      </c>
      <c r="B263" s="29">
        <v>2</v>
      </c>
      <c r="C263" s="29">
        <v>1</v>
      </c>
      <c r="D263" s="29">
        <v>362</v>
      </c>
      <c r="E263" s="29">
        <v>18561</v>
      </c>
      <c r="F263" s="29">
        <v>6602</v>
      </c>
      <c r="G263" s="29">
        <v>6602</v>
      </c>
      <c r="H263" s="29">
        <v>83598</v>
      </c>
      <c r="I263" s="29">
        <v>11886</v>
      </c>
      <c r="J263" s="29">
        <v>151730368</v>
      </c>
      <c r="K263" s="29">
        <v>1234</v>
      </c>
      <c r="L263" s="29">
        <v>2087</v>
      </c>
      <c r="N263" s="34"/>
      <c r="O263" s="29">
        <f t="shared" si="54"/>
        <v>1660.5</v>
      </c>
      <c r="P263" s="32" cm="1">
        <f t="array" ref="P263">WPNFACTOR(C263)</f>
        <v>2</v>
      </c>
      <c r="Q263" s="34" cm="1">
        <f t="array" ref="Q263">HPFACTOr(C263)</f>
        <v>5</v>
      </c>
      <c r="R263" s="33">
        <f t="shared" si="55"/>
        <v>830.25</v>
      </c>
      <c r="S263" s="34">
        <f t="shared" si="56"/>
        <v>30346073.600000001</v>
      </c>
      <c r="T263" s="33">
        <f t="shared" si="57"/>
        <v>830.25</v>
      </c>
      <c r="U263" s="42">
        <f t="shared" si="58"/>
        <v>30346073.600000001</v>
      </c>
      <c r="V263" s="44"/>
      <c r="W263" s="29">
        <f t="shared" si="60"/>
        <v>25194827606.400002</v>
      </c>
      <c r="X263" s="41">
        <f t="shared" si="59"/>
        <v>34.552408533689224</v>
      </c>
      <c r="Y263" s="33">
        <f t="shared" si="61"/>
        <v>398.40781407912476</v>
      </c>
      <c r="Z263" s="33">
        <v>1.33</v>
      </c>
      <c r="AA263" s="29">
        <f t="shared" si="62"/>
        <v>529.88239272523595</v>
      </c>
      <c r="AB263" s="33">
        <f t="shared" si="63"/>
        <v>2931.5938167998966</v>
      </c>
      <c r="AD263" s="46">
        <f t="shared" si="64"/>
        <v>0</v>
      </c>
    </row>
    <row r="264" spans="1:30" x14ac:dyDescent="0.2">
      <c r="A264" s="30" t="s">
        <v>8866</v>
      </c>
      <c r="B264" s="29">
        <v>3</v>
      </c>
      <c r="C264" s="29">
        <v>2</v>
      </c>
      <c r="D264" s="29">
        <v>377</v>
      </c>
      <c r="E264" s="29">
        <v>5718</v>
      </c>
      <c r="F264" s="29">
        <v>5813</v>
      </c>
      <c r="G264" s="29">
        <v>20594</v>
      </c>
      <c r="H264" s="29">
        <v>88667</v>
      </c>
      <c r="I264" s="29">
        <v>13464</v>
      </c>
      <c r="J264" s="29">
        <v>67032252</v>
      </c>
      <c r="K264" s="29">
        <v>2895</v>
      </c>
      <c r="L264" s="29">
        <v>4886</v>
      </c>
      <c r="N264" s="34"/>
      <c r="O264" s="29">
        <f t="shared" si="54"/>
        <v>3890.5</v>
      </c>
      <c r="P264" s="32" cm="1">
        <f t="array" ref="P264">WPNFACTOR(C264)</f>
        <v>4.5</v>
      </c>
      <c r="Q264" s="34" cm="1">
        <f t="array" ref="Q264">HPFACTOr(C264)</f>
        <v>2</v>
      </c>
      <c r="R264" s="33">
        <f t="shared" si="55"/>
        <v>864.55555555555554</v>
      </c>
      <c r="S264" s="34">
        <f t="shared" si="56"/>
        <v>33516126</v>
      </c>
      <c r="T264" s="33">
        <f t="shared" si="57"/>
        <v>864.55555555555554</v>
      </c>
      <c r="U264" s="42">
        <f t="shared" si="58"/>
        <v>33516126</v>
      </c>
      <c r="V264" s="44"/>
      <c r="W264" s="29">
        <f t="shared" si="60"/>
        <v>28976552934</v>
      </c>
      <c r="X264" s="41">
        <f t="shared" si="59"/>
        <v>34.754166930213898</v>
      </c>
      <c r="Y264" s="33">
        <f t="shared" si="61"/>
        <v>412.58333313671284</v>
      </c>
      <c r="Z264" s="33">
        <v>1.33</v>
      </c>
      <c r="AA264" s="29">
        <f t="shared" si="62"/>
        <v>548.7358330718281</v>
      </c>
      <c r="AB264" s="33">
        <f t="shared" si="63"/>
        <v>3071.488593059401</v>
      </c>
      <c r="AD264" s="46">
        <f t="shared" si="64"/>
        <v>0</v>
      </c>
    </row>
    <row r="265" spans="1:30" x14ac:dyDescent="0.2">
      <c r="A265" s="30" t="s">
        <v>8866</v>
      </c>
      <c r="B265" s="29">
        <v>4</v>
      </c>
      <c r="C265" s="29">
        <v>4</v>
      </c>
      <c r="D265" s="29">
        <v>392</v>
      </c>
      <c r="E265" s="29">
        <v>6639</v>
      </c>
      <c r="F265" s="29">
        <v>22792</v>
      </c>
      <c r="G265" s="29">
        <v>6633</v>
      </c>
      <c r="H265" s="29">
        <v>81699</v>
      </c>
      <c r="I265" s="29">
        <v>10532</v>
      </c>
      <c r="J265" s="29">
        <v>128430832</v>
      </c>
      <c r="K265" s="29">
        <v>2673</v>
      </c>
      <c r="L265" s="29">
        <v>4514</v>
      </c>
      <c r="N265" s="34"/>
      <c r="O265" s="29">
        <f t="shared" si="54"/>
        <v>3593.5</v>
      </c>
      <c r="P265" s="32" cm="1">
        <f t="array" ref="P265">WPNFACTOR(C265)</f>
        <v>4</v>
      </c>
      <c r="Q265" s="34" cm="1">
        <f t="array" ref="Q265">HPFACTOr(C265)</f>
        <v>4</v>
      </c>
      <c r="R265" s="33">
        <f t="shared" si="55"/>
        <v>898.375</v>
      </c>
      <c r="S265" s="34">
        <f t="shared" si="56"/>
        <v>32107708</v>
      </c>
      <c r="T265" s="33">
        <f t="shared" si="57"/>
        <v>898.375</v>
      </c>
      <c r="U265" s="42">
        <f t="shared" si="58"/>
        <v>32107708</v>
      </c>
      <c r="V265" s="44"/>
      <c r="W265" s="29">
        <f t="shared" si="60"/>
        <v>28844762174.5</v>
      </c>
      <c r="X265" s="41">
        <f t="shared" si="59"/>
        <v>34.747590317279219</v>
      </c>
      <c r="Y265" s="33">
        <f t="shared" si="61"/>
        <v>412.1134044190469</v>
      </c>
      <c r="Z265" s="33">
        <v>1.33</v>
      </c>
      <c r="AA265" s="29">
        <f t="shared" si="62"/>
        <v>548.11082787733244</v>
      </c>
      <c r="AB265" s="33">
        <f t="shared" si="63"/>
        <v>3066.8249481309349</v>
      </c>
      <c r="AD265" s="46">
        <f t="shared" si="64"/>
        <v>0</v>
      </c>
    </row>
    <row r="266" spans="1:30" x14ac:dyDescent="0.2">
      <c r="A266" s="30" t="s">
        <v>8866</v>
      </c>
      <c r="B266" s="29">
        <v>5</v>
      </c>
      <c r="C266" s="29">
        <v>2</v>
      </c>
      <c r="D266" s="29">
        <v>408</v>
      </c>
      <c r="E266" s="29">
        <v>6497</v>
      </c>
      <c r="F266" s="29">
        <v>6606</v>
      </c>
      <c r="G266" s="29">
        <v>22857</v>
      </c>
      <c r="H266" s="29">
        <v>99498</v>
      </c>
      <c r="I266" s="29">
        <v>14397</v>
      </c>
      <c r="J266" s="29">
        <v>81389360</v>
      </c>
      <c r="K266" s="29">
        <v>3130</v>
      </c>
      <c r="L266" s="29">
        <v>5286</v>
      </c>
      <c r="N266" s="34"/>
      <c r="O266" s="29">
        <f t="shared" si="54"/>
        <v>4208</v>
      </c>
      <c r="P266" s="32" cm="1">
        <f t="array" ref="P266">WPNFACTOR(C266)</f>
        <v>4.5</v>
      </c>
      <c r="Q266" s="34" cm="1">
        <f t="array" ref="Q266">HPFACTOr(C266)</f>
        <v>2</v>
      </c>
      <c r="R266" s="33">
        <f t="shared" si="55"/>
        <v>935.11111111111109</v>
      </c>
      <c r="S266" s="34">
        <f t="shared" si="56"/>
        <v>40694680</v>
      </c>
      <c r="T266" s="33">
        <f t="shared" si="57"/>
        <v>935.11111111111109</v>
      </c>
      <c r="U266" s="42">
        <f t="shared" si="58"/>
        <v>40694680</v>
      </c>
      <c r="V266" s="44"/>
      <c r="W266" s="29">
        <f t="shared" si="60"/>
        <v>38054047431.111107</v>
      </c>
      <c r="X266" s="41">
        <f t="shared" si="59"/>
        <v>35.147330855907356</v>
      </c>
      <c r="Y266" s="33">
        <f t="shared" si="61"/>
        <v>441.67235183337675</v>
      </c>
      <c r="Z266" s="33">
        <v>1.33</v>
      </c>
      <c r="AA266" s="29">
        <f t="shared" si="62"/>
        <v>587.42422793839114</v>
      </c>
      <c r="AB266" s="33">
        <f t="shared" si="63"/>
        <v>3363.5685651785575</v>
      </c>
      <c r="AD266" s="46">
        <f t="shared" si="64"/>
        <v>0</v>
      </c>
    </row>
    <row r="267" spans="1:30" x14ac:dyDescent="0.2">
      <c r="A267" s="30" t="s">
        <v>8866</v>
      </c>
      <c r="B267" s="29">
        <v>6</v>
      </c>
      <c r="C267" s="29">
        <v>1</v>
      </c>
      <c r="D267" s="29">
        <v>424</v>
      </c>
      <c r="E267" s="29">
        <v>22421</v>
      </c>
      <c r="F267" s="29">
        <v>10797</v>
      </c>
      <c r="G267" s="29">
        <v>10620</v>
      </c>
      <c r="H267" s="29">
        <v>112800</v>
      </c>
      <c r="I267" s="29">
        <v>15630</v>
      </c>
      <c r="J267" s="29">
        <v>239700000</v>
      </c>
      <c r="K267" s="29">
        <v>1446</v>
      </c>
      <c r="L267" s="29">
        <v>2441</v>
      </c>
      <c r="N267" s="34"/>
      <c r="O267" s="29">
        <f t="shared" si="54"/>
        <v>1943.5</v>
      </c>
      <c r="P267" s="32" cm="1">
        <f t="array" ref="P267">WPNFACTOR(C267)</f>
        <v>2</v>
      </c>
      <c r="Q267" s="34" cm="1">
        <f t="array" ref="Q267">HPFACTOr(C267)</f>
        <v>5</v>
      </c>
      <c r="R267" s="33">
        <f t="shared" si="55"/>
        <v>971.75</v>
      </c>
      <c r="S267" s="34">
        <f t="shared" si="56"/>
        <v>47940000</v>
      </c>
      <c r="T267" s="33">
        <f t="shared" si="57"/>
        <v>971.75</v>
      </c>
      <c r="U267" s="42">
        <f t="shared" si="58"/>
        <v>47940000</v>
      </c>
      <c r="V267" s="44"/>
      <c r="W267" s="29">
        <f t="shared" si="60"/>
        <v>46585695000</v>
      </c>
      <c r="X267" s="41">
        <f t="shared" si="59"/>
        <v>35.439167965537777</v>
      </c>
      <c r="Y267" s="33">
        <f t="shared" si="61"/>
        <v>464.5828188704773</v>
      </c>
      <c r="Z267" s="33">
        <v>1.33</v>
      </c>
      <c r="AA267" s="29">
        <f t="shared" si="62"/>
        <v>617.89514909773482</v>
      </c>
      <c r="AB267" s="33">
        <f t="shared" si="63"/>
        <v>3598.1908347909157</v>
      </c>
      <c r="AD267" s="46">
        <f t="shared" si="64"/>
        <v>0</v>
      </c>
    </row>
    <row r="268" spans="1:30" x14ac:dyDescent="0.2">
      <c r="A268" s="30" t="s">
        <v>8866</v>
      </c>
      <c r="B268" s="29">
        <v>7</v>
      </c>
      <c r="C268" s="29">
        <v>3</v>
      </c>
      <c r="D268" s="29">
        <v>440</v>
      </c>
      <c r="E268" s="29">
        <v>9250</v>
      </c>
      <c r="F268" s="29">
        <v>23036</v>
      </c>
      <c r="G268" s="29">
        <v>9250</v>
      </c>
      <c r="H268" s="29">
        <v>108665</v>
      </c>
      <c r="I268" s="29">
        <v>15697</v>
      </c>
      <c r="J268" s="29">
        <v>191685056</v>
      </c>
      <c r="K268" s="29">
        <v>1874</v>
      </c>
      <c r="L268" s="29">
        <v>3167</v>
      </c>
      <c r="N268" s="34"/>
      <c r="O268" s="29">
        <f t="shared" si="54"/>
        <v>2520.5</v>
      </c>
      <c r="P268" s="32" cm="1">
        <f t="array" ref="P268">WPNFACTOR(C268)</f>
        <v>2.5</v>
      </c>
      <c r="Q268" s="34" cm="1">
        <f t="array" ref="Q268">HPFACTOr(C268)</f>
        <v>4</v>
      </c>
      <c r="R268" s="33">
        <f t="shared" si="55"/>
        <v>1008.2</v>
      </c>
      <c r="S268" s="34">
        <f t="shared" si="56"/>
        <v>47921264</v>
      </c>
      <c r="T268" s="33">
        <f t="shared" si="57"/>
        <v>1008.2</v>
      </c>
      <c r="U268" s="42">
        <f t="shared" si="58"/>
        <v>47921264</v>
      </c>
      <c r="V268" s="44"/>
      <c r="W268" s="29">
        <f t="shared" si="60"/>
        <v>48314218364.800003</v>
      </c>
      <c r="X268" s="41">
        <f t="shared" si="59"/>
        <v>35.491728770351763</v>
      </c>
      <c r="Y268" s="33">
        <f t="shared" si="61"/>
        <v>468.83361150634562</v>
      </c>
      <c r="Z268" s="33">
        <v>1.33</v>
      </c>
      <c r="AA268" s="29">
        <f t="shared" si="62"/>
        <v>623.54870330343965</v>
      </c>
      <c r="AB268" s="33">
        <f t="shared" si="63"/>
        <v>3642.1541199599046</v>
      </c>
      <c r="AD268" s="46">
        <f t="shared" si="64"/>
        <v>0</v>
      </c>
    </row>
    <row r="269" spans="1:30" x14ac:dyDescent="0.2">
      <c r="A269" s="30" t="s">
        <v>8866</v>
      </c>
      <c r="B269" s="29">
        <v>8</v>
      </c>
      <c r="C269" s="29">
        <v>5</v>
      </c>
      <c r="D269" s="29">
        <v>456</v>
      </c>
      <c r="E269" s="29">
        <v>29669</v>
      </c>
      <c r="F269" s="29">
        <v>6988</v>
      </c>
      <c r="G269" s="29">
        <v>6988</v>
      </c>
      <c r="H269" s="29">
        <v>116680</v>
      </c>
      <c r="I269" s="29">
        <v>16639</v>
      </c>
      <c r="J269" s="29">
        <v>266613792</v>
      </c>
      <c r="K269" s="29">
        <v>1554</v>
      </c>
      <c r="L269" s="29">
        <v>2627</v>
      </c>
      <c r="N269" s="34"/>
      <c r="O269" s="29">
        <f t="shared" si="54"/>
        <v>2090.5</v>
      </c>
      <c r="P269" s="32" cm="1">
        <f t="array" ref="P269">WPNFACTOR(C269)</f>
        <v>2</v>
      </c>
      <c r="Q269" s="34" cm="1">
        <f t="array" ref="Q269">HPFACTOr(C269)</f>
        <v>5</v>
      </c>
      <c r="R269" s="33">
        <f t="shared" si="55"/>
        <v>1045.25</v>
      </c>
      <c r="S269" s="34">
        <f t="shared" si="56"/>
        <v>53322758.399999999</v>
      </c>
      <c r="T269" s="33">
        <f t="shared" si="57"/>
        <v>1045.25</v>
      </c>
      <c r="U269" s="42">
        <f t="shared" si="58"/>
        <v>53322758.399999999</v>
      </c>
      <c r="V269" s="44"/>
      <c r="W269" s="29">
        <f t="shared" si="60"/>
        <v>55735613217.599998</v>
      </c>
      <c r="X269" s="41">
        <f t="shared" si="59"/>
        <v>35.697880405598312</v>
      </c>
      <c r="Y269" s="33">
        <f t="shared" si="61"/>
        <v>485.88466881642194</v>
      </c>
      <c r="Z269" s="33">
        <v>1.33</v>
      </c>
      <c r="AA269" s="29">
        <f t="shared" si="62"/>
        <v>646.22660952584124</v>
      </c>
      <c r="AB269" s="33">
        <f t="shared" si="63"/>
        <v>3819.8319877495669</v>
      </c>
      <c r="AD269" s="46">
        <f t="shared" si="64"/>
        <v>0</v>
      </c>
    </row>
    <row r="270" spans="1:30" x14ac:dyDescent="0.2">
      <c r="A270" s="30" t="s">
        <v>8866</v>
      </c>
      <c r="B270" s="29">
        <v>9</v>
      </c>
      <c r="C270" s="29">
        <v>1</v>
      </c>
      <c r="D270" s="29">
        <v>474</v>
      </c>
      <c r="E270" s="29">
        <v>36039</v>
      </c>
      <c r="F270" s="29">
        <v>15498</v>
      </c>
      <c r="G270" s="29">
        <v>15498</v>
      </c>
      <c r="H270" s="29">
        <v>160331</v>
      </c>
      <c r="I270" s="29">
        <v>22927</v>
      </c>
      <c r="J270" s="29">
        <v>380786112</v>
      </c>
      <c r="K270" s="29">
        <v>1616</v>
      </c>
      <c r="L270" s="29">
        <v>2725</v>
      </c>
      <c r="N270" s="34"/>
      <c r="O270" s="29">
        <f t="shared" si="54"/>
        <v>2170.5</v>
      </c>
      <c r="P270" s="32" cm="1">
        <f t="array" ref="P270">WPNFACTOR(C270)</f>
        <v>2</v>
      </c>
      <c r="Q270" s="34" cm="1">
        <f t="array" ref="Q270">HPFACTOr(C270)</f>
        <v>5</v>
      </c>
      <c r="R270" s="33">
        <f t="shared" si="55"/>
        <v>1085.25</v>
      </c>
      <c r="S270" s="34">
        <f t="shared" si="56"/>
        <v>76157222.400000006</v>
      </c>
      <c r="T270" s="33">
        <f t="shared" si="57"/>
        <v>1085.25</v>
      </c>
      <c r="U270" s="42">
        <f t="shared" si="58"/>
        <v>76157222.400000006</v>
      </c>
      <c r="V270" s="44"/>
      <c r="W270" s="29">
        <f t="shared" si="60"/>
        <v>82649625609.600006</v>
      </c>
      <c r="X270" s="41">
        <f t="shared" si="59"/>
        <v>36.266289233213996</v>
      </c>
      <c r="Y270" s="33">
        <f t="shared" si="61"/>
        <v>536.17952132677192</v>
      </c>
      <c r="Z270" s="33">
        <v>1.33</v>
      </c>
      <c r="AA270" s="29">
        <f t="shared" si="62"/>
        <v>713.11876336460671</v>
      </c>
      <c r="AB270" s="33">
        <f t="shared" si="63"/>
        <v>4355.9240308829712</v>
      </c>
      <c r="AD270" s="46">
        <f t="shared" si="64"/>
        <v>0</v>
      </c>
    </row>
    <row r="271" spans="1:30" x14ac:dyDescent="0.2">
      <c r="A271" s="30" t="s">
        <v>8866</v>
      </c>
      <c r="B271" s="29">
        <v>10</v>
      </c>
      <c r="C271" s="29">
        <v>1</v>
      </c>
      <c r="D271" s="29">
        <v>500</v>
      </c>
      <c r="E271" s="29">
        <v>38231</v>
      </c>
      <c r="F271" s="29">
        <v>10473</v>
      </c>
      <c r="G271" s="29">
        <v>10474</v>
      </c>
      <c r="H271" s="29">
        <v>158088</v>
      </c>
      <c r="I271" s="29">
        <v>22969</v>
      </c>
      <c r="J271" s="29">
        <v>396010432</v>
      </c>
      <c r="K271" s="29">
        <v>1704</v>
      </c>
      <c r="L271" s="29">
        <v>2879</v>
      </c>
      <c r="N271" s="34"/>
      <c r="O271" s="29">
        <f t="shared" si="54"/>
        <v>2291.5</v>
      </c>
      <c r="P271" s="32" cm="1">
        <f t="array" ref="P271">WPNFACTOR(C271)</f>
        <v>2</v>
      </c>
      <c r="Q271" s="34" cm="1">
        <f t="array" ref="Q271">HPFACTOr(C271)</f>
        <v>5</v>
      </c>
      <c r="R271" s="33">
        <f t="shared" si="55"/>
        <v>1145.75</v>
      </c>
      <c r="S271" s="34">
        <f t="shared" si="56"/>
        <v>79202086.400000006</v>
      </c>
      <c r="T271" s="33">
        <f t="shared" si="57"/>
        <v>1145.75</v>
      </c>
      <c r="U271" s="42">
        <f t="shared" si="58"/>
        <v>79202086.400000006</v>
      </c>
      <c r="V271" s="44"/>
      <c r="W271" s="29">
        <f t="shared" si="60"/>
        <v>90745790492.800003</v>
      </c>
      <c r="X271" s="41">
        <f t="shared" si="59"/>
        <v>36.401111669932227</v>
      </c>
      <c r="Y271" s="33">
        <f t="shared" si="61"/>
        <v>548.85373256700018</v>
      </c>
      <c r="Z271" s="33">
        <v>1.33</v>
      </c>
      <c r="AA271" s="29">
        <f t="shared" si="62"/>
        <v>729.97546431411024</v>
      </c>
      <c r="AB271" s="33">
        <f t="shared" si="63"/>
        <v>4493.7491894072245</v>
      </c>
      <c r="AD271" s="46">
        <f t="shared" si="64"/>
        <v>0</v>
      </c>
    </row>
    <row r="272" spans="1:30" x14ac:dyDescent="0.2">
      <c r="A272" s="30" t="s">
        <v>8867</v>
      </c>
      <c r="B272" s="29">
        <v>1</v>
      </c>
      <c r="C272" s="29">
        <v>3</v>
      </c>
      <c r="D272" s="29">
        <v>410</v>
      </c>
      <c r="E272" s="29">
        <v>7080</v>
      </c>
      <c r="F272" s="29">
        <v>20200</v>
      </c>
      <c r="G272" s="29">
        <v>7050</v>
      </c>
      <c r="H272" s="29">
        <v>18210</v>
      </c>
      <c r="I272" s="29">
        <v>4280</v>
      </c>
      <c r="J272" s="29">
        <v>29937240</v>
      </c>
      <c r="K272" s="29">
        <v>1299</v>
      </c>
      <c r="L272" s="29">
        <v>3185</v>
      </c>
      <c r="N272" s="34"/>
      <c r="O272" s="29">
        <f t="shared" si="54"/>
        <v>2242</v>
      </c>
      <c r="P272" s="32" cm="1">
        <f t="array" ref="P272">WPNFACTOR(C272)</f>
        <v>2.5</v>
      </c>
      <c r="Q272" s="34" cm="1">
        <f t="array" ref="Q272">HPFACTOr(C272)</f>
        <v>4</v>
      </c>
      <c r="R272" s="33">
        <f t="shared" si="55"/>
        <v>896.8</v>
      </c>
      <c r="S272" s="34">
        <f t="shared" si="56"/>
        <v>7484310</v>
      </c>
      <c r="T272" s="33">
        <f t="shared" si="57"/>
        <v>896.8</v>
      </c>
      <c r="U272" s="42">
        <f t="shared" si="58"/>
        <v>7484310</v>
      </c>
      <c r="V272" s="44"/>
      <c r="W272" s="29">
        <f t="shared" si="60"/>
        <v>6711929208</v>
      </c>
      <c r="X272" s="41">
        <f t="shared" si="59"/>
        <v>32.644080353463949</v>
      </c>
      <c r="Y272" s="33">
        <f t="shared" si="61"/>
        <v>286.22781931126798</v>
      </c>
      <c r="Z272" s="33">
        <v>1.33</v>
      </c>
      <c r="AA272" s="29">
        <f t="shared" si="62"/>
        <v>380.68299968398645</v>
      </c>
      <c r="AB272" s="33">
        <f t="shared" si="63"/>
        <v>1886.3218226811341</v>
      </c>
      <c r="AC272" s="29">
        <v>387</v>
      </c>
      <c r="AD272" s="46">
        <f t="shared" si="64"/>
        <v>0.20516117416800883</v>
      </c>
    </row>
    <row r="273" spans="1:30" x14ac:dyDescent="0.2">
      <c r="A273" s="30" t="s">
        <v>8867</v>
      </c>
      <c r="B273" s="29">
        <v>2</v>
      </c>
      <c r="C273" s="29">
        <v>1</v>
      </c>
      <c r="D273" s="29">
        <v>420</v>
      </c>
      <c r="E273" s="29">
        <v>24240</v>
      </c>
      <c r="F273" s="29">
        <v>8490</v>
      </c>
      <c r="G273" s="29">
        <v>8460</v>
      </c>
      <c r="H273" s="29">
        <v>20030</v>
      </c>
      <c r="I273" s="29">
        <v>5130</v>
      </c>
      <c r="J273" s="29">
        <v>42163152</v>
      </c>
      <c r="K273" s="29">
        <v>1247</v>
      </c>
      <c r="L273" s="29">
        <v>3060</v>
      </c>
      <c r="N273" s="34"/>
      <c r="O273" s="29">
        <f t="shared" si="54"/>
        <v>2153.5</v>
      </c>
      <c r="P273" s="32" cm="1">
        <f t="array" ref="P273">WPNFACTOR(C273)</f>
        <v>2</v>
      </c>
      <c r="Q273" s="34" cm="1">
        <f t="array" ref="Q273">HPFACTOr(C273)</f>
        <v>5</v>
      </c>
      <c r="R273" s="33">
        <f t="shared" si="55"/>
        <v>1076.75</v>
      </c>
      <c r="S273" s="34">
        <f t="shared" si="56"/>
        <v>8432630.4000000004</v>
      </c>
      <c r="T273" s="33">
        <f t="shared" si="57"/>
        <v>1076.75</v>
      </c>
      <c r="U273" s="42">
        <f t="shared" si="58"/>
        <v>8432630.4000000004</v>
      </c>
      <c r="V273" s="44"/>
      <c r="W273" s="29">
        <f t="shared" si="60"/>
        <v>9079834783.2000008</v>
      </c>
      <c r="X273" s="41">
        <f t="shared" si="59"/>
        <v>33.080018900442255</v>
      </c>
      <c r="Y273" s="33">
        <f t="shared" si="61"/>
        <v>308.68781490060428</v>
      </c>
      <c r="Z273" s="33">
        <v>1.33</v>
      </c>
      <c r="AA273" s="29">
        <f t="shared" si="62"/>
        <v>410.55479381780373</v>
      </c>
      <c r="AB273" s="33">
        <f t="shared" si="63"/>
        <v>2086.2162091315809</v>
      </c>
      <c r="AD273" s="46">
        <f t="shared" si="64"/>
        <v>0</v>
      </c>
    </row>
    <row r="274" spans="1:30" x14ac:dyDescent="0.2">
      <c r="A274" s="30" t="s">
        <v>8867</v>
      </c>
      <c r="B274" s="29">
        <v>3</v>
      </c>
      <c r="C274" s="29">
        <v>2</v>
      </c>
      <c r="D274" s="29">
        <v>430</v>
      </c>
      <c r="E274" s="29">
        <v>10150</v>
      </c>
      <c r="F274" s="29">
        <v>10180</v>
      </c>
      <c r="G274" s="29">
        <v>29080</v>
      </c>
      <c r="H274" s="29">
        <v>22030</v>
      </c>
      <c r="I274" s="29">
        <v>6150</v>
      </c>
      <c r="J274" s="29">
        <v>18989860</v>
      </c>
      <c r="K274" s="29">
        <v>3364</v>
      </c>
      <c r="L274" s="29">
        <v>8263</v>
      </c>
      <c r="N274" s="34"/>
      <c r="O274" s="29">
        <f t="shared" si="54"/>
        <v>5813.5</v>
      </c>
      <c r="P274" s="32" cm="1">
        <f t="array" ref="P274">WPNFACTOR(C274)</f>
        <v>4.5</v>
      </c>
      <c r="Q274" s="34" cm="1">
        <f t="array" ref="Q274">HPFACTOr(C274)</f>
        <v>2</v>
      </c>
      <c r="R274" s="33">
        <f t="shared" si="55"/>
        <v>1291.8888888888889</v>
      </c>
      <c r="S274" s="34">
        <f t="shared" si="56"/>
        <v>9494930</v>
      </c>
      <c r="T274" s="33">
        <f t="shared" si="57"/>
        <v>1291.8888888888889</v>
      </c>
      <c r="U274" s="42">
        <f t="shared" si="58"/>
        <v>9494930</v>
      </c>
      <c r="V274" s="44"/>
      <c r="W274" s="29">
        <f t="shared" si="60"/>
        <v>12266394567.777779</v>
      </c>
      <c r="X274" s="41">
        <f t="shared" si="59"/>
        <v>33.513992212255012</v>
      </c>
      <c r="Y274" s="33">
        <f t="shared" si="61"/>
        <v>332.79686965168906</v>
      </c>
      <c r="Z274" s="33">
        <v>1.33</v>
      </c>
      <c r="AA274" s="29">
        <f t="shared" si="62"/>
        <v>442.61983663674647</v>
      </c>
      <c r="AB274" s="33">
        <f t="shared" si="63"/>
        <v>2306.246070050347</v>
      </c>
      <c r="AD274" s="46">
        <f t="shared" si="64"/>
        <v>0</v>
      </c>
    </row>
    <row r="275" spans="1:30" x14ac:dyDescent="0.2">
      <c r="A275" s="30" t="s">
        <v>8867</v>
      </c>
      <c r="B275" s="29">
        <v>4</v>
      </c>
      <c r="C275" s="29">
        <v>1</v>
      </c>
      <c r="D275" s="29">
        <v>440</v>
      </c>
      <c r="E275" s="29">
        <v>34890</v>
      </c>
      <c r="F275" s="29">
        <v>12210</v>
      </c>
      <c r="G275" s="29">
        <v>12180</v>
      </c>
      <c r="H275" s="29">
        <v>24230</v>
      </c>
      <c r="I275" s="29">
        <v>7380</v>
      </c>
      <c r="J275" s="29">
        <v>53427152</v>
      </c>
      <c r="K275" s="29">
        <v>1796</v>
      </c>
      <c r="L275" s="29">
        <v>4404</v>
      </c>
      <c r="N275" s="34"/>
      <c r="O275" s="29">
        <f t="shared" si="54"/>
        <v>3100</v>
      </c>
      <c r="P275" s="32" cm="1">
        <f t="array" ref="P275">WPNFACTOR(C275)</f>
        <v>2</v>
      </c>
      <c r="Q275" s="34" cm="1">
        <f t="array" ref="Q275">HPFACTOr(C275)</f>
        <v>5</v>
      </c>
      <c r="R275" s="33">
        <f t="shared" si="55"/>
        <v>1550</v>
      </c>
      <c r="S275" s="34">
        <f t="shared" si="56"/>
        <v>10685430.4</v>
      </c>
      <c r="T275" s="33">
        <f t="shared" si="57"/>
        <v>1550</v>
      </c>
      <c r="U275" s="42">
        <f t="shared" si="58"/>
        <v>10685430.4</v>
      </c>
      <c r="V275" s="44"/>
      <c r="W275" s="29">
        <f t="shared" si="60"/>
        <v>16562417120</v>
      </c>
      <c r="X275" s="41">
        <f t="shared" si="59"/>
        <v>33.947194184063896</v>
      </c>
      <c r="Y275" s="33">
        <f t="shared" si="61"/>
        <v>358.74092986617183</v>
      </c>
      <c r="Z275" s="33">
        <v>1.33</v>
      </c>
      <c r="AA275" s="29">
        <f t="shared" si="62"/>
        <v>477.12543672200854</v>
      </c>
      <c r="AB275" s="33">
        <f t="shared" si="63"/>
        <v>2549.0278041988518</v>
      </c>
      <c r="AD275" s="46">
        <f t="shared" si="64"/>
        <v>0</v>
      </c>
    </row>
    <row r="276" spans="1:30" x14ac:dyDescent="0.2">
      <c r="A276" s="30" t="s">
        <v>8867</v>
      </c>
      <c r="B276" s="29">
        <v>5</v>
      </c>
      <c r="C276" s="29">
        <v>2</v>
      </c>
      <c r="D276" s="29">
        <v>450</v>
      </c>
      <c r="E276" s="29">
        <v>14610</v>
      </c>
      <c r="F276" s="29">
        <v>14650</v>
      </c>
      <c r="G276" s="29">
        <v>41860</v>
      </c>
      <c r="H276" s="29">
        <v>26650</v>
      </c>
      <c r="I276" s="29">
        <v>8850</v>
      </c>
      <c r="J276" s="29">
        <v>24038300</v>
      </c>
      <c r="K276" s="29">
        <v>4848</v>
      </c>
      <c r="L276" s="29">
        <v>11901</v>
      </c>
      <c r="N276" s="34"/>
      <c r="O276" s="29">
        <f t="shared" si="54"/>
        <v>8374.5</v>
      </c>
      <c r="P276" s="32" cm="1">
        <f t="array" ref="P276">WPNFACTOR(C276)</f>
        <v>4.5</v>
      </c>
      <c r="Q276" s="34" cm="1">
        <f t="array" ref="Q276">HPFACTOr(C276)</f>
        <v>2</v>
      </c>
      <c r="R276" s="33">
        <f t="shared" si="55"/>
        <v>1861</v>
      </c>
      <c r="S276" s="34">
        <f t="shared" si="56"/>
        <v>12019150</v>
      </c>
      <c r="T276" s="33">
        <f t="shared" si="57"/>
        <v>1861</v>
      </c>
      <c r="U276" s="42">
        <f t="shared" si="58"/>
        <v>12019150</v>
      </c>
      <c r="V276" s="44"/>
      <c r="W276" s="29">
        <f t="shared" si="60"/>
        <v>22367638150</v>
      </c>
      <c r="X276" s="41">
        <f t="shared" si="59"/>
        <v>34.380693875848429</v>
      </c>
      <c r="Y276" s="33">
        <f t="shared" si="61"/>
        <v>386.72747903585429</v>
      </c>
      <c r="Z276" s="33">
        <v>1.33</v>
      </c>
      <c r="AA276" s="29">
        <f t="shared" si="62"/>
        <v>514.34754711768619</v>
      </c>
      <c r="AB276" s="33">
        <f t="shared" si="63"/>
        <v>2817.5613169778403</v>
      </c>
      <c r="AD276" s="46">
        <f t="shared" si="64"/>
        <v>0</v>
      </c>
    </row>
    <row r="277" spans="1:30" x14ac:dyDescent="0.2">
      <c r="A277" s="30" t="s">
        <v>8867</v>
      </c>
      <c r="B277" s="29">
        <v>6</v>
      </c>
      <c r="C277" s="29">
        <v>1</v>
      </c>
      <c r="D277" s="29">
        <v>460</v>
      </c>
      <c r="E277" s="29">
        <v>50230</v>
      </c>
      <c r="F277" s="29">
        <v>17580</v>
      </c>
      <c r="G277" s="29">
        <v>17530</v>
      </c>
      <c r="H277" s="29">
        <v>29310</v>
      </c>
      <c r="I277" s="29">
        <v>10620</v>
      </c>
      <c r="J277" s="29">
        <v>67559552</v>
      </c>
      <c r="K277" s="29">
        <v>2584</v>
      </c>
      <c r="L277" s="29">
        <v>6343</v>
      </c>
      <c r="N277" s="34"/>
      <c r="O277" s="29">
        <f t="shared" si="54"/>
        <v>4463.5</v>
      </c>
      <c r="P277" s="32" cm="1">
        <f t="array" ref="P277">WPNFACTOR(C277)</f>
        <v>2</v>
      </c>
      <c r="Q277" s="34" cm="1">
        <f t="array" ref="Q277">HPFACTOr(C277)</f>
        <v>5</v>
      </c>
      <c r="R277" s="33">
        <f t="shared" si="55"/>
        <v>2231.75</v>
      </c>
      <c r="S277" s="34">
        <f t="shared" si="56"/>
        <v>13511910.4</v>
      </c>
      <c r="T277" s="33">
        <f t="shared" si="57"/>
        <v>2231.75</v>
      </c>
      <c r="U277" s="42">
        <f t="shared" si="58"/>
        <v>13511910.4</v>
      </c>
      <c r="V277" s="44"/>
      <c r="W277" s="29">
        <f t="shared" si="60"/>
        <v>30155206035.200001</v>
      </c>
      <c r="X277" s="41">
        <f t="shared" si="59"/>
        <v>34.81168804130737</v>
      </c>
      <c r="Y277" s="33">
        <f t="shared" si="61"/>
        <v>416.71638315871684</v>
      </c>
      <c r="Z277" s="33">
        <v>1.33</v>
      </c>
      <c r="AA277" s="29">
        <f t="shared" si="62"/>
        <v>554.23278960109337</v>
      </c>
      <c r="AB277" s="33">
        <f t="shared" si="63"/>
        <v>3112.5817498959532</v>
      </c>
      <c r="AD277" s="46">
        <f t="shared" si="64"/>
        <v>0</v>
      </c>
    </row>
    <row r="278" spans="1:30" x14ac:dyDescent="0.2">
      <c r="A278" s="30" t="s">
        <v>8867</v>
      </c>
      <c r="B278" s="29">
        <v>7</v>
      </c>
      <c r="C278" s="29">
        <v>1</v>
      </c>
      <c r="D278" s="29">
        <v>470</v>
      </c>
      <c r="E278" s="29">
        <v>60270</v>
      </c>
      <c r="F278" s="29">
        <v>21090</v>
      </c>
      <c r="G278" s="29">
        <v>21030</v>
      </c>
      <c r="H278" s="29">
        <v>32240</v>
      </c>
      <c r="I278" s="29">
        <v>12740</v>
      </c>
      <c r="J278" s="29">
        <v>75925200</v>
      </c>
      <c r="K278" s="29">
        <v>3101</v>
      </c>
      <c r="L278" s="29">
        <v>7612</v>
      </c>
      <c r="N278" s="34"/>
      <c r="O278" s="29">
        <f t="shared" si="54"/>
        <v>5356.5</v>
      </c>
      <c r="P278" s="32" cm="1">
        <f t="array" ref="P278">WPNFACTOR(C278)</f>
        <v>2</v>
      </c>
      <c r="Q278" s="34" cm="1">
        <f t="array" ref="Q278">HPFACTOr(C278)</f>
        <v>5</v>
      </c>
      <c r="R278" s="33">
        <f t="shared" si="55"/>
        <v>2678.25</v>
      </c>
      <c r="S278" s="34">
        <f t="shared" si="56"/>
        <v>15185040</v>
      </c>
      <c r="T278" s="33">
        <f t="shared" si="57"/>
        <v>2678.25</v>
      </c>
      <c r="U278" s="42">
        <f t="shared" si="58"/>
        <v>15185040</v>
      </c>
      <c r="V278" s="44"/>
      <c r="W278" s="29">
        <f t="shared" si="60"/>
        <v>40669333380</v>
      </c>
      <c r="X278" s="41">
        <f t="shared" si="59"/>
        <v>35.243222292335339</v>
      </c>
      <c r="Y278" s="33">
        <f t="shared" si="61"/>
        <v>449.07281291577601</v>
      </c>
      <c r="Z278" s="33">
        <v>1.33</v>
      </c>
      <c r="AA278" s="29">
        <f t="shared" si="62"/>
        <v>597.26684117798209</v>
      </c>
      <c r="AB278" s="33">
        <f t="shared" si="63"/>
        <v>3438.9222043754507</v>
      </c>
      <c r="AD278" s="46">
        <f t="shared" si="64"/>
        <v>0</v>
      </c>
    </row>
    <row r="279" spans="1:30" x14ac:dyDescent="0.2">
      <c r="A279" s="30" t="s">
        <v>8867</v>
      </c>
      <c r="B279" s="29">
        <v>8</v>
      </c>
      <c r="C279" s="29">
        <v>1</v>
      </c>
      <c r="D279" s="29">
        <v>480</v>
      </c>
      <c r="E279" s="29">
        <v>72320</v>
      </c>
      <c r="F279" s="29">
        <v>25300</v>
      </c>
      <c r="G279" s="29">
        <v>25230</v>
      </c>
      <c r="H279" s="29">
        <v>35460</v>
      </c>
      <c r="I279" s="29">
        <v>15280</v>
      </c>
      <c r="J279" s="29">
        <v>85281296</v>
      </c>
      <c r="K279" s="29">
        <v>3722</v>
      </c>
      <c r="L279" s="29">
        <v>9140</v>
      </c>
      <c r="N279" s="34"/>
      <c r="O279" s="29">
        <f t="shared" si="54"/>
        <v>6431</v>
      </c>
      <c r="P279" s="32" cm="1">
        <f t="array" ref="P279">WPNFACTOR(C279)</f>
        <v>2</v>
      </c>
      <c r="Q279" s="34" cm="1">
        <f t="array" ref="Q279">HPFACTOr(C279)</f>
        <v>5</v>
      </c>
      <c r="R279" s="33">
        <f t="shared" si="55"/>
        <v>3215.5</v>
      </c>
      <c r="S279" s="34">
        <f t="shared" si="56"/>
        <v>17056259.199999999</v>
      </c>
      <c r="T279" s="33">
        <f t="shared" si="57"/>
        <v>3215.5</v>
      </c>
      <c r="U279" s="42">
        <f t="shared" si="58"/>
        <v>17056259.199999999</v>
      </c>
      <c r="V279" s="44"/>
      <c r="W279" s="29">
        <f t="shared" si="60"/>
        <v>54844401457.599998</v>
      </c>
      <c r="X279" s="41">
        <f t="shared" si="59"/>
        <v>35.674625306027274</v>
      </c>
      <c r="Y279" s="33">
        <f t="shared" si="61"/>
        <v>483.93058988369393</v>
      </c>
      <c r="Z279" s="33">
        <v>1.33</v>
      </c>
      <c r="AA279" s="29">
        <f t="shared" si="62"/>
        <v>643.62768454531295</v>
      </c>
      <c r="AB279" s="33">
        <f t="shared" si="63"/>
        <v>3799.3628076938753</v>
      </c>
      <c r="AD279" s="46">
        <f t="shared" si="64"/>
        <v>0</v>
      </c>
    </row>
    <row r="280" spans="1:30" x14ac:dyDescent="0.2">
      <c r="A280" s="30" t="s">
        <v>8867</v>
      </c>
      <c r="B280" s="29">
        <v>9</v>
      </c>
      <c r="C280" s="29">
        <v>3</v>
      </c>
      <c r="D280" s="29">
        <v>490</v>
      </c>
      <c r="E280" s="29">
        <v>30360</v>
      </c>
      <c r="F280" s="29">
        <v>86780</v>
      </c>
      <c r="G280" s="29">
        <v>30270</v>
      </c>
      <c r="H280" s="29">
        <v>39000</v>
      </c>
      <c r="I280" s="29">
        <v>18330</v>
      </c>
      <c r="J280" s="29">
        <v>76596000</v>
      </c>
      <c r="K280" s="29">
        <v>5596</v>
      </c>
      <c r="L280" s="29">
        <v>13705</v>
      </c>
      <c r="N280" s="34"/>
      <c r="O280" s="29">
        <f t="shared" si="54"/>
        <v>9650.5</v>
      </c>
      <c r="P280" s="32" cm="1">
        <f t="array" ref="P280">WPNFACTOR(C280)</f>
        <v>2.5</v>
      </c>
      <c r="Q280" s="34" cm="1">
        <f t="array" ref="Q280">HPFACTOr(C280)</f>
        <v>4</v>
      </c>
      <c r="R280" s="33">
        <f t="shared" si="55"/>
        <v>3860.2</v>
      </c>
      <c r="S280" s="34">
        <f t="shared" si="56"/>
        <v>19149000</v>
      </c>
      <c r="T280" s="33">
        <f t="shared" si="57"/>
        <v>3860.2</v>
      </c>
      <c r="U280" s="42">
        <f t="shared" si="58"/>
        <v>19149000</v>
      </c>
      <c r="V280" s="44"/>
      <c r="W280" s="29">
        <f t="shared" si="60"/>
        <v>73918969800</v>
      </c>
      <c r="X280" s="41">
        <f t="shared" si="59"/>
        <v>36.105225599096372</v>
      </c>
      <c r="Y280" s="33">
        <f t="shared" si="61"/>
        <v>521.42155010244255</v>
      </c>
      <c r="Z280" s="33">
        <v>1.33</v>
      </c>
      <c r="AA280" s="29">
        <f t="shared" si="62"/>
        <v>693.49066163624866</v>
      </c>
      <c r="AB280" s="33">
        <f t="shared" si="63"/>
        <v>4196.8034975538394</v>
      </c>
      <c r="AD280" s="46">
        <f t="shared" si="64"/>
        <v>0</v>
      </c>
    </row>
    <row r="281" spans="1:30" x14ac:dyDescent="0.2">
      <c r="A281" s="30" t="s">
        <v>8867</v>
      </c>
      <c r="B281" s="29">
        <v>10</v>
      </c>
      <c r="C281" s="29">
        <v>2</v>
      </c>
      <c r="D281" s="29">
        <v>500</v>
      </c>
      <c r="E281" s="29">
        <v>36430</v>
      </c>
      <c r="F281" s="29">
        <v>36320</v>
      </c>
      <c r="G281" s="29">
        <v>104130</v>
      </c>
      <c r="H281" s="29">
        <v>42900</v>
      </c>
      <c r="I281" s="29">
        <v>21990</v>
      </c>
      <c r="J281" s="29">
        <v>42985800</v>
      </c>
      <c r="K281" s="29">
        <v>12063</v>
      </c>
      <c r="L281" s="29">
        <v>29600</v>
      </c>
      <c r="N281" s="34"/>
      <c r="O281" s="29">
        <f t="shared" si="54"/>
        <v>20831.5</v>
      </c>
      <c r="P281" s="32" cm="1">
        <f t="array" ref="P281">WPNFACTOR(C281)</f>
        <v>4.5</v>
      </c>
      <c r="Q281" s="34" cm="1">
        <f t="array" ref="Q281">HPFACTOr(C281)</f>
        <v>2</v>
      </c>
      <c r="R281" s="33">
        <f t="shared" si="55"/>
        <v>4629.2222222222226</v>
      </c>
      <c r="S281" s="34">
        <f t="shared" si="56"/>
        <v>21492900</v>
      </c>
      <c r="T281" s="33">
        <f t="shared" si="57"/>
        <v>4629.2222222222226</v>
      </c>
      <c r="U281" s="42">
        <f t="shared" si="58"/>
        <v>21492900</v>
      </c>
      <c r="V281" s="44"/>
      <c r="W281" s="29">
        <f t="shared" si="60"/>
        <v>99495410300.000015</v>
      </c>
      <c r="X281" s="41">
        <f t="shared" si="59"/>
        <v>36.533910924880146</v>
      </c>
      <c r="Y281" s="33">
        <f t="shared" si="61"/>
        <v>561.6305998289821</v>
      </c>
      <c r="Z281" s="33">
        <v>1.33</v>
      </c>
      <c r="AA281" s="29">
        <f t="shared" si="62"/>
        <v>746.96869777254619</v>
      </c>
      <c r="AB281" s="33">
        <f t="shared" si="63"/>
        <v>4633.7686725272042</v>
      </c>
      <c r="AD281" s="46">
        <f t="shared" si="64"/>
        <v>0</v>
      </c>
    </row>
    <row r="282" spans="1:30" x14ac:dyDescent="0.2">
      <c r="A282" s="30" t="s">
        <v>2937</v>
      </c>
      <c r="B282" s="29">
        <v>10</v>
      </c>
      <c r="N282" s="34"/>
      <c r="Q282" s="34"/>
      <c r="S282" s="34"/>
      <c r="U282" s="42"/>
      <c r="V282" s="44"/>
      <c r="X282" s="41"/>
      <c r="AC282" s="29">
        <v>151</v>
      </c>
    </row>
    <row r="283" spans="1:30" x14ac:dyDescent="0.2">
      <c r="A283" s="30" t="s">
        <v>2937</v>
      </c>
      <c r="B283" s="29">
        <v>20</v>
      </c>
      <c r="N283" s="34"/>
      <c r="Q283" s="34"/>
      <c r="S283" s="34"/>
      <c r="U283" s="42"/>
      <c r="V283" s="44"/>
      <c r="X283" s="41"/>
      <c r="AC283" s="29">
        <v>151</v>
      </c>
    </row>
    <row r="284" spans="1:30" x14ac:dyDescent="0.2">
      <c r="A284" s="30" t="s">
        <v>2937</v>
      </c>
      <c r="B284" s="29">
        <v>30</v>
      </c>
      <c r="N284" s="34"/>
      <c r="Q284" s="34"/>
      <c r="S284" s="34"/>
      <c r="U284" s="42"/>
      <c r="V284" s="44"/>
      <c r="X284" s="41"/>
      <c r="AC284" s="29">
        <v>151</v>
      </c>
    </row>
    <row r="285" spans="1:30" x14ac:dyDescent="0.2">
      <c r="A285" s="30" t="s">
        <v>2937</v>
      </c>
      <c r="B285" s="29">
        <v>40</v>
      </c>
      <c r="N285" s="34"/>
      <c r="Q285" s="34"/>
      <c r="S285" s="34"/>
      <c r="U285" s="42"/>
      <c r="V285" s="44"/>
      <c r="X285" s="41"/>
      <c r="AC285" s="29">
        <v>152</v>
      </c>
    </row>
    <row r="286" spans="1:30" x14ac:dyDescent="0.2">
      <c r="A286" s="30" t="s">
        <v>2937</v>
      </c>
      <c r="B286" s="29">
        <v>50</v>
      </c>
      <c r="N286" s="34"/>
      <c r="Q286" s="34"/>
      <c r="S286" s="34"/>
      <c r="U286" s="42"/>
      <c r="V286" s="44"/>
      <c r="X286" s="41"/>
      <c r="AC286" s="29">
        <v>152</v>
      </c>
    </row>
    <row r="287" spans="1:30" x14ac:dyDescent="0.2">
      <c r="A287" s="30" t="s">
        <v>2937</v>
      </c>
      <c r="B287" s="29">
        <v>60</v>
      </c>
      <c r="N287" s="34"/>
      <c r="Q287" s="34"/>
      <c r="S287" s="34"/>
      <c r="U287" s="42"/>
      <c r="V287" s="44"/>
      <c r="X287" s="41"/>
      <c r="AC287" s="29">
        <v>163</v>
      </c>
    </row>
    <row r="288" spans="1:30" x14ac:dyDescent="0.2">
      <c r="A288" s="30" t="s">
        <v>2937</v>
      </c>
      <c r="B288" s="29">
        <v>70</v>
      </c>
      <c r="N288" s="34"/>
      <c r="Q288" s="34"/>
      <c r="S288" s="34"/>
      <c r="U288" s="42"/>
      <c r="V288" s="44"/>
      <c r="X288" s="41"/>
      <c r="AC288" s="29">
        <v>212</v>
      </c>
    </row>
    <row r="289" spans="1:29" x14ac:dyDescent="0.2">
      <c r="A289" s="30" t="s">
        <v>2937</v>
      </c>
      <c r="B289" s="29">
        <v>80</v>
      </c>
      <c r="N289" s="34"/>
      <c r="Q289" s="34"/>
      <c r="S289" s="34"/>
      <c r="U289" s="42"/>
      <c r="V289" s="44"/>
      <c r="X289" s="41"/>
      <c r="AC289" s="29">
        <v>212</v>
      </c>
    </row>
    <row r="290" spans="1:29" x14ac:dyDescent="0.2">
      <c r="A290" s="30" t="s">
        <v>2937</v>
      </c>
      <c r="B290" s="29">
        <v>90</v>
      </c>
      <c r="N290" s="34"/>
      <c r="Q290" s="34"/>
      <c r="S290" s="34"/>
      <c r="U290" s="42"/>
      <c r="V290" s="44"/>
      <c r="X290" s="41"/>
      <c r="AC290" s="29">
        <v>212</v>
      </c>
    </row>
    <row r="291" spans="1:29" x14ac:dyDescent="0.2">
      <c r="A291" s="30" t="s">
        <v>2937</v>
      </c>
      <c r="B291" s="29">
        <v>100</v>
      </c>
      <c r="N291" s="34"/>
      <c r="Q291" s="34"/>
      <c r="S291" s="34"/>
      <c r="U291" s="42"/>
      <c r="V291" s="44"/>
      <c r="X291" s="41"/>
      <c r="AC291" s="29">
        <v>213</v>
      </c>
    </row>
    <row r="292" spans="1:29" x14ac:dyDescent="0.2">
      <c r="A292" s="30" t="s">
        <v>2937</v>
      </c>
      <c r="B292" s="29">
        <v>110</v>
      </c>
      <c r="N292" s="34"/>
      <c r="Q292" s="34"/>
      <c r="S292" s="34"/>
      <c r="U292" s="42"/>
      <c r="V292" s="44"/>
      <c r="X292" s="41"/>
      <c r="AC292" s="29">
        <v>213</v>
      </c>
    </row>
    <row r="293" spans="1:29" x14ac:dyDescent="0.2">
      <c r="A293" s="30" t="s">
        <v>2937</v>
      </c>
      <c r="B293" s="29">
        <v>120</v>
      </c>
      <c r="N293" s="34"/>
      <c r="Q293" s="34"/>
      <c r="S293" s="34"/>
      <c r="U293" s="42"/>
      <c r="V293" s="44"/>
      <c r="X293" s="41"/>
      <c r="AC293" s="29">
        <v>214</v>
      </c>
    </row>
    <row r="294" spans="1:29" x14ac:dyDescent="0.2">
      <c r="A294" s="30" t="s">
        <v>2937</v>
      </c>
      <c r="B294" s="29">
        <v>130</v>
      </c>
      <c r="N294" s="34"/>
      <c r="Q294" s="34"/>
      <c r="S294" s="34"/>
      <c r="U294" s="42"/>
      <c r="V294" s="44"/>
      <c r="X294" s="41"/>
      <c r="AC294" s="29">
        <v>214</v>
      </c>
    </row>
    <row r="295" spans="1:29" x14ac:dyDescent="0.2">
      <c r="A295" s="30" t="s">
        <v>2937</v>
      </c>
      <c r="B295" s="29">
        <v>140</v>
      </c>
      <c r="N295" s="34"/>
      <c r="Q295" s="34"/>
      <c r="S295" s="34"/>
      <c r="U295" s="42"/>
      <c r="V295" s="44"/>
      <c r="X295" s="41"/>
      <c r="AC295" s="29">
        <v>215</v>
      </c>
    </row>
    <row r="296" spans="1:29" x14ac:dyDescent="0.2">
      <c r="A296" s="30" t="s">
        <v>2937</v>
      </c>
      <c r="B296" s="29">
        <v>150</v>
      </c>
      <c r="N296" s="34"/>
      <c r="Q296" s="34"/>
      <c r="S296" s="34"/>
      <c r="U296" s="42"/>
      <c r="V296" s="44"/>
      <c r="X296" s="41"/>
      <c r="AC296" s="29">
        <v>224</v>
      </c>
    </row>
    <row r="297" spans="1:29" x14ac:dyDescent="0.2">
      <c r="A297" s="30" t="s">
        <v>2937</v>
      </c>
      <c r="B297" s="29">
        <v>160</v>
      </c>
      <c r="N297" s="34"/>
      <c r="Q297" s="34"/>
      <c r="S297" s="34"/>
      <c r="U297" s="42"/>
      <c r="V297" s="44"/>
      <c r="X297" s="41"/>
      <c r="AC297" s="29">
        <v>224</v>
      </c>
    </row>
    <row r="298" spans="1:29" x14ac:dyDescent="0.2">
      <c r="A298" s="30" t="s">
        <v>2937</v>
      </c>
      <c r="B298" s="29">
        <v>170</v>
      </c>
      <c r="N298" s="34"/>
      <c r="Q298" s="34"/>
      <c r="S298" s="34"/>
      <c r="U298" s="42"/>
      <c r="V298" s="44"/>
      <c r="X298" s="41"/>
      <c r="AC298" s="29">
        <v>250</v>
      </c>
    </row>
    <row r="299" spans="1:29" x14ac:dyDescent="0.2">
      <c r="A299" s="30" t="s">
        <v>2937</v>
      </c>
      <c r="B299" s="29">
        <v>180</v>
      </c>
      <c r="N299" s="34"/>
      <c r="Q299" s="34"/>
      <c r="S299" s="34"/>
      <c r="U299" s="42"/>
      <c r="V299" s="44"/>
      <c r="X299" s="41"/>
      <c r="AC299" s="29">
        <v>254</v>
      </c>
    </row>
    <row r="300" spans="1:29" x14ac:dyDescent="0.2">
      <c r="A300" s="30" t="s">
        <v>2937</v>
      </c>
      <c r="B300" s="29">
        <v>190</v>
      </c>
      <c r="N300" s="34"/>
      <c r="Q300" s="34"/>
      <c r="S300" s="34"/>
      <c r="U300" s="42"/>
      <c r="V300" s="44"/>
      <c r="X300" s="41"/>
      <c r="AC300" s="29">
        <v>256</v>
      </c>
    </row>
    <row r="301" spans="1:29" x14ac:dyDescent="0.2">
      <c r="A301" s="30" t="s">
        <v>2937</v>
      </c>
      <c r="B301" s="29">
        <v>200</v>
      </c>
      <c r="N301" s="34"/>
      <c r="Q301" s="34"/>
      <c r="S301" s="34"/>
      <c r="U301" s="42"/>
      <c r="V301" s="44"/>
      <c r="X301" s="41"/>
      <c r="AC301" s="29">
        <v>256</v>
      </c>
    </row>
    <row r="302" spans="1:29" x14ac:dyDescent="0.2">
      <c r="A302" s="30" t="s">
        <v>2937</v>
      </c>
      <c r="B302" s="29">
        <v>210</v>
      </c>
      <c r="N302" s="34"/>
      <c r="Q302" s="34"/>
      <c r="S302" s="34"/>
      <c r="U302" s="42"/>
      <c r="V302" s="44"/>
      <c r="X302" s="41"/>
      <c r="AC302" s="29">
        <v>257</v>
      </c>
    </row>
    <row r="303" spans="1:29" x14ac:dyDescent="0.2">
      <c r="A303" s="30" t="s">
        <v>2937</v>
      </c>
      <c r="B303" s="29">
        <v>220</v>
      </c>
      <c r="N303" s="34"/>
      <c r="Q303" s="34"/>
      <c r="S303" s="34"/>
      <c r="U303" s="42"/>
      <c r="V303" s="44"/>
      <c r="X303" s="41"/>
      <c r="AC303" s="29">
        <v>261</v>
      </c>
    </row>
    <row r="304" spans="1:29" x14ac:dyDescent="0.2">
      <c r="A304" s="30" t="s">
        <v>2937</v>
      </c>
      <c r="B304" s="29">
        <v>230</v>
      </c>
      <c r="N304" s="34"/>
      <c r="Q304" s="34"/>
      <c r="S304" s="34"/>
      <c r="U304" s="42"/>
      <c r="V304" s="44"/>
      <c r="X304" s="41"/>
      <c r="AC304" s="29">
        <v>264</v>
      </c>
    </row>
    <row r="305" spans="1:29" x14ac:dyDescent="0.2">
      <c r="A305" s="30" t="s">
        <v>2937</v>
      </c>
      <c r="B305" s="29">
        <v>240</v>
      </c>
      <c r="N305" s="34"/>
      <c r="Q305" s="34"/>
      <c r="S305" s="34"/>
      <c r="U305" s="42"/>
      <c r="V305" s="44"/>
      <c r="X305" s="41"/>
      <c r="AC305" s="29">
        <v>270</v>
      </c>
    </row>
    <row r="306" spans="1:29" x14ac:dyDescent="0.2">
      <c r="A306" s="30" t="s">
        <v>2937</v>
      </c>
      <c r="B306" s="29">
        <v>250</v>
      </c>
      <c r="N306" s="34"/>
      <c r="Q306" s="34"/>
      <c r="S306" s="34"/>
      <c r="U306" s="42"/>
      <c r="V306" s="44"/>
      <c r="X306" s="41"/>
      <c r="AC306" s="29">
        <v>275</v>
      </c>
    </row>
    <row r="307" spans="1:29" x14ac:dyDescent="0.2">
      <c r="A307" s="30" t="s">
        <v>2937</v>
      </c>
      <c r="B307" s="29">
        <v>260</v>
      </c>
      <c r="N307" s="34"/>
      <c r="Q307" s="34"/>
      <c r="S307" s="34"/>
      <c r="U307" s="42"/>
      <c r="V307" s="44"/>
      <c r="X307" s="41"/>
      <c r="AC307" s="29">
        <v>282</v>
      </c>
    </row>
    <row r="308" spans="1:29" x14ac:dyDescent="0.2">
      <c r="A308" s="30" t="s">
        <v>2937</v>
      </c>
      <c r="B308" s="29">
        <v>270</v>
      </c>
      <c r="N308" s="34"/>
      <c r="Q308" s="34"/>
      <c r="S308" s="34"/>
      <c r="U308" s="42"/>
      <c r="V308" s="44"/>
      <c r="X308" s="41"/>
      <c r="AC308" s="29">
        <v>288</v>
      </c>
    </row>
    <row r="309" spans="1:29" x14ac:dyDescent="0.2">
      <c r="A309" s="30" t="s">
        <v>2937</v>
      </c>
      <c r="B309" s="29">
        <v>280</v>
      </c>
      <c r="N309" s="34"/>
      <c r="Q309" s="34"/>
      <c r="S309" s="34"/>
      <c r="U309" s="42"/>
      <c r="V309" s="44"/>
      <c r="X309" s="41"/>
      <c r="AC309" s="29">
        <v>291</v>
      </c>
    </row>
    <row r="310" spans="1:29" x14ac:dyDescent="0.2">
      <c r="A310" s="30" t="s">
        <v>2937</v>
      </c>
      <c r="B310" s="29">
        <v>290</v>
      </c>
      <c r="N310" s="34"/>
      <c r="Q310" s="34"/>
      <c r="S310" s="34"/>
      <c r="U310" s="42"/>
      <c r="V310" s="44"/>
      <c r="X310" s="41"/>
      <c r="AC310" s="29">
        <v>291</v>
      </c>
    </row>
    <row r="311" spans="1:29" x14ac:dyDescent="0.2">
      <c r="A311" s="30" t="s">
        <v>2937</v>
      </c>
      <c r="B311" s="29">
        <v>300</v>
      </c>
      <c r="N311" s="34"/>
      <c r="Q311" s="34"/>
      <c r="S311" s="34"/>
      <c r="U311" s="42"/>
      <c r="V311" s="44"/>
      <c r="X311" s="41"/>
      <c r="AC311" s="29">
        <v>295</v>
      </c>
    </row>
    <row r="312" spans="1:29" x14ac:dyDescent="0.2">
      <c r="A312" s="30" t="s">
        <v>2937</v>
      </c>
      <c r="B312" s="29">
        <v>310</v>
      </c>
      <c r="N312" s="34"/>
      <c r="Q312" s="34"/>
      <c r="S312" s="34"/>
      <c r="U312" s="42"/>
      <c r="V312" s="44"/>
      <c r="X312" s="41"/>
      <c r="AC312" s="29">
        <v>300</v>
      </c>
    </row>
    <row r="313" spans="1:29" x14ac:dyDescent="0.2">
      <c r="A313" s="30" t="s">
        <v>2937</v>
      </c>
      <c r="B313" s="29">
        <v>320</v>
      </c>
      <c r="N313" s="34"/>
      <c r="Q313" s="34"/>
      <c r="S313" s="34"/>
      <c r="U313" s="42"/>
      <c r="V313" s="44"/>
      <c r="X313" s="41"/>
      <c r="AC313" s="29">
        <v>300</v>
      </c>
    </row>
    <row r="314" spans="1:29" x14ac:dyDescent="0.2">
      <c r="A314" s="30" t="s">
        <v>2937</v>
      </c>
      <c r="B314" s="29">
        <v>330</v>
      </c>
      <c r="N314" s="34"/>
      <c r="Q314" s="34"/>
      <c r="S314" s="34"/>
      <c r="U314" s="42"/>
      <c r="V314" s="44"/>
      <c r="X314" s="41"/>
    </row>
    <row r="315" spans="1:29" x14ac:dyDescent="0.2">
      <c r="A315" s="30" t="s">
        <v>2937</v>
      </c>
      <c r="B315" s="29">
        <v>340</v>
      </c>
      <c r="N315" s="34"/>
      <c r="Q315" s="34"/>
      <c r="S315" s="34"/>
      <c r="U315" s="42"/>
      <c r="V315" s="44"/>
      <c r="X315" s="41"/>
    </row>
    <row r="316" spans="1:29" x14ac:dyDescent="0.2">
      <c r="A316" s="30" t="s">
        <v>2937</v>
      </c>
      <c r="B316" s="29">
        <v>350</v>
      </c>
      <c r="N316" s="34"/>
      <c r="Q316" s="34"/>
      <c r="S316" s="34"/>
      <c r="U316" s="42"/>
      <c r="V316" s="44"/>
      <c r="X316" s="41"/>
    </row>
    <row r="317" spans="1:29" x14ac:dyDescent="0.2">
      <c r="A317" s="30" t="s">
        <v>2937</v>
      </c>
      <c r="B317" s="29">
        <v>360</v>
      </c>
      <c r="N317" s="34"/>
      <c r="Q317" s="34"/>
      <c r="S317" s="34"/>
      <c r="U317" s="42"/>
      <c r="V317" s="44"/>
      <c r="X317" s="41"/>
    </row>
    <row r="318" spans="1:29" x14ac:dyDescent="0.2">
      <c r="A318" s="30" t="s">
        <v>2937</v>
      </c>
      <c r="B318" s="29">
        <v>370</v>
      </c>
      <c r="N318" s="34"/>
      <c r="Q318" s="34"/>
      <c r="S318" s="34"/>
      <c r="U318" s="42"/>
      <c r="V318" s="44"/>
      <c r="X318" s="41"/>
    </row>
    <row r="319" spans="1:29" x14ac:dyDescent="0.2">
      <c r="A319" s="30" t="s">
        <v>2937</v>
      </c>
      <c r="B319" s="29">
        <v>380</v>
      </c>
      <c r="N319" s="34"/>
      <c r="Q319" s="34"/>
      <c r="S319" s="34"/>
      <c r="U319" s="42"/>
      <c r="V319" s="44"/>
      <c r="X319" s="41"/>
    </row>
    <row r="320" spans="1:29" x14ac:dyDescent="0.2">
      <c r="A320" s="30" t="s">
        <v>2937</v>
      </c>
      <c r="B320" s="29">
        <v>390</v>
      </c>
      <c r="N320" s="34"/>
      <c r="Q320" s="34"/>
      <c r="S320" s="34"/>
      <c r="U320" s="42"/>
      <c r="V320" s="44"/>
      <c r="X320" s="41"/>
    </row>
    <row r="321" spans="1:24" x14ac:dyDescent="0.2">
      <c r="A321" s="30" t="s">
        <v>2937</v>
      </c>
      <c r="B321" s="29">
        <v>400</v>
      </c>
      <c r="N321" s="34"/>
      <c r="Q321" s="34"/>
      <c r="S321" s="34"/>
      <c r="U321" s="42"/>
      <c r="V321" s="44"/>
      <c r="X321" s="41"/>
    </row>
    <row r="322" spans="1:24" x14ac:dyDescent="0.2">
      <c r="A322" s="30" t="s">
        <v>2937</v>
      </c>
      <c r="B322" s="29">
        <v>410</v>
      </c>
      <c r="N322" s="34"/>
      <c r="Q322" s="34"/>
      <c r="S322" s="34"/>
      <c r="U322" s="42"/>
      <c r="V322" s="44"/>
      <c r="X322" s="41"/>
    </row>
    <row r="323" spans="1:24" x14ac:dyDescent="0.2">
      <c r="A323" s="30" t="s">
        <v>2937</v>
      </c>
      <c r="B323" s="29">
        <v>420</v>
      </c>
      <c r="N323" s="34"/>
      <c r="Q323" s="34"/>
      <c r="S323" s="34"/>
      <c r="U323" s="42"/>
      <c r="V323" s="44"/>
      <c r="X323" s="41"/>
    </row>
    <row r="324" spans="1:24" x14ac:dyDescent="0.2">
      <c r="A324" s="30" t="s">
        <v>2937</v>
      </c>
      <c r="B324" s="29">
        <v>430</v>
      </c>
      <c r="N324" s="34"/>
      <c r="Q324" s="34"/>
      <c r="S324" s="34"/>
      <c r="U324" s="42"/>
      <c r="V324" s="44"/>
      <c r="X324" s="41"/>
    </row>
    <row r="325" spans="1:24" x14ac:dyDescent="0.2">
      <c r="A325" s="30" t="s">
        <v>2937</v>
      </c>
      <c r="B325" s="29">
        <v>440</v>
      </c>
      <c r="N325" s="34"/>
      <c r="Q325" s="34"/>
      <c r="S325" s="34"/>
      <c r="U325" s="42"/>
      <c r="V325" s="44"/>
      <c r="X325" s="41"/>
    </row>
    <row r="326" spans="1:24" x14ac:dyDescent="0.2">
      <c r="A326" s="30" t="s">
        <v>2937</v>
      </c>
      <c r="B326" s="29">
        <v>450</v>
      </c>
      <c r="N326" s="34"/>
      <c r="Q326" s="34"/>
      <c r="S326" s="34"/>
      <c r="U326" s="42"/>
      <c r="V326" s="44"/>
      <c r="X326" s="41"/>
    </row>
    <row r="327" spans="1:24" x14ac:dyDescent="0.2">
      <c r="A327" s="30" t="s">
        <v>2937</v>
      </c>
      <c r="B327" s="29">
        <v>460</v>
      </c>
      <c r="N327" s="34"/>
      <c r="Q327" s="34"/>
      <c r="S327" s="34"/>
      <c r="U327" s="42"/>
      <c r="V327" s="44"/>
      <c r="X327" s="41"/>
    </row>
    <row r="328" spans="1:24" x14ac:dyDescent="0.2">
      <c r="A328" s="30" t="s">
        <v>2937</v>
      </c>
      <c r="B328" s="29">
        <v>470</v>
      </c>
      <c r="N328" s="34"/>
      <c r="Q328" s="34"/>
      <c r="S328" s="34"/>
      <c r="U328" s="42"/>
      <c r="V328" s="44"/>
      <c r="X328" s="41"/>
    </row>
    <row r="329" spans="1:24" x14ac:dyDescent="0.2">
      <c r="A329" s="30" t="s">
        <v>2937</v>
      </c>
      <c r="B329" s="29">
        <v>480</v>
      </c>
      <c r="N329" s="34"/>
      <c r="Q329" s="34"/>
      <c r="S329" s="34"/>
      <c r="U329" s="42"/>
      <c r="V329" s="44"/>
      <c r="X329" s="41"/>
    </row>
    <row r="330" spans="1:24" hidden="1" x14ac:dyDescent="0.2">
      <c r="A330" s="30" t="s">
        <v>2937</v>
      </c>
      <c r="B330" s="29">
        <v>490</v>
      </c>
      <c r="N330" s="34"/>
      <c r="Q330" s="34"/>
      <c r="S330" s="34"/>
      <c r="U330" s="42"/>
      <c r="V330" s="44"/>
      <c r="X330" s="41"/>
    </row>
    <row r="331" spans="1:24" hidden="1" x14ac:dyDescent="0.2">
      <c r="A331" s="30" t="s">
        <v>2937</v>
      </c>
      <c r="B331" s="29">
        <v>500</v>
      </c>
      <c r="N331" s="34"/>
      <c r="Q331" s="34"/>
      <c r="S331" s="34"/>
      <c r="U331" s="42"/>
      <c r="V331" s="44"/>
      <c r="X331" s="41"/>
    </row>
    <row r="332" spans="1:24" hidden="1" x14ac:dyDescent="0.2">
      <c r="A332" s="30" t="s">
        <v>2937</v>
      </c>
      <c r="B332" s="29">
        <v>510</v>
      </c>
      <c r="N332" s="34"/>
      <c r="Q332" s="34"/>
      <c r="S332" s="34"/>
      <c r="U332" s="42"/>
      <c r="V332" s="44"/>
      <c r="X332" s="41"/>
    </row>
    <row r="333" spans="1:24" hidden="1" x14ac:dyDescent="0.2">
      <c r="A333" s="30" t="s">
        <v>2937</v>
      </c>
      <c r="B333" s="29">
        <v>520</v>
      </c>
      <c r="N333" s="34"/>
      <c r="Q333" s="34"/>
      <c r="S333" s="34"/>
      <c r="U333" s="42"/>
      <c r="V333" s="44"/>
      <c r="X333" s="41"/>
    </row>
    <row r="334" spans="1:24" hidden="1" x14ac:dyDescent="0.2">
      <c r="A334" s="30" t="s">
        <v>2937</v>
      </c>
      <c r="B334" s="29">
        <v>530</v>
      </c>
      <c r="N334" s="34"/>
      <c r="Q334" s="34"/>
      <c r="S334" s="34"/>
      <c r="U334" s="42"/>
      <c r="V334" s="44"/>
      <c r="X334" s="41"/>
    </row>
    <row r="335" spans="1:24" hidden="1" x14ac:dyDescent="0.2">
      <c r="A335" s="30" t="s">
        <v>2937</v>
      </c>
      <c r="B335" s="29">
        <v>540</v>
      </c>
      <c r="N335" s="34"/>
      <c r="Q335" s="34"/>
      <c r="S335" s="34"/>
      <c r="U335" s="42"/>
      <c r="V335" s="44"/>
      <c r="X335" s="41"/>
    </row>
    <row r="336" spans="1:24" hidden="1" x14ac:dyDescent="0.2">
      <c r="A336" s="30" t="s">
        <v>2937</v>
      </c>
      <c r="B336" s="29">
        <v>550</v>
      </c>
      <c r="N336" s="34"/>
      <c r="Q336" s="34"/>
      <c r="S336" s="34"/>
      <c r="U336" s="42"/>
      <c r="V336" s="44"/>
      <c r="X336" s="41"/>
    </row>
    <row r="337" spans="1:24" hidden="1" x14ac:dyDescent="0.2">
      <c r="A337" s="30" t="s">
        <v>2937</v>
      </c>
      <c r="B337" s="29">
        <v>560</v>
      </c>
      <c r="N337" s="34"/>
      <c r="Q337" s="34"/>
      <c r="S337" s="34"/>
      <c r="U337" s="42"/>
      <c r="V337" s="44"/>
      <c r="X337" s="41"/>
    </row>
    <row r="338" spans="1:24" hidden="1" x14ac:dyDescent="0.2">
      <c r="A338" s="30" t="s">
        <v>2937</v>
      </c>
      <c r="B338" s="29">
        <v>570</v>
      </c>
      <c r="N338" s="34"/>
      <c r="Q338" s="34"/>
      <c r="S338" s="34"/>
      <c r="U338" s="42"/>
      <c r="V338" s="44"/>
      <c r="X338" s="41"/>
    </row>
    <row r="339" spans="1:24" hidden="1" x14ac:dyDescent="0.2">
      <c r="A339" s="30" t="s">
        <v>2937</v>
      </c>
      <c r="B339" s="29">
        <v>580</v>
      </c>
      <c r="N339" s="34"/>
      <c r="Q339" s="34"/>
      <c r="S339" s="34"/>
      <c r="U339" s="42"/>
      <c r="V339" s="44"/>
      <c r="X339" s="41"/>
    </row>
    <row r="340" spans="1:24" hidden="1" x14ac:dyDescent="0.2">
      <c r="A340" s="30" t="s">
        <v>2937</v>
      </c>
      <c r="B340" s="29">
        <v>590</v>
      </c>
      <c r="N340" s="34"/>
      <c r="Q340" s="34"/>
      <c r="S340" s="34"/>
      <c r="U340" s="42"/>
      <c r="V340" s="44"/>
      <c r="X340" s="41"/>
    </row>
    <row r="341" spans="1:24" hidden="1" x14ac:dyDescent="0.2">
      <c r="A341" s="30" t="s">
        <v>2937</v>
      </c>
      <c r="B341" s="29">
        <v>600</v>
      </c>
      <c r="N341" s="34"/>
      <c r="Q341" s="34"/>
      <c r="S341" s="34"/>
      <c r="U341" s="42"/>
      <c r="V341" s="44"/>
      <c r="X341" s="41"/>
    </row>
    <row r="342" spans="1:24" hidden="1" x14ac:dyDescent="0.2">
      <c r="A342" s="30" t="s">
        <v>2937</v>
      </c>
      <c r="B342" s="29">
        <v>610</v>
      </c>
      <c r="N342" s="34"/>
      <c r="Q342" s="34"/>
      <c r="S342" s="34"/>
      <c r="U342" s="42"/>
      <c r="V342" s="44"/>
      <c r="X342" s="41"/>
    </row>
    <row r="343" spans="1:24" hidden="1" x14ac:dyDescent="0.2">
      <c r="A343" s="30" t="s">
        <v>2937</v>
      </c>
      <c r="B343" s="29">
        <v>620</v>
      </c>
      <c r="N343" s="34"/>
      <c r="Q343" s="34"/>
      <c r="S343" s="34"/>
      <c r="U343" s="42"/>
      <c r="V343" s="44"/>
      <c r="X343" s="41"/>
    </row>
    <row r="344" spans="1:24" hidden="1" x14ac:dyDescent="0.2">
      <c r="A344" s="30" t="s">
        <v>2937</v>
      </c>
      <c r="B344" s="29">
        <v>630</v>
      </c>
      <c r="N344" s="34"/>
      <c r="Q344" s="34"/>
      <c r="S344" s="34"/>
      <c r="U344" s="42"/>
      <c r="V344" s="44"/>
      <c r="X344" s="41"/>
    </row>
    <row r="345" spans="1:24" hidden="1" x14ac:dyDescent="0.2">
      <c r="A345" s="30" t="s">
        <v>2937</v>
      </c>
      <c r="B345" s="29">
        <v>640</v>
      </c>
      <c r="N345" s="34"/>
      <c r="Q345" s="34"/>
      <c r="S345" s="34"/>
      <c r="U345" s="42"/>
      <c r="V345" s="44"/>
      <c r="X345" s="41"/>
    </row>
    <row r="346" spans="1:24" hidden="1" x14ac:dyDescent="0.2">
      <c r="A346" s="30" t="s">
        <v>2937</v>
      </c>
      <c r="B346" s="29">
        <v>650</v>
      </c>
      <c r="N346" s="34"/>
      <c r="Q346" s="34"/>
      <c r="S346" s="34"/>
      <c r="U346" s="42"/>
      <c r="V346" s="44"/>
      <c r="X346" s="41"/>
    </row>
    <row r="347" spans="1:24" hidden="1" x14ac:dyDescent="0.2">
      <c r="A347" s="30" t="s">
        <v>2937</v>
      </c>
      <c r="B347" s="29">
        <v>660</v>
      </c>
      <c r="N347" s="34"/>
      <c r="Q347" s="34"/>
      <c r="S347" s="34"/>
      <c r="U347" s="42"/>
      <c r="V347" s="44"/>
      <c r="X347" s="41"/>
    </row>
    <row r="348" spans="1:24" hidden="1" x14ac:dyDescent="0.2">
      <c r="A348" s="30" t="s">
        <v>2937</v>
      </c>
      <c r="B348" s="29">
        <v>670</v>
      </c>
      <c r="N348" s="34"/>
      <c r="Q348" s="34"/>
      <c r="S348" s="34"/>
      <c r="U348" s="42"/>
      <c r="V348" s="44"/>
      <c r="X348" s="41"/>
    </row>
    <row r="349" spans="1:24" hidden="1" x14ac:dyDescent="0.2">
      <c r="A349" s="30" t="s">
        <v>2937</v>
      </c>
      <c r="B349" s="29">
        <v>680</v>
      </c>
      <c r="N349" s="34"/>
      <c r="Q349" s="34"/>
      <c r="S349" s="34"/>
      <c r="U349" s="42"/>
      <c r="V349" s="44"/>
      <c r="X349" s="41"/>
    </row>
    <row r="350" spans="1:24" hidden="1" x14ac:dyDescent="0.2">
      <c r="A350" s="30" t="s">
        <v>2937</v>
      </c>
      <c r="B350" s="29">
        <v>690</v>
      </c>
      <c r="N350" s="34"/>
      <c r="Q350" s="34"/>
      <c r="S350" s="34"/>
      <c r="U350" s="42"/>
      <c r="V350" s="44"/>
      <c r="X350" s="41"/>
    </row>
    <row r="351" spans="1:24" hidden="1" x14ac:dyDescent="0.2">
      <c r="A351" s="30" t="s">
        <v>2937</v>
      </c>
      <c r="B351" s="29">
        <v>700</v>
      </c>
      <c r="N351" s="34"/>
      <c r="Q351" s="34"/>
      <c r="S351" s="34"/>
      <c r="U351" s="42"/>
      <c r="V351" s="44"/>
      <c r="X351" s="41"/>
    </row>
    <row r="352" spans="1:24" hidden="1" x14ac:dyDescent="0.2">
      <c r="A352" s="30" t="s">
        <v>2937</v>
      </c>
      <c r="B352" s="29">
        <v>710</v>
      </c>
      <c r="N352" s="34"/>
      <c r="Q352" s="34"/>
      <c r="S352" s="34"/>
      <c r="U352" s="42"/>
      <c r="V352" s="44"/>
      <c r="X352" s="41"/>
    </row>
    <row r="353" spans="1:24" hidden="1" x14ac:dyDescent="0.2">
      <c r="A353" s="30" t="s">
        <v>2937</v>
      </c>
      <c r="B353" s="29">
        <v>720</v>
      </c>
      <c r="N353" s="34"/>
      <c r="Q353" s="34"/>
      <c r="S353" s="34"/>
      <c r="U353" s="42"/>
      <c r="V353" s="44"/>
      <c r="X353" s="41"/>
    </row>
    <row r="354" spans="1:24" hidden="1" x14ac:dyDescent="0.2">
      <c r="A354" s="30" t="s">
        <v>2937</v>
      </c>
      <c r="B354" s="29">
        <v>730</v>
      </c>
      <c r="N354" s="34"/>
      <c r="Q354" s="34"/>
      <c r="S354" s="34"/>
      <c r="U354" s="42"/>
      <c r="V354" s="44"/>
      <c r="X354" s="41"/>
    </row>
    <row r="355" spans="1:24" hidden="1" x14ac:dyDescent="0.2">
      <c r="A355" s="30" t="s">
        <v>2937</v>
      </c>
      <c r="B355" s="29">
        <v>740</v>
      </c>
      <c r="N355" s="34"/>
      <c r="Q355" s="34"/>
      <c r="S355" s="34"/>
      <c r="U355" s="42"/>
      <c r="V355" s="44"/>
      <c r="X355" s="41"/>
    </row>
    <row r="356" spans="1:24" hidden="1" x14ac:dyDescent="0.2">
      <c r="A356" s="30" t="s">
        <v>2937</v>
      </c>
      <c r="B356" s="29">
        <v>750</v>
      </c>
      <c r="N356" s="34"/>
      <c r="Q356" s="34"/>
      <c r="S356" s="34"/>
      <c r="U356" s="42"/>
      <c r="V356" s="44"/>
      <c r="X356" s="41"/>
    </row>
    <row r="357" spans="1:24" hidden="1" x14ac:dyDescent="0.2">
      <c r="A357" s="30" t="s">
        <v>2937</v>
      </c>
      <c r="B357" s="29">
        <v>760</v>
      </c>
      <c r="N357" s="34"/>
      <c r="Q357" s="34"/>
      <c r="S357" s="34"/>
      <c r="U357" s="42"/>
      <c r="V357" s="44"/>
      <c r="X357" s="41"/>
    </row>
    <row r="358" spans="1:24" hidden="1" x14ac:dyDescent="0.2">
      <c r="A358" s="30" t="s">
        <v>2937</v>
      </c>
      <c r="B358" s="29">
        <v>770</v>
      </c>
      <c r="N358" s="34"/>
      <c r="Q358" s="34"/>
      <c r="S358" s="34"/>
      <c r="U358" s="42"/>
      <c r="V358" s="44"/>
      <c r="X358" s="41"/>
    </row>
    <row r="359" spans="1:24" hidden="1" x14ac:dyDescent="0.2">
      <c r="A359" s="30" t="s">
        <v>2937</v>
      </c>
      <c r="B359" s="29">
        <v>780</v>
      </c>
      <c r="N359" s="34"/>
      <c r="Q359" s="34"/>
      <c r="S359" s="34"/>
      <c r="U359" s="42"/>
      <c r="V359" s="44"/>
      <c r="X359" s="41"/>
    </row>
    <row r="360" spans="1:24" hidden="1" x14ac:dyDescent="0.2">
      <c r="A360" s="30" t="s">
        <v>2937</v>
      </c>
      <c r="B360" s="29">
        <v>790</v>
      </c>
      <c r="N360" s="34"/>
      <c r="Q360" s="34"/>
      <c r="S360" s="34"/>
      <c r="U360" s="42"/>
      <c r="V360" s="44"/>
      <c r="X360" s="41"/>
    </row>
    <row r="361" spans="1:24" hidden="1" x14ac:dyDescent="0.2">
      <c r="A361" s="30" t="s">
        <v>2937</v>
      </c>
      <c r="B361" s="29">
        <v>800</v>
      </c>
      <c r="N361" s="34"/>
      <c r="Q361" s="34"/>
      <c r="S361" s="34"/>
      <c r="U361" s="42"/>
      <c r="V361" s="44"/>
      <c r="X361" s="41"/>
    </row>
    <row r="362" spans="1:24" hidden="1" x14ac:dyDescent="0.2">
      <c r="A362" s="30" t="s">
        <v>2937</v>
      </c>
      <c r="B362" s="29">
        <v>810</v>
      </c>
      <c r="N362" s="34"/>
      <c r="Q362" s="34"/>
      <c r="S362" s="34"/>
      <c r="U362" s="42"/>
      <c r="V362" s="44"/>
      <c r="X362" s="41"/>
    </row>
    <row r="363" spans="1:24" hidden="1" x14ac:dyDescent="0.2">
      <c r="A363" s="30" t="s">
        <v>2937</v>
      </c>
      <c r="B363" s="29">
        <v>820</v>
      </c>
      <c r="N363" s="34"/>
      <c r="Q363" s="34"/>
      <c r="S363" s="34"/>
      <c r="U363" s="42"/>
      <c r="V363" s="44"/>
      <c r="X363" s="41"/>
    </row>
    <row r="364" spans="1:24" hidden="1" x14ac:dyDescent="0.2">
      <c r="A364" s="30" t="s">
        <v>2937</v>
      </c>
      <c r="B364" s="29">
        <v>830</v>
      </c>
      <c r="N364" s="34"/>
      <c r="Q364" s="34"/>
      <c r="S364" s="34"/>
      <c r="U364" s="42"/>
      <c r="V364" s="44"/>
      <c r="X364" s="41"/>
    </row>
    <row r="365" spans="1:24" hidden="1" x14ac:dyDescent="0.2">
      <c r="A365" s="30" t="s">
        <v>2937</v>
      </c>
      <c r="B365" s="29">
        <v>840</v>
      </c>
      <c r="N365" s="34"/>
      <c r="Q365" s="34"/>
      <c r="S365" s="34"/>
      <c r="U365" s="42"/>
      <c r="V365" s="44"/>
      <c r="X365" s="41"/>
    </row>
    <row r="366" spans="1:24" hidden="1" x14ac:dyDescent="0.2">
      <c r="A366" s="30" t="s">
        <v>2937</v>
      </c>
      <c r="B366" s="29">
        <v>850</v>
      </c>
      <c r="N366" s="34"/>
      <c r="Q366" s="34"/>
      <c r="S366" s="34"/>
      <c r="U366" s="42"/>
      <c r="V366" s="44"/>
      <c r="X366" s="41"/>
    </row>
    <row r="367" spans="1:24" hidden="1" x14ac:dyDescent="0.2">
      <c r="A367" s="30" t="s">
        <v>2937</v>
      </c>
      <c r="B367" s="29">
        <v>860</v>
      </c>
      <c r="N367" s="34"/>
      <c r="Q367" s="34"/>
      <c r="S367" s="34"/>
      <c r="U367" s="42"/>
      <c r="V367" s="44"/>
      <c r="X367" s="41"/>
    </row>
    <row r="368" spans="1:24" hidden="1" x14ac:dyDescent="0.2">
      <c r="A368" s="30" t="s">
        <v>2937</v>
      </c>
      <c r="B368" s="29">
        <v>870</v>
      </c>
      <c r="N368" s="34"/>
      <c r="Q368" s="34"/>
      <c r="S368" s="34"/>
      <c r="U368" s="42"/>
      <c r="V368" s="44"/>
      <c r="X368" s="41"/>
    </row>
    <row r="369" spans="1:30" hidden="1" x14ac:dyDescent="0.2">
      <c r="A369" s="30" t="s">
        <v>2937</v>
      </c>
      <c r="B369" s="29">
        <v>880</v>
      </c>
      <c r="N369" s="34"/>
      <c r="Q369" s="34"/>
      <c r="S369" s="34"/>
      <c r="U369" s="42"/>
      <c r="V369" s="44"/>
      <c r="X369" s="41"/>
    </row>
    <row r="370" spans="1:30" hidden="1" x14ac:dyDescent="0.2">
      <c r="A370" s="30" t="s">
        <v>2937</v>
      </c>
      <c r="B370" s="29">
        <v>890</v>
      </c>
      <c r="N370" s="34"/>
      <c r="Q370" s="34"/>
      <c r="S370" s="34"/>
      <c r="U370" s="42"/>
      <c r="V370" s="44"/>
      <c r="X370" s="41"/>
    </row>
    <row r="371" spans="1:30" hidden="1" x14ac:dyDescent="0.2">
      <c r="A371" s="30" t="s">
        <v>2937</v>
      </c>
      <c r="B371" s="29">
        <v>900</v>
      </c>
      <c r="N371" s="34"/>
      <c r="Q371" s="34"/>
      <c r="S371" s="34"/>
      <c r="U371" s="42"/>
      <c r="V371" s="44"/>
      <c r="X371" s="41"/>
    </row>
    <row r="372" spans="1:30" hidden="1" x14ac:dyDescent="0.2">
      <c r="A372" s="30" t="s">
        <v>2937</v>
      </c>
      <c r="B372" s="29">
        <v>910</v>
      </c>
      <c r="N372" s="34"/>
      <c r="Q372" s="34"/>
      <c r="S372" s="34"/>
      <c r="U372" s="42"/>
      <c r="V372" s="44"/>
      <c r="X372" s="41"/>
    </row>
    <row r="373" spans="1:30" hidden="1" x14ac:dyDescent="0.2">
      <c r="A373" s="30" t="s">
        <v>2937</v>
      </c>
      <c r="B373" s="29">
        <v>920</v>
      </c>
      <c r="N373" s="34"/>
      <c r="Q373" s="34"/>
      <c r="S373" s="34"/>
      <c r="U373" s="42"/>
      <c r="V373" s="44"/>
      <c r="X373" s="41"/>
    </row>
    <row r="374" spans="1:30" hidden="1" x14ac:dyDescent="0.2">
      <c r="A374" s="30" t="s">
        <v>2937</v>
      </c>
      <c r="B374" s="29">
        <v>930</v>
      </c>
      <c r="N374" s="34"/>
      <c r="Q374" s="34"/>
      <c r="S374" s="34"/>
      <c r="U374" s="42"/>
      <c r="V374" s="44"/>
      <c r="X374" s="41"/>
    </row>
    <row r="375" spans="1:30" hidden="1" x14ac:dyDescent="0.2">
      <c r="A375" s="30" t="s">
        <v>2937</v>
      </c>
      <c r="B375" s="29">
        <v>940</v>
      </c>
      <c r="N375" s="34"/>
      <c r="Q375" s="34"/>
      <c r="S375" s="34"/>
      <c r="U375" s="42"/>
      <c r="V375" s="44"/>
      <c r="X375" s="41"/>
    </row>
    <row r="376" spans="1:30" hidden="1" x14ac:dyDescent="0.2">
      <c r="A376" s="30" t="s">
        <v>2937</v>
      </c>
      <c r="B376" s="29">
        <v>950</v>
      </c>
      <c r="N376" s="34"/>
      <c r="Q376" s="34"/>
      <c r="S376" s="34"/>
      <c r="U376" s="42"/>
      <c r="V376" s="44"/>
      <c r="X376" s="41"/>
    </row>
    <row r="377" spans="1:30" hidden="1" x14ac:dyDescent="0.2">
      <c r="A377" s="30" t="s">
        <v>2937</v>
      </c>
      <c r="B377" s="29">
        <v>960</v>
      </c>
      <c r="N377" s="34"/>
      <c r="Q377" s="34"/>
      <c r="S377" s="34"/>
      <c r="U377" s="42"/>
      <c r="V377" s="44"/>
      <c r="X377" s="41"/>
    </row>
    <row r="378" spans="1:30" hidden="1" x14ac:dyDescent="0.2">
      <c r="A378" s="30" t="s">
        <v>2937</v>
      </c>
      <c r="B378" s="29">
        <v>970</v>
      </c>
      <c r="N378" s="34"/>
      <c r="Q378" s="34"/>
      <c r="S378" s="34"/>
      <c r="U378" s="42"/>
      <c r="V378" s="44"/>
      <c r="X378" s="41"/>
    </row>
    <row r="379" spans="1:30" hidden="1" x14ac:dyDescent="0.2">
      <c r="A379" s="30" t="s">
        <v>2937</v>
      </c>
      <c r="B379" s="29">
        <v>980</v>
      </c>
      <c r="N379" s="34"/>
      <c r="Q379" s="34"/>
      <c r="S379" s="34"/>
      <c r="U379" s="42"/>
      <c r="V379" s="44"/>
      <c r="X379" s="41"/>
    </row>
    <row r="380" spans="1:30" hidden="1" x14ac:dyDescent="0.2">
      <c r="A380" s="30" t="s">
        <v>2937</v>
      </c>
      <c r="B380" s="29">
        <v>990</v>
      </c>
      <c r="N380" s="34"/>
      <c r="Q380" s="34"/>
      <c r="S380" s="34"/>
      <c r="U380" s="42"/>
      <c r="V380" s="44"/>
      <c r="X380" s="41"/>
    </row>
    <row r="381" spans="1:30" hidden="1" x14ac:dyDescent="0.2">
      <c r="A381" s="30" t="s">
        <v>2937</v>
      </c>
      <c r="B381" s="29">
        <v>1000</v>
      </c>
      <c r="N381" s="34"/>
      <c r="Q381" s="34"/>
      <c r="S381" s="34"/>
      <c r="U381" s="42"/>
      <c r="V381" s="44"/>
      <c r="X381" s="41"/>
    </row>
    <row r="382" spans="1:30" hidden="1" x14ac:dyDescent="0.2">
      <c r="A382" s="30" t="s">
        <v>2937</v>
      </c>
      <c r="B382" s="29">
        <v>486</v>
      </c>
      <c r="C382" s="29">
        <v>1</v>
      </c>
      <c r="D382" s="29">
        <v>385</v>
      </c>
      <c r="E382" s="29">
        <v>56327</v>
      </c>
      <c r="F382" s="29">
        <v>19741</v>
      </c>
      <c r="G382" s="29">
        <v>19625</v>
      </c>
      <c r="H382" s="29">
        <v>76759</v>
      </c>
      <c r="I382" s="29">
        <v>12247</v>
      </c>
      <c r="J382" s="29">
        <v>148144864</v>
      </c>
      <c r="K382" s="29">
        <v>426</v>
      </c>
      <c r="L382" s="29">
        <v>808</v>
      </c>
      <c r="N382" s="34"/>
      <c r="O382" s="29">
        <f t="shared" si="54"/>
        <v>617</v>
      </c>
      <c r="P382" s="32" cm="1">
        <f t="array" ref="P382">WPNFACTOR(C382)</f>
        <v>2</v>
      </c>
      <c r="Q382" s="34" cm="1">
        <f t="array" ref="Q382">HPFACTOr(C382)</f>
        <v>5</v>
      </c>
      <c r="R382" s="33">
        <f t="shared" si="55"/>
        <v>308.5</v>
      </c>
      <c r="S382" s="34">
        <f t="shared" si="56"/>
        <v>29628972.800000001</v>
      </c>
      <c r="T382" s="33">
        <f t="shared" si="57"/>
        <v>308.5</v>
      </c>
      <c r="U382" s="42">
        <f t="shared" si="58"/>
        <v>29628972.800000001</v>
      </c>
      <c r="V382" s="44"/>
      <c r="W382" s="29">
        <f t="shared" si="60"/>
        <v>9140538108.8000011</v>
      </c>
      <c r="X382" s="41">
        <f t="shared" si="59"/>
        <v>33.089631954066697</v>
      </c>
      <c r="Y382" s="33">
        <f t="shared" si="61"/>
        <v>309.20246030448982</v>
      </c>
      <c r="Z382" s="33">
        <v>1.33</v>
      </c>
      <c r="AA382" s="29">
        <f t="shared" si="62"/>
        <v>411.23927220497148</v>
      </c>
      <c r="AB382" s="33">
        <f t="shared" si="63"/>
        <v>2090.8550265457566</v>
      </c>
      <c r="AD382" s="46">
        <f t="shared" si="64"/>
        <v>0</v>
      </c>
    </row>
    <row r="383" spans="1:30" hidden="1" x14ac:dyDescent="0.2">
      <c r="A383" s="30" t="s">
        <v>2937</v>
      </c>
      <c r="B383" s="29">
        <v>658</v>
      </c>
      <c r="C383" s="29">
        <v>1</v>
      </c>
      <c r="D383" s="29">
        <v>428</v>
      </c>
      <c r="E383" s="29">
        <v>59957</v>
      </c>
      <c r="F383" s="29">
        <v>21023</v>
      </c>
      <c r="G383" s="29">
        <v>20859</v>
      </c>
      <c r="H383" s="29">
        <v>81160</v>
      </c>
      <c r="I383" s="29">
        <v>13318</v>
      </c>
      <c r="J383" s="29">
        <v>174088192</v>
      </c>
      <c r="K383" s="29">
        <v>469</v>
      </c>
      <c r="L383" s="29">
        <v>943</v>
      </c>
      <c r="N383" s="34"/>
      <c r="O383" s="29">
        <f t="shared" si="54"/>
        <v>706</v>
      </c>
      <c r="P383" s="32" cm="1">
        <f t="array" ref="P383">WPNFACTOR(C383)</f>
        <v>2</v>
      </c>
      <c r="Q383" s="34" cm="1">
        <f t="array" ref="Q383">HPFACTOr(C383)</f>
        <v>5</v>
      </c>
      <c r="R383" s="33">
        <f t="shared" si="55"/>
        <v>353</v>
      </c>
      <c r="S383" s="34">
        <f t="shared" si="56"/>
        <v>34817638.399999999</v>
      </c>
      <c r="T383" s="33">
        <f t="shared" si="57"/>
        <v>353</v>
      </c>
      <c r="U383" s="42">
        <f t="shared" si="58"/>
        <v>34817638.399999999</v>
      </c>
      <c r="V383" s="44"/>
      <c r="W383" s="29">
        <f t="shared" si="60"/>
        <v>12290626355.199999</v>
      </c>
      <c r="X383" s="41">
        <f t="shared" si="59"/>
        <v>33.51683938911755</v>
      </c>
      <c r="Y383" s="33">
        <f t="shared" si="61"/>
        <v>332.96110486849921</v>
      </c>
      <c r="Z383" s="33">
        <v>1.33</v>
      </c>
      <c r="AA383" s="29">
        <f t="shared" si="62"/>
        <v>442.83826947510397</v>
      </c>
      <c r="AB383" s="33">
        <f t="shared" si="63"/>
        <v>2307.763704411419</v>
      </c>
      <c r="AD383" s="46">
        <f t="shared" si="64"/>
        <v>0</v>
      </c>
    </row>
    <row r="384" spans="1:30" hidden="1" x14ac:dyDescent="0.2">
      <c r="A384" s="30" t="s">
        <v>2937</v>
      </c>
      <c r="B384" s="29">
        <v>711</v>
      </c>
      <c r="C384" s="29">
        <v>1</v>
      </c>
      <c r="D384" s="29">
        <v>441</v>
      </c>
      <c r="E384" s="29">
        <v>67005</v>
      </c>
      <c r="F384" s="29">
        <v>23491</v>
      </c>
      <c r="G384" s="29">
        <v>23314</v>
      </c>
      <c r="H384" s="29">
        <v>90796</v>
      </c>
      <c r="I384" s="29">
        <v>14839</v>
      </c>
      <c r="J384" s="29">
        <v>200659168</v>
      </c>
      <c r="K384" s="29">
        <v>483</v>
      </c>
      <c r="L384" s="29">
        <v>990</v>
      </c>
      <c r="N384" s="34"/>
      <c r="O384" s="29">
        <f t="shared" si="54"/>
        <v>736.5</v>
      </c>
      <c r="P384" s="32" cm="1">
        <f t="array" ref="P384">WPNFACTOR(C384)</f>
        <v>2</v>
      </c>
      <c r="Q384" s="34" cm="1">
        <f t="array" ref="Q384">HPFACTOr(C384)</f>
        <v>5</v>
      </c>
      <c r="R384" s="33">
        <f t="shared" si="55"/>
        <v>368.25</v>
      </c>
      <c r="S384" s="34">
        <f t="shared" si="56"/>
        <v>40131833.600000001</v>
      </c>
      <c r="T384" s="33">
        <f t="shared" si="57"/>
        <v>368.25</v>
      </c>
      <c r="U384" s="42">
        <f t="shared" si="58"/>
        <v>40131833.600000001</v>
      </c>
      <c r="V384" s="44"/>
      <c r="W384" s="29">
        <f t="shared" si="60"/>
        <v>14778547723.200001</v>
      </c>
      <c r="X384" s="41">
        <f t="shared" si="59"/>
        <v>33.782785452763612</v>
      </c>
      <c r="Y384" s="33">
        <f t="shared" si="61"/>
        <v>348.66466743669889</v>
      </c>
      <c r="Z384" s="33">
        <v>1.33</v>
      </c>
      <c r="AA384" s="29">
        <f t="shared" si="62"/>
        <v>463.72400769080957</v>
      </c>
      <c r="AB384" s="33">
        <f t="shared" si="63"/>
        <v>2454.0152248530526</v>
      </c>
      <c r="AD384" s="46">
        <f t="shared" si="64"/>
        <v>0</v>
      </c>
    </row>
    <row r="385" spans="1:30" hidden="1" x14ac:dyDescent="0.2">
      <c r="A385" s="30" t="s">
        <v>2937</v>
      </c>
      <c r="B385" s="29">
        <v>777</v>
      </c>
      <c r="C385" s="29">
        <v>1</v>
      </c>
      <c r="D385" s="29">
        <v>456</v>
      </c>
      <c r="E385" s="29">
        <v>76022</v>
      </c>
      <c r="F385" s="29">
        <v>26651</v>
      </c>
      <c r="G385" s="29">
        <v>26457</v>
      </c>
      <c r="H385" s="29">
        <v>103124</v>
      </c>
      <c r="I385" s="29">
        <v>16775</v>
      </c>
      <c r="J385" s="29">
        <v>235638336</v>
      </c>
      <c r="K385" s="29">
        <v>503</v>
      </c>
      <c r="L385" s="29">
        <v>1044</v>
      </c>
      <c r="N385" s="34"/>
      <c r="O385" s="29">
        <f t="shared" si="54"/>
        <v>773.5</v>
      </c>
      <c r="P385" s="32" cm="1">
        <f t="array" ref="P385">WPNFACTOR(C385)</f>
        <v>2</v>
      </c>
      <c r="Q385" s="34" cm="1">
        <f t="array" ref="Q385">HPFACTOr(C385)</f>
        <v>5</v>
      </c>
      <c r="R385" s="33">
        <f t="shared" si="55"/>
        <v>386.75</v>
      </c>
      <c r="S385" s="34">
        <f t="shared" si="56"/>
        <v>47127667.200000003</v>
      </c>
      <c r="T385" s="33">
        <f t="shared" si="57"/>
        <v>386.75</v>
      </c>
      <c r="U385" s="42">
        <f t="shared" si="58"/>
        <v>47127667.200000003</v>
      </c>
      <c r="V385" s="44"/>
      <c r="W385" s="29">
        <f t="shared" si="60"/>
        <v>18226625289.600002</v>
      </c>
      <c r="X385" s="41">
        <f t="shared" si="59"/>
        <v>34.085328415974459</v>
      </c>
      <c r="Y385" s="33">
        <f t="shared" si="61"/>
        <v>367.43165276947991</v>
      </c>
      <c r="Z385" s="33">
        <v>1.33</v>
      </c>
      <c r="AA385" s="29">
        <f t="shared" si="62"/>
        <v>488.68409818340831</v>
      </c>
      <c r="AB385" s="33">
        <f t="shared" si="63"/>
        <v>2631.6941904715159</v>
      </c>
      <c r="AD385" s="46">
        <f t="shared" si="64"/>
        <v>0</v>
      </c>
    </row>
    <row r="386" spans="1:30" hidden="1" x14ac:dyDescent="0.2">
      <c r="A386" s="30" t="s">
        <v>2937</v>
      </c>
      <c r="B386" s="29">
        <v>830</v>
      </c>
      <c r="C386" s="29">
        <v>1</v>
      </c>
      <c r="D386" s="29">
        <v>467</v>
      </c>
      <c r="E386" s="29">
        <v>83398</v>
      </c>
      <c r="F386" s="29">
        <v>29241</v>
      </c>
      <c r="G386" s="29">
        <v>29033</v>
      </c>
      <c r="H386" s="29">
        <v>113216</v>
      </c>
      <c r="I386" s="29">
        <v>18360</v>
      </c>
      <c r="J386" s="29">
        <v>264925440</v>
      </c>
      <c r="K386" s="29">
        <v>519</v>
      </c>
      <c r="L386" s="29">
        <v>1082</v>
      </c>
      <c r="N386" s="34"/>
      <c r="O386" s="29">
        <f t="shared" si="54"/>
        <v>800.5</v>
      </c>
      <c r="P386" s="32" cm="1">
        <f t="array" ref="P386">WPNFACTOR(C386)</f>
        <v>2</v>
      </c>
      <c r="Q386" s="34" cm="1">
        <f t="array" ref="Q386">HPFACTOr(C386)</f>
        <v>5</v>
      </c>
      <c r="R386" s="33">
        <f t="shared" si="55"/>
        <v>400.25</v>
      </c>
      <c r="S386" s="34">
        <f t="shared" si="56"/>
        <v>52985088</v>
      </c>
      <c r="T386" s="33">
        <f t="shared" si="57"/>
        <v>400.25</v>
      </c>
      <c r="U386" s="42">
        <f t="shared" si="58"/>
        <v>52985088.000000007</v>
      </c>
      <c r="V386" s="44"/>
      <c r="W386" s="29">
        <f t="shared" si="60"/>
        <v>21207281472.000004</v>
      </c>
      <c r="X386" s="41">
        <f t="shared" si="59"/>
        <v>34.303840644790121</v>
      </c>
      <c r="Y386" s="33">
        <f t="shared" si="61"/>
        <v>381.61132100138798</v>
      </c>
      <c r="Z386" s="33">
        <v>1.33</v>
      </c>
      <c r="AA386" s="29">
        <f t="shared" si="62"/>
        <v>507.54305693184602</v>
      </c>
      <c r="AB386" s="33">
        <f t="shared" si="63"/>
        <v>2767.9718358367018</v>
      </c>
      <c r="AD386" s="46">
        <f t="shared" si="64"/>
        <v>0</v>
      </c>
    </row>
    <row r="387" spans="1:30" hidden="1" x14ac:dyDescent="0.2">
      <c r="A387" s="30" t="s">
        <v>2937</v>
      </c>
      <c r="B387" s="29">
        <v>867</v>
      </c>
      <c r="C387" s="29">
        <v>1</v>
      </c>
      <c r="D387" s="29">
        <v>474</v>
      </c>
      <c r="E387" s="29">
        <v>88573</v>
      </c>
      <c r="F387" s="29">
        <v>31056</v>
      </c>
      <c r="G387" s="29">
        <v>30839</v>
      </c>
      <c r="H387" s="29">
        <v>120303</v>
      </c>
      <c r="I387" s="29">
        <v>19464</v>
      </c>
      <c r="J387" s="29">
        <v>285719616</v>
      </c>
      <c r="K387" s="29">
        <v>528</v>
      </c>
      <c r="L387" s="29">
        <v>1108</v>
      </c>
      <c r="N387" s="34"/>
      <c r="O387" s="29">
        <f t="shared" si="54"/>
        <v>818</v>
      </c>
      <c r="P387" s="32" cm="1">
        <f t="array" ref="P387">WPNFACTOR(C387)</f>
        <v>2</v>
      </c>
      <c r="Q387" s="34" cm="1">
        <f t="array" ref="Q387">HPFACTOr(C387)</f>
        <v>5</v>
      </c>
      <c r="R387" s="33">
        <f t="shared" si="55"/>
        <v>409</v>
      </c>
      <c r="S387" s="34">
        <f t="shared" si="56"/>
        <v>57143923.200000003</v>
      </c>
      <c r="T387" s="33">
        <f t="shared" si="57"/>
        <v>409</v>
      </c>
      <c r="U387" s="42">
        <f t="shared" si="58"/>
        <v>57143923.200000003</v>
      </c>
      <c r="V387" s="44"/>
      <c r="W387" s="29">
        <f t="shared" si="60"/>
        <v>23371864588.800003</v>
      </c>
      <c r="X387" s="41">
        <f t="shared" si="59"/>
        <v>34.44405378465067</v>
      </c>
      <c r="Y387" s="33">
        <f t="shared" si="61"/>
        <v>390.99692361865414</v>
      </c>
      <c r="Z387" s="33">
        <v>1.33</v>
      </c>
      <c r="AA387" s="29">
        <f t="shared" si="62"/>
        <v>520.02590841281005</v>
      </c>
      <c r="AB387" s="33">
        <f t="shared" si="63"/>
        <v>2859.1116851270044</v>
      </c>
      <c r="AD387" s="46">
        <f t="shared" si="64"/>
        <v>0</v>
      </c>
    </row>
    <row r="388" spans="1:30" hidden="1" x14ac:dyDescent="0.2">
      <c r="A388" s="30" t="s">
        <v>2937</v>
      </c>
      <c r="B388" s="29">
        <v>868</v>
      </c>
      <c r="C388" s="29">
        <v>1</v>
      </c>
      <c r="D388" s="29">
        <v>474</v>
      </c>
      <c r="E388" s="29">
        <v>88675</v>
      </c>
      <c r="F388" s="29">
        <v>31092</v>
      </c>
      <c r="G388" s="29">
        <v>30875</v>
      </c>
      <c r="H388" s="29">
        <v>120441</v>
      </c>
      <c r="I388" s="29">
        <v>19487</v>
      </c>
      <c r="J388" s="29">
        <v>286047360</v>
      </c>
      <c r="K388" s="29">
        <v>524</v>
      </c>
      <c r="L388" s="29">
        <v>1108</v>
      </c>
      <c r="N388" s="34"/>
      <c r="O388" s="29">
        <f t="shared" si="54"/>
        <v>816</v>
      </c>
      <c r="P388" s="32" cm="1">
        <f t="array" ref="P388">WPNFACTOR(C388)</f>
        <v>2</v>
      </c>
      <c r="Q388" s="34" cm="1">
        <f t="array" ref="Q388">HPFACTOr(C388)</f>
        <v>5</v>
      </c>
      <c r="R388" s="33">
        <f t="shared" si="55"/>
        <v>408</v>
      </c>
      <c r="S388" s="34">
        <f t="shared" si="56"/>
        <v>57209472</v>
      </c>
      <c r="T388" s="33">
        <f t="shared" si="57"/>
        <v>408</v>
      </c>
      <c r="U388" s="42">
        <f t="shared" si="58"/>
        <v>57209472</v>
      </c>
      <c r="V388" s="44"/>
      <c r="W388" s="29">
        <f t="shared" si="60"/>
        <v>23341464576</v>
      </c>
      <c r="X388" s="41">
        <f t="shared" si="59"/>
        <v>34.442176035636194</v>
      </c>
      <c r="Y388" s="33">
        <f t="shared" si="61"/>
        <v>390.8697181748912</v>
      </c>
      <c r="Z388" s="33">
        <v>1.33</v>
      </c>
      <c r="AA388" s="29">
        <f t="shared" si="62"/>
        <v>519.85672517260537</v>
      </c>
      <c r="AB388" s="33">
        <f t="shared" si="63"/>
        <v>2857.8715224325174</v>
      </c>
      <c r="AD388" s="46">
        <f t="shared" si="64"/>
        <v>0</v>
      </c>
    </row>
    <row r="389" spans="1:30" hidden="1" x14ac:dyDescent="0.2">
      <c r="A389" s="30" t="s">
        <v>2937</v>
      </c>
      <c r="B389" s="29">
        <v>869</v>
      </c>
      <c r="C389" s="29">
        <v>1</v>
      </c>
      <c r="D389" s="29">
        <v>474</v>
      </c>
      <c r="E389" s="29">
        <v>88777</v>
      </c>
      <c r="F389" s="29">
        <v>31128</v>
      </c>
      <c r="G389" s="29">
        <v>30910</v>
      </c>
      <c r="H389" s="29">
        <v>120580</v>
      </c>
      <c r="I389" s="29">
        <v>19509</v>
      </c>
      <c r="J389" s="29">
        <v>286377504</v>
      </c>
      <c r="K389" s="29">
        <v>525</v>
      </c>
      <c r="L389" s="29">
        <v>1108</v>
      </c>
      <c r="N389" s="34"/>
      <c r="O389" s="29">
        <f t="shared" si="54"/>
        <v>816.5</v>
      </c>
      <c r="P389" s="32" cm="1">
        <f t="array" ref="P389">WPNFACTOR(C389)</f>
        <v>2</v>
      </c>
      <c r="Q389" s="34" cm="1">
        <f t="array" ref="Q389">HPFACTOr(C389)</f>
        <v>5</v>
      </c>
      <c r="R389" s="33">
        <f t="shared" si="55"/>
        <v>408.25</v>
      </c>
      <c r="S389" s="34">
        <f t="shared" si="56"/>
        <v>57275500.799999997</v>
      </c>
      <c r="T389" s="33">
        <f t="shared" si="57"/>
        <v>408.25</v>
      </c>
      <c r="U389" s="42">
        <f t="shared" si="58"/>
        <v>57275500.799999997</v>
      </c>
      <c r="V389" s="44"/>
      <c r="W389" s="29">
        <f t="shared" si="60"/>
        <v>23382723201.599998</v>
      </c>
      <c r="X389" s="41">
        <f t="shared" si="59"/>
        <v>34.444723907856094</v>
      </c>
      <c r="Y389" s="33">
        <f t="shared" si="61"/>
        <v>391.04233018727081</v>
      </c>
      <c r="Z389" s="33">
        <v>1.33</v>
      </c>
      <c r="AA389" s="29">
        <f t="shared" si="62"/>
        <v>520.08629914907021</v>
      </c>
      <c r="AB389" s="33">
        <f t="shared" si="63"/>
        <v>2859.5543994834788</v>
      </c>
      <c r="AD389" s="46">
        <f t="shared" si="64"/>
        <v>0</v>
      </c>
    </row>
    <row r="390" spans="1:30" hidden="1" x14ac:dyDescent="0.2">
      <c r="A390" s="30" t="s">
        <v>2937</v>
      </c>
      <c r="B390" s="29">
        <v>870</v>
      </c>
      <c r="C390" s="29">
        <v>1</v>
      </c>
      <c r="D390" s="29">
        <v>475</v>
      </c>
      <c r="E390" s="29">
        <v>89088</v>
      </c>
      <c r="F390" s="29">
        <v>31233</v>
      </c>
      <c r="G390" s="29">
        <v>31015</v>
      </c>
      <c r="H390" s="29">
        <v>121011</v>
      </c>
      <c r="I390" s="29">
        <v>19575</v>
      </c>
      <c r="J390" s="29">
        <v>288006176</v>
      </c>
      <c r="K390" s="29">
        <v>525</v>
      </c>
      <c r="L390" s="29">
        <v>1110</v>
      </c>
      <c r="N390" s="34"/>
      <c r="O390" s="29">
        <f t="shared" si="54"/>
        <v>817.5</v>
      </c>
      <c r="P390" s="32" cm="1">
        <f t="array" ref="P390">WPNFACTOR(C390)</f>
        <v>2</v>
      </c>
      <c r="Q390" s="34" cm="1">
        <f t="array" ref="Q390">HPFACTOr(C390)</f>
        <v>5</v>
      </c>
      <c r="R390" s="33">
        <f t="shared" si="55"/>
        <v>408.75</v>
      </c>
      <c r="S390" s="34">
        <f t="shared" si="56"/>
        <v>57601235.200000003</v>
      </c>
      <c r="T390" s="33">
        <f t="shared" si="57"/>
        <v>408.75</v>
      </c>
      <c r="U390" s="42">
        <f t="shared" si="58"/>
        <v>57601235.200000003</v>
      </c>
      <c r="V390" s="44"/>
      <c r="W390" s="29">
        <f t="shared" si="60"/>
        <v>23544504888</v>
      </c>
      <c r="X390" s="41">
        <f t="shared" si="59"/>
        <v>34.454671333726502</v>
      </c>
      <c r="Y390" s="33">
        <f t="shared" si="61"/>
        <v>391.71697364973159</v>
      </c>
      <c r="Z390" s="33">
        <v>1.33</v>
      </c>
      <c r="AA390" s="29">
        <f t="shared" si="62"/>
        <v>520.98357495414302</v>
      </c>
      <c r="AB390" s="33">
        <f t="shared" si="63"/>
        <v>2866.1341958799603</v>
      </c>
      <c r="AD390" s="46">
        <f t="shared" si="64"/>
        <v>0</v>
      </c>
    </row>
    <row r="391" spans="1:30" hidden="1" x14ac:dyDescent="0.2">
      <c r="A391" s="30" t="s">
        <v>2937</v>
      </c>
      <c r="B391" s="29">
        <v>871</v>
      </c>
      <c r="C391" s="29">
        <v>1</v>
      </c>
      <c r="D391" s="29">
        <v>475</v>
      </c>
      <c r="E391" s="29">
        <v>89190</v>
      </c>
      <c r="F391" s="29">
        <v>31269</v>
      </c>
      <c r="G391" s="29">
        <v>31051</v>
      </c>
      <c r="H391" s="29">
        <v>121150</v>
      </c>
      <c r="I391" s="29">
        <v>19598</v>
      </c>
      <c r="J391" s="29">
        <v>288336992</v>
      </c>
      <c r="K391" s="29">
        <v>527</v>
      </c>
      <c r="L391" s="29">
        <v>1110</v>
      </c>
      <c r="N391" s="34"/>
      <c r="O391" s="29">
        <f t="shared" si="54"/>
        <v>818.5</v>
      </c>
      <c r="P391" s="32" cm="1">
        <f t="array" ref="P391">WPNFACTOR(C391)</f>
        <v>2</v>
      </c>
      <c r="Q391" s="34" cm="1">
        <f t="array" ref="Q391">HPFACTOr(C391)</f>
        <v>5</v>
      </c>
      <c r="R391" s="33">
        <f t="shared" si="55"/>
        <v>409.25</v>
      </c>
      <c r="S391" s="34">
        <f t="shared" si="56"/>
        <v>57667398.399999999</v>
      </c>
      <c r="T391" s="33">
        <f t="shared" si="57"/>
        <v>409.25</v>
      </c>
      <c r="U391" s="42">
        <f t="shared" si="58"/>
        <v>57667398.399999999</v>
      </c>
      <c r="V391" s="44"/>
      <c r="W391" s="29">
        <f t="shared" si="60"/>
        <v>23600382795.200001</v>
      </c>
      <c r="X391" s="41">
        <f t="shared" si="59"/>
        <v>34.458091208980143</v>
      </c>
      <c r="Y391" s="33">
        <f t="shared" si="61"/>
        <v>391.94918145669777</v>
      </c>
      <c r="Z391" s="33">
        <v>1.33</v>
      </c>
      <c r="AA391" s="29">
        <f t="shared" si="62"/>
        <v>521.29241133740811</v>
      </c>
      <c r="AB391" s="33">
        <f t="shared" si="63"/>
        <v>2868.3997924777323</v>
      </c>
      <c r="AD391" s="46">
        <f t="shared" si="64"/>
        <v>0</v>
      </c>
    </row>
    <row r="392" spans="1:30" hidden="1" x14ac:dyDescent="0.2">
      <c r="A392" s="30" t="s">
        <v>2937</v>
      </c>
      <c r="B392" s="29">
        <v>872</v>
      </c>
      <c r="C392" s="29">
        <v>1</v>
      </c>
      <c r="D392" s="29">
        <v>475</v>
      </c>
      <c r="E392" s="29">
        <v>89293</v>
      </c>
      <c r="F392" s="29">
        <v>31305</v>
      </c>
      <c r="G392" s="29">
        <v>31087</v>
      </c>
      <c r="H392" s="29">
        <v>121290</v>
      </c>
      <c r="I392" s="29">
        <v>19620</v>
      </c>
      <c r="J392" s="29">
        <v>288670208</v>
      </c>
      <c r="K392" s="29">
        <v>528</v>
      </c>
      <c r="L392" s="29">
        <v>1111</v>
      </c>
      <c r="N392" s="34"/>
      <c r="O392" s="29">
        <f t="shared" si="54"/>
        <v>819.5</v>
      </c>
      <c r="P392" s="32" cm="1">
        <f t="array" ref="P392">WPNFACTOR(C392)</f>
        <v>2</v>
      </c>
      <c r="Q392" s="34" cm="1">
        <f t="array" ref="Q392">HPFACTOr(C392)</f>
        <v>5</v>
      </c>
      <c r="R392" s="33">
        <f t="shared" si="55"/>
        <v>409.75</v>
      </c>
      <c r="S392" s="34">
        <f t="shared" si="56"/>
        <v>57734041.600000001</v>
      </c>
      <c r="T392" s="33">
        <f t="shared" si="57"/>
        <v>409.75</v>
      </c>
      <c r="U392" s="42">
        <f t="shared" si="58"/>
        <v>57734041.600000001</v>
      </c>
      <c r="V392" s="44"/>
      <c r="W392" s="29">
        <f t="shared" si="60"/>
        <v>23656523545.600002</v>
      </c>
      <c r="X392" s="41">
        <f t="shared" si="59"/>
        <v>34.461519026269436</v>
      </c>
      <c r="Y392" s="33">
        <f t="shared" si="61"/>
        <v>392.1820666554184</v>
      </c>
      <c r="Z392" s="33">
        <v>1.33</v>
      </c>
      <c r="AA392" s="29">
        <f t="shared" si="62"/>
        <v>521.60214865170644</v>
      </c>
      <c r="AB392" s="33">
        <f t="shared" si="63"/>
        <v>2870.6724476431623</v>
      </c>
      <c r="AD392" s="46">
        <f t="shared" si="64"/>
        <v>0</v>
      </c>
    </row>
    <row r="393" spans="1:30" hidden="1" x14ac:dyDescent="0.2">
      <c r="A393" s="30" t="s">
        <v>2937</v>
      </c>
      <c r="B393" s="29">
        <v>873</v>
      </c>
      <c r="C393" s="29">
        <v>1</v>
      </c>
      <c r="D393" s="29">
        <v>475</v>
      </c>
      <c r="E393" s="29">
        <v>89395</v>
      </c>
      <c r="F393" s="29">
        <v>31341</v>
      </c>
      <c r="G393" s="29">
        <v>31122</v>
      </c>
      <c r="H393" s="29">
        <v>121428</v>
      </c>
      <c r="I393" s="29">
        <v>19642</v>
      </c>
      <c r="J393" s="29">
        <v>288998656</v>
      </c>
      <c r="K393" s="29">
        <v>525</v>
      </c>
      <c r="L393" s="29">
        <v>1110</v>
      </c>
      <c r="N393" s="34"/>
      <c r="O393" s="29">
        <f t="shared" si="54"/>
        <v>817.5</v>
      </c>
      <c r="P393" s="32" cm="1">
        <f t="array" ref="P393">WPNFACTOR(C393)</f>
        <v>2</v>
      </c>
      <c r="Q393" s="34" cm="1">
        <f t="array" ref="Q393">HPFACTOr(C393)</f>
        <v>5</v>
      </c>
      <c r="R393" s="33">
        <f t="shared" si="55"/>
        <v>408.75</v>
      </c>
      <c r="S393" s="34">
        <f t="shared" si="56"/>
        <v>57799731.200000003</v>
      </c>
      <c r="T393" s="33">
        <f t="shared" si="57"/>
        <v>408.75</v>
      </c>
      <c r="U393" s="42">
        <f t="shared" si="58"/>
        <v>57799731.20000001</v>
      </c>
      <c r="V393" s="44"/>
      <c r="W393" s="29">
        <f t="shared" si="60"/>
        <v>23625640128.000004</v>
      </c>
      <c r="X393" s="41">
        <f t="shared" si="59"/>
        <v>34.459634368026592</v>
      </c>
      <c r="Y393" s="33">
        <f t="shared" si="61"/>
        <v>392.05400624381889</v>
      </c>
      <c r="Z393" s="33">
        <v>1.33</v>
      </c>
      <c r="AA393" s="29">
        <f t="shared" si="62"/>
        <v>521.43182830427918</v>
      </c>
      <c r="AB393" s="33">
        <f t="shared" si="63"/>
        <v>2869.4226897089056</v>
      </c>
      <c r="AD393" s="46">
        <f t="shared" si="64"/>
        <v>0</v>
      </c>
    </row>
    <row r="394" spans="1:30" hidden="1" x14ac:dyDescent="0.2">
      <c r="A394" s="30" t="s">
        <v>2937</v>
      </c>
      <c r="B394" s="29">
        <v>874</v>
      </c>
      <c r="C394" s="29">
        <v>1</v>
      </c>
      <c r="D394" s="29">
        <v>475</v>
      </c>
      <c r="E394" s="29">
        <v>89498</v>
      </c>
      <c r="F394" s="29">
        <v>31377</v>
      </c>
      <c r="G394" s="29">
        <v>31158</v>
      </c>
      <c r="H394" s="29">
        <v>121568</v>
      </c>
      <c r="I394" s="29">
        <v>19665</v>
      </c>
      <c r="J394" s="29">
        <v>289331840</v>
      </c>
      <c r="K394" s="29">
        <v>526</v>
      </c>
      <c r="L394" s="29">
        <v>1111</v>
      </c>
      <c r="N394" s="34"/>
      <c r="O394" s="29">
        <f t="shared" si="54"/>
        <v>818.5</v>
      </c>
      <c r="P394" s="32" cm="1">
        <f t="array" ref="P394">WPNFACTOR(C394)</f>
        <v>2</v>
      </c>
      <c r="Q394" s="34" cm="1">
        <f t="array" ref="Q394">HPFACTOr(C394)</f>
        <v>5</v>
      </c>
      <c r="R394" s="33">
        <f t="shared" si="55"/>
        <v>409.25</v>
      </c>
      <c r="S394" s="34">
        <f t="shared" si="56"/>
        <v>57866368</v>
      </c>
      <c r="T394" s="33">
        <f t="shared" si="57"/>
        <v>409.25</v>
      </c>
      <c r="U394" s="42">
        <f t="shared" si="58"/>
        <v>57866368.000000007</v>
      </c>
      <c r="V394" s="44"/>
      <c r="W394" s="29">
        <f t="shared" si="60"/>
        <v>23681811104.000004</v>
      </c>
      <c r="X394" s="41">
        <f t="shared" si="59"/>
        <v>34.463060366447117</v>
      </c>
      <c r="Y394" s="33">
        <f t="shared" si="61"/>
        <v>392.28683008317222</v>
      </c>
      <c r="Z394" s="33">
        <v>1.33</v>
      </c>
      <c r="AA394" s="29">
        <f t="shared" si="62"/>
        <v>521.74148401061905</v>
      </c>
      <c r="AB394" s="33">
        <f t="shared" si="63"/>
        <v>2871.694948499578</v>
      </c>
      <c r="AD394" s="46">
        <f t="shared" si="64"/>
        <v>0</v>
      </c>
    </row>
    <row r="395" spans="1:30" hidden="1" x14ac:dyDescent="0.2">
      <c r="A395" s="30" t="s">
        <v>2937</v>
      </c>
      <c r="B395" s="29">
        <v>875</v>
      </c>
      <c r="C395" s="29">
        <v>1</v>
      </c>
      <c r="D395" s="29">
        <v>476</v>
      </c>
      <c r="E395" s="29">
        <v>89810</v>
      </c>
      <c r="F395" s="29">
        <v>31482</v>
      </c>
      <c r="G395" s="29">
        <v>31264</v>
      </c>
      <c r="H395" s="29">
        <v>122001</v>
      </c>
      <c r="I395" s="29">
        <v>19731</v>
      </c>
      <c r="J395" s="29">
        <v>290972384</v>
      </c>
      <c r="K395" s="29">
        <v>525</v>
      </c>
      <c r="L395" s="29">
        <v>1113</v>
      </c>
      <c r="N395" s="34"/>
      <c r="O395" s="29">
        <f t="shared" si="54"/>
        <v>819</v>
      </c>
      <c r="P395" s="32" cm="1">
        <f t="array" ref="P395">WPNFACTOR(C395)</f>
        <v>2</v>
      </c>
      <c r="Q395" s="34" cm="1">
        <f t="array" ref="Q395">HPFACTOr(C395)</f>
        <v>5</v>
      </c>
      <c r="R395" s="33">
        <f t="shared" si="55"/>
        <v>409.5</v>
      </c>
      <c r="S395" s="34">
        <f t="shared" si="56"/>
        <v>58194476.799999997</v>
      </c>
      <c r="T395" s="33">
        <f t="shared" si="57"/>
        <v>409.5</v>
      </c>
      <c r="U395" s="42">
        <f t="shared" si="58"/>
        <v>58194476.799999997</v>
      </c>
      <c r="V395" s="44"/>
      <c r="W395" s="29">
        <f t="shared" si="60"/>
        <v>23830638249.599998</v>
      </c>
      <c r="X395" s="41">
        <f t="shared" si="59"/>
        <v>34.472098540234036</v>
      </c>
      <c r="Y395" s="33">
        <f t="shared" si="61"/>
        <v>392.90170959905635</v>
      </c>
      <c r="Z395" s="33">
        <v>1.33</v>
      </c>
      <c r="AA395" s="29">
        <f t="shared" si="62"/>
        <v>522.55927376674492</v>
      </c>
      <c r="AB395" s="33">
        <f t="shared" si="63"/>
        <v>2877.6980645271492</v>
      </c>
      <c r="AD395" s="46">
        <f t="shared" si="64"/>
        <v>0</v>
      </c>
    </row>
    <row r="396" spans="1:30" hidden="1" x14ac:dyDescent="0.2">
      <c r="A396" s="30" t="s">
        <v>2937</v>
      </c>
      <c r="B396" s="29">
        <v>876</v>
      </c>
      <c r="C396" s="29">
        <v>1</v>
      </c>
      <c r="D396" s="29">
        <v>476</v>
      </c>
      <c r="E396" s="29">
        <v>89913</v>
      </c>
      <c r="F396" s="29">
        <v>31518</v>
      </c>
      <c r="G396" s="29">
        <v>31299</v>
      </c>
      <c r="H396" s="29">
        <v>122140</v>
      </c>
      <c r="I396" s="29">
        <v>19754</v>
      </c>
      <c r="J396" s="29">
        <v>291303904</v>
      </c>
      <c r="K396" s="29">
        <v>526</v>
      </c>
      <c r="L396" s="29">
        <v>1112</v>
      </c>
      <c r="N396" s="34"/>
      <c r="O396" s="29">
        <f t="shared" si="54"/>
        <v>819</v>
      </c>
      <c r="P396" s="32" cm="1">
        <f t="array" ref="P396">WPNFACTOR(C396)</f>
        <v>2</v>
      </c>
      <c r="Q396" s="34" cm="1">
        <f t="array" ref="Q396">HPFACTOr(C396)</f>
        <v>5</v>
      </c>
      <c r="R396" s="33">
        <f t="shared" si="55"/>
        <v>409.5</v>
      </c>
      <c r="S396" s="34">
        <f t="shared" si="56"/>
        <v>58260780.799999997</v>
      </c>
      <c r="T396" s="33">
        <f t="shared" si="57"/>
        <v>409.5</v>
      </c>
      <c r="U396" s="42">
        <f t="shared" si="58"/>
        <v>58260780.799999997</v>
      </c>
      <c r="V396" s="44"/>
      <c r="W396" s="29">
        <f t="shared" si="60"/>
        <v>23857789737.599998</v>
      </c>
      <c r="X396" s="41">
        <f t="shared" si="59"/>
        <v>34.473741342187303</v>
      </c>
      <c r="Y396" s="33">
        <f t="shared" si="61"/>
        <v>393.01357516312231</v>
      </c>
      <c r="Z396" s="33">
        <v>1.33</v>
      </c>
      <c r="AA396" s="29">
        <f t="shared" si="62"/>
        <v>522.70805496695266</v>
      </c>
      <c r="AB396" s="33">
        <f t="shared" si="63"/>
        <v>2878.7905535106293</v>
      </c>
      <c r="AD396" s="46">
        <f t="shared" si="64"/>
        <v>0</v>
      </c>
    </row>
    <row r="397" spans="1:30" hidden="1" x14ac:dyDescent="0.2">
      <c r="A397" s="30" t="s">
        <v>2937</v>
      </c>
      <c r="B397" s="29">
        <v>877</v>
      </c>
      <c r="C397" s="29">
        <v>1</v>
      </c>
      <c r="D397" s="29">
        <v>476</v>
      </c>
      <c r="E397" s="29">
        <v>90015</v>
      </c>
      <c r="F397" s="29">
        <v>31554</v>
      </c>
      <c r="G397" s="29">
        <v>31335</v>
      </c>
      <c r="H397" s="29">
        <v>122280</v>
      </c>
      <c r="I397" s="29">
        <v>19776</v>
      </c>
      <c r="J397" s="29">
        <v>291637792</v>
      </c>
      <c r="K397" s="29">
        <v>527</v>
      </c>
      <c r="L397" s="29">
        <v>1114</v>
      </c>
      <c r="N397" s="34"/>
      <c r="O397" s="29">
        <f t="shared" si="54"/>
        <v>820.5</v>
      </c>
      <c r="P397" s="32" cm="1">
        <f t="array" ref="P397">WPNFACTOR(C397)</f>
        <v>2</v>
      </c>
      <c r="Q397" s="34" cm="1">
        <f t="array" ref="Q397">HPFACTOr(C397)</f>
        <v>5</v>
      </c>
      <c r="R397" s="33">
        <f t="shared" si="55"/>
        <v>410.25</v>
      </c>
      <c r="S397" s="34">
        <f t="shared" si="56"/>
        <v>58327558.399999999</v>
      </c>
      <c r="T397" s="33">
        <f t="shared" si="57"/>
        <v>410.25</v>
      </c>
      <c r="U397" s="42">
        <f t="shared" si="58"/>
        <v>58327558.399999999</v>
      </c>
      <c r="V397" s="44"/>
      <c r="W397" s="29">
        <f t="shared" si="60"/>
        <v>23928880833.599998</v>
      </c>
      <c r="X397" s="41">
        <f t="shared" si="59"/>
        <v>34.478033871718573</v>
      </c>
      <c r="Y397" s="33">
        <f t="shared" si="61"/>
        <v>393.30602261764307</v>
      </c>
      <c r="Z397" s="33">
        <v>1.33</v>
      </c>
      <c r="AA397" s="29">
        <f t="shared" si="62"/>
        <v>523.09701008146533</v>
      </c>
      <c r="AB397" s="33">
        <f t="shared" si="63"/>
        <v>2881.6471108633273</v>
      </c>
      <c r="AD397" s="46">
        <f t="shared" si="64"/>
        <v>0</v>
      </c>
    </row>
    <row r="398" spans="1:30" hidden="1" x14ac:dyDescent="0.2">
      <c r="A398" s="30" t="s">
        <v>2937</v>
      </c>
      <c r="B398" s="29">
        <v>939</v>
      </c>
      <c r="C398" s="29">
        <v>1</v>
      </c>
      <c r="D398" s="29">
        <v>488</v>
      </c>
      <c r="E398" s="29">
        <v>99083</v>
      </c>
      <c r="F398" s="29">
        <v>34734</v>
      </c>
      <c r="G398" s="29">
        <v>34499</v>
      </c>
      <c r="H398" s="29">
        <v>134700</v>
      </c>
      <c r="I398" s="29">
        <v>21710</v>
      </c>
      <c r="J398" s="29">
        <v>329341504</v>
      </c>
      <c r="K398" s="29">
        <v>544</v>
      </c>
      <c r="L398" s="29">
        <v>1157</v>
      </c>
      <c r="N398" s="34"/>
      <c r="O398" s="29">
        <f t="shared" si="54"/>
        <v>850.5</v>
      </c>
      <c r="P398" s="32" cm="1">
        <f t="array" ref="P398">WPNFACTOR(C398)</f>
        <v>2</v>
      </c>
      <c r="Q398" s="34" cm="1">
        <f t="array" ref="Q398">HPFACTOr(C398)</f>
        <v>5</v>
      </c>
      <c r="R398" s="33">
        <f t="shared" si="55"/>
        <v>425.25</v>
      </c>
      <c r="S398" s="34">
        <f t="shared" si="56"/>
        <v>65868300.799999997</v>
      </c>
      <c r="T398" s="33">
        <f t="shared" si="57"/>
        <v>425.25</v>
      </c>
      <c r="U398" s="42">
        <f t="shared" si="58"/>
        <v>65868300.799999997</v>
      </c>
      <c r="V398" s="44"/>
      <c r="W398" s="29">
        <f t="shared" si="60"/>
        <v>28010494915.199997</v>
      </c>
      <c r="X398" s="41">
        <f t="shared" si="59"/>
        <v>34.705248423374826</v>
      </c>
      <c r="Y398" s="33">
        <f t="shared" si="61"/>
        <v>409.10067456077343</v>
      </c>
      <c r="Z398" s="33">
        <v>1.33</v>
      </c>
      <c r="AA398" s="29">
        <f t="shared" si="62"/>
        <v>544.1038971658287</v>
      </c>
      <c r="AB398" s="33">
        <f t="shared" si="63"/>
        <v>3036.9683142914005</v>
      </c>
      <c r="AD398" s="46">
        <f t="shared" si="64"/>
        <v>0</v>
      </c>
    </row>
    <row r="399" spans="1:30" hidden="1" x14ac:dyDescent="0.2">
      <c r="A399" s="30" t="s">
        <v>2937</v>
      </c>
      <c r="B399" s="29">
        <v>947</v>
      </c>
      <c r="C399" s="29">
        <v>1</v>
      </c>
      <c r="D399" s="29">
        <v>490</v>
      </c>
      <c r="E399" s="29">
        <v>100382</v>
      </c>
      <c r="F399" s="29">
        <v>35191</v>
      </c>
      <c r="G399" s="29">
        <v>34954</v>
      </c>
      <c r="H399" s="29">
        <v>136484</v>
      </c>
      <c r="I399" s="29">
        <v>21989</v>
      </c>
      <c r="J399" s="29">
        <v>335068224</v>
      </c>
      <c r="K399" s="29">
        <v>544</v>
      </c>
      <c r="L399" s="29">
        <v>1162</v>
      </c>
      <c r="N399" s="34"/>
      <c r="O399" s="29">
        <f t="shared" si="54"/>
        <v>853</v>
      </c>
      <c r="P399" s="32" cm="1">
        <f t="array" ref="P399">WPNFACTOR(C399)</f>
        <v>2</v>
      </c>
      <c r="Q399" s="34" cm="1">
        <f t="array" ref="Q399">HPFACTOr(C399)</f>
        <v>5</v>
      </c>
      <c r="R399" s="33">
        <f t="shared" si="55"/>
        <v>426.5</v>
      </c>
      <c r="S399" s="34">
        <f t="shared" si="56"/>
        <v>67013644.799999997</v>
      </c>
      <c r="T399" s="33">
        <f t="shared" si="57"/>
        <v>426.5</v>
      </c>
      <c r="U399" s="42">
        <f t="shared" si="58"/>
        <v>67013644.800000004</v>
      </c>
      <c r="V399" s="44"/>
      <c r="W399" s="29">
        <f t="shared" si="60"/>
        <v>28581319507.200001</v>
      </c>
      <c r="X399" s="41">
        <f t="shared" si="59"/>
        <v>34.734353471414792</v>
      </c>
      <c r="Y399" s="33">
        <f t="shared" si="61"/>
        <v>411.16919412400449</v>
      </c>
      <c r="Z399" s="33">
        <v>1.33</v>
      </c>
      <c r="AA399" s="29">
        <f t="shared" si="62"/>
        <v>546.85502818492603</v>
      </c>
      <c r="AB399" s="33">
        <f t="shared" si="63"/>
        <v>3057.4598192102471</v>
      </c>
      <c r="AD399" s="46">
        <f t="shared" si="64"/>
        <v>0</v>
      </c>
    </row>
    <row r="400" spans="1:30" hidden="1" x14ac:dyDescent="0.2">
      <c r="A400" s="30" t="s">
        <v>2937</v>
      </c>
      <c r="B400" s="29">
        <v>954</v>
      </c>
      <c r="C400" s="29">
        <v>1</v>
      </c>
      <c r="D400" s="29">
        <v>491</v>
      </c>
      <c r="E400" s="29">
        <v>101353</v>
      </c>
      <c r="F400" s="29">
        <v>35527</v>
      </c>
      <c r="G400" s="29">
        <v>35288</v>
      </c>
      <c r="H400" s="29">
        <v>137814</v>
      </c>
      <c r="I400" s="29">
        <v>22200</v>
      </c>
      <c r="J400" s="29">
        <v>339022432</v>
      </c>
      <c r="K400" s="29">
        <v>546</v>
      </c>
      <c r="L400" s="29">
        <v>1163</v>
      </c>
      <c r="N400" s="34"/>
      <c r="O400" s="29">
        <f t="shared" si="54"/>
        <v>854.5</v>
      </c>
      <c r="P400" s="32" cm="1">
        <f t="array" ref="P400">WPNFACTOR(C400)</f>
        <v>2</v>
      </c>
      <c r="Q400" s="34" cm="1">
        <f t="array" ref="Q400">HPFACTOr(C400)</f>
        <v>5</v>
      </c>
      <c r="R400" s="33">
        <f t="shared" si="55"/>
        <v>427.25</v>
      </c>
      <c r="S400" s="34">
        <f t="shared" si="56"/>
        <v>67804486.400000006</v>
      </c>
      <c r="T400" s="33">
        <f t="shared" si="57"/>
        <v>427.25</v>
      </c>
      <c r="U400" s="42">
        <f t="shared" si="58"/>
        <v>67804486.400000006</v>
      </c>
      <c r="V400" s="44"/>
      <c r="W400" s="29">
        <f t="shared" si="60"/>
        <v>28969466814.400002</v>
      </c>
      <c r="X400" s="41">
        <f t="shared" si="59"/>
        <v>34.75381408079641</v>
      </c>
      <c r="Y400" s="33">
        <f t="shared" si="61"/>
        <v>412.55810685290868</v>
      </c>
      <c r="Z400" s="33">
        <v>1.33</v>
      </c>
      <c r="AA400" s="29">
        <f t="shared" si="62"/>
        <v>548.70228211436859</v>
      </c>
      <c r="AB400" s="33">
        <f t="shared" si="63"/>
        <v>3071.2381985422448</v>
      </c>
      <c r="AD400" s="46">
        <f t="shared" si="64"/>
        <v>0</v>
      </c>
    </row>
    <row r="401" spans="1:30" hidden="1" x14ac:dyDescent="0.2">
      <c r="A401" s="30" t="s">
        <v>2937</v>
      </c>
      <c r="B401" s="29">
        <v>962</v>
      </c>
      <c r="C401" s="29">
        <v>1</v>
      </c>
      <c r="D401" s="29">
        <v>493</v>
      </c>
      <c r="E401" s="29">
        <v>102665</v>
      </c>
      <c r="F401" s="29">
        <v>35988</v>
      </c>
      <c r="G401" s="29">
        <v>35748</v>
      </c>
      <c r="H401" s="29">
        <v>139606</v>
      </c>
      <c r="I401" s="29">
        <v>22472</v>
      </c>
      <c r="J401" s="29">
        <v>344826816</v>
      </c>
      <c r="K401" s="29">
        <v>546</v>
      </c>
      <c r="L401" s="29">
        <v>1174</v>
      </c>
      <c r="N401" s="34"/>
      <c r="O401" s="29">
        <f t="shared" si="54"/>
        <v>860</v>
      </c>
      <c r="P401" s="32" cm="1">
        <f t="array" ref="P401">WPNFACTOR(C401)</f>
        <v>2</v>
      </c>
      <c r="Q401" s="34" cm="1">
        <f t="array" ref="Q401">HPFACTOr(C401)</f>
        <v>5</v>
      </c>
      <c r="R401" s="33">
        <f t="shared" si="55"/>
        <v>430</v>
      </c>
      <c r="S401" s="34">
        <f t="shared" si="56"/>
        <v>68965363.200000003</v>
      </c>
      <c r="T401" s="33">
        <f t="shared" si="57"/>
        <v>430</v>
      </c>
      <c r="U401" s="42">
        <f t="shared" si="58"/>
        <v>68965363.200000003</v>
      </c>
      <c r="V401" s="44"/>
      <c r="W401" s="29">
        <f t="shared" si="60"/>
        <v>29655106176</v>
      </c>
      <c r="X401" s="41">
        <f t="shared" si="59"/>
        <v>34.787561486040907</v>
      </c>
      <c r="Y401" s="33">
        <f t="shared" si="61"/>
        <v>414.9778065679817</v>
      </c>
      <c r="Z401" s="33">
        <v>1.33</v>
      </c>
      <c r="AA401" s="29">
        <f t="shared" si="62"/>
        <v>551.9204827354157</v>
      </c>
      <c r="AB401" s="33">
        <f t="shared" si="63"/>
        <v>3095.2791890700319</v>
      </c>
      <c r="AD401" s="46">
        <f t="shared" si="64"/>
        <v>0</v>
      </c>
    </row>
    <row r="402" spans="1:30" hidden="1" x14ac:dyDescent="0.2">
      <c r="A402" s="30" t="s">
        <v>2937</v>
      </c>
      <c r="B402" s="29">
        <v>981</v>
      </c>
      <c r="C402" s="29">
        <v>1</v>
      </c>
      <c r="D402" s="29">
        <v>497</v>
      </c>
      <c r="E402" s="29">
        <v>105634</v>
      </c>
      <c r="F402" s="29">
        <v>37033</v>
      </c>
      <c r="G402" s="29">
        <v>36788</v>
      </c>
      <c r="H402" s="29">
        <v>143682</v>
      </c>
      <c r="I402" s="29">
        <v>23112</v>
      </c>
      <c r="J402" s="29">
        <v>357768192</v>
      </c>
      <c r="K402" s="29">
        <v>554</v>
      </c>
      <c r="L402" s="29">
        <v>1189</v>
      </c>
      <c r="N402" s="34"/>
      <c r="O402" s="29">
        <f t="shared" si="54"/>
        <v>871.5</v>
      </c>
      <c r="P402" s="32" cm="1">
        <f t="array" ref="P402">WPNFACTOR(C402)</f>
        <v>2</v>
      </c>
      <c r="Q402" s="34" cm="1">
        <f t="array" ref="Q402">HPFACTOr(C402)</f>
        <v>5</v>
      </c>
      <c r="R402" s="33">
        <f t="shared" si="55"/>
        <v>435.75</v>
      </c>
      <c r="S402" s="34">
        <f t="shared" si="56"/>
        <v>71553638.400000006</v>
      </c>
      <c r="T402" s="33">
        <f t="shared" si="57"/>
        <v>435.75</v>
      </c>
      <c r="U402" s="42">
        <f t="shared" si="58"/>
        <v>71553638.400000006</v>
      </c>
      <c r="V402" s="44"/>
      <c r="W402" s="29">
        <f t="shared" si="60"/>
        <v>31179497932.800003</v>
      </c>
      <c r="X402" s="41">
        <f t="shared" si="59"/>
        <v>34.859878646130255</v>
      </c>
      <c r="Y402" s="33">
        <f t="shared" si="61"/>
        <v>420.2108669940049</v>
      </c>
      <c r="Z402" s="33">
        <v>1.33</v>
      </c>
      <c r="AA402" s="29">
        <f t="shared" si="62"/>
        <v>558.88045310202654</v>
      </c>
      <c r="AB402" s="33">
        <f t="shared" si="63"/>
        <v>3147.4321201433372</v>
      </c>
      <c r="AD402" s="46">
        <f t="shared" si="64"/>
        <v>0</v>
      </c>
    </row>
    <row r="403" spans="1:30" hidden="1" x14ac:dyDescent="0.2">
      <c r="A403" s="30" t="s">
        <v>2937</v>
      </c>
      <c r="B403" s="29">
        <v>990</v>
      </c>
      <c r="C403" s="29">
        <v>1</v>
      </c>
      <c r="D403" s="29">
        <v>499</v>
      </c>
      <c r="E403" s="29">
        <v>107078</v>
      </c>
      <c r="F403" s="29">
        <v>37541</v>
      </c>
      <c r="G403" s="29">
        <v>37293</v>
      </c>
      <c r="H403" s="29">
        <v>145665</v>
      </c>
      <c r="I403" s="29">
        <v>23414</v>
      </c>
      <c r="J403" s="29">
        <v>364162496</v>
      </c>
      <c r="K403" s="29">
        <v>555</v>
      </c>
      <c r="L403" s="29">
        <v>1197</v>
      </c>
      <c r="N403" s="34"/>
      <c r="O403" s="29">
        <f t="shared" si="54"/>
        <v>876</v>
      </c>
      <c r="P403" s="32" cm="1">
        <f t="array" ref="P403">WPNFACTOR(C403)</f>
        <v>2</v>
      </c>
      <c r="Q403" s="34" cm="1">
        <f t="array" ref="Q403">HPFACTOr(C403)</f>
        <v>5</v>
      </c>
      <c r="R403" s="33">
        <f t="shared" si="55"/>
        <v>438</v>
      </c>
      <c r="S403" s="34">
        <f t="shared" si="56"/>
        <v>72832499.200000003</v>
      </c>
      <c r="T403" s="33">
        <f t="shared" si="57"/>
        <v>438</v>
      </c>
      <c r="U403" s="42">
        <f t="shared" si="58"/>
        <v>72832499.200000003</v>
      </c>
      <c r="V403" s="44"/>
      <c r="W403" s="29">
        <f t="shared" si="60"/>
        <v>31900634649.600002</v>
      </c>
      <c r="X403" s="41">
        <f t="shared" si="59"/>
        <v>34.892866074955393</v>
      </c>
      <c r="Y403" s="33">
        <f t="shared" si="61"/>
        <v>422.61979090415485</v>
      </c>
      <c r="Z403" s="33">
        <v>1.33</v>
      </c>
      <c r="AA403" s="29">
        <f t="shared" si="62"/>
        <v>562.08432190252597</v>
      </c>
      <c r="AB403" s="33">
        <f t="shared" si="63"/>
        <v>3171.5125996431343</v>
      </c>
      <c r="AD403" s="46">
        <f t="shared" si="64"/>
        <v>0</v>
      </c>
    </row>
    <row r="404" spans="1:30" hidden="1" x14ac:dyDescent="0.2">
      <c r="A404" s="30" t="s">
        <v>2937</v>
      </c>
      <c r="B404" s="29">
        <v>998</v>
      </c>
      <c r="C404" s="29">
        <v>1</v>
      </c>
      <c r="D404" s="29">
        <v>500</v>
      </c>
      <c r="E404" s="29">
        <v>108183</v>
      </c>
      <c r="F404" s="29">
        <v>37924</v>
      </c>
      <c r="G404" s="29">
        <v>37674</v>
      </c>
      <c r="H404" s="29">
        <v>147177</v>
      </c>
      <c r="I404" s="29">
        <v>23653</v>
      </c>
      <c r="J404" s="29">
        <v>368678400</v>
      </c>
      <c r="K404" s="29">
        <v>556</v>
      </c>
      <c r="L404" s="29">
        <v>1201</v>
      </c>
      <c r="N404" s="34"/>
      <c r="O404" s="29">
        <f t="shared" si="54"/>
        <v>878.5</v>
      </c>
      <c r="P404" s="32" cm="1">
        <f t="array" ref="P404">WPNFACTOR(C404)</f>
        <v>2</v>
      </c>
      <c r="Q404" s="34" cm="1">
        <f t="array" ref="Q404">HPFACTOr(C404)</f>
        <v>5</v>
      </c>
      <c r="R404" s="33">
        <f t="shared" si="55"/>
        <v>439.25</v>
      </c>
      <c r="S404" s="34">
        <f t="shared" si="56"/>
        <v>73735680</v>
      </c>
      <c r="T404" s="33">
        <f t="shared" si="57"/>
        <v>439.25</v>
      </c>
      <c r="U404" s="42">
        <f t="shared" si="58"/>
        <v>73735680</v>
      </c>
      <c r="V404" s="44"/>
      <c r="W404" s="29">
        <f t="shared" si="60"/>
        <v>32388397440</v>
      </c>
      <c r="X404" s="41">
        <f t="shared" si="59"/>
        <v>34.914758035019624</v>
      </c>
      <c r="Y404" s="33">
        <f t="shared" si="61"/>
        <v>424.22608097662845</v>
      </c>
      <c r="Z404" s="33">
        <v>1.33</v>
      </c>
      <c r="AA404" s="29">
        <f t="shared" si="62"/>
        <v>564.22068769891587</v>
      </c>
      <c r="AB404" s="33">
        <f t="shared" si="63"/>
        <v>3187.5951201448979</v>
      </c>
      <c r="AD404" s="46">
        <f t="shared" si="64"/>
        <v>0</v>
      </c>
    </row>
    <row r="405" spans="1:30" hidden="1" x14ac:dyDescent="0.2">
      <c r="A405" s="30" t="s">
        <v>2937</v>
      </c>
      <c r="B405" s="29">
        <v>999</v>
      </c>
      <c r="C405" s="29">
        <v>1</v>
      </c>
      <c r="D405" s="29">
        <v>500</v>
      </c>
      <c r="E405" s="29">
        <v>108292</v>
      </c>
      <c r="F405" s="29">
        <v>37962</v>
      </c>
      <c r="G405" s="29">
        <v>37712</v>
      </c>
      <c r="H405" s="29">
        <v>147326</v>
      </c>
      <c r="I405" s="29">
        <v>23676</v>
      </c>
      <c r="J405" s="29">
        <v>369051616</v>
      </c>
      <c r="K405" s="29">
        <v>555</v>
      </c>
      <c r="L405" s="29">
        <v>1201</v>
      </c>
      <c r="N405" s="34"/>
      <c r="O405" s="29">
        <f t="shared" si="54"/>
        <v>878</v>
      </c>
      <c r="P405" s="32" cm="1">
        <f t="array" ref="P405">WPNFACTOR(C405)</f>
        <v>2</v>
      </c>
      <c r="Q405" s="34" cm="1">
        <f t="array" ref="Q405">HPFACTOr(C405)</f>
        <v>5</v>
      </c>
      <c r="R405" s="33">
        <f t="shared" si="55"/>
        <v>439</v>
      </c>
      <c r="S405" s="34">
        <f t="shared" si="56"/>
        <v>73810323.200000003</v>
      </c>
      <c r="T405" s="33">
        <f t="shared" si="57"/>
        <v>439</v>
      </c>
      <c r="U405" s="42">
        <f t="shared" si="58"/>
        <v>73810323.200000003</v>
      </c>
      <c r="V405" s="44"/>
      <c r="W405" s="29">
        <f t="shared" si="60"/>
        <v>32402731884.800003</v>
      </c>
      <c r="X405" s="41">
        <f t="shared" si="59"/>
        <v>34.915396401196588</v>
      </c>
      <c r="Y405" s="33">
        <f t="shared" si="61"/>
        <v>424.27301164336785</v>
      </c>
      <c r="Z405" s="33">
        <v>1.33</v>
      </c>
      <c r="AA405" s="29">
        <f t="shared" si="62"/>
        <v>564.28310548567924</v>
      </c>
      <c r="AB405" s="33">
        <f t="shared" si="63"/>
        <v>3188.0653056714023</v>
      </c>
      <c r="AD405" s="46">
        <f t="shared" si="64"/>
        <v>0</v>
      </c>
    </row>
    <row r="406" spans="1:30" hidden="1" x14ac:dyDescent="0.2">
      <c r="A406" s="30" t="s">
        <v>2937</v>
      </c>
      <c r="B406" s="29">
        <v>1000</v>
      </c>
      <c r="C406" s="29">
        <v>3</v>
      </c>
      <c r="D406" s="29">
        <v>501</v>
      </c>
      <c r="E406" s="29">
        <v>34075</v>
      </c>
      <c r="F406" s="29">
        <v>135800</v>
      </c>
      <c r="G406" s="29">
        <v>33950</v>
      </c>
      <c r="H406" s="29">
        <v>138915</v>
      </c>
      <c r="I406" s="29">
        <v>48412</v>
      </c>
      <c r="J406" s="29">
        <v>278941312</v>
      </c>
      <c r="K406" s="29">
        <v>872</v>
      </c>
      <c r="L406" s="29">
        <v>1334</v>
      </c>
      <c r="N406" s="34"/>
      <c r="O406" s="29">
        <f t="shared" si="54"/>
        <v>1103</v>
      </c>
      <c r="P406" s="32" cm="1">
        <f t="array" ref="P406">WPNFACTOR(C406)</f>
        <v>2.5</v>
      </c>
      <c r="Q406" s="34" cm="1">
        <f t="array" ref="Q406">HPFACTOr(C406)</f>
        <v>4</v>
      </c>
      <c r="R406" s="33">
        <f t="shared" si="55"/>
        <v>441.2</v>
      </c>
      <c r="S406" s="34">
        <f t="shared" si="56"/>
        <v>69735328</v>
      </c>
      <c r="T406" s="33">
        <f t="shared" si="57"/>
        <v>441.2</v>
      </c>
      <c r="U406" s="42">
        <f t="shared" si="58"/>
        <v>69735328</v>
      </c>
      <c r="V406" s="44"/>
      <c r="W406" s="29">
        <f t="shared" si="60"/>
        <v>30767226713.599998</v>
      </c>
      <c r="X406" s="41">
        <f t="shared" si="59"/>
        <v>34.84067535722329</v>
      </c>
      <c r="Y406" s="33">
        <f t="shared" si="61"/>
        <v>418.81486522201635</v>
      </c>
      <c r="Z406" s="33">
        <v>1.33</v>
      </c>
      <c r="AA406" s="29">
        <f t="shared" si="62"/>
        <v>557.02377074528181</v>
      </c>
      <c r="AB406" s="33">
        <f t="shared" si="63"/>
        <v>3133.4982072933044</v>
      </c>
      <c r="AD406" s="46">
        <f t="shared" si="64"/>
        <v>0</v>
      </c>
    </row>
    <row r="407" spans="1:30" hidden="1" x14ac:dyDescent="0.2">
      <c r="A407" s="30" t="s">
        <v>8840</v>
      </c>
      <c r="B407" s="29">
        <v>1</v>
      </c>
      <c r="C407" s="29">
        <v>2</v>
      </c>
      <c r="D407" s="29">
        <v>172</v>
      </c>
      <c r="E407" s="29">
        <v>825</v>
      </c>
      <c r="F407" s="29">
        <v>894</v>
      </c>
      <c r="G407" s="29">
        <v>1788</v>
      </c>
      <c r="H407" s="29">
        <v>7282</v>
      </c>
      <c r="I407" s="29">
        <v>808</v>
      </c>
      <c r="J407" s="29">
        <v>2519572</v>
      </c>
      <c r="K407" s="29">
        <v>4178</v>
      </c>
      <c r="L407" s="29">
        <v>8303</v>
      </c>
      <c r="N407" s="34"/>
      <c r="O407" s="29">
        <f t="shared" si="54"/>
        <v>6240.5</v>
      </c>
      <c r="P407" s="32" cm="1">
        <f t="array" ref="P407">WPNFACTOR(C407)</f>
        <v>4.5</v>
      </c>
      <c r="Q407" s="34" cm="1">
        <f t="array" ref="Q407">HPFACTOr(C407)</f>
        <v>2</v>
      </c>
      <c r="R407" s="33">
        <f t="shared" si="55"/>
        <v>1386.7777777777778</v>
      </c>
      <c r="S407" s="34">
        <f t="shared" si="56"/>
        <v>1259786</v>
      </c>
      <c r="T407" s="33">
        <f t="shared" si="57"/>
        <v>1386.7777777777778</v>
      </c>
      <c r="U407" s="42">
        <f t="shared" si="58"/>
        <v>1259786</v>
      </c>
      <c r="V407" s="44"/>
      <c r="W407" s="29">
        <f t="shared" ref="W407:W470" si="65">T407*U407</f>
        <v>1747043229.5555556</v>
      </c>
      <c r="X407" s="41">
        <f t="shared" si="59"/>
        <v>30.70226816132153</v>
      </c>
      <c r="Y407" s="33">
        <f t="shared" si="61"/>
        <v>204.4447265650999</v>
      </c>
      <c r="Z407" s="33">
        <v>0.8</v>
      </c>
      <c r="AA407" s="29">
        <f t="shared" si="62"/>
        <v>163.55578125207992</v>
      </c>
      <c r="AB407" s="33">
        <f t="shared" si="63"/>
        <v>1204.392060216956</v>
      </c>
      <c r="AC407" s="29">
        <v>142</v>
      </c>
      <c r="AD407" s="46">
        <f t="shared" si="64"/>
        <v>0.11790180680402401</v>
      </c>
    </row>
    <row r="408" spans="1:30" hidden="1" x14ac:dyDescent="0.2">
      <c r="A408" s="30" t="s">
        <v>8840</v>
      </c>
      <c r="B408" s="29">
        <v>2</v>
      </c>
      <c r="C408" s="29">
        <v>1</v>
      </c>
      <c r="D408" s="29">
        <v>174</v>
      </c>
      <c r="E408" s="29">
        <v>1740</v>
      </c>
      <c r="F408" s="29">
        <v>986</v>
      </c>
      <c r="G408" s="29">
        <v>855</v>
      </c>
      <c r="H408" s="29">
        <v>8052</v>
      </c>
      <c r="I408" s="29">
        <v>739</v>
      </c>
      <c r="J408" s="29">
        <v>7045500</v>
      </c>
      <c r="K408" s="29">
        <v>1867</v>
      </c>
      <c r="L408" s="29">
        <v>3730</v>
      </c>
      <c r="N408" s="34"/>
      <c r="O408" s="29">
        <f t="shared" si="54"/>
        <v>2798.5</v>
      </c>
      <c r="P408" s="32" cm="1">
        <f t="array" ref="P408">WPNFACTOR(C408)</f>
        <v>2</v>
      </c>
      <c r="Q408" s="34" cm="1">
        <f t="array" ref="Q408">HPFACTOr(C408)</f>
        <v>5</v>
      </c>
      <c r="R408" s="33">
        <f t="shared" si="55"/>
        <v>1399.25</v>
      </c>
      <c r="S408" s="34">
        <f t="shared" si="56"/>
        <v>1409100</v>
      </c>
      <c r="T408" s="33">
        <f t="shared" si="57"/>
        <v>1399.25</v>
      </c>
      <c r="U408" s="42">
        <f t="shared" si="58"/>
        <v>1409100</v>
      </c>
      <c r="V408" s="44"/>
      <c r="W408" s="29">
        <f t="shared" si="65"/>
        <v>1971683175</v>
      </c>
      <c r="X408" s="41">
        <f t="shared" si="59"/>
        <v>30.876780601149324</v>
      </c>
      <c r="Y408" s="33">
        <f t="shared" si="61"/>
        <v>210.72171034083266</v>
      </c>
      <c r="Z408" s="33">
        <v>0.8</v>
      </c>
      <c r="AA408" s="29">
        <f t="shared" si="62"/>
        <v>168.57736827266615</v>
      </c>
      <c r="AB408" s="33">
        <f t="shared" si="63"/>
        <v>1253.9466036750582</v>
      </c>
      <c r="AC408" s="29">
        <v>142</v>
      </c>
      <c r="AD408" s="46">
        <f t="shared" si="64"/>
        <v>0.11324246150819131</v>
      </c>
    </row>
    <row r="409" spans="1:30" hidden="1" x14ac:dyDescent="0.2">
      <c r="A409" s="30" t="s">
        <v>8840</v>
      </c>
      <c r="B409" s="29">
        <v>3</v>
      </c>
      <c r="C409" s="29">
        <v>1</v>
      </c>
      <c r="D409" s="29">
        <v>176</v>
      </c>
      <c r="E409" s="29">
        <v>1873</v>
      </c>
      <c r="F409" s="29">
        <v>980</v>
      </c>
      <c r="G409" s="29">
        <v>867</v>
      </c>
      <c r="H409" s="29">
        <v>8569</v>
      </c>
      <c r="I409" s="29">
        <v>817</v>
      </c>
      <c r="J409" s="29">
        <v>7583565</v>
      </c>
      <c r="K409" s="29">
        <v>1890</v>
      </c>
      <c r="L409" s="29">
        <v>3771</v>
      </c>
      <c r="N409" s="34"/>
      <c r="O409" s="29">
        <f t="shared" si="54"/>
        <v>2830.5</v>
      </c>
      <c r="P409" s="32" cm="1">
        <f t="array" ref="P409">WPNFACTOR(C409)</f>
        <v>2</v>
      </c>
      <c r="Q409" s="34" cm="1">
        <f t="array" ref="Q409">HPFACTOr(C409)</f>
        <v>5</v>
      </c>
      <c r="R409" s="33">
        <f t="shared" si="55"/>
        <v>1415.25</v>
      </c>
      <c r="S409" s="34">
        <f t="shared" si="56"/>
        <v>1516713</v>
      </c>
      <c r="T409" s="33">
        <f t="shared" si="57"/>
        <v>1415.25</v>
      </c>
      <c r="U409" s="42">
        <f t="shared" si="58"/>
        <v>1516713</v>
      </c>
      <c r="V409" s="44"/>
      <c r="W409" s="29">
        <f t="shared" si="65"/>
        <v>2146528073.25</v>
      </c>
      <c r="X409" s="41">
        <f t="shared" si="59"/>
        <v>30.999357895103568</v>
      </c>
      <c r="Y409" s="33">
        <f t="shared" si="61"/>
        <v>215.24553096822601</v>
      </c>
      <c r="Z409" s="33">
        <v>0.8</v>
      </c>
      <c r="AA409" s="29">
        <f t="shared" si="62"/>
        <v>172.19642477458081</v>
      </c>
      <c r="AB409" s="33">
        <f t="shared" si="63"/>
        <v>1289.967764202579</v>
      </c>
      <c r="AC409" s="29">
        <v>148</v>
      </c>
      <c r="AD409" s="46">
        <f t="shared" si="64"/>
        <v>0.11473154919610673</v>
      </c>
    </row>
    <row r="410" spans="1:30" hidden="1" x14ac:dyDescent="0.2">
      <c r="A410" s="30" t="s">
        <v>8840</v>
      </c>
      <c r="B410" s="29">
        <v>4</v>
      </c>
      <c r="C410" s="29">
        <v>3</v>
      </c>
      <c r="D410" s="29">
        <v>178</v>
      </c>
      <c r="E410" s="29">
        <v>934</v>
      </c>
      <c r="F410" s="29">
        <v>2169</v>
      </c>
      <c r="G410" s="29">
        <v>923</v>
      </c>
      <c r="H410" s="29">
        <v>8014</v>
      </c>
      <c r="I410" s="29">
        <v>1045</v>
      </c>
      <c r="J410" s="29">
        <v>5738024</v>
      </c>
      <c r="K410" s="29">
        <v>2388</v>
      </c>
      <c r="L410" s="29">
        <v>4767</v>
      </c>
      <c r="N410" s="34"/>
      <c r="O410" s="29">
        <f t="shared" si="54"/>
        <v>3577.5</v>
      </c>
      <c r="P410" s="32" cm="1">
        <f t="array" ref="P410">WPNFACTOR(C410)</f>
        <v>2.5</v>
      </c>
      <c r="Q410" s="34" cm="1">
        <f t="array" ref="Q410">HPFACTOr(C410)</f>
        <v>4</v>
      </c>
      <c r="R410" s="33">
        <f t="shared" si="55"/>
        <v>1431</v>
      </c>
      <c r="S410" s="34">
        <f t="shared" si="56"/>
        <v>1434506</v>
      </c>
      <c r="T410" s="33">
        <f t="shared" si="57"/>
        <v>1431</v>
      </c>
      <c r="U410" s="42">
        <f t="shared" si="58"/>
        <v>1434506</v>
      </c>
      <c r="V410" s="44"/>
      <c r="W410" s="29">
        <f t="shared" si="65"/>
        <v>2052778086</v>
      </c>
      <c r="X410" s="41">
        <f t="shared" si="59"/>
        <v>30.934930528421724</v>
      </c>
      <c r="Y410" s="33">
        <f t="shared" si="61"/>
        <v>212.85580596184946</v>
      </c>
      <c r="Z410" s="33">
        <v>0.8</v>
      </c>
      <c r="AA410" s="29">
        <f t="shared" si="62"/>
        <v>170.28464476947957</v>
      </c>
      <c r="AB410" s="33">
        <f t="shared" si="63"/>
        <v>1270.9076707219315</v>
      </c>
      <c r="AC410" s="29">
        <v>161</v>
      </c>
      <c r="AD410" s="46">
        <f t="shared" si="64"/>
        <v>0.12668111437909957</v>
      </c>
    </row>
    <row r="411" spans="1:30" hidden="1" x14ac:dyDescent="0.2">
      <c r="A411" s="30" t="s">
        <v>8840</v>
      </c>
      <c r="B411" s="29">
        <v>5</v>
      </c>
      <c r="C411" s="29">
        <v>1</v>
      </c>
      <c r="D411" s="29">
        <v>180</v>
      </c>
      <c r="E411" s="29">
        <v>2140</v>
      </c>
      <c r="F411" s="29">
        <v>1010</v>
      </c>
      <c r="G411" s="29">
        <v>890</v>
      </c>
      <c r="H411" s="29">
        <v>9295</v>
      </c>
      <c r="I411" s="29">
        <v>930</v>
      </c>
      <c r="J411" s="29">
        <v>8411975</v>
      </c>
      <c r="K411" s="29">
        <v>1934</v>
      </c>
      <c r="L411" s="29">
        <v>3858</v>
      </c>
      <c r="N411" s="34"/>
      <c r="O411" s="29">
        <f t="shared" si="54"/>
        <v>2896</v>
      </c>
      <c r="P411" s="32" cm="1">
        <f t="array" ref="P411">WPNFACTOR(C411)</f>
        <v>2</v>
      </c>
      <c r="Q411" s="34" cm="1">
        <f t="array" ref="Q411">HPFACTOr(C411)</f>
        <v>5</v>
      </c>
      <c r="R411" s="33">
        <f t="shared" si="55"/>
        <v>1448</v>
      </c>
      <c r="S411" s="34">
        <f t="shared" si="56"/>
        <v>1682395</v>
      </c>
      <c r="T411" s="33">
        <f t="shared" si="57"/>
        <v>1448</v>
      </c>
      <c r="U411" s="42">
        <f t="shared" si="58"/>
        <v>1682395</v>
      </c>
      <c r="V411" s="44"/>
      <c r="W411" s="29">
        <f t="shared" si="65"/>
        <v>2436107960</v>
      </c>
      <c r="X411" s="41">
        <f t="shared" si="59"/>
        <v>31.181930923973258</v>
      </c>
      <c r="Y411" s="33">
        <f t="shared" si="61"/>
        <v>222.16422843222838</v>
      </c>
      <c r="Z411" s="33">
        <v>0.8</v>
      </c>
      <c r="AA411" s="29">
        <f t="shared" si="62"/>
        <v>177.73138274578272</v>
      </c>
      <c r="AB411" s="33">
        <f t="shared" si="63"/>
        <v>1345.5469111667335</v>
      </c>
      <c r="AC411" s="29">
        <v>161</v>
      </c>
      <c r="AD411" s="46">
        <f t="shared" si="64"/>
        <v>0.11965394789572645</v>
      </c>
    </row>
    <row r="412" spans="1:30" hidden="1" x14ac:dyDescent="0.2">
      <c r="A412" s="30" t="s">
        <v>8840</v>
      </c>
      <c r="B412" s="29">
        <v>6</v>
      </c>
      <c r="C412" s="29">
        <v>2</v>
      </c>
      <c r="D412" s="29">
        <v>182</v>
      </c>
      <c r="E412" s="29">
        <v>802</v>
      </c>
      <c r="F412" s="29">
        <v>819</v>
      </c>
      <c r="G412" s="29">
        <v>2506</v>
      </c>
      <c r="H412" s="29">
        <v>9009</v>
      </c>
      <c r="I412" s="29">
        <v>1133</v>
      </c>
      <c r="J412" s="29">
        <v>3297294</v>
      </c>
      <c r="K412" s="29">
        <v>4401</v>
      </c>
      <c r="L412" s="29">
        <v>8783</v>
      </c>
      <c r="N412" s="34"/>
      <c r="O412" s="29">
        <f t="shared" si="54"/>
        <v>6592</v>
      </c>
      <c r="P412" s="32" cm="1">
        <f t="array" ref="P412">WPNFACTOR(C412)</f>
        <v>4.5</v>
      </c>
      <c r="Q412" s="34" cm="1">
        <f t="array" ref="Q412">HPFACTOr(C412)</f>
        <v>2</v>
      </c>
      <c r="R412" s="33">
        <f t="shared" si="55"/>
        <v>1464.8888888888889</v>
      </c>
      <c r="S412" s="34">
        <f t="shared" si="56"/>
        <v>1648647</v>
      </c>
      <c r="T412" s="33">
        <f t="shared" si="57"/>
        <v>1464.8888888888889</v>
      </c>
      <c r="U412" s="42">
        <f t="shared" si="58"/>
        <v>1648647</v>
      </c>
      <c r="V412" s="44"/>
      <c r="W412" s="29">
        <f t="shared" si="65"/>
        <v>2415084672</v>
      </c>
      <c r="X412" s="41">
        <f t="shared" si="59"/>
        <v>31.169426624303256</v>
      </c>
      <c r="Y412" s="33">
        <f t="shared" si="61"/>
        <v>221.68335748468701</v>
      </c>
      <c r="Z412" s="33">
        <v>0.8</v>
      </c>
      <c r="AA412" s="29">
        <f t="shared" si="62"/>
        <v>177.34668598774962</v>
      </c>
      <c r="AB412" s="33">
        <f t="shared" si="63"/>
        <v>1341.6650927817814</v>
      </c>
      <c r="AC412" s="29">
        <v>161</v>
      </c>
      <c r="AD412" s="46">
        <f t="shared" si="64"/>
        <v>0.12000014076999338</v>
      </c>
    </row>
    <row r="413" spans="1:30" hidden="1" x14ac:dyDescent="0.2">
      <c r="A413" s="30" t="s">
        <v>8840</v>
      </c>
      <c r="B413" s="29">
        <v>7</v>
      </c>
      <c r="C413" s="29">
        <v>1</v>
      </c>
      <c r="D413" s="29">
        <v>184</v>
      </c>
      <c r="E413" s="29">
        <v>2540</v>
      </c>
      <c r="F413" s="29">
        <v>955</v>
      </c>
      <c r="G413" s="29">
        <v>863</v>
      </c>
      <c r="H413" s="29">
        <v>10120</v>
      </c>
      <c r="I413" s="29">
        <v>1004</v>
      </c>
      <c r="J413" s="29">
        <v>9361000</v>
      </c>
      <c r="K413" s="29">
        <v>1973</v>
      </c>
      <c r="L413" s="29">
        <v>3945</v>
      </c>
      <c r="N413" s="34"/>
      <c r="O413" s="29">
        <f t="shared" si="54"/>
        <v>2959</v>
      </c>
      <c r="P413" s="32" cm="1">
        <f t="array" ref="P413">WPNFACTOR(C413)</f>
        <v>2</v>
      </c>
      <c r="Q413" s="34" cm="1">
        <f t="array" ref="Q413">HPFACTOr(C413)</f>
        <v>5</v>
      </c>
      <c r="R413" s="33">
        <f t="shared" si="55"/>
        <v>1479.5</v>
      </c>
      <c r="S413" s="34">
        <f t="shared" si="56"/>
        <v>1872200</v>
      </c>
      <c r="T413" s="33">
        <f t="shared" si="57"/>
        <v>1479.5</v>
      </c>
      <c r="U413" s="42">
        <f t="shared" si="58"/>
        <v>1872200</v>
      </c>
      <c r="V413" s="44"/>
      <c r="W413" s="29">
        <f t="shared" si="65"/>
        <v>2769919900</v>
      </c>
      <c r="X413" s="41">
        <f t="shared" si="59"/>
        <v>31.367197111291908</v>
      </c>
      <c r="Y413" s="33">
        <f t="shared" si="61"/>
        <v>229.41235472582406</v>
      </c>
      <c r="Z413" s="33">
        <v>0.8</v>
      </c>
      <c r="AA413" s="29">
        <f t="shared" si="62"/>
        <v>183.52988378065925</v>
      </c>
      <c r="AB413" s="33">
        <f t="shared" si="63"/>
        <v>1404.3943388175301</v>
      </c>
      <c r="AC413" s="29">
        <v>162</v>
      </c>
      <c r="AD413" s="46">
        <f t="shared" si="64"/>
        <v>0.11535221662627929</v>
      </c>
    </row>
    <row r="414" spans="1:30" hidden="1" x14ac:dyDescent="0.2">
      <c r="A414" s="30" t="s">
        <v>8840</v>
      </c>
      <c r="B414" s="29">
        <v>8</v>
      </c>
      <c r="C414" s="29">
        <v>2</v>
      </c>
      <c r="D414" s="29">
        <v>186</v>
      </c>
      <c r="E414" s="29">
        <v>781</v>
      </c>
      <c r="F414" s="29">
        <v>806</v>
      </c>
      <c r="G414" s="29">
        <v>2852</v>
      </c>
      <c r="H414" s="29">
        <v>9510</v>
      </c>
      <c r="I414" s="29">
        <v>1196</v>
      </c>
      <c r="J414" s="29">
        <v>3556740</v>
      </c>
      <c r="K414" s="29">
        <v>4498</v>
      </c>
      <c r="L414" s="29">
        <v>8944</v>
      </c>
      <c r="N414" s="34"/>
      <c r="O414" s="29">
        <f t="shared" si="54"/>
        <v>6721</v>
      </c>
      <c r="P414" s="32" cm="1">
        <f t="array" ref="P414">WPNFACTOR(C414)</f>
        <v>4.5</v>
      </c>
      <c r="Q414" s="34" cm="1">
        <f t="array" ref="Q414">HPFACTOr(C414)</f>
        <v>2</v>
      </c>
      <c r="R414" s="33">
        <f t="shared" si="55"/>
        <v>1493.5555555555557</v>
      </c>
      <c r="S414" s="34">
        <f t="shared" si="56"/>
        <v>1778370</v>
      </c>
      <c r="T414" s="33">
        <f t="shared" si="57"/>
        <v>1493.5555555555557</v>
      </c>
      <c r="U414" s="42">
        <f t="shared" si="58"/>
        <v>1778370</v>
      </c>
      <c r="V414" s="44"/>
      <c r="W414" s="29">
        <f t="shared" si="65"/>
        <v>2656094393.3333335</v>
      </c>
      <c r="X414" s="41">
        <f t="shared" si="59"/>
        <v>31.306659272649281</v>
      </c>
      <c r="Y414" s="33">
        <f t="shared" si="61"/>
        <v>227.01830475031096</v>
      </c>
      <c r="Z414" s="33">
        <v>0.8</v>
      </c>
      <c r="AA414" s="29">
        <f t="shared" si="62"/>
        <v>181.61464380024879</v>
      </c>
      <c r="AB414" s="33">
        <f t="shared" si="63"/>
        <v>1384.8875202799456</v>
      </c>
      <c r="AC414" s="29">
        <v>162</v>
      </c>
      <c r="AD414" s="46">
        <f t="shared" si="64"/>
        <v>0.11697700905504066</v>
      </c>
    </row>
    <row r="415" spans="1:30" hidden="1" x14ac:dyDescent="0.2">
      <c r="A415" s="30" t="s">
        <v>8840</v>
      </c>
      <c r="B415" s="29">
        <v>9</v>
      </c>
      <c r="C415" s="29">
        <v>1</v>
      </c>
      <c r="D415" s="29">
        <v>188</v>
      </c>
      <c r="E415" s="29">
        <v>2885</v>
      </c>
      <c r="F415" s="29">
        <v>972</v>
      </c>
      <c r="G415" s="29">
        <v>897</v>
      </c>
      <c r="H415" s="29">
        <v>11500</v>
      </c>
      <c r="I415" s="29">
        <v>1118</v>
      </c>
      <c r="J415" s="29">
        <v>10867500</v>
      </c>
      <c r="K415" s="29">
        <v>2017</v>
      </c>
      <c r="L415" s="29">
        <v>4027</v>
      </c>
      <c r="N415" s="34"/>
      <c r="O415" s="29">
        <f t="shared" si="54"/>
        <v>3022</v>
      </c>
      <c r="P415" s="32" cm="1">
        <f t="array" ref="P415">WPNFACTOR(C415)</f>
        <v>2</v>
      </c>
      <c r="Q415" s="34" cm="1">
        <f t="array" ref="Q415">HPFACTOr(C415)</f>
        <v>5</v>
      </c>
      <c r="R415" s="33">
        <f t="shared" si="55"/>
        <v>1511</v>
      </c>
      <c r="S415" s="34">
        <f t="shared" si="56"/>
        <v>2173500</v>
      </c>
      <c r="T415" s="33">
        <f t="shared" si="57"/>
        <v>1511</v>
      </c>
      <c r="U415" s="42">
        <f t="shared" si="58"/>
        <v>2173500</v>
      </c>
      <c r="V415" s="44"/>
      <c r="W415" s="29">
        <f t="shared" si="65"/>
        <v>3284158500</v>
      </c>
      <c r="X415" s="41">
        <f t="shared" si="59"/>
        <v>31.612876610105005</v>
      </c>
      <c r="Y415" s="33">
        <f t="shared" si="61"/>
        <v>239.39001239175974</v>
      </c>
      <c r="Z415" s="33">
        <v>0.8</v>
      </c>
      <c r="AA415" s="29">
        <f t="shared" si="62"/>
        <v>191.51200991340781</v>
      </c>
      <c r="AB415" s="33">
        <f t="shared" si="63"/>
        <v>1486.4194162292895</v>
      </c>
      <c r="AC415" s="29">
        <v>171</v>
      </c>
      <c r="AD415" s="46">
        <f t="shared" si="64"/>
        <v>0.11504155431028236</v>
      </c>
    </row>
    <row r="416" spans="1:30" hidden="1" x14ac:dyDescent="0.2">
      <c r="A416" s="30" t="s">
        <v>8840</v>
      </c>
      <c r="B416" s="29">
        <v>10</v>
      </c>
      <c r="C416" s="29">
        <v>3</v>
      </c>
      <c r="D416" s="29">
        <v>190</v>
      </c>
      <c r="E416" s="29">
        <v>839</v>
      </c>
      <c r="F416" s="29">
        <v>3218</v>
      </c>
      <c r="G416" s="29">
        <v>809</v>
      </c>
      <c r="H416" s="29">
        <v>11720</v>
      </c>
      <c r="I416" s="29">
        <v>1109</v>
      </c>
      <c r="J416" s="29">
        <v>8954080</v>
      </c>
      <c r="K416" s="29">
        <v>2547</v>
      </c>
      <c r="L416" s="29">
        <v>5092</v>
      </c>
      <c r="N416" s="34"/>
      <c r="O416" s="29">
        <f t="shared" si="54"/>
        <v>3819.5</v>
      </c>
      <c r="P416" s="32" cm="1">
        <f t="array" ref="P416">WPNFACTOR(C416)</f>
        <v>2.5</v>
      </c>
      <c r="Q416" s="34" cm="1">
        <f t="array" ref="Q416">HPFACTOr(C416)</f>
        <v>4</v>
      </c>
      <c r="R416" s="33">
        <f t="shared" si="55"/>
        <v>1527.8</v>
      </c>
      <c r="S416" s="34">
        <f t="shared" si="56"/>
        <v>2238520</v>
      </c>
      <c r="T416" s="33">
        <f t="shared" si="57"/>
        <v>1527.8</v>
      </c>
      <c r="U416" s="42">
        <f t="shared" si="58"/>
        <v>2238520</v>
      </c>
      <c r="V416" s="44"/>
      <c r="W416" s="29">
        <f t="shared" si="65"/>
        <v>3420010856</v>
      </c>
      <c r="X416" s="41">
        <f t="shared" si="59"/>
        <v>31.671353758592321</v>
      </c>
      <c r="Y416" s="33">
        <f t="shared" si="61"/>
        <v>241.82815982763825</v>
      </c>
      <c r="Z416" s="33">
        <v>0.8</v>
      </c>
      <c r="AA416" s="29">
        <f t="shared" si="62"/>
        <v>193.46252786211062</v>
      </c>
      <c r="AB416" s="33">
        <f t="shared" si="63"/>
        <v>1506.6388487393604</v>
      </c>
      <c r="AC416" s="29">
        <v>190</v>
      </c>
      <c r="AD416" s="46">
        <f t="shared" si="64"/>
        <v>0.1261085230604384</v>
      </c>
    </row>
    <row r="417" spans="1:30" hidden="1" x14ac:dyDescent="0.2">
      <c r="A417" s="30" t="s">
        <v>8841</v>
      </c>
      <c r="B417" s="29">
        <v>1</v>
      </c>
      <c r="C417" s="29">
        <v>3</v>
      </c>
      <c r="D417" s="29">
        <v>192</v>
      </c>
      <c r="E417" s="29">
        <v>969</v>
      </c>
      <c r="F417" s="29">
        <v>2534</v>
      </c>
      <c r="G417" s="29">
        <v>969</v>
      </c>
      <c r="H417" s="29">
        <v>9185</v>
      </c>
      <c r="I417" s="29">
        <v>1142</v>
      </c>
      <c r="J417" s="29">
        <v>7090820</v>
      </c>
      <c r="K417" s="29">
        <v>2598</v>
      </c>
      <c r="L417" s="29">
        <v>5104</v>
      </c>
      <c r="N417" s="34"/>
      <c r="O417" s="29">
        <f t="shared" si="54"/>
        <v>3851</v>
      </c>
      <c r="P417" s="32" cm="1">
        <f t="array" ref="P417">WPNFACTOR(C417)</f>
        <v>2.5</v>
      </c>
      <c r="Q417" s="34" cm="1">
        <f t="array" ref="Q417">HPFACTOr(C417)</f>
        <v>4</v>
      </c>
      <c r="R417" s="33">
        <f t="shared" si="55"/>
        <v>1540.4</v>
      </c>
      <c r="S417" s="34">
        <f t="shared" si="56"/>
        <v>1772705</v>
      </c>
      <c r="T417" s="33">
        <f t="shared" si="57"/>
        <v>1540.4</v>
      </c>
      <c r="U417" s="42">
        <f t="shared" si="58"/>
        <v>1772705</v>
      </c>
      <c r="V417" s="44"/>
      <c r="W417" s="29">
        <f t="shared" si="65"/>
        <v>2730674782</v>
      </c>
      <c r="X417" s="41">
        <f t="shared" si="59"/>
        <v>31.346610356176416</v>
      </c>
      <c r="Y417" s="33">
        <f t="shared" si="61"/>
        <v>228.59540421762071</v>
      </c>
      <c r="Z417" s="33">
        <v>0.8</v>
      </c>
      <c r="AA417" s="29">
        <f t="shared" si="62"/>
        <v>182.87632337409659</v>
      </c>
      <c r="AB417" s="33">
        <f t="shared" si="63"/>
        <v>1397.7301282244919</v>
      </c>
      <c r="AC417" s="29">
        <v>171</v>
      </c>
      <c r="AD417" s="46">
        <f t="shared" si="64"/>
        <v>0.12234121347675164</v>
      </c>
    </row>
    <row r="418" spans="1:30" hidden="1" x14ac:dyDescent="0.2">
      <c r="A418" s="30" t="s">
        <v>8841</v>
      </c>
      <c r="B418" s="29">
        <v>2</v>
      </c>
      <c r="C418" s="29">
        <v>1</v>
      </c>
      <c r="D418" s="29">
        <v>194</v>
      </c>
      <c r="E418" s="29">
        <v>2562</v>
      </c>
      <c r="F418" s="29">
        <v>1018</v>
      </c>
      <c r="G418" s="29">
        <v>945</v>
      </c>
      <c r="H418" s="29">
        <v>10576</v>
      </c>
      <c r="I418" s="29">
        <v>1050</v>
      </c>
      <c r="J418" s="29">
        <v>10311600</v>
      </c>
      <c r="K418" s="29">
        <v>2112</v>
      </c>
      <c r="L418" s="29">
        <v>4151</v>
      </c>
      <c r="N418" s="34"/>
      <c r="O418" s="29">
        <f t="shared" si="54"/>
        <v>3131.5</v>
      </c>
      <c r="P418" s="32" cm="1">
        <f t="array" ref="P418">WPNFACTOR(C418)</f>
        <v>2</v>
      </c>
      <c r="Q418" s="34" cm="1">
        <f t="array" ref="Q418">HPFACTOr(C418)</f>
        <v>5</v>
      </c>
      <c r="R418" s="33">
        <f t="shared" si="55"/>
        <v>1565.75</v>
      </c>
      <c r="S418" s="34">
        <f t="shared" si="56"/>
        <v>2062320</v>
      </c>
      <c r="T418" s="33">
        <f t="shared" si="57"/>
        <v>1565.75</v>
      </c>
      <c r="U418" s="42">
        <f t="shared" si="58"/>
        <v>2062320</v>
      </c>
      <c r="V418" s="44"/>
      <c r="W418" s="29">
        <f t="shared" si="65"/>
        <v>3229077540</v>
      </c>
      <c r="X418" s="41">
        <f t="shared" si="59"/>
        <v>31.588474938862074</v>
      </c>
      <c r="Y418" s="33">
        <f t="shared" si="61"/>
        <v>238.37989188530742</v>
      </c>
      <c r="Z418" s="33">
        <v>0.8</v>
      </c>
      <c r="AA418" s="29">
        <f t="shared" si="62"/>
        <v>190.70391350824593</v>
      </c>
      <c r="AB418" s="33">
        <f t="shared" si="63"/>
        <v>1478.0625884847186</v>
      </c>
      <c r="AC418" s="29">
        <v>180</v>
      </c>
      <c r="AD418" s="46">
        <f t="shared" si="64"/>
        <v>0.12178104053396856</v>
      </c>
    </row>
    <row r="419" spans="1:30" hidden="1" x14ac:dyDescent="0.2">
      <c r="A419" s="30" t="s">
        <v>8841</v>
      </c>
      <c r="B419" s="29">
        <v>3</v>
      </c>
      <c r="C419" s="29">
        <v>1</v>
      </c>
      <c r="D419" s="29">
        <v>196</v>
      </c>
      <c r="E419" s="29">
        <v>2751</v>
      </c>
      <c r="F419" s="29">
        <v>966</v>
      </c>
      <c r="G419" s="29">
        <v>875</v>
      </c>
      <c r="H419" s="29">
        <v>10934</v>
      </c>
      <c r="I419" s="29">
        <v>1064</v>
      </c>
      <c r="J419" s="29">
        <v>10769990</v>
      </c>
      <c r="K419" s="29">
        <v>2110</v>
      </c>
      <c r="L419" s="29">
        <v>4200</v>
      </c>
      <c r="N419" s="34"/>
      <c r="O419" s="29">
        <f t="shared" si="54"/>
        <v>3155</v>
      </c>
      <c r="P419" s="32" cm="1">
        <f t="array" ref="P419">WPNFACTOR(C419)</f>
        <v>2</v>
      </c>
      <c r="Q419" s="34" cm="1">
        <f t="array" ref="Q419">HPFACTOr(C419)</f>
        <v>5</v>
      </c>
      <c r="R419" s="33">
        <f t="shared" si="55"/>
        <v>1577.5</v>
      </c>
      <c r="S419" s="34">
        <f t="shared" si="56"/>
        <v>2153998</v>
      </c>
      <c r="T419" s="33">
        <f t="shared" si="57"/>
        <v>1577.5</v>
      </c>
      <c r="U419" s="42">
        <f t="shared" si="58"/>
        <v>2153998</v>
      </c>
      <c r="V419" s="44"/>
      <c r="W419" s="29">
        <f t="shared" si="65"/>
        <v>3397931845</v>
      </c>
      <c r="X419" s="41">
        <f t="shared" si="59"/>
        <v>31.66200976952587</v>
      </c>
      <c r="Y419" s="33">
        <f t="shared" si="61"/>
        <v>241.43691094768079</v>
      </c>
      <c r="Z419" s="33">
        <v>0.8</v>
      </c>
      <c r="AA419" s="29">
        <f t="shared" si="62"/>
        <v>193.14952875814464</v>
      </c>
      <c r="AB419" s="33">
        <f t="shared" si="63"/>
        <v>1503.3896448059879</v>
      </c>
      <c r="AC419" s="29">
        <v>180</v>
      </c>
      <c r="AD419" s="46">
        <f t="shared" si="64"/>
        <v>0.11972943981746592</v>
      </c>
    </row>
    <row r="420" spans="1:30" hidden="1" x14ac:dyDescent="0.2">
      <c r="A420" s="30" t="s">
        <v>8841</v>
      </c>
      <c r="B420" s="29">
        <v>4</v>
      </c>
      <c r="C420" s="29">
        <v>3</v>
      </c>
      <c r="D420" s="29">
        <v>198</v>
      </c>
      <c r="E420" s="29">
        <v>832</v>
      </c>
      <c r="F420" s="29">
        <v>3226</v>
      </c>
      <c r="G420" s="29">
        <v>838</v>
      </c>
      <c r="H420" s="29">
        <v>9702</v>
      </c>
      <c r="I420" s="29">
        <v>1257</v>
      </c>
      <c r="J420" s="29">
        <v>7722792</v>
      </c>
      <c r="K420" s="29">
        <v>2653</v>
      </c>
      <c r="L420" s="29">
        <v>5305</v>
      </c>
      <c r="N420" s="34"/>
      <c r="O420" s="29">
        <f t="shared" si="54"/>
        <v>3979</v>
      </c>
      <c r="P420" s="32" cm="1">
        <f t="array" ref="P420">WPNFACTOR(C420)</f>
        <v>2.5</v>
      </c>
      <c r="Q420" s="34" cm="1">
        <f t="array" ref="Q420">HPFACTOr(C420)</f>
        <v>4</v>
      </c>
      <c r="R420" s="33">
        <f t="shared" si="55"/>
        <v>1591.6</v>
      </c>
      <c r="S420" s="34">
        <f t="shared" si="56"/>
        <v>1930698</v>
      </c>
      <c r="T420" s="33">
        <f t="shared" si="57"/>
        <v>1591.6</v>
      </c>
      <c r="U420" s="42">
        <f t="shared" si="58"/>
        <v>1930698</v>
      </c>
      <c r="V420" s="44"/>
      <c r="W420" s="29">
        <f t="shared" si="65"/>
        <v>3072898936.7999997</v>
      </c>
      <c r="X420" s="41">
        <f t="shared" si="59"/>
        <v>31.516953173544845</v>
      </c>
      <c r="Y420" s="33">
        <f t="shared" si="61"/>
        <v>235.44369740125072</v>
      </c>
      <c r="Z420" s="33">
        <v>0.8</v>
      </c>
      <c r="AA420" s="29">
        <f t="shared" si="62"/>
        <v>188.35495792100059</v>
      </c>
      <c r="AB420" s="33">
        <f t="shared" si="63"/>
        <v>1453.8382552783926</v>
      </c>
      <c r="AC420" s="29">
        <v>190</v>
      </c>
      <c r="AD420" s="46">
        <f t="shared" si="64"/>
        <v>0.13068854070263633</v>
      </c>
    </row>
    <row r="421" spans="1:30" hidden="1" x14ac:dyDescent="0.2">
      <c r="A421" s="30" t="s">
        <v>8841</v>
      </c>
      <c r="B421" s="29">
        <v>5</v>
      </c>
      <c r="C421" s="29">
        <v>1</v>
      </c>
      <c r="D421" s="29">
        <v>200</v>
      </c>
      <c r="E421" s="29">
        <v>3115</v>
      </c>
      <c r="F421" s="29">
        <v>936</v>
      </c>
      <c r="G421" s="29">
        <v>852</v>
      </c>
      <c r="H421" s="29">
        <v>11517</v>
      </c>
      <c r="I421" s="29">
        <v>1026</v>
      </c>
      <c r="J421" s="29">
        <v>11574585</v>
      </c>
      <c r="K421" s="29">
        <v>2145</v>
      </c>
      <c r="L421" s="29">
        <v>4287</v>
      </c>
      <c r="N421" s="34"/>
      <c r="O421" s="29">
        <f t="shared" si="54"/>
        <v>3216</v>
      </c>
      <c r="P421" s="32" cm="1">
        <f t="array" ref="P421">WPNFACTOR(C421)</f>
        <v>2</v>
      </c>
      <c r="Q421" s="34" cm="1">
        <f t="array" ref="Q421">HPFACTOr(C421)</f>
        <v>5</v>
      </c>
      <c r="R421" s="33">
        <f t="shared" si="55"/>
        <v>1608</v>
      </c>
      <c r="S421" s="34">
        <f t="shared" si="56"/>
        <v>2314917</v>
      </c>
      <c r="T421" s="33">
        <f t="shared" si="57"/>
        <v>1608</v>
      </c>
      <c r="U421" s="42">
        <f t="shared" si="58"/>
        <v>2314917</v>
      </c>
      <c r="V421" s="44"/>
      <c r="W421" s="29">
        <f t="shared" si="65"/>
        <v>3722386536</v>
      </c>
      <c r="X421" s="41">
        <f t="shared" si="59"/>
        <v>31.793580727925967</v>
      </c>
      <c r="Y421" s="33">
        <f t="shared" si="61"/>
        <v>247.00478535982549</v>
      </c>
      <c r="Z421" s="33">
        <v>0.8</v>
      </c>
      <c r="AA421" s="29">
        <f t="shared" si="62"/>
        <v>197.60382828786041</v>
      </c>
      <c r="AB421" s="33">
        <f t="shared" si="63"/>
        <v>1549.7934564882107</v>
      </c>
      <c r="AC421" s="29">
        <v>193</v>
      </c>
      <c r="AD421" s="46">
        <f t="shared" si="64"/>
        <v>0.12453272350067388</v>
      </c>
    </row>
    <row r="422" spans="1:30" hidden="1" x14ac:dyDescent="0.2">
      <c r="A422" s="30" t="s">
        <v>8841</v>
      </c>
      <c r="B422" s="29">
        <v>6</v>
      </c>
      <c r="C422" s="29">
        <v>2</v>
      </c>
      <c r="D422" s="29">
        <v>202</v>
      </c>
      <c r="E422" s="29">
        <v>876</v>
      </c>
      <c r="F422" s="29">
        <v>872</v>
      </c>
      <c r="G422" s="29">
        <v>3580</v>
      </c>
      <c r="H422" s="29">
        <v>10373</v>
      </c>
      <c r="I422" s="29">
        <v>1189</v>
      </c>
      <c r="J422" s="29">
        <v>4211438</v>
      </c>
      <c r="K422" s="29">
        <v>5043</v>
      </c>
      <c r="L422" s="29">
        <v>9742</v>
      </c>
      <c r="N422" s="34"/>
      <c r="O422" s="29">
        <f t="shared" si="54"/>
        <v>7392.5</v>
      </c>
      <c r="P422" s="32" cm="1">
        <f t="array" ref="P422">WPNFACTOR(C422)</f>
        <v>4.5</v>
      </c>
      <c r="Q422" s="34" cm="1">
        <f t="array" ref="Q422">HPFACTOr(C422)</f>
        <v>2</v>
      </c>
      <c r="R422" s="33">
        <f t="shared" si="55"/>
        <v>1642.7777777777778</v>
      </c>
      <c r="S422" s="34">
        <f t="shared" si="56"/>
        <v>2105719</v>
      </c>
      <c r="T422" s="33">
        <f t="shared" si="57"/>
        <v>1642.7777777777778</v>
      </c>
      <c r="U422" s="42">
        <f t="shared" si="58"/>
        <v>2105719</v>
      </c>
      <c r="V422" s="44"/>
      <c r="W422" s="29">
        <f t="shared" si="65"/>
        <v>3459228379.4444447</v>
      </c>
      <c r="X422" s="41">
        <f t="shared" si="59"/>
        <v>31.687803118062945</v>
      </c>
      <c r="Y422" s="33">
        <f t="shared" si="61"/>
        <v>242.51846392016003</v>
      </c>
      <c r="Z422" s="33">
        <v>0.8</v>
      </c>
      <c r="AA422" s="29">
        <f t="shared" si="62"/>
        <v>194.01477113612805</v>
      </c>
      <c r="AB422" s="33">
        <f t="shared" si="63"/>
        <v>1512.3758891956204</v>
      </c>
      <c r="AC422" s="29">
        <v>193</v>
      </c>
      <c r="AD422" s="46">
        <f t="shared" si="64"/>
        <v>0.12761377735441809</v>
      </c>
    </row>
    <row r="423" spans="1:30" hidden="1" x14ac:dyDescent="0.2">
      <c r="A423" s="30" t="s">
        <v>8841</v>
      </c>
      <c r="B423" s="29">
        <v>7</v>
      </c>
      <c r="C423" s="29">
        <v>1</v>
      </c>
      <c r="D423" s="29">
        <v>204</v>
      </c>
      <c r="E423" s="29">
        <v>3162</v>
      </c>
      <c r="F423" s="29">
        <v>1032</v>
      </c>
      <c r="G423" s="29">
        <v>977</v>
      </c>
      <c r="H423" s="29">
        <v>13156</v>
      </c>
      <c r="I423" s="29">
        <v>1045</v>
      </c>
      <c r="J423" s="29">
        <v>13484900</v>
      </c>
      <c r="K423" s="29">
        <v>2187</v>
      </c>
      <c r="L423" s="29">
        <v>4369</v>
      </c>
      <c r="N423" s="34"/>
      <c r="O423" s="29">
        <f t="shared" ref="O423:O486" si="66">AVERAGE(K423, L423)</f>
        <v>3278</v>
      </c>
      <c r="P423" s="32" cm="1">
        <f t="array" ref="P423">WPNFACTOR(C423)</f>
        <v>2</v>
      </c>
      <c r="Q423" s="34" cm="1">
        <f t="array" ref="Q423">HPFACTOr(C423)</f>
        <v>5</v>
      </c>
      <c r="R423" s="33">
        <f t="shared" ref="R423:R486" si="67">O423/P423</f>
        <v>1639</v>
      </c>
      <c r="S423" s="34">
        <f t="shared" ref="S423:S486" si="68">J423/Q423</f>
        <v>2696980</v>
      </c>
      <c r="T423" s="33">
        <f t="shared" ref="T423:T486" si="69">R423*(1 + (N423/400))</f>
        <v>1639</v>
      </c>
      <c r="U423" s="42">
        <f t="shared" ref="U423:U486" si="70">S423*1.6/(1 + (0.6*(1 - (M423/100))))</f>
        <v>2696980</v>
      </c>
      <c r="V423" s="44"/>
      <c r="W423" s="29">
        <f t="shared" si="65"/>
        <v>4420350220</v>
      </c>
      <c r="X423" s="41">
        <f t="shared" ref="X423:X486" si="71">LOG(W423, 2)</f>
        <v>32.041513531440309</v>
      </c>
      <c r="Y423" s="33">
        <f t="shared" si="61"/>
        <v>257.84823909700634</v>
      </c>
      <c r="Z423" s="33">
        <v>0.8</v>
      </c>
      <c r="AA423" s="29">
        <f t="shared" si="62"/>
        <v>206.27859127760507</v>
      </c>
      <c r="AB423" s="33">
        <f t="shared" si="63"/>
        <v>1641.1649243678276</v>
      </c>
      <c r="AC423" s="29">
        <v>193</v>
      </c>
      <c r="AD423" s="46">
        <f t="shared" si="64"/>
        <v>0.11759939365895423</v>
      </c>
    </row>
    <row r="424" spans="1:30" hidden="1" x14ac:dyDescent="0.2">
      <c r="A424" s="30" t="s">
        <v>8841</v>
      </c>
      <c r="B424" s="29">
        <v>8</v>
      </c>
      <c r="C424" s="29">
        <v>3</v>
      </c>
      <c r="D424" s="29">
        <v>206</v>
      </c>
      <c r="E424" s="29">
        <v>919</v>
      </c>
      <c r="F424" s="29">
        <v>3531</v>
      </c>
      <c r="G424" s="29">
        <v>882</v>
      </c>
      <c r="H424" s="29">
        <v>13756</v>
      </c>
      <c r="I424" s="29">
        <v>1269</v>
      </c>
      <c r="J424" s="29">
        <v>11389968</v>
      </c>
      <c r="K424" s="29">
        <v>2796</v>
      </c>
      <c r="L424" s="29">
        <v>5518</v>
      </c>
      <c r="N424" s="34"/>
      <c r="O424" s="29">
        <f t="shared" si="66"/>
        <v>4157</v>
      </c>
      <c r="P424" s="32" cm="1">
        <f t="array" ref="P424">WPNFACTOR(C424)</f>
        <v>2.5</v>
      </c>
      <c r="Q424" s="34" cm="1">
        <f t="array" ref="Q424">HPFACTOr(C424)</f>
        <v>4</v>
      </c>
      <c r="R424" s="33">
        <f t="shared" si="67"/>
        <v>1662.8</v>
      </c>
      <c r="S424" s="34">
        <f t="shared" si="68"/>
        <v>2847492</v>
      </c>
      <c r="T424" s="33">
        <f t="shared" si="69"/>
        <v>1662.8</v>
      </c>
      <c r="U424" s="42">
        <f t="shared" si="70"/>
        <v>2847492</v>
      </c>
      <c r="V424" s="44"/>
      <c r="W424" s="29">
        <f t="shared" si="65"/>
        <v>4734809697.5999994</v>
      </c>
      <c r="X424" s="41">
        <f t="shared" si="71"/>
        <v>32.140659295763129</v>
      </c>
      <c r="Y424" s="33">
        <f t="shared" ref="Y424:Y487" si="72">POWER(W424, 1/4)</f>
        <v>262.31651392483172</v>
      </c>
      <c r="Z424" s="33">
        <v>0.8</v>
      </c>
      <c r="AA424" s="29">
        <f t="shared" ref="AA424:AA487" si="73">Y424*Z424</f>
        <v>209.85321113986538</v>
      </c>
      <c r="AB424" s="33">
        <f t="shared" ref="AB424:AB487" si="74">POWER(W424, 1/$AB$1)</f>
        <v>1679.1938802656775</v>
      </c>
      <c r="AC424" s="29">
        <v>208</v>
      </c>
      <c r="AD424" s="46">
        <f t="shared" ref="AD424:AD487" si="75">IF(AC424 = "", ,AC424/AB424)</f>
        <v>0.12386896024602638</v>
      </c>
    </row>
    <row r="425" spans="1:30" hidden="1" x14ac:dyDescent="0.2">
      <c r="A425" s="30" t="s">
        <v>8841</v>
      </c>
      <c r="B425" s="29">
        <v>9</v>
      </c>
      <c r="C425" s="29">
        <v>3</v>
      </c>
      <c r="D425" s="29">
        <v>208</v>
      </c>
      <c r="E425" s="29">
        <v>945</v>
      </c>
      <c r="F425" s="29">
        <v>3655</v>
      </c>
      <c r="G425" s="29">
        <v>913</v>
      </c>
      <c r="H425" s="29">
        <v>15252</v>
      </c>
      <c r="I425" s="29">
        <v>1323</v>
      </c>
      <c r="J425" s="29">
        <v>12750672</v>
      </c>
      <c r="K425" s="29">
        <v>2799</v>
      </c>
      <c r="L425" s="29">
        <v>5566</v>
      </c>
      <c r="N425" s="34"/>
      <c r="O425" s="29">
        <f t="shared" si="66"/>
        <v>4182.5</v>
      </c>
      <c r="P425" s="32" cm="1">
        <f t="array" ref="P425">WPNFACTOR(C425)</f>
        <v>2.5</v>
      </c>
      <c r="Q425" s="34" cm="1">
        <f t="array" ref="Q425">HPFACTOr(C425)</f>
        <v>4</v>
      </c>
      <c r="R425" s="33">
        <f t="shared" si="67"/>
        <v>1673</v>
      </c>
      <c r="S425" s="34">
        <f t="shared" si="68"/>
        <v>3187668</v>
      </c>
      <c r="T425" s="33">
        <f t="shared" si="69"/>
        <v>1673</v>
      </c>
      <c r="U425" s="42">
        <f t="shared" si="70"/>
        <v>3187668.0000000005</v>
      </c>
      <c r="V425" s="44"/>
      <c r="W425" s="29">
        <f t="shared" si="65"/>
        <v>5332968564.000001</v>
      </c>
      <c r="X425" s="41">
        <f t="shared" si="71"/>
        <v>32.312291677845352</v>
      </c>
      <c r="Y425" s="33">
        <f t="shared" si="72"/>
        <v>270.23541012683125</v>
      </c>
      <c r="Z425" s="33">
        <v>0.8</v>
      </c>
      <c r="AA425" s="29">
        <f t="shared" si="73"/>
        <v>216.188328101465</v>
      </c>
      <c r="AB425" s="33">
        <f t="shared" si="74"/>
        <v>1747.121096644003</v>
      </c>
      <c r="AC425" s="29">
        <v>216</v>
      </c>
      <c r="AD425" s="46">
        <f t="shared" si="75"/>
        <v>0.12363195683167497</v>
      </c>
    </row>
    <row r="426" spans="1:30" hidden="1" x14ac:dyDescent="0.2">
      <c r="A426" s="30" t="s">
        <v>8841</v>
      </c>
      <c r="B426" s="29">
        <v>10</v>
      </c>
      <c r="C426" s="29">
        <v>1</v>
      </c>
      <c r="D426" s="29">
        <v>210</v>
      </c>
      <c r="E426" s="29">
        <v>3720</v>
      </c>
      <c r="F426" s="29">
        <v>1155</v>
      </c>
      <c r="G426" s="29">
        <v>1080</v>
      </c>
      <c r="H426" s="29">
        <v>15840</v>
      </c>
      <c r="I426" s="29">
        <v>1020</v>
      </c>
      <c r="J426" s="29">
        <v>16711200</v>
      </c>
      <c r="K426" s="29">
        <v>2293</v>
      </c>
      <c r="L426" s="29">
        <v>4412</v>
      </c>
      <c r="N426" s="34"/>
      <c r="O426" s="29">
        <f t="shared" si="66"/>
        <v>3352.5</v>
      </c>
      <c r="P426" s="32" cm="1">
        <f t="array" ref="P426">WPNFACTOR(C426)</f>
        <v>2</v>
      </c>
      <c r="Q426" s="34" cm="1">
        <f t="array" ref="Q426">HPFACTOr(C426)</f>
        <v>5</v>
      </c>
      <c r="R426" s="33">
        <f t="shared" si="67"/>
        <v>1676.25</v>
      </c>
      <c r="S426" s="34">
        <f t="shared" si="68"/>
        <v>3342240</v>
      </c>
      <c r="T426" s="33">
        <f t="shared" si="69"/>
        <v>1676.25</v>
      </c>
      <c r="U426" s="42">
        <f t="shared" si="70"/>
        <v>3342240</v>
      </c>
      <c r="V426" s="44"/>
      <c r="W426" s="29">
        <f t="shared" si="65"/>
        <v>5602429800</v>
      </c>
      <c r="X426" s="41">
        <f t="shared" si="71"/>
        <v>32.383405520465992</v>
      </c>
      <c r="Y426" s="33">
        <f t="shared" si="72"/>
        <v>273.58614869719105</v>
      </c>
      <c r="Z426" s="33">
        <v>0.8</v>
      </c>
      <c r="AA426" s="29">
        <f t="shared" si="73"/>
        <v>218.86891895775284</v>
      </c>
      <c r="AB426" s="33">
        <f t="shared" si="74"/>
        <v>1776.0648031503906</v>
      </c>
      <c r="AC426" s="29">
        <v>216</v>
      </c>
      <c r="AD426" s="46">
        <f t="shared" si="75"/>
        <v>0.12161718402214737</v>
      </c>
    </row>
    <row r="427" spans="1:30" hidden="1" x14ac:dyDescent="0.2">
      <c r="A427" s="30" t="s">
        <v>8842</v>
      </c>
      <c r="B427" s="29">
        <v>1</v>
      </c>
      <c r="C427" s="29">
        <v>3</v>
      </c>
      <c r="D427" s="29">
        <v>212</v>
      </c>
      <c r="E427" s="29">
        <v>1026</v>
      </c>
      <c r="F427" s="29">
        <v>3219</v>
      </c>
      <c r="G427" s="29">
        <v>1066</v>
      </c>
      <c r="H427" s="29">
        <v>10054</v>
      </c>
      <c r="I427" s="29">
        <v>1358</v>
      </c>
      <c r="J427" s="29">
        <v>8566008</v>
      </c>
      <c r="K427" s="29">
        <v>2876</v>
      </c>
      <c r="L427" s="29">
        <v>5648</v>
      </c>
      <c r="N427" s="34"/>
      <c r="O427" s="29">
        <f t="shared" si="66"/>
        <v>4262</v>
      </c>
      <c r="P427" s="32" cm="1">
        <f t="array" ref="P427">WPNFACTOR(C427)</f>
        <v>2.5</v>
      </c>
      <c r="Q427" s="34" cm="1">
        <f t="array" ref="Q427">HPFACTOr(C427)</f>
        <v>4</v>
      </c>
      <c r="R427" s="33">
        <f t="shared" si="67"/>
        <v>1704.8</v>
      </c>
      <c r="S427" s="34">
        <f t="shared" si="68"/>
        <v>2141502</v>
      </c>
      <c r="T427" s="33">
        <f t="shared" si="69"/>
        <v>1704.8</v>
      </c>
      <c r="U427" s="42">
        <f t="shared" si="70"/>
        <v>2141502</v>
      </c>
      <c r="V427" s="44"/>
      <c r="W427" s="29">
        <f t="shared" si="65"/>
        <v>3650832609.5999999</v>
      </c>
      <c r="X427" s="41">
        <f t="shared" si="71"/>
        <v>31.765578376816546</v>
      </c>
      <c r="Y427" s="33">
        <f t="shared" si="72"/>
        <v>245.80911334027383</v>
      </c>
      <c r="Z427" s="33">
        <v>0.8</v>
      </c>
      <c r="AA427" s="29">
        <f t="shared" si="73"/>
        <v>196.64729067221907</v>
      </c>
      <c r="AB427" s="33">
        <f t="shared" si="74"/>
        <v>1539.7987888012403</v>
      </c>
      <c r="AC427" s="29">
        <v>194</v>
      </c>
      <c r="AD427" s="46">
        <f t="shared" si="75"/>
        <v>0.12599048746559433</v>
      </c>
    </row>
    <row r="428" spans="1:30" hidden="1" x14ac:dyDescent="0.2">
      <c r="A428" s="30" t="s">
        <v>8842</v>
      </c>
      <c r="B428" s="29">
        <v>2</v>
      </c>
      <c r="C428" s="29">
        <v>3</v>
      </c>
      <c r="D428" s="29">
        <v>214</v>
      </c>
      <c r="E428" s="29">
        <v>838</v>
      </c>
      <c r="F428" s="29">
        <v>3578</v>
      </c>
      <c r="G428" s="29">
        <v>885</v>
      </c>
      <c r="H428" s="29">
        <v>11242</v>
      </c>
      <c r="I428" s="29">
        <v>1367</v>
      </c>
      <c r="J428" s="29">
        <v>9668120</v>
      </c>
      <c r="K428" s="29">
        <v>2874</v>
      </c>
      <c r="L428" s="29">
        <v>5717</v>
      </c>
      <c r="N428" s="34"/>
      <c r="O428" s="29">
        <f t="shared" si="66"/>
        <v>4295.5</v>
      </c>
      <c r="P428" s="32" cm="1">
        <f t="array" ref="P428">WPNFACTOR(C428)</f>
        <v>2.5</v>
      </c>
      <c r="Q428" s="34" cm="1">
        <f t="array" ref="Q428">HPFACTOr(C428)</f>
        <v>4</v>
      </c>
      <c r="R428" s="33">
        <f t="shared" si="67"/>
        <v>1718.2</v>
      </c>
      <c r="S428" s="34">
        <f t="shared" si="68"/>
        <v>2417030</v>
      </c>
      <c r="T428" s="33">
        <f t="shared" si="69"/>
        <v>1718.2</v>
      </c>
      <c r="U428" s="42">
        <f t="shared" si="70"/>
        <v>2417030</v>
      </c>
      <c r="V428" s="44"/>
      <c r="W428" s="29">
        <f t="shared" si="65"/>
        <v>4152940946</v>
      </c>
      <c r="X428" s="41">
        <f t="shared" si="71"/>
        <v>31.951486211056292</v>
      </c>
      <c r="Y428" s="33">
        <f t="shared" si="72"/>
        <v>253.85688046395347</v>
      </c>
      <c r="Z428" s="33">
        <v>0.8</v>
      </c>
      <c r="AA428" s="29">
        <f t="shared" si="73"/>
        <v>203.08550437116278</v>
      </c>
      <c r="AB428" s="33">
        <f t="shared" si="74"/>
        <v>1607.3800922373414</v>
      </c>
      <c r="AC428" s="29">
        <v>205</v>
      </c>
      <c r="AD428" s="46">
        <f t="shared" si="75"/>
        <v>0.12753672948297923</v>
      </c>
    </row>
    <row r="429" spans="1:30" hidden="1" x14ac:dyDescent="0.2">
      <c r="A429" s="30" t="s">
        <v>8842</v>
      </c>
      <c r="B429" s="29">
        <v>3</v>
      </c>
      <c r="C429" s="29">
        <v>3</v>
      </c>
      <c r="D429" s="29">
        <v>216</v>
      </c>
      <c r="E429" s="29">
        <v>1054</v>
      </c>
      <c r="F429" s="29">
        <v>3733</v>
      </c>
      <c r="G429" s="29">
        <v>1152</v>
      </c>
      <c r="H429" s="29">
        <v>11396</v>
      </c>
      <c r="I429" s="29">
        <v>1270</v>
      </c>
      <c r="J429" s="29">
        <v>9891728</v>
      </c>
      <c r="K429" s="29">
        <v>2924</v>
      </c>
      <c r="L429" s="29">
        <v>5743</v>
      </c>
      <c r="N429" s="34"/>
      <c r="O429" s="29">
        <f t="shared" si="66"/>
        <v>4333.5</v>
      </c>
      <c r="P429" s="32" cm="1">
        <f t="array" ref="P429">WPNFACTOR(C429)</f>
        <v>2.5</v>
      </c>
      <c r="Q429" s="34" cm="1">
        <f t="array" ref="Q429">HPFACTOr(C429)</f>
        <v>4</v>
      </c>
      <c r="R429" s="33">
        <f t="shared" si="67"/>
        <v>1733.4</v>
      </c>
      <c r="S429" s="34">
        <f t="shared" si="68"/>
        <v>2472932</v>
      </c>
      <c r="T429" s="33">
        <f t="shared" si="69"/>
        <v>1733.4</v>
      </c>
      <c r="U429" s="42">
        <f t="shared" si="70"/>
        <v>2472932</v>
      </c>
      <c r="V429" s="44"/>
      <c r="W429" s="29">
        <f t="shared" si="65"/>
        <v>4286580328.8000002</v>
      </c>
      <c r="X429" s="41">
        <f t="shared" si="71"/>
        <v>31.997180033166742</v>
      </c>
      <c r="Y429" s="33">
        <f t="shared" si="72"/>
        <v>255.8749328285156</v>
      </c>
      <c r="Z429" s="33">
        <v>0.8</v>
      </c>
      <c r="AA429" s="29">
        <f t="shared" si="73"/>
        <v>204.69994626281249</v>
      </c>
      <c r="AB429" s="33">
        <f t="shared" si="74"/>
        <v>1624.4399273883021</v>
      </c>
      <c r="AC429" s="29">
        <v>206</v>
      </c>
      <c r="AD429" s="46">
        <f t="shared" si="75"/>
        <v>0.12681293812520178</v>
      </c>
    </row>
    <row r="430" spans="1:30" hidden="1" x14ac:dyDescent="0.2">
      <c r="A430" s="30" t="s">
        <v>8842</v>
      </c>
      <c r="B430" s="29">
        <v>4</v>
      </c>
      <c r="C430" s="29">
        <v>1</v>
      </c>
      <c r="D430" s="29">
        <v>218</v>
      </c>
      <c r="E430" s="29">
        <v>3639</v>
      </c>
      <c r="F430" s="29">
        <v>1018</v>
      </c>
      <c r="G430" s="29">
        <v>867</v>
      </c>
      <c r="H430" s="29">
        <v>14047</v>
      </c>
      <c r="I430" s="29">
        <v>1180</v>
      </c>
      <c r="J430" s="29">
        <v>15381465</v>
      </c>
      <c r="K430" s="29">
        <v>2340</v>
      </c>
      <c r="L430" s="29">
        <v>4669</v>
      </c>
      <c r="N430" s="34"/>
      <c r="O430" s="29">
        <f t="shared" si="66"/>
        <v>3504.5</v>
      </c>
      <c r="P430" s="32" cm="1">
        <f t="array" ref="P430">WPNFACTOR(C430)</f>
        <v>2</v>
      </c>
      <c r="Q430" s="34" cm="1">
        <f t="array" ref="Q430">HPFACTOr(C430)</f>
        <v>5</v>
      </c>
      <c r="R430" s="33">
        <f t="shared" si="67"/>
        <v>1752.25</v>
      </c>
      <c r="S430" s="34">
        <f t="shared" si="68"/>
        <v>3076293</v>
      </c>
      <c r="T430" s="33">
        <f t="shared" si="69"/>
        <v>1752.25</v>
      </c>
      <c r="U430" s="42">
        <f t="shared" si="70"/>
        <v>3076292.9999999995</v>
      </c>
      <c r="V430" s="44"/>
      <c r="W430" s="29">
        <f t="shared" si="65"/>
        <v>5390434409.249999</v>
      </c>
      <c r="X430" s="41">
        <f t="shared" si="71"/>
        <v>32.327754396874369</v>
      </c>
      <c r="Y430" s="33">
        <f t="shared" si="72"/>
        <v>270.96047282492026</v>
      </c>
      <c r="Z430" s="33">
        <v>0.8</v>
      </c>
      <c r="AA430" s="29">
        <f t="shared" si="73"/>
        <v>216.76837825993621</v>
      </c>
      <c r="AB430" s="33">
        <f t="shared" si="74"/>
        <v>1753.3741063098639</v>
      </c>
      <c r="AC430" s="29">
        <v>208</v>
      </c>
      <c r="AD430" s="46">
        <f t="shared" si="75"/>
        <v>0.11862842005677557</v>
      </c>
    </row>
    <row r="431" spans="1:30" hidden="1" x14ac:dyDescent="0.2">
      <c r="A431" s="30" t="s">
        <v>8842</v>
      </c>
      <c r="B431" s="29">
        <v>5</v>
      </c>
      <c r="C431" s="29">
        <v>1</v>
      </c>
      <c r="D431" s="29">
        <v>220</v>
      </c>
      <c r="E431" s="29">
        <v>3748</v>
      </c>
      <c r="F431" s="29">
        <v>1079</v>
      </c>
      <c r="G431" s="29">
        <v>977</v>
      </c>
      <c r="H431" s="29">
        <v>14338</v>
      </c>
      <c r="I431" s="29">
        <v>1059</v>
      </c>
      <c r="J431" s="29">
        <v>15843490</v>
      </c>
      <c r="K431" s="29">
        <v>2402</v>
      </c>
      <c r="L431" s="29">
        <v>4680</v>
      </c>
      <c r="N431" s="34"/>
      <c r="O431" s="29">
        <f t="shared" si="66"/>
        <v>3541</v>
      </c>
      <c r="P431" s="32" cm="1">
        <f t="array" ref="P431">WPNFACTOR(C431)</f>
        <v>2</v>
      </c>
      <c r="Q431" s="34" cm="1">
        <f t="array" ref="Q431">HPFACTOr(C431)</f>
        <v>5</v>
      </c>
      <c r="R431" s="33">
        <f t="shared" si="67"/>
        <v>1770.5</v>
      </c>
      <c r="S431" s="34">
        <f t="shared" si="68"/>
        <v>3168698</v>
      </c>
      <c r="T431" s="33">
        <f t="shared" si="69"/>
        <v>1770.5</v>
      </c>
      <c r="U431" s="42">
        <f t="shared" si="70"/>
        <v>3168698.0000000005</v>
      </c>
      <c r="V431" s="44"/>
      <c r="W431" s="29">
        <f t="shared" si="65"/>
        <v>5610179809.000001</v>
      </c>
      <c r="X431" s="41">
        <f t="shared" si="71"/>
        <v>32.385399864641272</v>
      </c>
      <c r="Y431" s="33">
        <f t="shared" si="72"/>
        <v>273.68071463450025</v>
      </c>
      <c r="Z431" s="33">
        <v>0.8</v>
      </c>
      <c r="AA431" s="29">
        <f t="shared" si="73"/>
        <v>218.9445717076002</v>
      </c>
      <c r="AB431" s="33">
        <f t="shared" si="74"/>
        <v>1776.8833870277792</v>
      </c>
      <c r="AC431" s="29">
        <v>209</v>
      </c>
      <c r="AD431" s="46">
        <f t="shared" si="75"/>
        <v>0.11762167485261799</v>
      </c>
    </row>
    <row r="432" spans="1:30" hidden="1" x14ac:dyDescent="0.2">
      <c r="A432" s="30" t="s">
        <v>8842</v>
      </c>
      <c r="B432" s="29">
        <v>6</v>
      </c>
      <c r="C432" s="29">
        <v>3</v>
      </c>
      <c r="D432" s="29">
        <v>222</v>
      </c>
      <c r="E432" s="29">
        <v>999</v>
      </c>
      <c r="F432" s="29">
        <v>3848</v>
      </c>
      <c r="G432" s="29">
        <v>962</v>
      </c>
      <c r="H432" s="29">
        <v>15466</v>
      </c>
      <c r="I432" s="29">
        <v>1387</v>
      </c>
      <c r="J432" s="29">
        <v>13795672</v>
      </c>
      <c r="K432" s="29">
        <v>2987</v>
      </c>
      <c r="L432" s="29">
        <v>5911</v>
      </c>
      <c r="N432" s="34"/>
      <c r="O432" s="29">
        <f t="shared" si="66"/>
        <v>4449</v>
      </c>
      <c r="P432" s="32" cm="1">
        <f t="array" ref="P432">WPNFACTOR(C432)</f>
        <v>2.5</v>
      </c>
      <c r="Q432" s="34" cm="1">
        <f t="array" ref="Q432">HPFACTOr(C432)</f>
        <v>4</v>
      </c>
      <c r="R432" s="33">
        <f t="shared" si="67"/>
        <v>1779.6</v>
      </c>
      <c r="S432" s="34">
        <f t="shared" si="68"/>
        <v>3448918</v>
      </c>
      <c r="T432" s="33">
        <f t="shared" si="69"/>
        <v>1779.6</v>
      </c>
      <c r="U432" s="42">
        <f t="shared" si="70"/>
        <v>3448918.0000000005</v>
      </c>
      <c r="V432" s="44"/>
      <c r="W432" s="29">
        <f t="shared" si="65"/>
        <v>6137694472.8000002</v>
      </c>
      <c r="X432" s="41">
        <f t="shared" si="71"/>
        <v>32.515049685918562</v>
      </c>
      <c r="Y432" s="33">
        <f t="shared" si="72"/>
        <v>279.89898042939501</v>
      </c>
      <c r="Z432" s="33">
        <v>0.8</v>
      </c>
      <c r="AA432" s="29">
        <f t="shared" si="73"/>
        <v>223.91918434351601</v>
      </c>
      <c r="AB432" s="33">
        <f t="shared" si="74"/>
        <v>1830.9160087914975</v>
      </c>
      <c r="AC432" s="29">
        <v>217</v>
      </c>
      <c r="AD432" s="46">
        <f t="shared" si="75"/>
        <v>0.11851990968347675</v>
      </c>
    </row>
    <row r="433" spans="1:30" hidden="1" x14ac:dyDescent="0.2">
      <c r="A433" s="30" t="s">
        <v>8842</v>
      </c>
      <c r="B433" s="29">
        <v>7</v>
      </c>
      <c r="C433" s="29">
        <v>1</v>
      </c>
      <c r="D433" s="29">
        <v>224</v>
      </c>
      <c r="E433" s="29">
        <v>3920</v>
      </c>
      <c r="F433" s="29">
        <v>1190</v>
      </c>
      <c r="G433" s="29">
        <v>1102</v>
      </c>
      <c r="H433" s="29">
        <v>16170</v>
      </c>
      <c r="I433" s="29">
        <v>1085</v>
      </c>
      <c r="J433" s="29">
        <v>18191250</v>
      </c>
      <c r="K433" s="29">
        <v>2403</v>
      </c>
      <c r="L433" s="29">
        <v>4785</v>
      </c>
      <c r="N433" s="34"/>
      <c r="O433" s="29">
        <f t="shared" si="66"/>
        <v>3594</v>
      </c>
      <c r="P433" s="32" cm="1">
        <f t="array" ref="P433">WPNFACTOR(C433)</f>
        <v>2</v>
      </c>
      <c r="Q433" s="34" cm="1">
        <f t="array" ref="Q433">HPFACTOr(C433)</f>
        <v>5</v>
      </c>
      <c r="R433" s="33">
        <f t="shared" si="67"/>
        <v>1797</v>
      </c>
      <c r="S433" s="34">
        <f t="shared" si="68"/>
        <v>3638250</v>
      </c>
      <c r="T433" s="33">
        <f t="shared" si="69"/>
        <v>1797</v>
      </c>
      <c r="U433" s="42">
        <f t="shared" si="70"/>
        <v>3638250</v>
      </c>
      <c r="V433" s="44"/>
      <c r="W433" s="29">
        <f t="shared" si="65"/>
        <v>6537935250</v>
      </c>
      <c r="X433" s="41">
        <f t="shared" si="71"/>
        <v>32.606187943088003</v>
      </c>
      <c r="Y433" s="33">
        <f t="shared" si="72"/>
        <v>284.35453161883294</v>
      </c>
      <c r="Z433" s="33">
        <v>0.8</v>
      </c>
      <c r="AA433" s="29">
        <f t="shared" si="73"/>
        <v>227.48362529506636</v>
      </c>
      <c r="AB433" s="33">
        <f t="shared" si="74"/>
        <v>1869.8791470602803</v>
      </c>
      <c r="AC433" s="29">
        <v>217</v>
      </c>
      <c r="AD433" s="46">
        <f t="shared" si="75"/>
        <v>0.1160502807580668</v>
      </c>
    </row>
    <row r="434" spans="1:30" hidden="1" x14ac:dyDescent="0.2">
      <c r="A434" s="30" t="s">
        <v>8842</v>
      </c>
      <c r="B434" s="29">
        <v>8</v>
      </c>
      <c r="C434" s="29">
        <v>3</v>
      </c>
      <c r="D434" s="29">
        <v>226</v>
      </c>
      <c r="E434" s="29">
        <v>1040</v>
      </c>
      <c r="F434" s="29">
        <v>4044</v>
      </c>
      <c r="G434" s="29">
        <v>1011</v>
      </c>
      <c r="H434" s="29">
        <v>17660</v>
      </c>
      <c r="I434" s="29">
        <v>1471</v>
      </c>
      <c r="J434" s="29">
        <v>16035280</v>
      </c>
      <c r="K434" s="29">
        <v>3048</v>
      </c>
      <c r="L434" s="29">
        <v>6051</v>
      </c>
      <c r="N434" s="34"/>
      <c r="O434" s="29">
        <f t="shared" si="66"/>
        <v>4549.5</v>
      </c>
      <c r="P434" s="32" cm="1">
        <f t="array" ref="P434">WPNFACTOR(C434)</f>
        <v>2.5</v>
      </c>
      <c r="Q434" s="34" cm="1">
        <f t="array" ref="Q434">HPFACTOr(C434)</f>
        <v>4</v>
      </c>
      <c r="R434" s="33">
        <f t="shared" si="67"/>
        <v>1819.8</v>
      </c>
      <c r="S434" s="34">
        <f t="shared" si="68"/>
        <v>4008820</v>
      </c>
      <c r="T434" s="33">
        <f t="shared" si="69"/>
        <v>1819.8</v>
      </c>
      <c r="U434" s="42">
        <f t="shared" si="70"/>
        <v>4008820</v>
      </c>
      <c r="V434" s="44"/>
      <c r="W434" s="29">
        <f t="shared" si="65"/>
        <v>7295250636</v>
      </c>
      <c r="X434" s="41">
        <f t="shared" si="71"/>
        <v>32.764310398284714</v>
      </c>
      <c r="Y434" s="33">
        <f t="shared" si="72"/>
        <v>292.25372432280113</v>
      </c>
      <c r="Z434" s="33">
        <v>0.8</v>
      </c>
      <c r="AA434" s="29">
        <f t="shared" si="73"/>
        <v>233.80297945824091</v>
      </c>
      <c r="AB434" s="33">
        <f t="shared" si="74"/>
        <v>1939.4566299819098</v>
      </c>
      <c r="AC434" s="29">
        <v>223</v>
      </c>
      <c r="AD434" s="46">
        <f t="shared" si="75"/>
        <v>0.11498065826925968</v>
      </c>
    </row>
    <row r="435" spans="1:30" hidden="1" x14ac:dyDescent="0.2">
      <c r="A435" s="30" t="s">
        <v>8842</v>
      </c>
      <c r="B435" s="29">
        <v>9</v>
      </c>
      <c r="C435" s="29">
        <v>1</v>
      </c>
      <c r="D435" s="29">
        <v>228</v>
      </c>
      <c r="E435" s="29">
        <v>4135</v>
      </c>
      <c r="F435" s="29">
        <v>1338</v>
      </c>
      <c r="G435" s="29">
        <v>1272</v>
      </c>
      <c r="H435" s="29">
        <v>18662</v>
      </c>
      <c r="I435" s="29">
        <v>1113</v>
      </c>
      <c r="J435" s="29">
        <v>21367990</v>
      </c>
      <c r="K435" s="29">
        <v>2447</v>
      </c>
      <c r="L435" s="29">
        <v>4864</v>
      </c>
      <c r="N435" s="34"/>
      <c r="O435" s="29">
        <f t="shared" si="66"/>
        <v>3655.5</v>
      </c>
      <c r="P435" s="32" cm="1">
        <f t="array" ref="P435">WPNFACTOR(C435)</f>
        <v>2</v>
      </c>
      <c r="Q435" s="34" cm="1">
        <f t="array" ref="Q435">HPFACTOr(C435)</f>
        <v>5</v>
      </c>
      <c r="R435" s="33">
        <f t="shared" si="67"/>
        <v>1827.75</v>
      </c>
      <c r="S435" s="34">
        <f t="shared" si="68"/>
        <v>4273598</v>
      </c>
      <c r="T435" s="33">
        <f t="shared" si="69"/>
        <v>1827.75</v>
      </c>
      <c r="U435" s="42">
        <f t="shared" si="70"/>
        <v>4273598</v>
      </c>
      <c r="V435" s="44"/>
      <c r="W435" s="29">
        <f t="shared" si="65"/>
        <v>7811068744.5</v>
      </c>
      <c r="X435" s="41">
        <f t="shared" si="71"/>
        <v>32.862872811688021</v>
      </c>
      <c r="Y435" s="33">
        <f t="shared" si="72"/>
        <v>297.28816134133319</v>
      </c>
      <c r="Z435" s="33">
        <v>0.8</v>
      </c>
      <c r="AA435" s="29">
        <f t="shared" si="73"/>
        <v>237.83052907306657</v>
      </c>
      <c r="AB435" s="33">
        <f t="shared" si="74"/>
        <v>1984.1301354806214</v>
      </c>
      <c r="AC435" s="29">
        <v>223</v>
      </c>
      <c r="AD435" s="46">
        <f t="shared" si="75"/>
        <v>0.11239182149006677</v>
      </c>
    </row>
    <row r="436" spans="1:30" hidden="1" x14ac:dyDescent="0.2">
      <c r="A436" s="30" t="s">
        <v>8842</v>
      </c>
      <c r="B436" s="29">
        <v>10</v>
      </c>
      <c r="C436" s="29">
        <v>1</v>
      </c>
      <c r="D436" s="29">
        <v>230</v>
      </c>
      <c r="E436" s="29">
        <v>4191</v>
      </c>
      <c r="F436" s="29">
        <v>1367</v>
      </c>
      <c r="G436" s="29">
        <v>1303</v>
      </c>
      <c r="H436" s="29">
        <v>19112</v>
      </c>
      <c r="I436" s="29">
        <v>1124</v>
      </c>
      <c r="J436" s="29">
        <v>22074360</v>
      </c>
      <c r="K436" s="29">
        <v>2470</v>
      </c>
      <c r="L436" s="29">
        <v>4911</v>
      </c>
      <c r="N436" s="34"/>
      <c r="O436" s="29">
        <f t="shared" si="66"/>
        <v>3690.5</v>
      </c>
      <c r="P436" s="32" cm="1">
        <f t="array" ref="P436">WPNFACTOR(C436)</f>
        <v>2</v>
      </c>
      <c r="Q436" s="34" cm="1">
        <f t="array" ref="Q436">HPFACTOr(C436)</f>
        <v>5</v>
      </c>
      <c r="R436" s="33">
        <f t="shared" si="67"/>
        <v>1845.25</v>
      </c>
      <c r="S436" s="34">
        <f t="shared" si="68"/>
        <v>4414872</v>
      </c>
      <c r="T436" s="33">
        <f t="shared" si="69"/>
        <v>1845.25</v>
      </c>
      <c r="U436" s="42">
        <f t="shared" si="70"/>
        <v>4414872</v>
      </c>
      <c r="V436" s="44"/>
      <c r="W436" s="29">
        <f t="shared" si="65"/>
        <v>8146542558</v>
      </c>
      <c r="X436" s="41">
        <f t="shared" si="71"/>
        <v>32.923540754709869</v>
      </c>
      <c r="Y436" s="33">
        <f t="shared" si="72"/>
        <v>300.43002412350069</v>
      </c>
      <c r="Z436" s="33">
        <v>0.8</v>
      </c>
      <c r="AA436" s="29">
        <f t="shared" si="73"/>
        <v>240.34401929880056</v>
      </c>
      <c r="AB436" s="33">
        <f t="shared" si="74"/>
        <v>2012.1380645006936</v>
      </c>
      <c r="AC436" s="29">
        <v>223</v>
      </c>
      <c r="AD436" s="46">
        <f t="shared" si="75"/>
        <v>0.11082738502605527</v>
      </c>
    </row>
    <row r="437" spans="1:30" hidden="1" x14ac:dyDescent="0.2">
      <c r="A437" s="30" t="s">
        <v>8843</v>
      </c>
      <c r="B437" s="29">
        <v>1</v>
      </c>
      <c r="C437" s="29">
        <v>3</v>
      </c>
      <c r="D437" s="29">
        <v>232</v>
      </c>
      <c r="E437" s="29">
        <v>1026</v>
      </c>
      <c r="F437" s="29">
        <v>3926</v>
      </c>
      <c r="G437" s="29">
        <v>981</v>
      </c>
      <c r="H437" s="29">
        <v>14746</v>
      </c>
      <c r="I437" s="29">
        <v>1405</v>
      </c>
      <c r="J437" s="29">
        <v>13743272</v>
      </c>
      <c r="K437" s="29">
        <v>3135</v>
      </c>
      <c r="L437" s="29">
        <v>6199</v>
      </c>
      <c r="N437" s="34"/>
      <c r="O437" s="29">
        <f t="shared" si="66"/>
        <v>4667</v>
      </c>
      <c r="P437" s="32" cm="1">
        <f t="array" ref="P437">WPNFACTOR(C437)</f>
        <v>2.5</v>
      </c>
      <c r="Q437" s="34" cm="1">
        <f t="array" ref="Q437">HPFACTOr(C437)</f>
        <v>4</v>
      </c>
      <c r="R437" s="33">
        <f t="shared" si="67"/>
        <v>1866.8</v>
      </c>
      <c r="S437" s="34">
        <f t="shared" si="68"/>
        <v>3435818</v>
      </c>
      <c r="T437" s="33">
        <f t="shared" si="69"/>
        <v>1866.8</v>
      </c>
      <c r="U437" s="42">
        <f t="shared" si="70"/>
        <v>3435818.0000000005</v>
      </c>
      <c r="V437" s="44"/>
      <c r="W437" s="29">
        <f t="shared" si="65"/>
        <v>6413985042.4000006</v>
      </c>
      <c r="X437" s="41">
        <f t="shared" si="71"/>
        <v>32.578573843362875</v>
      </c>
      <c r="Y437" s="33">
        <f t="shared" si="72"/>
        <v>282.99710036982896</v>
      </c>
      <c r="Z437" s="33">
        <v>0.8</v>
      </c>
      <c r="AA437" s="29">
        <f t="shared" si="73"/>
        <v>226.39768029586318</v>
      </c>
      <c r="AB437" s="33">
        <f t="shared" si="74"/>
        <v>1857.9868999506243</v>
      </c>
      <c r="AC437" s="29">
        <v>217</v>
      </c>
      <c r="AD437" s="46">
        <f t="shared" si="75"/>
        <v>0.11679307319430871</v>
      </c>
    </row>
    <row r="438" spans="1:30" hidden="1" x14ac:dyDescent="0.2">
      <c r="A438" s="30" t="s">
        <v>8843</v>
      </c>
      <c r="B438" s="29">
        <v>2</v>
      </c>
      <c r="C438" s="29">
        <v>3</v>
      </c>
      <c r="D438" s="29">
        <v>234</v>
      </c>
      <c r="E438" s="29">
        <v>1048</v>
      </c>
      <c r="F438" s="29">
        <v>4034</v>
      </c>
      <c r="G438" s="29">
        <v>1008</v>
      </c>
      <c r="H438" s="29">
        <v>15972</v>
      </c>
      <c r="I438" s="29">
        <v>1452</v>
      </c>
      <c r="J438" s="29">
        <v>15013680</v>
      </c>
      <c r="K438" s="29">
        <v>3138</v>
      </c>
      <c r="L438" s="29">
        <v>6252</v>
      </c>
      <c r="N438" s="34"/>
      <c r="O438" s="29">
        <f t="shared" si="66"/>
        <v>4695</v>
      </c>
      <c r="P438" s="32" cm="1">
        <f t="array" ref="P438">WPNFACTOR(C438)</f>
        <v>2.5</v>
      </c>
      <c r="Q438" s="34" cm="1">
        <f t="array" ref="Q438">HPFACTOr(C438)</f>
        <v>4</v>
      </c>
      <c r="R438" s="33">
        <f t="shared" si="67"/>
        <v>1878</v>
      </c>
      <c r="S438" s="34">
        <f t="shared" si="68"/>
        <v>3753420</v>
      </c>
      <c r="T438" s="33">
        <f t="shared" si="69"/>
        <v>1878</v>
      </c>
      <c r="U438" s="42">
        <f t="shared" si="70"/>
        <v>3753420</v>
      </c>
      <c r="V438" s="44"/>
      <c r="W438" s="29">
        <f t="shared" si="65"/>
        <v>7048922760</v>
      </c>
      <c r="X438" s="41">
        <f t="shared" si="71"/>
        <v>32.714755650851821</v>
      </c>
      <c r="Y438" s="33">
        <f t="shared" si="72"/>
        <v>289.75483257888601</v>
      </c>
      <c r="Z438" s="33">
        <v>0.8</v>
      </c>
      <c r="AA438" s="29">
        <f t="shared" si="73"/>
        <v>231.80386606310881</v>
      </c>
      <c r="AB438" s="33">
        <f t="shared" si="74"/>
        <v>1917.3773110075103</v>
      </c>
      <c r="AC438" s="29">
        <v>222</v>
      </c>
      <c r="AD438" s="46">
        <f t="shared" si="75"/>
        <v>0.11578315792385552</v>
      </c>
    </row>
    <row r="439" spans="1:30" hidden="1" x14ac:dyDescent="0.2">
      <c r="A439" s="30" t="s">
        <v>8843</v>
      </c>
      <c r="B439" s="29">
        <v>3</v>
      </c>
      <c r="C439" s="29">
        <v>1</v>
      </c>
      <c r="D439" s="29">
        <v>236</v>
      </c>
      <c r="E439" s="29">
        <v>4110</v>
      </c>
      <c r="F439" s="29">
        <v>1237</v>
      </c>
      <c r="G439" s="29">
        <v>1141</v>
      </c>
      <c r="H439" s="29">
        <v>16748</v>
      </c>
      <c r="I439" s="29">
        <v>1141</v>
      </c>
      <c r="J439" s="29">
        <v>19846380</v>
      </c>
      <c r="K439" s="29">
        <v>2528</v>
      </c>
      <c r="L439" s="29">
        <v>5046</v>
      </c>
      <c r="N439" s="34"/>
      <c r="O439" s="29">
        <f t="shared" si="66"/>
        <v>3787</v>
      </c>
      <c r="P439" s="32" cm="1">
        <f t="array" ref="P439">WPNFACTOR(C439)</f>
        <v>2</v>
      </c>
      <c r="Q439" s="34" cm="1">
        <f t="array" ref="Q439">HPFACTOr(C439)</f>
        <v>5</v>
      </c>
      <c r="R439" s="33">
        <f t="shared" si="67"/>
        <v>1893.5</v>
      </c>
      <c r="S439" s="34">
        <f t="shared" si="68"/>
        <v>3969276</v>
      </c>
      <c r="T439" s="33">
        <f t="shared" si="69"/>
        <v>1893.5</v>
      </c>
      <c r="U439" s="42">
        <f t="shared" si="70"/>
        <v>3969276</v>
      </c>
      <c r="V439" s="44"/>
      <c r="W439" s="29">
        <f t="shared" si="65"/>
        <v>7515824106</v>
      </c>
      <c r="X439" s="41">
        <f t="shared" si="71"/>
        <v>32.807284157522979</v>
      </c>
      <c r="Y439" s="33">
        <f t="shared" si="72"/>
        <v>294.43819853723335</v>
      </c>
      <c r="Z439" s="33">
        <v>0.8</v>
      </c>
      <c r="AA439" s="29">
        <f t="shared" si="73"/>
        <v>235.5505588297867</v>
      </c>
      <c r="AB439" s="33">
        <f t="shared" si="74"/>
        <v>1958.8095042065349</v>
      </c>
      <c r="AC439" s="29">
        <v>222</v>
      </c>
      <c r="AD439" s="46">
        <f t="shared" si="75"/>
        <v>0.11333414480747411</v>
      </c>
    </row>
    <row r="440" spans="1:30" hidden="1" x14ac:dyDescent="0.2">
      <c r="A440" s="30" t="s">
        <v>8843</v>
      </c>
      <c r="B440" s="29">
        <v>4</v>
      </c>
      <c r="C440" s="29">
        <v>1</v>
      </c>
      <c r="D440" s="29">
        <v>238</v>
      </c>
      <c r="E440" s="29">
        <v>4200</v>
      </c>
      <c r="F440" s="29">
        <v>1295</v>
      </c>
      <c r="G440" s="29">
        <v>1207</v>
      </c>
      <c r="H440" s="29">
        <v>17710</v>
      </c>
      <c r="I440" s="29">
        <v>1155</v>
      </c>
      <c r="J440" s="29">
        <v>21163450</v>
      </c>
      <c r="K440" s="29">
        <v>2559</v>
      </c>
      <c r="L440" s="29">
        <v>5078</v>
      </c>
      <c r="N440" s="34"/>
      <c r="O440" s="29">
        <f t="shared" si="66"/>
        <v>3818.5</v>
      </c>
      <c r="P440" s="32" cm="1">
        <f t="array" ref="P440">WPNFACTOR(C440)</f>
        <v>2</v>
      </c>
      <c r="Q440" s="34" cm="1">
        <f t="array" ref="Q440">HPFACTOr(C440)</f>
        <v>5</v>
      </c>
      <c r="R440" s="33">
        <f t="shared" si="67"/>
        <v>1909.25</v>
      </c>
      <c r="S440" s="34">
        <f t="shared" si="68"/>
        <v>4232690</v>
      </c>
      <c r="T440" s="33">
        <f t="shared" si="69"/>
        <v>1909.25</v>
      </c>
      <c r="U440" s="42">
        <f t="shared" si="70"/>
        <v>4232690</v>
      </c>
      <c r="V440" s="44"/>
      <c r="W440" s="29">
        <f t="shared" si="65"/>
        <v>8081263382.5</v>
      </c>
      <c r="X440" s="41">
        <f t="shared" si="71"/>
        <v>32.911933708001243</v>
      </c>
      <c r="Y440" s="33">
        <f t="shared" si="72"/>
        <v>299.82636210849972</v>
      </c>
      <c r="Z440" s="33">
        <v>0.8</v>
      </c>
      <c r="AA440" s="29">
        <f t="shared" si="73"/>
        <v>239.8610896867998</v>
      </c>
      <c r="AB440" s="33">
        <f t="shared" si="74"/>
        <v>2006.7491474269755</v>
      </c>
      <c r="AC440" s="29">
        <v>222</v>
      </c>
      <c r="AD440" s="46">
        <f t="shared" si="75"/>
        <v>0.11062668210655287</v>
      </c>
    </row>
    <row r="441" spans="1:30" hidden="1" x14ac:dyDescent="0.2">
      <c r="A441" s="30" t="s">
        <v>8843</v>
      </c>
      <c r="B441" s="29">
        <v>5</v>
      </c>
      <c r="C441" s="29">
        <v>1</v>
      </c>
      <c r="D441" s="29">
        <v>240</v>
      </c>
      <c r="E441" s="29">
        <v>4281</v>
      </c>
      <c r="F441" s="29">
        <v>1345</v>
      </c>
      <c r="G441" s="29">
        <v>1264</v>
      </c>
      <c r="H441" s="29">
        <v>18546</v>
      </c>
      <c r="I441" s="29">
        <v>1167</v>
      </c>
      <c r="J441" s="29">
        <v>22347930</v>
      </c>
      <c r="K441" s="29">
        <v>2706</v>
      </c>
      <c r="L441" s="29">
        <v>5100</v>
      </c>
      <c r="N441" s="34"/>
      <c r="O441" s="29">
        <f t="shared" si="66"/>
        <v>3903</v>
      </c>
      <c r="P441" s="32" cm="1">
        <f t="array" ref="P441">WPNFACTOR(C441)</f>
        <v>2</v>
      </c>
      <c r="Q441" s="34" cm="1">
        <f t="array" ref="Q441">HPFACTOr(C441)</f>
        <v>5</v>
      </c>
      <c r="R441" s="33">
        <f t="shared" si="67"/>
        <v>1951.5</v>
      </c>
      <c r="S441" s="34">
        <f t="shared" si="68"/>
        <v>4469586</v>
      </c>
      <c r="T441" s="33">
        <f t="shared" si="69"/>
        <v>1951.5</v>
      </c>
      <c r="U441" s="42">
        <f t="shared" si="70"/>
        <v>4469586</v>
      </c>
      <c r="V441" s="44"/>
      <c r="W441" s="29">
        <f t="shared" si="65"/>
        <v>8722397079</v>
      </c>
      <c r="X441" s="41">
        <f t="shared" si="71"/>
        <v>33.022077523248292</v>
      </c>
      <c r="Y441" s="33">
        <f t="shared" si="72"/>
        <v>305.60395008140392</v>
      </c>
      <c r="Z441" s="33">
        <v>0.8</v>
      </c>
      <c r="AA441" s="29">
        <f t="shared" si="73"/>
        <v>244.48316006512314</v>
      </c>
      <c r="AB441" s="33">
        <f t="shared" si="74"/>
        <v>2058.4735195176472</v>
      </c>
      <c r="AC441" s="29">
        <v>222</v>
      </c>
      <c r="AD441" s="46">
        <f t="shared" si="75"/>
        <v>0.10784690592085938</v>
      </c>
    </row>
    <row r="442" spans="1:30" hidden="1" x14ac:dyDescent="0.2">
      <c r="A442" s="30" t="s">
        <v>8843</v>
      </c>
      <c r="B442" s="29">
        <v>6</v>
      </c>
      <c r="C442" s="29">
        <v>3</v>
      </c>
      <c r="D442" s="29">
        <v>242</v>
      </c>
      <c r="E442" s="29">
        <v>1121</v>
      </c>
      <c r="F442" s="29">
        <v>4367</v>
      </c>
      <c r="G442" s="29">
        <v>1091</v>
      </c>
      <c r="H442" s="29">
        <v>19476</v>
      </c>
      <c r="I442" s="29">
        <v>1593</v>
      </c>
      <c r="J442" s="29">
        <v>18930672</v>
      </c>
      <c r="K442" s="29">
        <v>3244</v>
      </c>
      <c r="L442" s="29">
        <v>6474</v>
      </c>
      <c r="N442" s="34"/>
      <c r="O442" s="29">
        <f t="shared" si="66"/>
        <v>4859</v>
      </c>
      <c r="P442" s="32" cm="1">
        <f t="array" ref="P442">WPNFACTOR(C442)</f>
        <v>2.5</v>
      </c>
      <c r="Q442" s="34" cm="1">
        <f t="array" ref="Q442">HPFACTOr(C442)</f>
        <v>4</v>
      </c>
      <c r="R442" s="33">
        <f t="shared" si="67"/>
        <v>1943.6</v>
      </c>
      <c r="S442" s="34">
        <f t="shared" si="68"/>
        <v>4732668</v>
      </c>
      <c r="T442" s="33">
        <f t="shared" si="69"/>
        <v>1943.6</v>
      </c>
      <c r="U442" s="42">
        <f t="shared" si="70"/>
        <v>4732668</v>
      </c>
      <c r="V442" s="44"/>
      <c r="W442" s="29">
        <f t="shared" si="65"/>
        <v>9198413524.7999992</v>
      </c>
      <c r="X442" s="41">
        <f t="shared" si="71"/>
        <v>33.098737911104834</v>
      </c>
      <c r="Y442" s="33">
        <f t="shared" si="72"/>
        <v>309.69074903204017</v>
      </c>
      <c r="Z442" s="33">
        <v>0.8</v>
      </c>
      <c r="AA442" s="29">
        <f t="shared" si="73"/>
        <v>247.75259922563214</v>
      </c>
      <c r="AB442" s="33">
        <f t="shared" si="74"/>
        <v>2095.2586549633206</v>
      </c>
      <c r="AC442" s="29">
        <v>229</v>
      </c>
      <c r="AD442" s="46">
        <f t="shared" si="75"/>
        <v>0.10929438208382385</v>
      </c>
    </row>
    <row r="443" spans="1:30" hidden="1" x14ac:dyDescent="0.2">
      <c r="A443" s="30" t="s">
        <v>8843</v>
      </c>
      <c r="B443" s="29">
        <v>7</v>
      </c>
      <c r="C443" s="29">
        <v>1</v>
      </c>
      <c r="D443" s="29">
        <v>244</v>
      </c>
      <c r="E443" s="29">
        <v>4415</v>
      </c>
      <c r="F443" s="29">
        <v>1423</v>
      </c>
      <c r="G443" s="29">
        <v>1350</v>
      </c>
      <c r="H443" s="29">
        <v>19806</v>
      </c>
      <c r="I443" s="29">
        <v>1190</v>
      </c>
      <c r="J443" s="29">
        <v>24262350</v>
      </c>
      <c r="K443" s="29">
        <v>2613</v>
      </c>
      <c r="L443" s="29">
        <v>5210</v>
      </c>
      <c r="N443" s="34"/>
      <c r="O443" s="29">
        <f t="shared" si="66"/>
        <v>3911.5</v>
      </c>
      <c r="P443" s="32" cm="1">
        <f t="array" ref="P443">WPNFACTOR(C443)</f>
        <v>2</v>
      </c>
      <c r="Q443" s="34" cm="1">
        <f t="array" ref="Q443">HPFACTOr(C443)</f>
        <v>5</v>
      </c>
      <c r="R443" s="33">
        <f t="shared" si="67"/>
        <v>1955.75</v>
      </c>
      <c r="S443" s="34">
        <f t="shared" si="68"/>
        <v>4852470</v>
      </c>
      <c r="T443" s="33">
        <f t="shared" si="69"/>
        <v>1955.75</v>
      </c>
      <c r="U443" s="42">
        <f t="shared" si="70"/>
        <v>4852470</v>
      </c>
      <c r="V443" s="44"/>
      <c r="W443" s="29">
        <f t="shared" si="65"/>
        <v>9490218202.5</v>
      </c>
      <c r="X443" s="41">
        <f t="shared" si="71"/>
        <v>33.143794112575705</v>
      </c>
      <c r="Y443" s="33">
        <f t="shared" si="72"/>
        <v>312.11816826649095</v>
      </c>
      <c r="Z443" s="33">
        <v>0.8</v>
      </c>
      <c r="AA443" s="29">
        <f t="shared" si="73"/>
        <v>249.69453461319279</v>
      </c>
      <c r="AB443" s="33">
        <f t="shared" si="74"/>
        <v>2117.1846307643928</v>
      </c>
      <c r="AC443" s="29">
        <v>229</v>
      </c>
      <c r="AD443" s="46">
        <f t="shared" si="75"/>
        <v>0.10816250820662786</v>
      </c>
    </row>
    <row r="444" spans="1:30" hidden="1" x14ac:dyDescent="0.2">
      <c r="A444" s="30" t="s">
        <v>8843</v>
      </c>
      <c r="B444" s="29">
        <v>8</v>
      </c>
      <c r="C444" s="29">
        <v>1</v>
      </c>
      <c r="D444" s="29">
        <v>246</v>
      </c>
      <c r="E444" s="29">
        <v>4510</v>
      </c>
      <c r="F444" s="29">
        <v>1486</v>
      </c>
      <c r="G444" s="29">
        <v>1422</v>
      </c>
      <c r="H444" s="29">
        <v>20856</v>
      </c>
      <c r="I444" s="29">
        <v>1204</v>
      </c>
      <c r="J444" s="29">
        <v>25757160</v>
      </c>
      <c r="K444" s="29">
        <v>2641</v>
      </c>
      <c r="L444" s="29">
        <v>5263</v>
      </c>
      <c r="N444" s="34"/>
      <c r="O444" s="29">
        <f t="shared" si="66"/>
        <v>3952</v>
      </c>
      <c r="P444" s="32" cm="1">
        <f t="array" ref="P444">WPNFACTOR(C444)</f>
        <v>2</v>
      </c>
      <c r="Q444" s="34" cm="1">
        <f t="array" ref="Q444">HPFACTOr(C444)</f>
        <v>5</v>
      </c>
      <c r="R444" s="33">
        <f t="shared" si="67"/>
        <v>1976</v>
      </c>
      <c r="S444" s="34">
        <f t="shared" si="68"/>
        <v>5151432</v>
      </c>
      <c r="T444" s="33">
        <f t="shared" si="69"/>
        <v>1976</v>
      </c>
      <c r="U444" s="42">
        <f t="shared" si="70"/>
        <v>5151432</v>
      </c>
      <c r="V444" s="44"/>
      <c r="W444" s="29">
        <f t="shared" si="65"/>
        <v>10179229632</v>
      </c>
      <c r="X444" s="41">
        <f t="shared" si="71"/>
        <v>33.244909330704914</v>
      </c>
      <c r="Y444" s="33">
        <f t="shared" si="72"/>
        <v>317.6352756516203</v>
      </c>
      <c r="Z444" s="33">
        <v>0.8</v>
      </c>
      <c r="AA444" s="29">
        <f t="shared" si="73"/>
        <v>254.10822052129626</v>
      </c>
      <c r="AB444" s="33">
        <f t="shared" si="74"/>
        <v>2167.2298340513757</v>
      </c>
      <c r="AC444" s="29">
        <v>230</v>
      </c>
      <c r="AD444" s="46">
        <f t="shared" si="75"/>
        <v>0.10612626145425594</v>
      </c>
    </row>
    <row r="445" spans="1:30" hidden="1" x14ac:dyDescent="0.2">
      <c r="A445" s="30" t="s">
        <v>8843</v>
      </c>
      <c r="B445" s="29">
        <v>9</v>
      </c>
      <c r="C445" s="29">
        <v>3</v>
      </c>
      <c r="D445" s="29">
        <v>248</v>
      </c>
      <c r="E445" s="29">
        <v>1167</v>
      </c>
      <c r="F445" s="29">
        <v>4570</v>
      </c>
      <c r="G445" s="29">
        <v>1142</v>
      </c>
      <c r="H445" s="29">
        <v>21395</v>
      </c>
      <c r="I445" s="29">
        <v>1677</v>
      </c>
      <c r="J445" s="29">
        <v>21309420</v>
      </c>
      <c r="K445" s="29">
        <v>3320</v>
      </c>
      <c r="L445" s="29">
        <v>6639</v>
      </c>
      <c r="N445" s="34"/>
      <c r="O445" s="29">
        <f t="shared" si="66"/>
        <v>4979.5</v>
      </c>
      <c r="P445" s="32" cm="1">
        <f t="array" ref="P445">WPNFACTOR(C445)</f>
        <v>2.5</v>
      </c>
      <c r="Q445" s="34" cm="1">
        <f t="array" ref="Q445">HPFACTOr(C445)</f>
        <v>4</v>
      </c>
      <c r="R445" s="33">
        <f t="shared" si="67"/>
        <v>1991.8</v>
      </c>
      <c r="S445" s="34">
        <f t="shared" si="68"/>
        <v>5327355</v>
      </c>
      <c r="T445" s="33">
        <f t="shared" si="69"/>
        <v>1991.8</v>
      </c>
      <c r="U445" s="42">
        <f t="shared" si="70"/>
        <v>5327355</v>
      </c>
      <c r="V445" s="44"/>
      <c r="W445" s="29">
        <f t="shared" si="65"/>
        <v>10611025689</v>
      </c>
      <c r="X445" s="41">
        <f t="shared" si="71"/>
        <v>33.304845066475309</v>
      </c>
      <c r="Y445" s="33">
        <f t="shared" si="72"/>
        <v>320.95144955645776</v>
      </c>
      <c r="Z445" s="33">
        <v>0.8</v>
      </c>
      <c r="AA445" s="29">
        <f t="shared" si="73"/>
        <v>256.76115964516623</v>
      </c>
      <c r="AB445" s="33">
        <f t="shared" si="74"/>
        <v>2197.4506067141251</v>
      </c>
      <c r="AC445" s="29">
        <v>234</v>
      </c>
      <c r="AD445" s="46">
        <f t="shared" si="75"/>
        <v>0.10648703515111226</v>
      </c>
    </row>
    <row r="446" spans="1:30" hidden="1" x14ac:dyDescent="0.2">
      <c r="A446" s="30" t="s">
        <v>8843</v>
      </c>
      <c r="B446" s="29">
        <v>10</v>
      </c>
      <c r="C446" s="29">
        <v>3</v>
      </c>
      <c r="D446" s="29">
        <v>250</v>
      </c>
      <c r="E446" s="29">
        <v>1181</v>
      </c>
      <c r="F446" s="29">
        <v>4636</v>
      </c>
      <c r="G446" s="29">
        <v>1159</v>
      </c>
      <c r="H446" s="29">
        <v>22000</v>
      </c>
      <c r="I446" s="29">
        <v>1704</v>
      </c>
      <c r="J446" s="29">
        <v>22088000</v>
      </c>
      <c r="K446" s="29">
        <v>3418</v>
      </c>
      <c r="L446" s="29">
        <v>6623</v>
      </c>
      <c r="N446" s="34"/>
      <c r="O446" s="29">
        <f t="shared" si="66"/>
        <v>5020.5</v>
      </c>
      <c r="P446" s="32" cm="1">
        <f t="array" ref="P446">WPNFACTOR(C446)</f>
        <v>2.5</v>
      </c>
      <c r="Q446" s="34" cm="1">
        <f t="array" ref="Q446">HPFACTOr(C446)</f>
        <v>4</v>
      </c>
      <c r="R446" s="33">
        <f t="shared" si="67"/>
        <v>2008.2</v>
      </c>
      <c r="S446" s="34">
        <f t="shared" si="68"/>
        <v>5522000</v>
      </c>
      <c r="T446" s="33">
        <f t="shared" si="69"/>
        <v>2008.2</v>
      </c>
      <c r="U446" s="42">
        <f t="shared" si="70"/>
        <v>5522000</v>
      </c>
      <c r="V446" s="44"/>
      <c r="W446" s="29">
        <f t="shared" si="65"/>
        <v>11089280400</v>
      </c>
      <c r="X446" s="41">
        <f t="shared" si="71"/>
        <v>33.368446698770477</v>
      </c>
      <c r="Y446" s="33">
        <f t="shared" si="72"/>
        <v>324.50832388392092</v>
      </c>
      <c r="Z446" s="33">
        <v>0.8</v>
      </c>
      <c r="AA446" s="29">
        <f t="shared" si="73"/>
        <v>259.60665910713675</v>
      </c>
      <c r="AB446" s="33">
        <f t="shared" si="74"/>
        <v>2229.9807890453576</v>
      </c>
      <c r="AC446" s="29">
        <v>235</v>
      </c>
      <c r="AD446" s="46">
        <f t="shared" si="75"/>
        <v>0.10538207376243909</v>
      </c>
    </row>
    <row r="447" spans="1:30" hidden="1" x14ac:dyDescent="0.2">
      <c r="A447" s="30" t="s">
        <v>8844</v>
      </c>
      <c r="B447" s="29">
        <v>1</v>
      </c>
      <c r="C447" s="29">
        <v>3</v>
      </c>
      <c r="D447" s="29">
        <v>252</v>
      </c>
      <c r="E447" s="29">
        <v>1155</v>
      </c>
      <c r="F447" s="29">
        <v>4480</v>
      </c>
      <c r="G447" s="29">
        <v>1120</v>
      </c>
      <c r="H447" s="29">
        <v>19250</v>
      </c>
      <c r="I447" s="29">
        <v>1627</v>
      </c>
      <c r="J447" s="29">
        <v>19481000</v>
      </c>
      <c r="K447" s="29">
        <v>3422</v>
      </c>
      <c r="L447" s="29">
        <v>6653</v>
      </c>
      <c r="N447" s="34"/>
      <c r="O447" s="29">
        <f t="shared" si="66"/>
        <v>5037.5</v>
      </c>
      <c r="P447" s="32" cm="1">
        <f t="array" ref="P447">WPNFACTOR(C447)</f>
        <v>2.5</v>
      </c>
      <c r="Q447" s="34" cm="1">
        <f t="array" ref="Q447">HPFACTOr(C447)</f>
        <v>4</v>
      </c>
      <c r="R447" s="33">
        <f t="shared" si="67"/>
        <v>2015</v>
      </c>
      <c r="S447" s="34">
        <f t="shared" si="68"/>
        <v>4870250</v>
      </c>
      <c r="T447" s="33">
        <f t="shared" si="69"/>
        <v>2015</v>
      </c>
      <c r="U447" s="42">
        <f t="shared" si="70"/>
        <v>4870250</v>
      </c>
      <c r="V447" s="44"/>
      <c r="W447" s="29">
        <f t="shared" si="65"/>
        <v>9813553750</v>
      </c>
      <c r="X447" s="41">
        <f t="shared" si="71"/>
        <v>33.192128523466629</v>
      </c>
      <c r="Y447" s="33">
        <f t="shared" si="72"/>
        <v>314.74335972055513</v>
      </c>
      <c r="Z447" s="33">
        <v>0.8</v>
      </c>
      <c r="AA447" s="29">
        <f t="shared" si="73"/>
        <v>251.79468777644411</v>
      </c>
      <c r="AB447" s="33">
        <f t="shared" si="74"/>
        <v>2140.9610605991588</v>
      </c>
      <c r="AC447" s="29">
        <v>230</v>
      </c>
      <c r="AD447" s="46">
        <f t="shared" si="75"/>
        <v>0.10742839009675091</v>
      </c>
    </row>
    <row r="448" spans="1:30" hidden="1" x14ac:dyDescent="0.2">
      <c r="A448" s="30" t="s">
        <v>8844</v>
      </c>
      <c r="B448" s="29">
        <v>2</v>
      </c>
      <c r="C448" s="29">
        <v>3</v>
      </c>
      <c r="D448" s="29">
        <v>254</v>
      </c>
      <c r="E448" s="29">
        <v>1172</v>
      </c>
      <c r="F448" s="29">
        <v>4558</v>
      </c>
      <c r="G448" s="29">
        <v>1139</v>
      </c>
      <c r="H448" s="29">
        <v>20058</v>
      </c>
      <c r="I448" s="29">
        <v>1660</v>
      </c>
      <c r="J448" s="29">
        <v>20459160</v>
      </c>
      <c r="K448" s="29">
        <v>3429</v>
      </c>
      <c r="L448" s="29">
        <v>6773</v>
      </c>
      <c r="N448" s="34"/>
      <c r="O448" s="29">
        <f t="shared" si="66"/>
        <v>5101</v>
      </c>
      <c r="P448" s="32" cm="1">
        <f t="array" ref="P448">WPNFACTOR(C448)</f>
        <v>2.5</v>
      </c>
      <c r="Q448" s="34" cm="1">
        <f t="array" ref="Q448">HPFACTOr(C448)</f>
        <v>4</v>
      </c>
      <c r="R448" s="33">
        <f t="shared" si="67"/>
        <v>2040.4</v>
      </c>
      <c r="S448" s="34">
        <f t="shared" si="68"/>
        <v>5114790</v>
      </c>
      <c r="T448" s="33">
        <f t="shared" si="69"/>
        <v>2040.4</v>
      </c>
      <c r="U448" s="42">
        <f t="shared" si="70"/>
        <v>5114790</v>
      </c>
      <c r="V448" s="44"/>
      <c r="W448" s="29">
        <f t="shared" si="65"/>
        <v>10436217516</v>
      </c>
      <c r="X448" s="41">
        <f t="shared" si="71"/>
        <v>33.280879867707</v>
      </c>
      <c r="Y448" s="33">
        <f t="shared" si="72"/>
        <v>319.62134929685647</v>
      </c>
      <c r="Z448" s="33">
        <v>0.8</v>
      </c>
      <c r="AA448" s="29">
        <f t="shared" si="73"/>
        <v>255.69707943748517</v>
      </c>
      <c r="AB448" s="33">
        <f t="shared" si="74"/>
        <v>2185.3166471157492</v>
      </c>
      <c r="AC448" s="29">
        <v>231</v>
      </c>
      <c r="AD448" s="46">
        <f t="shared" si="75"/>
        <v>0.10570550510603632</v>
      </c>
    </row>
    <row r="449" spans="1:30" hidden="1" x14ac:dyDescent="0.2">
      <c r="A449" s="30" t="s">
        <v>8844</v>
      </c>
      <c r="B449" s="29">
        <v>3</v>
      </c>
      <c r="C449" s="29">
        <v>3</v>
      </c>
      <c r="D449" s="29">
        <v>256</v>
      </c>
      <c r="E449" s="29">
        <v>1184</v>
      </c>
      <c r="F449" s="29">
        <v>4608</v>
      </c>
      <c r="G449" s="29">
        <v>1152</v>
      </c>
      <c r="H449" s="29">
        <v>20416</v>
      </c>
      <c r="I449" s="29">
        <v>1680</v>
      </c>
      <c r="J449" s="29">
        <v>20987648</v>
      </c>
      <c r="K449" s="29">
        <v>3476</v>
      </c>
      <c r="L449" s="29">
        <v>6810</v>
      </c>
      <c r="N449" s="34"/>
      <c r="O449" s="29">
        <f t="shared" si="66"/>
        <v>5143</v>
      </c>
      <c r="P449" s="32" cm="1">
        <f t="array" ref="P449">WPNFACTOR(C449)</f>
        <v>2.5</v>
      </c>
      <c r="Q449" s="34" cm="1">
        <f t="array" ref="Q449">HPFACTOr(C449)</f>
        <v>4</v>
      </c>
      <c r="R449" s="33">
        <f t="shared" si="67"/>
        <v>2057.1999999999998</v>
      </c>
      <c r="S449" s="34">
        <f t="shared" si="68"/>
        <v>5246912</v>
      </c>
      <c r="T449" s="33">
        <f t="shared" si="69"/>
        <v>2057.1999999999998</v>
      </c>
      <c r="U449" s="42">
        <f t="shared" si="70"/>
        <v>5246912</v>
      </c>
      <c r="V449" s="44"/>
      <c r="W449" s="29">
        <f t="shared" si="65"/>
        <v>10793947366.4</v>
      </c>
      <c r="X449" s="41">
        <f t="shared" si="71"/>
        <v>33.329503506423848</v>
      </c>
      <c r="Y449" s="33">
        <f t="shared" si="72"/>
        <v>322.32580353731436</v>
      </c>
      <c r="Z449" s="33">
        <v>0.8</v>
      </c>
      <c r="AA449" s="29">
        <f t="shared" si="73"/>
        <v>257.86064282985149</v>
      </c>
      <c r="AB449" s="33">
        <f t="shared" si="74"/>
        <v>2210.0058943762847</v>
      </c>
      <c r="AC449" s="29">
        <v>231</v>
      </c>
      <c r="AD449" s="46">
        <f t="shared" si="75"/>
        <v>0.10452460809621215</v>
      </c>
    </row>
    <row r="450" spans="1:30" hidden="1" x14ac:dyDescent="0.2">
      <c r="A450" s="30" t="s">
        <v>8844</v>
      </c>
      <c r="B450" s="29">
        <v>4</v>
      </c>
      <c r="C450" s="29">
        <v>3</v>
      </c>
      <c r="D450" s="29">
        <v>258</v>
      </c>
      <c r="E450" s="29">
        <v>1202</v>
      </c>
      <c r="F450" s="29">
        <v>4690</v>
      </c>
      <c r="G450" s="29">
        <v>1172</v>
      </c>
      <c r="H450" s="29">
        <v>21285</v>
      </c>
      <c r="I450" s="29">
        <v>1715</v>
      </c>
      <c r="J450" s="29">
        <v>22051260</v>
      </c>
      <c r="K450" s="29">
        <v>3641</v>
      </c>
      <c r="L450" s="29">
        <v>6896</v>
      </c>
      <c r="N450" s="34"/>
      <c r="O450" s="29">
        <f t="shared" si="66"/>
        <v>5268.5</v>
      </c>
      <c r="P450" s="32" cm="1">
        <f t="array" ref="P450">WPNFACTOR(C450)</f>
        <v>2.5</v>
      </c>
      <c r="Q450" s="34" cm="1">
        <f t="array" ref="Q450">HPFACTOr(C450)</f>
        <v>4</v>
      </c>
      <c r="R450" s="33">
        <f t="shared" si="67"/>
        <v>2107.4</v>
      </c>
      <c r="S450" s="34">
        <f t="shared" si="68"/>
        <v>5512815</v>
      </c>
      <c r="T450" s="33">
        <f t="shared" si="69"/>
        <v>2107.4</v>
      </c>
      <c r="U450" s="42">
        <f t="shared" si="70"/>
        <v>5512815</v>
      </c>
      <c r="V450" s="44"/>
      <c r="W450" s="29">
        <f t="shared" si="65"/>
        <v>11617706331</v>
      </c>
      <c r="X450" s="41">
        <f t="shared" si="71"/>
        <v>33.435606216280227</v>
      </c>
      <c r="Y450" s="33">
        <f t="shared" si="72"/>
        <v>328.30696668995603</v>
      </c>
      <c r="Z450" s="33">
        <v>0.8</v>
      </c>
      <c r="AA450" s="29">
        <f t="shared" si="73"/>
        <v>262.64557335196486</v>
      </c>
      <c r="AB450" s="33">
        <f t="shared" si="74"/>
        <v>2264.85358409131</v>
      </c>
      <c r="AC450" s="29">
        <v>235</v>
      </c>
      <c r="AD450" s="46">
        <f t="shared" si="75"/>
        <v>0.10375946668282542</v>
      </c>
    </row>
    <row r="451" spans="1:30" hidden="1" x14ac:dyDescent="0.2">
      <c r="A451" s="30" t="s">
        <v>8844</v>
      </c>
      <c r="B451" s="29">
        <v>5</v>
      </c>
      <c r="C451" s="29">
        <v>1</v>
      </c>
      <c r="D451" s="29">
        <v>260</v>
      </c>
      <c r="E451" s="29">
        <v>4757</v>
      </c>
      <c r="F451" s="29">
        <v>1562</v>
      </c>
      <c r="G451" s="29">
        <v>1493</v>
      </c>
      <c r="H451" s="29">
        <v>21901</v>
      </c>
      <c r="I451" s="29">
        <v>1272</v>
      </c>
      <c r="J451" s="29">
        <v>28580804</v>
      </c>
      <c r="K451" s="29">
        <v>2786</v>
      </c>
      <c r="L451" s="29">
        <v>5562</v>
      </c>
      <c r="N451" s="34"/>
      <c r="O451" s="29">
        <f t="shared" si="66"/>
        <v>4174</v>
      </c>
      <c r="P451" s="32" cm="1">
        <f t="array" ref="P451">WPNFACTOR(C451)</f>
        <v>2</v>
      </c>
      <c r="Q451" s="34" cm="1">
        <f t="array" ref="Q451">HPFACTOr(C451)</f>
        <v>5</v>
      </c>
      <c r="R451" s="33">
        <f t="shared" si="67"/>
        <v>2087</v>
      </c>
      <c r="S451" s="34">
        <f t="shared" si="68"/>
        <v>5716160.7999999998</v>
      </c>
      <c r="T451" s="33">
        <f t="shared" si="69"/>
        <v>2087</v>
      </c>
      <c r="U451" s="42">
        <f t="shared" si="70"/>
        <v>5716160.7999999989</v>
      </c>
      <c r="V451" s="44"/>
      <c r="W451" s="29">
        <f t="shared" si="65"/>
        <v>11929627589.599998</v>
      </c>
      <c r="X451" s="41">
        <f t="shared" si="71"/>
        <v>33.473829955609759</v>
      </c>
      <c r="Y451" s="33">
        <f t="shared" si="72"/>
        <v>330.48878129412606</v>
      </c>
      <c r="Z451" s="33">
        <v>0.8</v>
      </c>
      <c r="AA451" s="29">
        <f t="shared" si="73"/>
        <v>264.39102503530086</v>
      </c>
      <c r="AB451" s="33">
        <f t="shared" si="74"/>
        <v>2284.9443581009532</v>
      </c>
      <c r="AC451" s="29">
        <v>235</v>
      </c>
      <c r="AD451" s="46">
        <f t="shared" si="75"/>
        <v>0.10284714337434087</v>
      </c>
    </row>
    <row r="452" spans="1:30" hidden="1" x14ac:dyDescent="0.2">
      <c r="A452" s="30" t="s">
        <v>8844</v>
      </c>
      <c r="B452" s="29">
        <v>6</v>
      </c>
      <c r="C452" s="29">
        <v>3</v>
      </c>
      <c r="D452" s="29">
        <v>262</v>
      </c>
      <c r="E452" s="29">
        <v>1231</v>
      </c>
      <c r="F452" s="29">
        <v>4820</v>
      </c>
      <c r="G452" s="29">
        <v>1205</v>
      </c>
      <c r="H452" s="29">
        <v>22478</v>
      </c>
      <c r="I452" s="29">
        <v>1768</v>
      </c>
      <c r="J452" s="29">
        <v>23646856</v>
      </c>
      <c r="K452" s="29">
        <v>3508</v>
      </c>
      <c r="L452" s="29">
        <v>6997</v>
      </c>
      <c r="N452" s="34"/>
      <c r="O452" s="29">
        <f t="shared" si="66"/>
        <v>5252.5</v>
      </c>
      <c r="P452" s="32" cm="1">
        <f t="array" ref="P452">WPNFACTOR(C452)</f>
        <v>2.5</v>
      </c>
      <c r="Q452" s="34" cm="1">
        <f t="array" ref="Q452">HPFACTOr(C452)</f>
        <v>4</v>
      </c>
      <c r="R452" s="33">
        <f t="shared" si="67"/>
        <v>2101</v>
      </c>
      <c r="S452" s="34">
        <f t="shared" si="68"/>
        <v>5911714</v>
      </c>
      <c r="T452" s="33">
        <f t="shared" si="69"/>
        <v>2101</v>
      </c>
      <c r="U452" s="42">
        <f t="shared" si="70"/>
        <v>5911714</v>
      </c>
      <c r="V452" s="44"/>
      <c r="W452" s="29">
        <f t="shared" si="65"/>
        <v>12420511114</v>
      </c>
      <c r="X452" s="41">
        <f t="shared" si="71"/>
        <v>33.53200549171229</v>
      </c>
      <c r="Y452" s="33">
        <f t="shared" si="72"/>
        <v>333.83730591938235</v>
      </c>
      <c r="Z452" s="33">
        <v>0.8</v>
      </c>
      <c r="AA452" s="29">
        <f t="shared" si="73"/>
        <v>267.06984473550591</v>
      </c>
      <c r="AB452" s="33">
        <f t="shared" si="74"/>
        <v>2315.8645558059052</v>
      </c>
      <c r="AC452" s="29">
        <v>240</v>
      </c>
      <c r="AD452" s="46">
        <f t="shared" si="75"/>
        <v>0.10363300366522585</v>
      </c>
    </row>
    <row r="453" spans="1:30" hidden="1" x14ac:dyDescent="0.2">
      <c r="A453" s="30" t="s">
        <v>8844</v>
      </c>
      <c r="B453" s="29">
        <v>7</v>
      </c>
      <c r="C453" s="29">
        <v>1</v>
      </c>
      <c r="D453" s="29">
        <v>264</v>
      </c>
      <c r="E453" s="29">
        <v>4888</v>
      </c>
      <c r="F453" s="29">
        <v>1637</v>
      </c>
      <c r="G453" s="29">
        <v>1576</v>
      </c>
      <c r="H453" s="29">
        <v>23122</v>
      </c>
      <c r="I453" s="29">
        <v>1295</v>
      </c>
      <c r="J453" s="29">
        <v>30636650</v>
      </c>
      <c r="K453" s="29">
        <v>2874</v>
      </c>
      <c r="L453" s="29">
        <v>5627</v>
      </c>
      <c r="N453" s="34"/>
      <c r="O453" s="29">
        <f t="shared" si="66"/>
        <v>4250.5</v>
      </c>
      <c r="P453" s="32" cm="1">
        <f t="array" ref="P453">WPNFACTOR(C453)</f>
        <v>2</v>
      </c>
      <c r="Q453" s="34" cm="1">
        <f t="array" ref="Q453">HPFACTOr(C453)</f>
        <v>5</v>
      </c>
      <c r="R453" s="33">
        <f t="shared" si="67"/>
        <v>2125.25</v>
      </c>
      <c r="S453" s="34">
        <f t="shared" si="68"/>
        <v>6127330</v>
      </c>
      <c r="T453" s="33">
        <f t="shared" si="69"/>
        <v>2125.25</v>
      </c>
      <c r="U453" s="42">
        <f t="shared" si="70"/>
        <v>6127330</v>
      </c>
      <c r="V453" s="44"/>
      <c r="W453" s="29">
        <f t="shared" si="65"/>
        <v>13022108082.5</v>
      </c>
      <c r="X453" s="41">
        <f t="shared" si="71"/>
        <v>33.60024396680754</v>
      </c>
      <c r="Y453" s="33">
        <f t="shared" si="72"/>
        <v>337.80830611634747</v>
      </c>
      <c r="Z453" s="33">
        <v>0.8</v>
      </c>
      <c r="AA453" s="29">
        <f t="shared" si="73"/>
        <v>270.24664489307798</v>
      </c>
      <c r="AB453" s="33">
        <f t="shared" si="74"/>
        <v>2352.6668431305065</v>
      </c>
      <c r="AC453" s="29">
        <v>240</v>
      </c>
      <c r="AD453" s="46">
        <f t="shared" si="75"/>
        <v>0.1020118937370032</v>
      </c>
    </row>
    <row r="454" spans="1:30" hidden="1" x14ac:dyDescent="0.2">
      <c r="A454" s="30" t="s">
        <v>8844</v>
      </c>
      <c r="B454" s="29">
        <v>8</v>
      </c>
      <c r="C454" s="29">
        <v>2</v>
      </c>
      <c r="D454" s="29">
        <v>266</v>
      </c>
      <c r="E454" s="29">
        <v>1213</v>
      </c>
      <c r="F454" s="29">
        <v>1260</v>
      </c>
      <c r="G454" s="29">
        <v>5133</v>
      </c>
      <c r="H454" s="29">
        <v>22583</v>
      </c>
      <c r="I454" s="29">
        <v>1808</v>
      </c>
      <c r="J454" s="29">
        <v>12059322</v>
      </c>
      <c r="K454" s="29">
        <v>6556</v>
      </c>
      <c r="L454" s="29">
        <v>12786</v>
      </c>
      <c r="N454" s="34"/>
      <c r="O454" s="29">
        <f t="shared" si="66"/>
        <v>9671</v>
      </c>
      <c r="P454" s="32" cm="1">
        <f t="array" ref="P454">WPNFACTOR(C454)</f>
        <v>4.5</v>
      </c>
      <c r="Q454" s="34" cm="1">
        <f t="array" ref="Q454">HPFACTOr(C454)</f>
        <v>2</v>
      </c>
      <c r="R454" s="33">
        <f t="shared" si="67"/>
        <v>2149.1111111111113</v>
      </c>
      <c r="S454" s="34">
        <f t="shared" si="68"/>
        <v>6029661</v>
      </c>
      <c r="T454" s="33">
        <f t="shared" si="69"/>
        <v>2149.1111111111113</v>
      </c>
      <c r="U454" s="42">
        <f t="shared" si="70"/>
        <v>6029660.9999999991</v>
      </c>
      <c r="V454" s="44"/>
      <c r="W454" s="29">
        <f t="shared" si="65"/>
        <v>12958411451.333332</v>
      </c>
      <c r="X454" s="41">
        <f t="shared" si="71"/>
        <v>33.593169820510418</v>
      </c>
      <c r="Y454" s="33">
        <f t="shared" si="72"/>
        <v>337.39445544261127</v>
      </c>
      <c r="Z454" s="33">
        <v>0.8</v>
      </c>
      <c r="AA454" s="29">
        <f t="shared" si="73"/>
        <v>269.91556435408904</v>
      </c>
      <c r="AB454" s="33">
        <f t="shared" si="74"/>
        <v>2348.8246092093204</v>
      </c>
      <c r="AC454" s="29">
        <v>241</v>
      </c>
      <c r="AD454" s="46">
        <f t="shared" si="75"/>
        <v>0.10260451080727023</v>
      </c>
    </row>
    <row r="455" spans="1:30" hidden="1" x14ac:dyDescent="0.2">
      <c r="A455" s="30" t="s">
        <v>8844</v>
      </c>
      <c r="B455" s="29">
        <v>9</v>
      </c>
      <c r="C455" s="29">
        <v>1</v>
      </c>
      <c r="D455" s="29">
        <v>268</v>
      </c>
      <c r="E455" s="29">
        <v>5008</v>
      </c>
      <c r="F455" s="29">
        <v>1702</v>
      </c>
      <c r="G455" s="29">
        <v>1647</v>
      </c>
      <c r="H455" s="29">
        <v>24162</v>
      </c>
      <c r="I455" s="29">
        <v>1318</v>
      </c>
      <c r="J455" s="29">
        <v>32497890</v>
      </c>
      <c r="K455" s="29">
        <v>2874</v>
      </c>
      <c r="L455" s="29">
        <v>5726</v>
      </c>
      <c r="N455" s="34"/>
      <c r="O455" s="29">
        <f t="shared" si="66"/>
        <v>4300</v>
      </c>
      <c r="P455" s="32" cm="1">
        <f t="array" ref="P455">WPNFACTOR(C455)</f>
        <v>2</v>
      </c>
      <c r="Q455" s="34" cm="1">
        <f t="array" ref="Q455">HPFACTOr(C455)</f>
        <v>5</v>
      </c>
      <c r="R455" s="33">
        <f t="shared" si="67"/>
        <v>2150</v>
      </c>
      <c r="S455" s="34">
        <f t="shared" si="68"/>
        <v>6499578</v>
      </c>
      <c r="T455" s="33">
        <f t="shared" si="69"/>
        <v>2150</v>
      </c>
      <c r="U455" s="42">
        <f t="shared" si="70"/>
        <v>6499578</v>
      </c>
      <c r="V455" s="44"/>
      <c r="W455" s="29">
        <f t="shared" si="65"/>
        <v>13974092700</v>
      </c>
      <c r="X455" s="41">
        <f t="shared" si="71"/>
        <v>33.70203556470036</v>
      </c>
      <c r="Y455" s="33">
        <f t="shared" si="72"/>
        <v>343.81981711786426</v>
      </c>
      <c r="Z455" s="33">
        <v>0.8</v>
      </c>
      <c r="AA455" s="29">
        <f t="shared" si="73"/>
        <v>275.05585369429144</v>
      </c>
      <c r="AB455" s="33">
        <f t="shared" si="74"/>
        <v>2408.6546728890976</v>
      </c>
      <c r="AC455" s="29">
        <v>241</v>
      </c>
      <c r="AD455" s="46">
        <f t="shared" si="75"/>
        <v>0.10005585388084248</v>
      </c>
    </row>
    <row r="456" spans="1:30" hidden="1" x14ac:dyDescent="0.2">
      <c r="A456" s="30" t="s">
        <v>8844</v>
      </c>
      <c r="B456" s="29">
        <v>10</v>
      </c>
      <c r="C456" s="29">
        <v>3</v>
      </c>
      <c r="D456" s="29">
        <v>270</v>
      </c>
      <c r="E456" s="29">
        <v>1287</v>
      </c>
      <c r="F456" s="29">
        <v>5067</v>
      </c>
      <c r="G456" s="29">
        <v>1266</v>
      </c>
      <c r="H456" s="29">
        <v>24673</v>
      </c>
      <c r="I456" s="29">
        <v>1869</v>
      </c>
      <c r="J456" s="29">
        <v>26745532</v>
      </c>
      <c r="K456" s="29">
        <v>3619</v>
      </c>
      <c r="L456" s="29">
        <v>7224</v>
      </c>
      <c r="N456" s="34"/>
      <c r="O456" s="29">
        <f t="shared" si="66"/>
        <v>5421.5</v>
      </c>
      <c r="P456" s="32" cm="1">
        <f t="array" ref="P456">WPNFACTOR(C456)</f>
        <v>2.5</v>
      </c>
      <c r="Q456" s="34" cm="1">
        <f t="array" ref="Q456">HPFACTOr(C456)</f>
        <v>4</v>
      </c>
      <c r="R456" s="33">
        <f t="shared" si="67"/>
        <v>2168.6</v>
      </c>
      <c r="S456" s="34">
        <f t="shared" si="68"/>
        <v>6686383</v>
      </c>
      <c r="T456" s="33">
        <f t="shared" si="69"/>
        <v>2168.6</v>
      </c>
      <c r="U456" s="42">
        <f t="shared" si="70"/>
        <v>6686383</v>
      </c>
      <c r="V456" s="44"/>
      <c r="W456" s="29">
        <f t="shared" si="65"/>
        <v>14500090173.799999</v>
      </c>
      <c r="X456" s="41">
        <f t="shared" si="71"/>
        <v>33.755342821037253</v>
      </c>
      <c r="Y456" s="33">
        <f t="shared" si="72"/>
        <v>347.01054769799913</v>
      </c>
      <c r="Z456" s="33">
        <v>0.8</v>
      </c>
      <c r="AA456" s="29">
        <f t="shared" si="73"/>
        <v>277.60843815839934</v>
      </c>
      <c r="AB456" s="33">
        <f t="shared" si="74"/>
        <v>2438.5045354403014</v>
      </c>
      <c r="AC456" s="29">
        <v>245</v>
      </c>
      <c r="AD456" s="46">
        <f t="shared" si="75"/>
        <v>0.10047141452446071</v>
      </c>
    </row>
    <row r="457" spans="1:30" hidden="1" x14ac:dyDescent="0.2">
      <c r="A457" s="30" t="s">
        <v>8845</v>
      </c>
      <c r="B457" s="29">
        <v>1</v>
      </c>
      <c r="C457" s="29">
        <v>1</v>
      </c>
      <c r="D457" s="29">
        <v>272</v>
      </c>
      <c r="E457" s="29">
        <v>4966</v>
      </c>
      <c r="F457" s="29">
        <v>1626</v>
      </c>
      <c r="G457" s="29">
        <v>1552</v>
      </c>
      <c r="H457" s="29">
        <v>22764</v>
      </c>
      <c r="I457" s="29">
        <v>1330</v>
      </c>
      <c r="J457" s="29">
        <v>31072860</v>
      </c>
      <c r="K457" s="29">
        <v>3013</v>
      </c>
      <c r="L457" s="29">
        <v>5695</v>
      </c>
      <c r="N457" s="34"/>
      <c r="O457" s="29">
        <f t="shared" si="66"/>
        <v>4354</v>
      </c>
      <c r="P457" s="32" cm="1">
        <f t="array" ref="P457">WPNFACTOR(C457)</f>
        <v>2</v>
      </c>
      <c r="Q457" s="34" cm="1">
        <f t="array" ref="Q457">HPFACTOr(C457)</f>
        <v>5</v>
      </c>
      <c r="R457" s="33">
        <f t="shared" si="67"/>
        <v>2177</v>
      </c>
      <c r="S457" s="34">
        <f t="shared" si="68"/>
        <v>6214572</v>
      </c>
      <c r="T457" s="33">
        <f t="shared" si="69"/>
        <v>2177</v>
      </c>
      <c r="U457" s="42">
        <f t="shared" si="70"/>
        <v>6214572</v>
      </c>
      <c r="V457" s="44"/>
      <c r="W457" s="29">
        <f t="shared" si="65"/>
        <v>13529123244</v>
      </c>
      <c r="X457" s="41">
        <f t="shared" si="71"/>
        <v>33.655349297240697</v>
      </c>
      <c r="Y457" s="33">
        <f t="shared" si="72"/>
        <v>341.04949692941955</v>
      </c>
      <c r="Z457" s="33">
        <v>0.8</v>
      </c>
      <c r="AA457" s="29">
        <f t="shared" si="73"/>
        <v>272.83959754353566</v>
      </c>
      <c r="AB457" s="33">
        <f t="shared" si="74"/>
        <v>2382.8125803267767</v>
      </c>
      <c r="AC457" s="29">
        <v>242</v>
      </c>
      <c r="AD457" s="46">
        <f t="shared" si="75"/>
        <v>0.10156065231400295</v>
      </c>
    </row>
    <row r="458" spans="1:30" hidden="1" x14ac:dyDescent="0.2">
      <c r="A458" s="30" t="s">
        <v>8845</v>
      </c>
      <c r="B458" s="29">
        <v>2</v>
      </c>
      <c r="C458" s="29">
        <v>3</v>
      </c>
      <c r="D458" s="29">
        <v>274</v>
      </c>
      <c r="E458" s="29">
        <v>1286</v>
      </c>
      <c r="F458" s="29">
        <v>5032</v>
      </c>
      <c r="G458" s="29">
        <v>1258</v>
      </c>
      <c r="H458" s="29">
        <v>23370</v>
      </c>
      <c r="I458" s="29">
        <v>1845</v>
      </c>
      <c r="J458" s="29">
        <v>25707000</v>
      </c>
      <c r="K458" s="29">
        <v>3681</v>
      </c>
      <c r="L458" s="29">
        <v>7276</v>
      </c>
      <c r="N458" s="34"/>
      <c r="O458" s="29">
        <f t="shared" si="66"/>
        <v>5478.5</v>
      </c>
      <c r="P458" s="32" cm="1">
        <f t="array" ref="P458">WPNFACTOR(C458)</f>
        <v>2.5</v>
      </c>
      <c r="Q458" s="34" cm="1">
        <f t="array" ref="Q458">HPFACTOr(C458)</f>
        <v>4</v>
      </c>
      <c r="R458" s="33">
        <f t="shared" si="67"/>
        <v>2191.4</v>
      </c>
      <c r="S458" s="34">
        <f t="shared" si="68"/>
        <v>6426750</v>
      </c>
      <c r="T458" s="33">
        <f t="shared" si="69"/>
        <v>2191.4</v>
      </c>
      <c r="U458" s="42">
        <f t="shared" si="70"/>
        <v>6426750</v>
      </c>
      <c r="V458" s="44"/>
      <c r="W458" s="29">
        <f t="shared" si="65"/>
        <v>14083579950</v>
      </c>
      <c r="X458" s="41">
        <f t="shared" si="71"/>
        <v>33.713295052708958</v>
      </c>
      <c r="Y458" s="33">
        <f t="shared" si="72"/>
        <v>344.49130590773569</v>
      </c>
      <c r="Z458" s="33">
        <v>0.8</v>
      </c>
      <c r="AA458" s="29">
        <f t="shared" si="73"/>
        <v>275.59304472618857</v>
      </c>
      <c r="AB458" s="33">
        <f t="shared" si="74"/>
        <v>2414.92893154887</v>
      </c>
      <c r="AC458" s="29">
        <v>243</v>
      </c>
      <c r="AD458" s="46">
        <f t="shared" si="75"/>
        <v>0.10062407917078801</v>
      </c>
    </row>
    <row r="459" spans="1:30" hidden="1" x14ac:dyDescent="0.2">
      <c r="A459" s="30" t="s">
        <v>8845</v>
      </c>
      <c r="B459" s="29">
        <v>3</v>
      </c>
      <c r="C459" s="29">
        <v>2</v>
      </c>
      <c r="D459" s="29">
        <v>276</v>
      </c>
      <c r="E459" s="29">
        <v>1247</v>
      </c>
      <c r="F459" s="29">
        <v>1300</v>
      </c>
      <c r="G459" s="29">
        <v>5307</v>
      </c>
      <c r="H459" s="29">
        <v>22770</v>
      </c>
      <c r="I459" s="29">
        <v>1857</v>
      </c>
      <c r="J459" s="29">
        <v>12614580</v>
      </c>
      <c r="K459" s="29">
        <v>6792</v>
      </c>
      <c r="L459" s="29">
        <v>13218</v>
      </c>
      <c r="N459" s="34"/>
      <c r="O459" s="29">
        <f t="shared" si="66"/>
        <v>10005</v>
      </c>
      <c r="P459" s="32" cm="1">
        <f t="array" ref="P459">WPNFACTOR(C459)</f>
        <v>4.5</v>
      </c>
      <c r="Q459" s="34" cm="1">
        <f t="array" ref="Q459">HPFACTOr(C459)</f>
        <v>2</v>
      </c>
      <c r="R459" s="33">
        <f t="shared" si="67"/>
        <v>2223.3333333333335</v>
      </c>
      <c r="S459" s="34">
        <f t="shared" si="68"/>
        <v>6307290</v>
      </c>
      <c r="T459" s="33">
        <f t="shared" si="69"/>
        <v>2223.3333333333335</v>
      </c>
      <c r="U459" s="42">
        <f t="shared" si="70"/>
        <v>6307290</v>
      </c>
      <c r="V459" s="44"/>
      <c r="W459" s="29">
        <f t="shared" si="65"/>
        <v>14023208100.000002</v>
      </c>
      <c r="X459" s="41">
        <f t="shared" si="71"/>
        <v>33.707097382423967</v>
      </c>
      <c r="Y459" s="33">
        <f t="shared" si="72"/>
        <v>344.12152965758605</v>
      </c>
      <c r="Z459" s="33">
        <v>0.8</v>
      </c>
      <c r="AA459" s="29">
        <f t="shared" si="73"/>
        <v>275.29722372606886</v>
      </c>
      <c r="AB459" s="33">
        <f t="shared" si="74"/>
        <v>2411.4733104370571</v>
      </c>
      <c r="AC459" s="29">
        <v>243</v>
      </c>
      <c r="AD459" s="46">
        <f t="shared" si="75"/>
        <v>0.10076827263576826</v>
      </c>
    </row>
    <row r="460" spans="1:30" hidden="1" x14ac:dyDescent="0.2">
      <c r="A460" s="30" t="s">
        <v>8845</v>
      </c>
      <c r="B460" s="29">
        <v>4</v>
      </c>
      <c r="C460" s="29">
        <v>3</v>
      </c>
      <c r="D460" s="29">
        <v>278</v>
      </c>
      <c r="E460" s="29">
        <v>1311</v>
      </c>
      <c r="F460" s="29">
        <v>5140</v>
      </c>
      <c r="G460" s="29">
        <v>1285</v>
      </c>
      <c r="H460" s="29">
        <v>24233</v>
      </c>
      <c r="I460" s="29">
        <v>1888</v>
      </c>
      <c r="J460" s="29">
        <v>27044028</v>
      </c>
      <c r="K460" s="29">
        <v>3740</v>
      </c>
      <c r="L460" s="29">
        <v>7390</v>
      </c>
      <c r="N460" s="34"/>
      <c r="O460" s="29">
        <f t="shared" si="66"/>
        <v>5565</v>
      </c>
      <c r="P460" s="32" cm="1">
        <f t="array" ref="P460">WPNFACTOR(C460)</f>
        <v>2.5</v>
      </c>
      <c r="Q460" s="34" cm="1">
        <f t="array" ref="Q460">HPFACTOr(C460)</f>
        <v>4</v>
      </c>
      <c r="R460" s="33">
        <f t="shared" si="67"/>
        <v>2226</v>
      </c>
      <c r="S460" s="34">
        <f t="shared" si="68"/>
        <v>6761007</v>
      </c>
      <c r="T460" s="33">
        <f t="shared" si="69"/>
        <v>2226</v>
      </c>
      <c r="U460" s="42">
        <f t="shared" si="70"/>
        <v>6761007</v>
      </c>
      <c r="V460" s="44"/>
      <c r="W460" s="29">
        <f t="shared" si="65"/>
        <v>15050001582</v>
      </c>
      <c r="X460" s="41">
        <f t="shared" si="71"/>
        <v>33.809044587509327</v>
      </c>
      <c r="Y460" s="33">
        <f t="shared" si="72"/>
        <v>350.2548328169126</v>
      </c>
      <c r="Z460" s="33">
        <v>0.8</v>
      </c>
      <c r="AA460" s="29">
        <f t="shared" si="73"/>
        <v>280.20386625353007</v>
      </c>
      <c r="AB460" s="33">
        <f t="shared" si="74"/>
        <v>2468.9493573971117</v>
      </c>
      <c r="AC460" s="29">
        <v>245</v>
      </c>
      <c r="AD460" s="46">
        <f t="shared" si="75"/>
        <v>9.923249307077367E-2</v>
      </c>
    </row>
    <row r="461" spans="1:30" hidden="1" x14ac:dyDescent="0.2">
      <c r="A461" s="30" t="s">
        <v>8845</v>
      </c>
      <c r="B461" s="29">
        <v>5</v>
      </c>
      <c r="C461" s="29">
        <v>3</v>
      </c>
      <c r="D461" s="29">
        <v>280</v>
      </c>
      <c r="E461" s="29">
        <v>1328</v>
      </c>
      <c r="F461" s="29">
        <v>5220</v>
      </c>
      <c r="G461" s="29">
        <v>1305</v>
      </c>
      <c r="H461" s="29">
        <v>25052</v>
      </c>
      <c r="I461" s="29">
        <v>1922</v>
      </c>
      <c r="J461" s="29">
        <v>28158448</v>
      </c>
      <c r="K461" s="29">
        <v>3747</v>
      </c>
      <c r="L461" s="29">
        <v>7490</v>
      </c>
      <c r="N461" s="34"/>
      <c r="O461" s="29">
        <f t="shared" si="66"/>
        <v>5618.5</v>
      </c>
      <c r="P461" s="32" cm="1">
        <f t="array" ref="P461">WPNFACTOR(C461)</f>
        <v>2.5</v>
      </c>
      <c r="Q461" s="34" cm="1">
        <f t="array" ref="Q461">HPFACTOr(C461)</f>
        <v>4</v>
      </c>
      <c r="R461" s="33">
        <f t="shared" si="67"/>
        <v>2247.4</v>
      </c>
      <c r="S461" s="34">
        <f t="shared" si="68"/>
        <v>7039612</v>
      </c>
      <c r="T461" s="33">
        <f t="shared" si="69"/>
        <v>2247.4</v>
      </c>
      <c r="U461" s="42">
        <f t="shared" si="70"/>
        <v>7039612</v>
      </c>
      <c r="V461" s="44"/>
      <c r="W461" s="29">
        <f t="shared" si="65"/>
        <v>15820824008.800001</v>
      </c>
      <c r="X461" s="41">
        <f t="shared" si="71"/>
        <v>33.881105691696369</v>
      </c>
      <c r="Y461" s="33">
        <f t="shared" si="72"/>
        <v>354.65597003865184</v>
      </c>
      <c r="Z461" s="33">
        <v>0.8</v>
      </c>
      <c r="AA461" s="29">
        <f t="shared" si="73"/>
        <v>283.72477603092148</v>
      </c>
      <c r="AB461" s="33">
        <f t="shared" si="74"/>
        <v>2510.4006179907219</v>
      </c>
      <c r="AC461" s="29">
        <v>247</v>
      </c>
      <c r="AD461" s="46">
        <f t="shared" si="75"/>
        <v>9.8390670488957346E-2</v>
      </c>
    </row>
    <row r="462" spans="1:30" hidden="1" x14ac:dyDescent="0.2">
      <c r="A462" s="30" t="s">
        <v>8845</v>
      </c>
      <c r="B462" s="29">
        <v>6</v>
      </c>
      <c r="C462" s="29">
        <v>1</v>
      </c>
      <c r="D462" s="29">
        <v>282</v>
      </c>
      <c r="E462" s="29">
        <v>5276</v>
      </c>
      <c r="F462" s="29">
        <v>1796</v>
      </c>
      <c r="G462" s="29">
        <v>1739</v>
      </c>
      <c r="H462" s="29">
        <v>25514</v>
      </c>
      <c r="I462" s="29">
        <v>1387</v>
      </c>
      <c r="J462" s="29">
        <v>36102312</v>
      </c>
      <c r="K462" s="29">
        <v>3031</v>
      </c>
      <c r="L462" s="29">
        <v>6009</v>
      </c>
      <c r="N462" s="34"/>
      <c r="O462" s="29">
        <f t="shared" si="66"/>
        <v>4520</v>
      </c>
      <c r="P462" s="32" cm="1">
        <f t="array" ref="P462">WPNFACTOR(C462)</f>
        <v>2</v>
      </c>
      <c r="Q462" s="34" cm="1">
        <f t="array" ref="Q462">HPFACTOr(C462)</f>
        <v>5</v>
      </c>
      <c r="R462" s="33">
        <f t="shared" si="67"/>
        <v>2260</v>
      </c>
      <c r="S462" s="34">
        <f t="shared" si="68"/>
        <v>7220462.4000000004</v>
      </c>
      <c r="T462" s="33">
        <f t="shared" si="69"/>
        <v>2260</v>
      </c>
      <c r="U462" s="42">
        <f t="shared" si="70"/>
        <v>7220462.4000000004</v>
      </c>
      <c r="V462" s="44"/>
      <c r="W462" s="29">
        <f t="shared" si="65"/>
        <v>16318245024</v>
      </c>
      <c r="X462" s="41">
        <f t="shared" si="71"/>
        <v>33.925766857205339</v>
      </c>
      <c r="Y462" s="33">
        <f t="shared" si="72"/>
        <v>357.41136858379531</v>
      </c>
      <c r="Z462" s="33">
        <v>0.8</v>
      </c>
      <c r="AA462" s="29">
        <f t="shared" si="73"/>
        <v>285.92909486703627</v>
      </c>
      <c r="AB462" s="33">
        <f t="shared" si="74"/>
        <v>2536.4393567180455</v>
      </c>
      <c r="AC462" s="29">
        <v>248</v>
      </c>
      <c r="AD462" s="46">
        <f t="shared" si="75"/>
        <v>9.7774858816610008E-2</v>
      </c>
    </row>
    <row r="463" spans="1:30" hidden="1" x14ac:dyDescent="0.2">
      <c r="A463" s="30" t="s">
        <v>8845</v>
      </c>
      <c r="B463" s="29">
        <v>7</v>
      </c>
      <c r="C463" s="29">
        <v>3</v>
      </c>
      <c r="D463" s="29">
        <v>284</v>
      </c>
      <c r="E463" s="29">
        <v>1353</v>
      </c>
      <c r="F463" s="29">
        <v>5325</v>
      </c>
      <c r="G463" s="29">
        <v>1331</v>
      </c>
      <c r="H463" s="29">
        <v>25866</v>
      </c>
      <c r="I463" s="29">
        <v>1963</v>
      </c>
      <c r="J463" s="29">
        <v>29487240</v>
      </c>
      <c r="K463" s="29">
        <v>3800</v>
      </c>
      <c r="L463" s="29">
        <v>7597</v>
      </c>
      <c r="N463" s="34"/>
      <c r="O463" s="29">
        <f t="shared" si="66"/>
        <v>5698.5</v>
      </c>
      <c r="P463" s="32" cm="1">
        <f t="array" ref="P463">WPNFACTOR(C463)</f>
        <v>2.5</v>
      </c>
      <c r="Q463" s="34" cm="1">
        <f t="array" ref="Q463">HPFACTOr(C463)</f>
        <v>4</v>
      </c>
      <c r="R463" s="33">
        <f t="shared" si="67"/>
        <v>2279.4</v>
      </c>
      <c r="S463" s="34">
        <f t="shared" si="68"/>
        <v>7371810</v>
      </c>
      <c r="T463" s="33">
        <f t="shared" si="69"/>
        <v>2279.4</v>
      </c>
      <c r="U463" s="42">
        <f t="shared" si="70"/>
        <v>7371810</v>
      </c>
      <c r="V463" s="44"/>
      <c r="W463" s="29">
        <f t="shared" si="65"/>
        <v>16803303714</v>
      </c>
      <c r="X463" s="41">
        <f t="shared" si="71"/>
        <v>33.96802585945057</v>
      </c>
      <c r="Y463" s="33">
        <f t="shared" si="72"/>
        <v>360.03827254211961</v>
      </c>
      <c r="Z463" s="33">
        <v>0.8</v>
      </c>
      <c r="AA463" s="29">
        <f t="shared" si="73"/>
        <v>288.0306180336957</v>
      </c>
      <c r="AB463" s="33">
        <f t="shared" si="74"/>
        <v>2561.3262025950694</v>
      </c>
      <c r="AC463" s="29">
        <v>252</v>
      </c>
      <c r="AD463" s="46">
        <f t="shared" si="75"/>
        <v>9.8386531065305205E-2</v>
      </c>
    </row>
    <row r="464" spans="1:30" hidden="1" x14ac:dyDescent="0.2">
      <c r="A464" s="30" t="s">
        <v>8845</v>
      </c>
      <c r="B464" s="29">
        <v>8</v>
      </c>
      <c r="C464" s="29">
        <v>2</v>
      </c>
      <c r="D464" s="29">
        <v>286</v>
      </c>
      <c r="E464" s="29">
        <v>1324</v>
      </c>
      <c r="F464" s="29">
        <v>1366</v>
      </c>
      <c r="G464" s="29">
        <v>5551</v>
      </c>
      <c r="H464" s="29">
        <v>25443</v>
      </c>
      <c r="I464" s="29">
        <v>1976</v>
      </c>
      <c r="J464" s="29">
        <v>14604282</v>
      </c>
      <c r="K464" s="29">
        <v>6923</v>
      </c>
      <c r="L464" s="29">
        <v>13659</v>
      </c>
      <c r="N464" s="34"/>
      <c r="O464" s="29">
        <f t="shared" si="66"/>
        <v>10291</v>
      </c>
      <c r="P464" s="32" cm="1">
        <f t="array" ref="P464">WPNFACTOR(C464)</f>
        <v>4.5</v>
      </c>
      <c r="Q464" s="34" cm="1">
        <f t="array" ref="Q464">HPFACTOr(C464)</f>
        <v>2</v>
      </c>
      <c r="R464" s="33">
        <f t="shared" si="67"/>
        <v>2286.8888888888887</v>
      </c>
      <c r="S464" s="34">
        <f t="shared" si="68"/>
        <v>7302141</v>
      </c>
      <c r="T464" s="33">
        <f t="shared" si="69"/>
        <v>2286.8888888888887</v>
      </c>
      <c r="U464" s="42">
        <f t="shared" si="70"/>
        <v>7302141.0000000009</v>
      </c>
      <c r="V464" s="44"/>
      <c r="W464" s="29">
        <f t="shared" si="65"/>
        <v>16699185118</v>
      </c>
      <c r="X464" s="41">
        <f t="shared" si="71"/>
        <v>33.959058653075722</v>
      </c>
      <c r="Y464" s="33">
        <f t="shared" si="72"/>
        <v>359.4792440762356</v>
      </c>
      <c r="Z464" s="33">
        <v>0.8</v>
      </c>
      <c r="AA464" s="29">
        <f t="shared" si="73"/>
        <v>287.58339526098848</v>
      </c>
      <c r="AB464" s="33">
        <f t="shared" si="74"/>
        <v>2556.0249751021588</v>
      </c>
      <c r="AC464" s="29">
        <v>252</v>
      </c>
      <c r="AD464" s="46">
        <f t="shared" si="75"/>
        <v>9.859058595072144E-2</v>
      </c>
    </row>
    <row r="465" spans="1:30" hidden="1" x14ac:dyDescent="0.2">
      <c r="A465" s="30" t="s">
        <v>8845</v>
      </c>
      <c r="B465" s="29">
        <v>9</v>
      </c>
      <c r="C465" s="29">
        <v>3</v>
      </c>
      <c r="D465" s="29">
        <v>288</v>
      </c>
      <c r="E465" s="29">
        <v>1380</v>
      </c>
      <c r="F465" s="29">
        <v>5440</v>
      </c>
      <c r="G465" s="29">
        <v>1360</v>
      </c>
      <c r="H465" s="29">
        <v>26840</v>
      </c>
      <c r="I465" s="29">
        <v>2010</v>
      </c>
      <c r="J465" s="29">
        <v>31027040</v>
      </c>
      <c r="K465" s="29">
        <v>3853</v>
      </c>
      <c r="L465" s="29">
        <v>7676</v>
      </c>
      <c r="N465" s="34"/>
      <c r="O465" s="29">
        <f t="shared" si="66"/>
        <v>5764.5</v>
      </c>
      <c r="P465" s="32" cm="1">
        <f t="array" ref="P465">WPNFACTOR(C465)</f>
        <v>2.5</v>
      </c>
      <c r="Q465" s="34" cm="1">
        <f t="array" ref="Q465">HPFACTOr(C465)</f>
        <v>4</v>
      </c>
      <c r="R465" s="33">
        <f t="shared" si="67"/>
        <v>2305.8000000000002</v>
      </c>
      <c r="S465" s="34">
        <f t="shared" si="68"/>
        <v>7756760</v>
      </c>
      <c r="T465" s="33">
        <f t="shared" si="69"/>
        <v>2305.8000000000002</v>
      </c>
      <c r="U465" s="42">
        <f t="shared" si="70"/>
        <v>7756760</v>
      </c>
      <c r="V465" s="44"/>
      <c r="W465" s="29">
        <f t="shared" si="65"/>
        <v>17885537208</v>
      </c>
      <c r="X465" s="41">
        <f t="shared" si="71"/>
        <v>34.05807440048482</v>
      </c>
      <c r="Y465" s="33">
        <f t="shared" si="72"/>
        <v>365.70045213124013</v>
      </c>
      <c r="Z465" s="33">
        <v>0.8</v>
      </c>
      <c r="AA465" s="29">
        <f t="shared" si="73"/>
        <v>292.56036170499209</v>
      </c>
      <c r="AB465" s="33">
        <f t="shared" si="74"/>
        <v>2615.1744407003653</v>
      </c>
      <c r="AC465" s="29">
        <v>255</v>
      </c>
      <c r="AD465" s="46">
        <f t="shared" si="75"/>
        <v>9.7507835818290159E-2</v>
      </c>
    </row>
    <row r="466" spans="1:30" hidden="1" x14ac:dyDescent="0.2">
      <c r="A466" s="30" t="s">
        <v>8845</v>
      </c>
      <c r="B466" s="29">
        <v>10</v>
      </c>
      <c r="C466" s="29">
        <v>3</v>
      </c>
      <c r="D466" s="29">
        <v>290</v>
      </c>
      <c r="E466" s="29">
        <v>1392</v>
      </c>
      <c r="F466" s="29">
        <v>5490</v>
      </c>
      <c r="G466" s="29">
        <v>1372</v>
      </c>
      <c r="H466" s="29">
        <v>27220</v>
      </c>
      <c r="I466" s="29">
        <v>2030</v>
      </c>
      <c r="J466" s="29">
        <v>31684080</v>
      </c>
      <c r="K466" s="29">
        <v>3903</v>
      </c>
      <c r="L466" s="29">
        <v>7743</v>
      </c>
      <c r="N466" s="34"/>
      <c r="O466" s="29">
        <f t="shared" si="66"/>
        <v>5823</v>
      </c>
      <c r="P466" s="32" cm="1">
        <f t="array" ref="P466">WPNFACTOR(C466)</f>
        <v>2.5</v>
      </c>
      <c r="Q466" s="34" cm="1">
        <f t="array" ref="Q466">HPFACTOr(C466)</f>
        <v>4</v>
      </c>
      <c r="R466" s="33">
        <f t="shared" si="67"/>
        <v>2329.1999999999998</v>
      </c>
      <c r="S466" s="34">
        <f t="shared" si="68"/>
        <v>7921020</v>
      </c>
      <c r="T466" s="33">
        <f t="shared" si="69"/>
        <v>2329.1999999999998</v>
      </c>
      <c r="U466" s="42">
        <f t="shared" si="70"/>
        <v>7921020</v>
      </c>
      <c r="V466" s="44"/>
      <c r="W466" s="29">
        <f t="shared" si="65"/>
        <v>18449639784</v>
      </c>
      <c r="X466" s="41">
        <f t="shared" si="71"/>
        <v>34.1028735978471</v>
      </c>
      <c r="Y466" s="33">
        <f t="shared" si="72"/>
        <v>368.55047292354567</v>
      </c>
      <c r="Z466" s="33">
        <v>0.8</v>
      </c>
      <c r="AA466" s="29">
        <f t="shared" si="73"/>
        <v>294.84037833883656</v>
      </c>
      <c r="AB466" s="33">
        <f t="shared" si="74"/>
        <v>2642.3841994730815</v>
      </c>
      <c r="AC466" s="29">
        <v>257</v>
      </c>
      <c r="AD466" s="46">
        <f t="shared" si="75"/>
        <v>9.7260648187060927E-2</v>
      </c>
    </row>
    <row r="467" spans="1:30" hidden="1" x14ac:dyDescent="0.2">
      <c r="A467" s="30" t="s">
        <v>8846</v>
      </c>
      <c r="B467" s="29">
        <v>1</v>
      </c>
      <c r="C467" s="29">
        <v>3</v>
      </c>
      <c r="D467" s="29">
        <v>292</v>
      </c>
      <c r="E467" s="29">
        <v>1381</v>
      </c>
      <c r="F467" s="29">
        <v>5422</v>
      </c>
      <c r="G467" s="29">
        <v>1355</v>
      </c>
      <c r="H467" s="29">
        <v>25806</v>
      </c>
      <c r="I467" s="29">
        <v>1994</v>
      </c>
      <c r="J467" s="29">
        <v>30244632</v>
      </c>
      <c r="K467" s="29">
        <v>3908</v>
      </c>
      <c r="L467" s="29">
        <v>7812</v>
      </c>
      <c r="N467" s="34"/>
      <c r="O467" s="29">
        <f t="shared" si="66"/>
        <v>5860</v>
      </c>
      <c r="P467" s="32" cm="1">
        <f t="array" ref="P467">WPNFACTOR(C467)</f>
        <v>2.5</v>
      </c>
      <c r="Q467" s="34" cm="1">
        <f t="array" ref="Q467">HPFACTOr(C467)</f>
        <v>4</v>
      </c>
      <c r="R467" s="33">
        <f t="shared" si="67"/>
        <v>2344</v>
      </c>
      <c r="S467" s="34">
        <f t="shared" si="68"/>
        <v>7561158</v>
      </c>
      <c r="T467" s="33">
        <f t="shared" si="69"/>
        <v>2344</v>
      </c>
      <c r="U467" s="42">
        <f t="shared" si="70"/>
        <v>7561158</v>
      </c>
      <c r="V467" s="44"/>
      <c r="W467" s="29">
        <f t="shared" si="65"/>
        <v>17723354352</v>
      </c>
      <c r="X467" s="41">
        <f t="shared" si="71"/>
        <v>34.044932625510306</v>
      </c>
      <c r="Y467" s="33">
        <f t="shared" si="72"/>
        <v>364.86859148561092</v>
      </c>
      <c r="Z467" s="33">
        <v>0.8</v>
      </c>
      <c r="AA467" s="29">
        <f t="shared" si="73"/>
        <v>291.89487318848876</v>
      </c>
      <c r="AB467" s="33">
        <f t="shared" si="74"/>
        <v>2607.2457821002117</v>
      </c>
      <c r="AC467" s="29">
        <v>250</v>
      </c>
      <c r="AD467" s="46">
        <f t="shared" si="75"/>
        <v>9.5886625540388362E-2</v>
      </c>
    </row>
    <row r="468" spans="1:30" hidden="1" x14ac:dyDescent="0.2">
      <c r="A468" s="30" t="s">
        <v>8846</v>
      </c>
      <c r="B468" s="29">
        <v>2</v>
      </c>
      <c r="C468" s="29">
        <v>3</v>
      </c>
      <c r="D468" s="29">
        <v>294</v>
      </c>
      <c r="E468" s="29">
        <v>1393</v>
      </c>
      <c r="F468" s="29">
        <v>5474</v>
      </c>
      <c r="G468" s="29">
        <v>1368</v>
      </c>
      <c r="H468" s="29">
        <v>26202</v>
      </c>
      <c r="I468" s="29">
        <v>2014</v>
      </c>
      <c r="J468" s="29">
        <v>30918360</v>
      </c>
      <c r="K468" s="29">
        <v>3935</v>
      </c>
      <c r="L468" s="29">
        <v>7864</v>
      </c>
      <c r="N468" s="34"/>
      <c r="O468" s="29">
        <f t="shared" si="66"/>
        <v>5899.5</v>
      </c>
      <c r="P468" s="32" cm="1">
        <f t="array" ref="P468">WPNFACTOR(C468)</f>
        <v>2.5</v>
      </c>
      <c r="Q468" s="34" cm="1">
        <f t="array" ref="Q468">HPFACTOr(C468)</f>
        <v>4</v>
      </c>
      <c r="R468" s="33">
        <f t="shared" si="67"/>
        <v>2359.8000000000002</v>
      </c>
      <c r="S468" s="34">
        <f t="shared" si="68"/>
        <v>7729590</v>
      </c>
      <c r="T468" s="33">
        <f t="shared" si="69"/>
        <v>2359.8000000000002</v>
      </c>
      <c r="U468" s="42">
        <f t="shared" si="70"/>
        <v>7729590</v>
      </c>
      <c r="V468" s="44"/>
      <c r="W468" s="29">
        <f t="shared" si="65"/>
        <v>18240286482</v>
      </c>
      <c r="X468" s="41">
        <f t="shared" si="71"/>
        <v>34.086409337527321</v>
      </c>
      <c r="Y468" s="33">
        <f t="shared" si="72"/>
        <v>367.50048262958592</v>
      </c>
      <c r="Z468" s="33">
        <v>0.8</v>
      </c>
      <c r="AA468" s="29">
        <f t="shared" si="73"/>
        <v>294.00038610366875</v>
      </c>
      <c r="AB468" s="33">
        <f t="shared" si="74"/>
        <v>2632.3515274093143</v>
      </c>
      <c r="AC468" s="29">
        <v>250</v>
      </c>
      <c r="AD468" s="46">
        <f t="shared" si="75"/>
        <v>9.4972118046119366E-2</v>
      </c>
    </row>
    <row r="469" spans="1:30" hidden="1" x14ac:dyDescent="0.2">
      <c r="A469" s="30" t="s">
        <v>8846</v>
      </c>
      <c r="B469" s="29">
        <v>3</v>
      </c>
      <c r="C469" s="29">
        <v>2</v>
      </c>
      <c r="D469" s="29">
        <v>296</v>
      </c>
      <c r="E469" s="29">
        <v>1356</v>
      </c>
      <c r="F469" s="29">
        <v>1406</v>
      </c>
      <c r="G469" s="29">
        <v>5722</v>
      </c>
      <c r="H469" s="29">
        <v>25504</v>
      </c>
      <c r="I469" s="29">
        <v>2022</v>
      </c>
      <c r="J469" s="29">
        <v>15149376</v>
      </c>
      <c r="K469" s="29">
        <v>7161</v>
      </c>
      <c r="L469" s="29">
        <v>14254</v>
      </c>
      <c r="N469" s="34"/>
      <c r="O469" s="29">
        <f t="shared" si="66"/>
        <v>10707.5</v>
      </c>
      <c r="P469" s="32" cm="1">
        <f t="array" ref="P469">WPNFACTOR(C469)</f>
        <v>4.5</v>
      </c>
      <c r="Q469" s="34" cm="1">
        <f t="array" ref="Q469">HPFACTOr(C469)</f>
        <v>2</v>
      </c>
      <c r="R469" s="33">
        <f t="shared" si="67"/>
        <v>2379.4444444444443</v>
      </c>
      <c r="S469" s="34">
        <f t="shared" si="68"/>
        <v>7574688</v>
      </c>
      <c r="T469" s="33">
        <f t="shared" si="69"/>
        <v>2379.4444444444443</v>
      </c>
      <c r="U469" s="42">
        <f t="shared" si="70"/>
        <v>7574688</v>
      </c>
      <c r="V469" s="44"/>
      <c r="W469" s="29">
        <f t="shared" si="65"/>
        <v>18023549280</v>
      </c>
      <c r="X469" s="41">
        <f t="shared" si="71"/>
        <v>34.06916409012733</v>
      </c>
      <c r="Y469" s="33">
        <f t="shared" si="72"/>
        <v>366.40389319527242</v>
      </c>
      <c r="Z469" s="33">
        <v>0.8</v>
      </c>
      <c r="AA469" s="29">
        <f t="shared" si="73"/>
        <v>293.12311455621796</v>
      </c>
      <c r="AB469" s="33">
        <f t="shared" si="74"/>
        <v>2621.8837956530574</v>
      </c>
      <c r="AC469" s="29">
        <v>251</v>
      </c>
      <c r="AD469" s="46">
        <f t="shared" si="75"/>
        <v>9.5732694338377819E-2</v>
      </c>
    </row>
    <row r="470" spans="1:30" hidden="1" x14ac:dyDescent="0.2">
      <c r="A470" s="30" t="s">
        <v>8846</v>
      </c>
      <c r="B470" s="29">
        <v>4</v>
      </c>
      <c r="C470" s="29">
        <v>1</v>
      </c>
      <c r="D470" s="29">
        <v>298</v>
      </c>
      <c r="E470" s="29">
        <v>5581</v>
      </c>
      <c r="F470" s="29">
        <v>1903</v>
      </c>
      <c r="G470" s="29">
        <v>1844</v>
      </c>
      <c r="H470" s="29">
        <v>27054</v>
      </c>
      <c r="I470" s="29">
        <v>1466</v>
      </c>
      <c r="J470" s="29">
        <v>40445728</v>
      </c>
      <c r="K470" s="29">
        <v>3190</v>
      </c>
      <c r="L470" s="29">
        <v>6377</v>
      </c>
      <c r="N470" s="34"/>
      <c r="O470" s="29">
        <f t="shared" si="66"/>
        <v>4783.5</v>
      </c>
      <c r="P470" s="32" cm="1">
        <f t="array" ref="P470">WPNFACTOR(C470)</f>
        <v>2</v>
      </c>
      <c r="Q470" s="34" cm="1">
        <f t="array" ref="Q470">HPFACTOr(C470)</f>
        <v>5</v>
      </c>
      <c r="R470" s="33">
        <f t="shared" si="67"/>
        <v>2391.75</v>
      </c>
      <c r="S470" s="34">
        <f t="shared" si="68"/>
        <v>8089145.5999999996</v>
      </c>
      <c r="T470" s="33">
        <f t="shared" si="69"/>
        <v>2391.75</v>
      </c>
      <c r="U470" s="42">
        <f t="shared" si="70"/>
        <v>8089145.6000000006</v>
      </c>
      <c r="V470" s="44"/>
      <c r="W470" s="29">
        <f t="shared" si="65"/>
        <v>19347213988.800003</v>
      </c>
      <c r="X470" s="41">
        <f t="shared" si="71"/>
        <v>34.171406781190406</v>
      </c>
      <c r="Y470" s="33">
        <f t="shared" si="72"/>
        <v>372.95343269835917</v>
      </c>
      <c r="Z470" s="33">
        <v>0.8</v>
      </c>
      <c r="AA470" s="29">
        <f t="shared" si="73"/>
        <v>298.36274615868734</v>
      </c>
      <c r="AB470" s="33">
        <f t="shared" si="74"/>
        <v>2684.5581259254991</v>
      </c>
      <c r="AC470" s="29">
        <v>251</v>
      </c>
      <c r="AD470" s="46">
        <f t="shared" si="75"/>
        <v>9.3497696166838618E-2</v>
      </c>
    </row>
    <row r="471" spans="1:30" hidden="1" x14ac:dyDescent="0.2">
      <c r="A471" s="30" t="s">
        <v>8846</v>
      </c>
      <c r="B471" s="29">
        <v>5</v>
      </c>
      <c r="C471" s="29">
        <v>1</v>
      </c>
      <c r="D471" s="29">
        <v>300</v>
      </c>
      <c r="E471" s="29">
        <v>5641</v>
      </c>
      <c r="F471" s="29">
        <v>1936</v>
      </c>
      <c r="G471" s="29">
        <v>1880</v>
      </c>
      <c r="H471" s="29">
        <v>27577</v>
      </c>
      <c r="I471" s="29">
        <v>1477</v>
      </c>
      <c r="J471" s="29">
        <v>41503384</v>
      </c>
      <c r="K471" s="29">
        <v>3213</v>
      </c>
      <c r="L471" s="29">
        <v>6419</v>
      </c>
      <c r="N471" s="34"/>
      <c r="O471" s="29">
        <f t="shared" si="66"/>
        <v>4816</v>
      </c>
      <c r="P471" s="32" cm="1">
        <f t="array" ref="P471">WPNFACTOR(C471)</f>
        <v>2</v>
      </c>
      <c r="Q471" s="34" cm="1">
        <f t="array" ref="Q471">HPFACTOr(C471)</f>
        <v>5</v>
      </c>
      <c r="R471" s="33">
        <f t="shared" si="67"/>
        <v>2408</v>
      </c>
      <c r="S471" s="34">
        <f t="shared" si="68"/>
        <v>8300676.7999999998</v>
      </c>
      <c r="T471" s="33">
        <f t="shared" si="69"/>
        <v>2408</v>
      </c>
      <c r="U471" s="42">
        <f t="shared" si="70"/>
        <v>8300676.7999999998</v>
      </c>
      <c r="V471" s="44"/>
      <c r="W471" s="29">
        <f t="shared" ref="W471:W535" si="76">T471*U471</f>
        <v>19988029734.399998</v>
      </c>
      <c r="X471" s="41">
        <f t="shared" si="71"/>
        <v>34.218417218229739</v>
      </c>
      <c r="Y471" s="33">
        <f t="shared" si="72"/>
        <v>376.00402740271267</v>
      </c>
      <c r="Z471" s="33">
        <v>0.8</v>
      </c>
      <c r="AA471" s="29">
        <f t="shared" si="73"/>
        <v>300.80322192217017</v>
      </c>
      <c r="AB471" s="33">
        <f t="shared" si="74"/>
        <v>2713.8759701893396</v>
      </c>
      <c r="AC471" s="29">
        <v>252</v>
      </c>
      <c r="AD471" s="46">
        <f t="shared" si="75"/>
        <v>9.2856122670343946E-2</v>
      </c>
    </row>
    <row r="472" spans="1:30" hidden="1" x14ac:dyDescent="0.2">
      <c r="A472" s="30" t="s">
        <v>8846</v>
      </c>
      <c r="B472" s="29">
        <v>6</v>
      </c>
      <c r="C472" s="29">
        <v>1</v>
      </c>
      <c r="D472" s="29">
        <v>302</v>
      </c>
      <c r="E472" s="29">
        <v>5689</v>
      </c>
      <c r="F472" s="29">
        <v>1958</v>
      </c>
      <c r="G472" s="29">
        <v>1903</v>
      </c>
      <c r="H472" s="29">
        <v>27924</v>
      </c>
      <c r="I472" s="29">
        <v>1488</v>
      </c>
      <c r="J472" s="29">
        <v>42304860</v>
      </c>
      <c r="K472" s="29">
        <v>3235</v>
      </c>
      <c r="L472" s="29">
        <v>6460</v>
      </c>
      <c r="N472" s="34"/>
      <c r="O472" s="29">
        <f t="shared" si="66"/>
        <v>4847.5</v>
      </c>
      <c r="P472" s="32" cm="1">
        <f t="array" ref="P472">WPNFACTOR(C472)</f>
        <v>2</v>
      </c>
      <c r="Q472" s="34" cm="1">
        <f t="array" ref="Q472">HPFACTOr(C472)</f>
        <v>5</v>
      </c>
      <c r="R472" s="33">
        <f t="shared" si="67"/>
        <v>2423.75</v>
      </c>
      <c r="S472" s="34">
        <f t="shared" si="68"/>
        <v>8460972</v>
      </c>
      <c r="T472" s="33">
        <f t="shared" si="69"/>
        <v>2423.75</v>
      </c>
      <c r="U472" s="42">
        <f t="shared" si="70"/>
        <v>8460972</v>
      </c>
      <c r="V472" s="44"/>
      <c r="W472" s="29">
        <f t="shared" si="76"/>
        <v>20507280885</v>
      </c>
      <c r="X472" s="41">
        <f t="shared" si="71"/>
        <v>34.255417162593609</v>
      </c>
      <c r="Y472" s="33">
        <f t="shared" si="72"/>
        <v>378.42256054426969</v>
      </c>
      <c r="Z472" s="33">
        <v>0.8</v>
      </c>
      <c r="AA472" s="29">
        <f t="shared" si="73"/>
        <v>302.73804843541575</v>
      </c>
      <c r="AB472" s="33">
        <f t="shared" si="74"/>
        <v>2737.1758104864566</v>
      </c>
      <c r="AC472" s="29">
        <v>253</v>
      </c>
      <c r="AD472" s="46">
        <f t="shared" si="75"/>
        <v>9.2431037506149935E-2</v>
      </c>
    </row>
    <row r="473" spans="1:30" hidden="1" x14ac:dyDescent="0.2">
      <c r="A473" s="30" t="s">
        <v>8846</v>
      </c>
      <c r="B473" s="29">
        <v>7</v>
      </c>
      <c r="C473" s="29">
        <v>2</v>
      </c>
      <c r="D473" s="29">
        <v>304</v>
      </c>
      <c r="E473" s="29">
        <v>1412</v>
      </c>
      <c r="F473" s="29">
        <v>1455</v>
      </c>
      <c r="G473" s="29">
        <v>5908</v>
      </c>
      <c r="H473" s="29">
        <v>27313</v>
      </c>
      <c r="I473" s="29">
        <v>2108</v>
      </c>
      <c r="J473" s="29">
        <v>16660930</v>
      </c>
      <c r="K473" s="29">
        <v>7333</v>
      </c>
      <c r="L473" s="29">
        <v>14626</v>
      </c>
      <c r="N473" s="34"/>
      <c r="O473" s="29">
        <f t="shared" si="66"/>
        <v>10979.5</v>
      </c>
      <c r="P473" s="32" cm="1">
        <f t="array" ref="P473">WPNFACTOR(C473)</f>
        <v>4.5</v>
      </c>
      <c r="Q473" s="34" cm="1">
        <f t="array" ref="Q473">HPFACTOr(C473)</f>
        <v>2</v>
      </c>
      <c r="R473" s="33">
        <f t="shared" si="67"/>
        <v>2439.8888888888887</v>
      </c>
      <c r="S473" s="34">
        <f t="shared" si="68"/>
        <v>8330465</v>
      </c>
      <c r="T473" s="33">
        <f t="shared" si="69"/>
        <v>2439.8888888888887</v>
      </c>
      <c r="U473" s="42">
        <f t="shared" si="70"/>
        <v>8330465</v>
      </c>
      <c r="V473" s="44"/>
      <c r="W473" s="29">
        <f t="shared" si="76"/>
        <v>20325408992.777775</v>
      </c>
      <c r="X473" s="41">
        <f t="shared" si="71"/>
        <v>34.242565331723284</v>
      </c>
      <c r="Y473" s="33">
        <f t="shared" si="72"/>
        <v>377.58073135014837</v>
      </c>
      <c r="Z473" s="33">
        <v>0.8</v>
      </c>
      <c r="AA473" s="29">
        <f t="shared" si="73"/>
        <v>302.06458508011872</v>
      </c>
      <c r="AB473" s="33">
        <f t="shared" si="74"/>
        <v>2729.0600865997321</v>
      </c>
      <c r="AC473" s="29">
        <v>253</v>
      </c>
      <c r="AD473" s="46">
        <f t="shared" si="75"/>
        <v>9.2705910449639425E-2</v>
      </c>
    </row>
    <row r="474" spans="1:30" hidden="1" x14ac:dyDescent="0.2">
      <c r="A474" s="30" t="s">
        <v>8846</v>
      </c>
      <c r="B474" s="29">
        <v>8</v>
      </c>
      <c r="C474" s="29">
        <v>1</v>
      </c>
      <c r="D474" s="29">
        <v>306</v>
      </c>
      <c r="E474" s="29">
        <v>5784</v>
      </c>
      <c r="F474" s="29">
        <v>2001</v>
      </c>
      <c r="G474" s="29">
        <v>1949</v>
      </c>
      <c r="H474" s="29">
        <v>28584</v>
      </c>
      <c r="I474" s="29">
        <v>1509</v>
      </c>
      <c r="J474" s="29">
        <v>43876440</v>
      </c>
      <c r="K474" s="29">
        <v>3277</v>
      </c>
      <c r="L474" s="29">
        <v>6544</v>
      </c>
      <c r="N474" s="34"/>
      <c r="O474" s="29">
        <f t="shared" si="66"/>
        <v>4910.5</v>
      </c>
      <c r="P474" s="32" cm="1">
        <f t="array" ref="P474">WPNFACTOR(C474)</f>
        <v>2</v>
      </c>
      <c r="Q474" s="34" cm="1">
        <f t="array" ref="Q474">HPFACTOr(C474)</f>
        <v>5</v>
      </c>
      <c r="R474" s="33">
        <f t="shared" si="67"/>
        <v>2455.25</v>
      </c>
      <c r="S474" s="34">
        <f t="shared" si="68"/>
        <v>8775288</v>
      </c>
      <c r="T474" s="33">
        <f t="shared" si="69"/>
        <v>2455.25</v>
      </c>
      <c r="U474" s="42">
        <f t="shared" si="70"/>
        <v>8775288</v>
      </c>
      <c r="V474" s="44"/>
      <c r="W474" s="29">
        <f t="shared" si="76"/>
        <v>21545525862</v>
      </c>
      <c r="X474" s="41">
        <f t="shared" si="71"/>
        <v>34.326669259632951</v>
      </c>
      <c r="Y474" s="33">
        <f t="shared" si="72"/>
        <v>383.12392615638265</v>
      </c>
      <c r="Z474" s="33">
        <v>0.8</v>
      </c>
      <c r="AA474" s="29">
        <f t="shared" si="73"/>
        <v>306.49914092510613</v>
      </c>
      <c r="AB474" s="33">
        <f t="shared" si="74"/>
        <v>2782.6101575334596</v>
      </c>
      <c r="AC474" s="29">
        <v>254</v>
      </c>
      <c r="AD474" s="46">
        <f t="shared" si="75"/>
        <v>9.1281202044180262E-2</v>
      </c>
    </row>
    <row r="475" spans="1:30" hidden="1" x14ac:dyDescent="0.2">
      <c r="A475" s="30" t="s">
        <v>8846</v>
      </c>
      <c r="B475" s="29">
        <v>9</v>
      </c>
      <c r="C475" s="29">
        <v>1</v>
      </c>
      <c r="D475" s="29">
        <v>308</v>
      </c>
      <c r="E475" s="29">
        <v>5827</v>
      </c>
      <c r="F475" s="29">
        <v>2018</v>
      </c>
      <c r="G475" s="29">
        <v>1966</v>
      </c>
      <c r="H475" s="29">
        <v>28842</v>
      </c>
      <c r="I475" s="29">
        <v>1519</v>
      </c>
      <c r="J475" s="29">
        <v>44560888</v>
      </c>
      <c r="K475" s="29">
        <v>3297</v>
      </c>
      <c r="L475" s="29">
        <v>6588</v>
      </c>
      <c r="N475" s="34"/>
      <c r="O475" s="29">
        <f t="shared" si="66"/>
        <v>4942.5</v>
      </c>
      <c r="P475" s="32" cm="1">
        <f t="array" ref="P475">WPNFACTOR(C475)</f>
        <v>2</v>
      </c>
      <c r="Q475" s="34" cm="1">
        <f t="array" ref="Q475">HPFACTOr(C475)</f>
        <v>5</v>
      </c>
      <c r="R475" s="33">
        <f t="shared" si="67"/>
        <v>2471.25</v>
      </c>
      <c r="S475" s="34">
        <f t="shared" si="68"/>
        <v>8912177.5999999996</v>
      </c>
      <c r="T475" s="33">
        <f t="shared" si="69"/>
        <v>2471.25</v>
      </c>
      <c r="U475" s="42">
        <f t="shared" si="70"/>
        <v>8912177.5999999996</v>
      </c>
      <c r="V475" s="44"/>
      <c r="W475" s="29">
        <f t="shared" si="76"/>
        <v>22024218894</v>
      </c>
      <c r="X475" s="41">
        <f t="shared" si="71"/>
        <v>34.358371802628369</v>
      </c>
      <c r="Y475" s="33">
        <f t="shared" si="72"/>
        <v>385.23445998540541</v>
      </c>
      <c r="Z475" s="33">
        <v>0.8</v>
      </c>
      <c r="AA475" s="29">
        <f t="shared" si="73"/>
        <v>308.18756798832436</v>
      </c>
      <c r="AB475" s="33">
        <f t="shared" si="74"/>
        <v>2803.0671701475621</v>
      </c>
      <c r="AC475" s="29">
        <v>258</v>
      </c>
      <c r="AD475" s="46">
        <f t="shared" si="75"/>
        <v>9.2042032651831918E-2</v>
      </c>
    </row>
    <row r="476" spans="1:30" hidden="1" x14ac:dyDescent="0.2">
      <c r="A476" s="30" t="s">
        <v>8846</v>
      </c>
      <c r="B476" s="29">
        <v>10</v>
      </c>
      <c r="C476" s="29">
        <v>1</v>
      </c>
      <c r="D476" s="29">
        <v>310</v>
      </c>
      <c r="E476" s="29">
        <v>5908</v>
      </c>
      <c r="F476" s="29">
        <v>2069</v>
      </c>
      <c r="G476" s="29">
        <v>2024</v>
      </c>
      <c r="H476" s="29">
        <v>29684</v>
      </c>
      <c r="I476" s="29">
        <v>1531</v>
      </c>
      <c r="J476" s="29">
        <v>46158620</v>
      </c>
      <c r="K476" s="29">
        <v>3317</v>
      </c>
      <c r="L476" s="29">
        <v>6624</v>
      </c>
      <c r="N476" s="34"/>
      <c r="O476" s="29">
        <f t="shared" si="66"/>
        <v>4970.5</v>
      </c>
      <c r="P476" s="32" cm="1">
        <f t="array" ref="P476">WPNFACTOR(C476)</f>
        <v>2</v>
      </c>
      <c r="Q476" s="34" cm="1">
        <f t="array" ref="Q476">HPFACTOr(C476)</f>
        <v>5</v>
      </c>
      <c r="R476" s="33">
        <f t="shared" si="67"/>
        <v>2485.25</v>
      </c>
      <c r="S476" s="34">
        <f t="shared" si="68"/>
        <v>9231724</v>
      </c>
      <c r="T476" s="33">
        <f t="shared" si="69"/>
        <v>2485.25</v>
      </c>
      <c r="U476" s="42">
        <f t="shared" si="70"/>
        <v>9231724</v>
      </c>
      <c r="V476" s="44"/>
      <c r="W476" s="29">
        <f t="shared" si="76"/>
        <v>22943142071</v>
      </c>
      <c r="X476" s="41">
        <f t="shared" si="71"/>
        <v>34.417343931327373</v>
      </c>
      <c r="Y476" s="33">
        <f t="shared" si="72"/>
        <v>389.19138973744691</v>
      </c>
      <c r="Z476" s="33">
        <v>0.8</v>
      </c>
      <c r="AA476" s="29">
        <f t="shared" si="73"/>
        <v>311.35311178995755</v>
      </c>
      <c r="AB476" s="33">
        <f t="shared" si="74"/>
        <v>2841.5216202506426</v>
      </c>
      <c r="AC476" s="29">
        <v>259</v>
      </c>
      <c r="AD476" s="46">
        <f t="shared" si="75"/>
        <v>9.1148347474883665E-2</v>
      </c>
    </row>
    <row r="477" spans="1:30" hidden="1" x14ac:dyDescent="0.2">
      <c r="A477" s="30" t="s">
        <v>8847</v>
      </c>
      <c r="B477" s="29">
        <v>1</v>
      </c>
      <c r="C477" s="29">
        <v>1</v>
      </c>
      <c r="D477" s="29">
        <v>312</v>
      </c>
      <c r="E477" s="29">
        <v>5861</v>
      </c>
      <c r="F477" s="29">
        <v>2009</v>
      </c>
      <c r="G477" s="29">
        <v>1950</v>
      </c>
      <c r="H477" s="29">
        <v>28600</v>
      </c>
      <c r="I477" s="29">
        <v>1536</v>
      </c>
      <c r="J477" s="29">
        <v>44759000</v>
      </c>
      <c r="K477" s="29">
        <v>3343</v>
      </c>
      <c r="L477" s="29">
        <v>6676</v>
      </c>
      <c r="N477" s="34"/>
      <c r="O477" s="29">
        <f t="shared" si="66"/>
        <v>5009.5</v>
      </c>
      <c r="P477" s="32" cm="1">
        <f t="array" ref="P477">WPNFACTOR(C477)</f>
        <v>2</v>
      </c>
      <c r="Q477" s="34" cm="1">
        <f t="array" ref="Q477">HPFACTOr(C477)</f>
        <v>5</v>
      </c>
      <c r="R477" s="33">
        <f t="shared" si="67"/>
        <v>2504.75</v>
      </c>
      <c r="S477" s="34">
        <f t="shared" si="68"/>
        <v>8951800</v>
      </c>
      <c r="T477" s="33">
        <f t="shared" si="69"/>
        <v>2504.75</v>
      </c>
      <c r="U477" s="42">
        <f t="shared" si="70"/>
        <v>8951800</v>
      </c>
      <c r="V477" s="44"/>
      <c r="W477" s="29">
        <f t="shared" si="76"/>
        <v>22422021050</v>
      </c>
      <c r="X477" s="41">
        <f t="shared" si="71"/>
        <v>34.384197272842108</v>
      </c>
      <c r="Y477" s="33">
        <f t="shared" si="72"/>
        <v>386.96232964441128</v>
      </c>
      <c r="Z477" s="33">
        <v>0.8</v>
      </c>
      <c r="AA477" s="29">
        <f t="shared" si="73"/>
        <v>309.56986371552904</v>
      </c>
      <c r="AB477" s="33">
        <f t="shared" si="74"/>
        <v>2819.8429338437677</v>
      </c>
      <c r="AC477" s="29">
        <v>257</v>
      </c>
      <c r="AD477" s="46">
        <f t="shared" si="75"/>
        <v>9.1139828007966273E-2</v>
      </c>
    </row>
    <row r="478" spans="1:30" hidden="1" x14ac:dyDescent="0.2">
      <c r="A478" s="30" t="s">
        <v>8847</v>
      </c>
      <c r="B478" s="29">
        <v>2</v>
      </c>
      <c r="C478" s="29">
        <v>3</v>
      </c>
      <c r="D478" s="29">
        <v>314</v>
      </c>
      <c r="E478" s="29">
        <v>1502</v>
      </c>
      <c r="F478" s="29">
        <v>5921</v>
      </c>
      <c r="G478" s="29">
        <v>1480</v>
      </c>
      <c r="H478" s="29">
        <v>29112</v>
      </c>
      <c r="I478" s="29">
        <v>2186</v>
      </c>
      <c r="J478" s="29">
        <v>36681120</v>
      </c>
      <c r="K478" s="29">
        <v>4202</v>
      </c>
      <c r="L478" s="29">
        <v>8396</v>
      </c>
      <c r="N478" s="34"/>
      <c r="O478" s="29">
        <f t="shared" si="66"/>
        <v>6299</v>
      </c>
      <c r="P478" s="32" cm="1">
        <f t="array" ref="P478">WPNFACTOR(C478)</f>
        <v>2.5</v>
      </c>
      <c r="Q478" s="34" cm="1">
        <f t="array" ref="Q478">HPFACTOr(C478)</f>
        <v>4</v>
      </c>
      <c r="R478" s="33">
        <f t="shared" si="67"/>
        <v>2519.6</v>
      </c>
      <c r="S478" s="34">
        <f t="shared" si="68"/>
        <v>9170280</v>
      </c>
      <c r="T478" s="33">
        <f t="shared" si="69"/>
        <v>2519.6</v>
      </c>
      <c r="U478" s="42">
        <f t="shared" si="70"/>
        <v>9170280</v>
      </c>
      <c r="V478" s="44"/>
      <c r="W478" s="29">
        <f t="shared" si="76"/>
        <v>23105437488</v>
      </c>
      <c r="X478" s="41">
        <f t="shared" si="71"/>
        <v>34.427513355226921</v>
      </c>
      <c r="Y478" s="33">
        <f t="shared" si="72"/>
        <v>389.87783792541836</v>
      </c>
      <c r="Z478" s="33">
        <v>0.8</v>
      </c>
      <c r="AA478" s="29">
        <f t="shared" si="73"/>
        <v>311.90227034033472</v>
      </c>
      <c r="AB478" s="33">
        <f t="shared" si="74"/>
        <v>2848.2060111413857</v>
      </c>
      <c r="AC478" s="29">
        <v>262</v>
      </c>
      <c r="AD478" s="46">
        <f t="shared" si="75"/>
        <v>9.1987728055881221E-2</v>
      </c>
    </row>
    <row r="479" spans="1:30" hidden="1" x14ac:dyDescent="0.2">
      <c r="A479" s="30" t="s">
        <v>8847</v>
      </c>
      <c r="B479" s="29">
        <v>3</v>
      </c>
      <c r="C479" s="29">
        <v>1</v>
      </c>
      <c r="D479" s="29">
        <v>316</v>
      </c>
      <c r="E479" s="29">
        <v>5991</v>
      </c>
      <c r="F479" s="29">
        <v>2082</v>
      </c>
      <c r="G479" s="29">
        <v>2031</v>
      </c>
      <c r="H479" s="29">
        <v>29794</v>
      </c>
      <c r="I479" s="29">
        <v>1559</v>
      </c>
      <c r="J479" s="29">
        <v>47223488</v>
      </c>
      <c r="K479" s="29">
        <v>3383</v>
      </c>
      <c r="L479" s="29">
        <v>6762</v>
      </c>
      <c r="N479" s="34"/>
      <c r="O479" s="29">
        <f t="shared" si="66"/>
        <v>5072.5</v>
      </c>
      <c r="P479" s="32" cm="1">
        <f t="array" ref="P479">WPNFACTOR(C479)</f>
        <v>2</v>
      </c>
      <c r="Q479" s="34" cm="1">
        <f t="array" ref="Q479">HPFACTOr(C479)</f>
        <v>5</v>
      </c>
      <c r="R479" s="33">
        <f t="shared" si="67"/>
        <v>2536.25</v>
      </c>
      <c r="S479" s="34">
        <f t="shared" si="68"/>
        <v>9444697.5999999996</v>
      </c>
      <c r="T479" s="33">
        <f t="shared" si="69"/>
        <v>2536.25</v>
      </c>
      <c r="U479" s="42">
        <f t="shared" si="70"/>
        <v>9444697.5999999996</v>
      </c>
      <c r="V479" s="44"/>
      <c r="W479" s="29">
        <f t="shared" si="76"/>
        <v>23954114288</v>
      </c>
      <c r="X479" s="41">
        <f t="shared" si="71"/>
        <v>34.479554419161559</v>
      </c>
      <c r="Y479" s="33">
        <f t="shared" si="72"/>
        <v>393.40966878784013</v>
      </c>
      <c r="Z479" s="33">
        <v>0.8</v>
      </c>
      <c r="AA479" s="29">
        <f t="shared" si="73"/>
        <v>314.72773503027213</v>
      </c>
      <c r="AB479" s="33">
        <f t="shared" si="74"/>
        <v>2882.6596720307666</v>
      </c>
      <c r="AC479" s="29">
        <v>262</v>
      </c>
      <c r="AD479" s="46">
        <f t="shared" si="75"/>
        <v>9.0888287140544449E-2</v>
      </c>
    </row>
    <row r="480" spans="1:30" hidden="1" x14ac:dyDescent="0.2">
      <c r="A480" s="30" t="s">
        <v>8847</v>
      </c>
      <c r="B480" s="29">
        <v>4</v>
      </c>
      <c r="C480" s="29">
        <v>3</v>
      </c>
      <c r="D480" s="29">
        <v>318</v>
      </c>
      <c r="E480" s="29">
        <v>1529</v>
      </c>
      <c r="F480" s="29">
        <v>6037</v>
      </c>
      <c r="G480" s="29">
        <v>1509</v>
      </c>
      <c r="H480" s="29">
        <v>30107</v>
      </c>
      <c r="I480" s="29">
        <v>2234</v>
      </c>
      <c r="J480" s="29">
        <v>38416532</v>
      </c>
      <c r="K480" s="29">
        <v>4253</v>
      </c>
      <c r="L480" s="29">
        <v>8490</v>
      </c>
      <c r="N480" s="34"/>
      <c r="O480" s="29">
        <f t="shared" si="66"/>
        <v>6371.5</v>
      </c>
      <c r="P480" s="32" cm="1">
        <f t="array" ref="P480">WPNFACTOR(C480)</f>
        <v>2.5</v>
      </c>
      <c r="Q480" s="34" cm="1">
        <f t="array" ref="Q480">HPFACTOr(C480)</f>
        <v>4</v>
      </c>
      <c r="R480" s="33">
        <f t="shared" si="67"/>
        <v>2548.6</v>
      </c>
      <c r="S480" s="34">
        <f t="shared" si="68"/>
        <v>9604133</v>
      </c>
      <c r="T480" s="33">
        <f t="shared" si="69"/>
        <v>2548.6</v>
      </c>
      <c r="U480" s="42">
        <f t="shared" si="70"/>
        <v>9604133</v>
      </c>
      <c r="V480" s="44"/>
      <c r="W480" s="29">
        <f t="shared" si="76"/>
        <v>24477093363.799999</v>
      </c>
      <c r="X480" s="41">
        <f t="shared" si="71"/>
        <v>34.510713198137751</v>
      </c>
      <c r="Y480" s="33">
        <f t="shared" si="72"/>
        <v>395.53959188466467</v>
      </c>
      <c r="Z480" s="33">
        <v>0.8</v>
      </c>
      <c r="AA480" s="29">
        <f t="shared" si="73"/>
        <v>316.43167350773177</v>
      </c>
      <c r="AB480" s="33">
        <f t="shared" si="74"/>
        <v>2903.4874162251299</v>
      </c>
      <c r="AC480" s="29">
        <v>263</v>
      </c>
      <c r="AD480" s="46">
        <f t="shared" si="75"/>
        <v>9.0580726656611613E-2</v>
      </c>
    </row>
    <row r="481" spans="1:30" hidden="1" x14ac:dyDescent="0.2">
      <c r="A481" s="30" t="s">
        <v>8847</v>
      </c>
      <c r="B481" s="29">
        <v>5</v>
      </c>
      <c r="C481" s="29">
        <v>3</v>
      </c>
      <c r="D481" s="29">
        <v>320</v>
      </c>
      <c r="E481" s="29">
        <v>1541</v>
      </c>
      <c r="F481" s="29">
        <v>6087</v>
      </c>
      <c r="G481" s="29">
        <v>1521</v>
      </c>
      <c r="H481" s="29">
        <v>30476</v>
      </c>
      <c r="I481" s="29">
        <v>2253</v>
      </c>
      <c r="J481" s="29">
        <v>39131184</v>
      </c>
      <c r="K481" s="29">
        <v>4281</v>
      </c>
      <c r="L481" s="29">
        <v>8558</v>
      </c>
      <c r="N481" s="34"/>
      <c r="O481" s="29">
        <f t="shared" si="66"/>
        <v>6419.5</v>
      </c>
      <c r="P481" s="32" cm="1">
        <f t="array" ref="P481">WPNFACTOR(C481)</f>
        <v>2.5</v>
      </c>
      <c r="Q481" s="34" cm="1">
        <f t="array" ref="Q481">HPFACTOr(C481)</f>
        <v>4</v>
      </c>
      <c r="R481" s="33">
        <f t="shared" si="67"/>
        <v>2567.8000000000002</v>
      </c>
      <c r="S481" s="34">
        <f t="shared" si="68"/>
        <v>9782796</v>
      </c>
      <c r="T481" s="33">
        <f t="shared" si="69"/>
        <v>2567.8000000000002</v>
      </c>
      <c r="U481" s="42">
        <f t="shared" si="70"/>
        <v>9782796</v>
      </c>
      <c r="V481" s="44"/>
      <c r="W481" s="29">
        <f t="shared" si="76"/>
        <v>25120263568.800003</v>
      </c>
      <c r="X481" s="41">
        <f t="shared" si="71"/>
        <v>34.548132550340661</v>
      </c>
      <c r="Y481" s="33">
        <f t="shared" si="72"/>
        <v>398.11271460686208</v>
      </c>
      <c r="Z481" s="33">
        <v>0.8</v>
      </c>
      <c r="AA481" s="29">
        <f t="shared" si="73"/>
        <v>318.49017168548971</v>
      </c>
      <c r="AB481" s="33">
        <f t="shared" si="74"/>
        <v>2928.6989439503318</v>
      </c>
      <c r="AC481" s="29">
        <v>264</v>
      </c>
      <c r="AD481" s="46">
        <f t="shared" si="75"/>
        <v>9.0142416497035902E-2</v>
      </c>
    </row>
    <row r="482" spans="1:30" hidden="1" x14ac:dyDescent="0.2">
      <c r="A482" s="30" t="s">
        <v>8847</v>
      </c>
      <c r="B482" s="29">
        <v>6</v>
      </c>
      <c r="C482" s="29">
        <v>2</v>
      </c>
      <c r="D482" s="29">
        <v>322</v>
      </c>
      <c r="E482" s="29">
        <v>1514</v>
      </c>
      <c r="F482" s="29">
        <v>1552</v>
      </c>
      <c r="G482" s="29">
        <v>6286</v>
      </c>
      <c r="H482" s="29">
        <v>29936</v>
      </c>
      <c r="I482" s="29">
        <v>2261</v>
      </c>
      <c r="J482" s="29">
        <v>19338656</v>
      </c>
      <c r="K482" s="29">
        <v>7752</v>
      </c>
      <c r="L482" s="29">
        <v>15493</v>
      </c>
      <c r="N482" s="34"/>
      <c r="O482" s="29">
        <f t="shared" si="66"/>
        <v>11622.5</v>
      </c>
      <c r="P482" s="32" cm="1">
        <f t="array" ref="P482">WPNFACTOR(C482)</f>
        <v>4.5</v>
      </c>
      <c r="Q482" s="34" cm="1">
        <f t="array" ref="Q482">HPFACTOr(C482)</f>
        <v>2</v>
      </c>
      <c r="R482" s="33">
        <f t="shared" si="67"/>
        <v>2582.7777777777778</v>
      </c>
      <c r="S482" s="34">
        <f t="shared" si="68"/>
        <v>9669328</v>
      </c>
      <c r="T482" s="33">
        <f t="shared" si="69"/>
        <v>2582.7777777777778</v>
      </c>
      <c r="U482" s="42">
        <f t="shared" si="70"/>
        <v>9669328</v>
      </c>
      <c r="V482" s="44"/>
      <c r="W482" s="29">
        <f t="shared" si="76"/>
        <v>24973725484.444447</v>
      </c>
      <c r="X482" s="41">
        <f t="shared" si="71"/>
        <v>34.539692001898729</v>
      </c>
      <c r="Y482" s="33">
        <f t="shared" si="72"/>
        <v>397.53084641644784</v>
      </c>
      <c r="Z482" s="33">
        <v>0.8</v>
      </c>
      <c r="AA482" s="29">
        <f t="shared" si="73"/>
        <v>318.02467713315832</v>
      </c>
      <c r="AB482" s="33">
        <f t="shared" si="74"/>
        <v>2922.9930171476867</v>
      </c>
      <c r="AC482" s="29">
        <v>265</v>
      </c>
      <c r="AD482" s="46">
        <f t="shared" si="75"/>
        <v>9.0660497115587407E-2</v>
      </c>
    </row>
    <row r="483" spans="1:30" hidden="1" x14ac:dyDescent="0.2">
      <c r="A483" s="30" t="s">
        <v>8847</v>
      </c>
      <c r="B483" s="29">
        <v>7</v>
      </c>
      <c r="C483" s="29">
        <v>1</v>
      </c>
      <c r="D483" s="29">
        <v>324</v>
      </c>
      <c r="E483" s="29">
        <v>6178</v>
      </c>
      <c r="F483" s="29">
        <v>2166</v>
      </c>
      <c r="G483" s="29">
        <v>2119</v>
      </c>
      <c r="H483" s="29">
        <v>31080</v>
      </c>
      <c r="I483" s="29">
        <v>1601</v>
      </c>
      <c r="J483" s="29">
        <v>50505000</v>
      </c>
      <c r="K483" s="29">
        <v>3468</v>
      </c>
      <c r="L483" s="29">
        <v>6932</v>
      </c>
      <c r="N483" s="34"/>
      <c r="O483" s="29">
        <f t="shared" si="66"/>
        <v>5200</v>
      </c>
      <c r="P483" s="32" cm="1">
        <f t="array" ref="P483">WPNFACTOR(C483)</f>
        <v>2</v>
      </c>
      <c r="Q483" s="34" cm="1">
        <f t="array" ref="Q483">HPFACTOr(C483)</f>
        <v>5</v>
      </c>
      <c r="R483" s="33">
        <f t="shared" si="67"/>
        <v>2600</v>
      </c>
      <c r="S483" s="34">
        <f t="shared" si="68"/>
        <v>10101000</v>
      </c>
      <c r="T483" s="33">
        <f t="shared" si="69"/>
        <v>2600</v>
      </c>
      <c r="U483" s="42">
        <f t="shared" si="70"/>
        <v>10101000</v>
      </c>
      <c r="V483" s="44"/>
      <c r="W483" s="29">
        <f t="shared" si="76"/>
        <v>26262600000</v>
      </c>
      <c r="X483" s="41">
        <f t="shared" si="71"/>
        <v>34.61229069912671</v>
      </c>
      <c r="Y483" s="33">
        <f t="shared" si="72"/>
        <v>402.563531929276</v>
      </c>
      <c r="Z483" s="33">
        <v>0.8</v>
      </c>
      <c r="AA483" s="29">
        <f t="shared" si="73"/>
        <v>322.05082554342084</v>
      </c>
      <c r="AB483" s="33">
        <f t="shared" si="74"/>
        <v>2972.4364140758662</v>
      </c>
      <c r="AC483" s="29">
        <v>267</v>
      </c>
      <c r="AD483" s="46">
        <f t="shared" si="75"/>
        <v>8.9825302481032418E-2</v>
      </c>
    </row>
    <row r="484" spans="1:30" hidden="1" x14ac:dyDescent="0.2">
      <c r="A484" s="30" t="s">
        <v>8847</v>
      </c>
      <c r="B484" s="29">
        <v>8</v>
      </c>
      <c r="C484" s="29">
        <v>3</v>
      </c>
      <c r="D484" s="29">
        <v>326</v>
      </c>
      <c r="E484" s="29">
        <v>1575</v>
      </c>
      <c r="F484" s="29">
        <v>6230</v>
      </c>
      <c r="G484" s="29">
        <v>1557</v>
      </c>
      <c r="H484" s="29">
        <v>31476</v>
      </c>
      <c r="I484" s="29">
        <v>2309</v>
      </c>
      <c r="J484" s="29">
        <v>41170608</v>
      </c>
      <c r="K484" s="29">
        <v>4374</v>
      </c>
      <c r="L484" s="29">
        <v>8717</v>
      </c>
      <c r="N484" s="34"/>
      <c r="O484" s="29">
        <f t="shared" si="66"/>
        <v>6545.5</v>
      </c>
      <c r="P484" s="32" cm="1">
        <f t="array" ref="P484">WPNFACTOR(C484)</f>
        <v>2.5</v>
      </c>
      <c r="Q484" s="34" cm="1">
        <f t="array" ref="Q484">HPFACTOr(C484)</f>
        <v>4</v>
      </c>
      <c r="R484" s="33">
        <f t="shared" si="67"/>
        <v>2618.1999999999998</v>
      </c>
      <c r="S484" s="34">
        <f t="shared" si="68"/>
        <v>10292652</v>
      </c>
      <c r="T484" s="33">
        <f t="shared" si="69"/>
        <v>2618.1999999999998</v>
      </c>
      <c r="U484" s="42">
        <f t="shared" si="70"/>
        <v>10292652</v>
      </c>
      <c r="V484" s="44"/>
      <c r="W484" s="29">
        <f t="shared" si="76"/>
        <v>26948221466.399998</v>
      </c>
      <c r="X484" s="41">
        <f t="shared" si="71"/>
        <v>34.649471009744737</v>
      </c>
      <c r="Y484" s="33">
        <f t="shared" si="72"/>
        <v>405.1655644067647</v>
      </c>
      <c r="Z484" s="33">
        <v>0.8</v>
      </c>
      <c r="AA484" s="29">
        <f t="shared" si="73"/>
        <v>324.1324515254118</v>
      </c>
      <c r="AB484" s="33">
        <f t="shared" si="74"/>
        <v>2998.0810493378331</v>
      </c>
      <c r="AC484" s="29">
        <v>268</v>
      </c>
      <c r="AD484" s="46">
        <f t="shared" si="75"/>
        <v>8.9390511994060812E-2</v>
      </c>
    </row>
    <row r="485" spans="1:30" hidden="1" x14ac:dyDescent="0.2">
      <c r="A485" s="30" t="s">
        <v>8847</v>
      </c>
      <c r="B485" s="29">
        <v>9</v>
      </c>
      <c r="C485" s="29">
        <v>2</v>
      </c>
      <c r="D485" s="29">
        <v>328</v>
      </c>
      <c r="E485" s="29">
        <v>1551</v>
      </c>
      <c r="F485" s="29">
        <v>1586</v>
      </c>
      <c r="G485" s="29">
        <v>6418</v>
      </c>
      <c r="H485" s="29">
        <v>31009</v>
      </c>
      <c r="I485" s="29">
        <v>2313</v>
      </c>
      <c r="J485" s="29">
        <v>20403922</v>
      </c>
      <c r="K485" s="29">
        <v>7923</v>
      </c>
      <c r="L485" s="29">
        <v>15777</v>
      </c>
      <c r="N485" s="34"/>
      <c r="O485" s="29">
        <f t="shared" si="66"/>
        <v>11850</v>
      </c>
      <c r="P485" s="32" cm="1">
        <f t="array" ref="P485">WPNFACTOR(C485)</f>
        <v>4.5</v>
      </c>
      <c r="Q485" s="34" cm="1">
        <f t="array" ref="Q485">HPFACTOr(C485)</f>
        <v>2</v>
      </c>
      <c r="R485" s="33">
        <f t="shared" si="67"/>
        <v>2633.3333333333335</v>
      </c>
      <c r="S485" s="34">
        <f t="shared" si="68"/>
        <v>10201961</v>
      </c>
      <c r="T485" s="33">
        <f t="shared" si="69"/>
        <v>2633.3333333333335</v>
      </c>
      <c r="U485" s="42">
        <f t="shared" si="70"/>
        <v>10201961</v>
      </c>
      <c r="V485" s="44"/>
      <c r="W485" s="29">
        <f t="shared" si="76"/>
        <v>26865163966.666668</v>
      </c>
      <c r="X485" s="41">
        <f t="shared" si="71"/>
        <v>34.64501759217363</v>
      </c>
      <c r="Y485" s="33">
        <f t="shared" si="72"/>
        <v>404.85301127905814</v>
      </c>
      <c r="Z485" s="33">
        <v>0.8</v>
      </c>
      <c r="AA485" s="29">
        <f t="shared" si="73"/>
        <v>323.88240902324651</v>
      </c>
      <c r="AB485" s="33">
        <f t="shared" si="74"/>
        <v>2994.9977365956997</v>
      </c>
      <c r="AC485" s="29">
        <v>268</v>
      </c>
      <c r="AD485" s="46">
        <f t="shared" si="75"/>
        <v>8.9482538409069196E-2</v>
      </c>
    </row>
    <row r="486" spans="1:30" hidden="1" x14ac:dyDescent="0.2">
      <c r="A486" s="30" t="s">
        <v>8847</v>
      </c>
      <c r="B486" s="29">
        <v>10</v>
      </c>
      <c r="C486" s="29">
        <v>2</v>
      </c>
      <c r="D486" s="29">
        <v>330</v>
      </c>
      <c r="E486" s="29">
        <v>1567</v>
      </c>
      <c r="F486" s="29">
        <v>1600</v>
      </c>
      <c r="G486" s="29">
        <v>6468</v>
      </c>
      <c r="H486" s="29">
        <v>31581</v>
      </c>
      <c r="I486" s="29">
        <v>2326</v>
      </c>
      <c r="J486" s="29">
        <v>20906622</v>
      </c>
      <c r="K486" s="29">
        <v>7962</v>
      </c>
      <c r="L486" s="29">
        <v>15873</v>
      </c>
      <c r="N486" s="34"/>
      <c r="O486" s="29">
        <f t="shared" si="66"/>
        <v>11917.5</v>
      </c>
      <c r="P486" s="32" cm="1">
        <f t="array" ref="P486">WPNFACTOR(C486)</f>
        <v>4.5</v>
      </c>
      <c r="Q486" s="34" cm="1">
        <f t="array" ref="Q486">HPFACTOr(C486)</f>
        <v>2</v>
      </c>
      <c r="R486" s="33">
        <f t="shared" si="67"/>
        <v>2648.3333333333335</v>
      </c>
      <c r="S486" s="34">
        <f t="shared" si="68"/>
        <v>10453311</v>
      </c>
      <c r="T486" s="33">
        <f t="shared" si="69"/>
        <v>2648.3333333333335</v>
      </c>
      <c r="U486" s="42">
        <f t="shared" si="70"/>
        <v>10453311</v>
      </c>
      <c r="V486" s="44"/>
      <c r="W486" s="29">
        <f t="shared" si="76"/>
        <v>27683851965</v>
      </c>
      <c r="X486" s="41">
        <f t="shared" si="71"/>
        <v>34.688325644166426</v>
      </c>
      <c r="Y486" s="33">
        <f t="shared" si="72"/>
        <v>407.9027465330397</v>
      </c>
      <c r="Z486" s="33">
        <v>0.8</v>
      </c>
      <c r="AA486" s="29">
        <f t="shared" si="73"/>
        <v>326.3221972264318</v>
      </c>
      <c r="AB486" s="33">
        <f t="shared" si="74"/>
        <v>3025.1169761927463</v>
      </c>
      <c r="AC486" s="29">
        <v>269</v>
      </c>
      <c r="AD486" s="46">
        <f t="shared" si="75"/>
        <v>8.8922181230343469E-2</v>
      </c>
    </row>
    <row r="487" spans="1:30" hidden="1" x14ac:dyDescent="0.2">
      <c r="A487" s="30" t="s">
        <v>8848</v>
      </c>
      <c r="B487" s="29">
        <v>1</v>
      </c>
      <c r="C487" s="29">
        <v>1</v>
      </c>
      <c r="D487" s="29">
        <v>332</v>
      </c>
      <c r="E487" s="29">
        <v>6290</v>
      </c>
      <c r="F487" s="29">
        <v>2184</v>
      </c>
      <c r="G487" s="29">
        <v>2129</v>
      </c>
      <c r="H487" s="29">
        <v>31229</v>
      </c>
      <c r="I487" s="29">
        <v>1638</v>
      </c>
      <c r="J487" s="29">
        <v>51996284</v>
      </c>
      <c r="K487" s="29">
        <v>3552</v>
      </c>
      <c r="L487" s="29">
        <v>7099</v>
      </c>
      <c r="N487" s="34"/>
      <c r="O487" s="29">
        <f t="shared" ref="O487:O551" si="77">AVERAGE(K487, L487)</f>
        <v>5325.5</v>
      </c>
      <c r="P487" s="32" cm="1">
        <f t="array" ref="P487">WPNFACTOR(C487)</f>
        <v>2</v>
      </c>
      <c r="Q487" s="34" cm="1">
        <f t="array" ref="Q487">HPFACTOr(C487)</f>
        <v>5</v>
      </c>
      <c r="R487" s="33">
        <f t="shared" ref="R487:R551" si="78">O487/P487</f>
        <v>2662.75</v>
      </c>
      <c r="S487" s="34">
        <f t="shared" ref="S487:S551" si="79">J487/Q487</f>
        <v>10399256.800000001</v>
      </c>
      <c r="T487" s="33">
        <f t="shared" ref="T487:T551" si="80">R487*(1 + (N487/400))</f>
        <v>2662.75</v>
      </c>
      <c r="U487" s="42">
        <f t="shared" ref="U487:U551" si="81">S487*1.6/(1 + (0.6*(1 - (M487/100))))</f>
        <v>10399256.800000001</v>
      </c>
      <c r="V487" s="44"/>
      <c r="W487" s="29">
        <f t="shared" si="76"/>
        <v>27690621044.200001</v>
      </c>
      <c r="X487" s="41">
        <f t="shared" ref="X487:X551" si="82">LOG(W487, 2)</f>
        <v>34.688678359651057</v>
      </c>
      <c r="Y487" s="33">
        <f t="shared" si="72"/>
        <v>407.92767869260626</v>
      </c>
      <c r="Z487" s="33">
        <v>0.8</v>
      </c>
      <c r="AA487" s="29">
        <f t="shared" si="73"/>
        <v>326.34214295408503</v>
      </c>
      <c r="AB487" s="33">
        <f t="shared" si="74"/>
        <v>3025.3635168796454</v>
      </c>
      <c r="AC487" s="29">
        <v>271</v>
      </c>
      <c r="AD487" s="46">
        <f t="shared" si="75"/>
        <v>8.9576012432221339E-2</v>
      </c>
    </row>
    <row r="488" spans="1:30" hidden="1" x14ac:dyDescent="0.2">
      <c r="A488" s="30" t="s">
        <v>8848</v>
      </c>
      <c r="B488" s="29">
        <v>2</v>
      </c>
      <c r="C488" s="29">
        <v>2</v>
      </c>
      <c r="D488" s="29">
        <v>334</v>
      </c>
      <c r="E488" s="29">
        <v>1562</v>
      </c>
      <c r="F488" s="29">
        <v>1605</v>
      </c>
      <c r="G488" s="29">
        <v>6508</v>
      </c>
      <c r="H488" s="29">
        <v>30613</v>
      </c>
      <c r="I488" s="29">
        <v>2333</v>
      </c>
      <c r="J488" s="29">
        <v>20510710</v>
      </c>
      <c r="K488" s="29">
        <v>8052</v>
      </c>
      <c r="L488" s="29">
        <v>16062</v>
      </c>
      <c r="N488" s="34"/>
      <c r="O488" s="29">
        <f t="shared" si="77"/>
        <v>12057</v>
      </c>
      <c r="P488" s="32" cm="1">
        <f t="array" ref="P488">WPNFACTOR(C488)</f>
        <v>4.5</v>
      </c>
      <c r="Q488" s="34" cm="1">
        <f t="array" ref="Q488">HPFACTOr(C488)</f>
        <v>2</v>
      </c>
      <c r="R488" s="33">
        <f t="shared" si="78"/>
        <v>2679.3333333333335</v>
      </c>
      <c r="S488" s="34">
        <f t="shared" si="79"/>
        <v>10255355</v>
      </c>
      <c r="T488" s="33">
        <f t="shared" si="80"/>
        <v>2679.3333333333335</v>
      </c>
      <c r="U488" s="42">
        <f t="shared" si="81"/>
        <v>10255355</v>
      </c>
      <c r="V488" s="44"/>
      <c r="W488" s="29">
        <f t="shared" si="76"/>
        <v>27477514496.666668</v>
      </c>
      <c r="X488" s="41">
        <f t="shared" si="82"/>
        <v>34.677532458651633</v>
      </c>
      <c r="Y488" s="33">
        <f t="shared" ref="Y488:Y552" si="83">POWER(W488, 1/4)</f>
        <v>407.14055227914452</v>
      </c>
      <c r="Z488" s="33">
        <v>0.8</v>
      </c>
      <c r="AA488" s="29">
        <f t="shared" ref="AA488:AA552" si="84">Y488*Z488</f>
        <v>325.71244182331566</v>
      </c>
      <c r="AB488" s="33">
        <f t="shared" ref="AB488:AB552" si="85">POWER(W488, 1/$AB$1)</f>
        <v>3017.5824729981969</v>
      </c>
      <c r="AC488" s="29">
        <v>271</v>
      </c>
      <c r="AD488" s="46">
        <f t="shared" ref="AD488:AD552" si="86">IF(AC488 = "", ,AC488/AB488)</f>
        <v>8.9806990339104456E-2</v>
      </c>
    </row>
    <row r="489" spans="1:30" hidden="1" x14ac:dyDescent="0.2">
      <c r="A489" s="30" t="s">
        <v>8848</v>
      </c>
      <c r="B489" s="29">
        <v>3</v>
      </c>
      <c r="C489" s="29">
        <v>3</v>
      </c>
      <c r="D489" s="29">
        <v>336</v>
      </c>
      <c r="E489" s="29">
        <v>1617</v>
      </c>
      <c r="F489" s="29">
        <v>6384</v>
      </c>
      <c r="G489" s="29">
        <v>1596</v>
      </c>
      <c r="H489" s="29">
        <v>31878</v>
      </c>
      <c r="I489" s="29">
        <v>2362</v>
      </c>
      <c r="J489" s="29">
        <v>42971544</v>
      </c>
      <c r="K489" s="29">
        <v>4493</v>
      </c>
      <c r="L489" s="29">
        <v>8978</v>
      </c>
      <c r="N489" s="34"/>
      <c r="O489" s="29">
        <f t="shared" si="77"/>
        <v>6735.5</v>
      </c>
      <c r="P489" s="32" cm="1">
        <f t="array" ref="P489">WPNFACTOR(C489)</f>
        <v>2.5</v>
      </c>
      <c r="Q489" s="34" cm="1">
        <f t="array" ref="Q489">HPFACTOr(C489)</f>
        <v>4</v>
      </c>
      <c r="R489" s="33">
        <f t="shared" si="78"/>
        <v>2694.2</v>
      </c>
      <c r="S489" s="34">
        <f t="shared" si="79"/>
        <v>10742886</v>
      </c>
      <c r="T489" s="33">
        <f t="shared" si="80"/>
        <v>2694.2</v>
      </c>
      <c r="U489" s="42">
        <f t="shared" si="81"/>
        <v>10742886</v>
      </c>
      <c r="V489" s="44"/>
      <c r="W489" s="29">
        <f t="shared" si="76"/>
        <v>28943483461.199997</v>
      </c>
      <c r="X489" s="41">
        <f t="shared" si="82"/>
        <v>34.752519515171826</v>
      </c>
      <c r="Y489" s="33">
        <f t="shared" si="83"/>
        <v>412.46556760746216</v>
      </c>
      <c r="Z489" s="33">
        <v>0.8</v>
      </c>
      <c r="AA489" s="29">
        <f t="shared" si="84"/>
        <v>329.97245408596973</v>
      </c>
      <c r="AB489" s="33">
        <f t="shared" si="85"/>
        <v>3070.3197034737864</v>
      </c>
      <c r="AC489" s="29">
        <v>272</v>
      </c>
      <c r="AD489" s="46">
        <f t="shared" si="86"/>
        <v>8.85901229413526E-2</v>
      </c>
    </row>
    <row r="490" spans="1:30" hidden="1" x14ac:dyDescent="0.2">
      <c r="A490" s="30" t="s">
        <v>8848</v>
      </c>
      <c r="B490" s="29">
        <v>4</v>
      </c>
      <c r="C490" s="29">
        <v>1</v>
      </c>
      <c r="D490" s="29">
        <v>338</v>
      </c>
      <c r="E490" s="29">
        <v>6426</v>
      </c>
      <c r="F490" s="29">
        <v>2242</v>
      </c>
      <c r="G490" s="29">
        <v>2190</v>
      </c>
      <c r="H490" s="29">
        <v>32126</v>
      </c>
      <c r="I490" s="29">
        <v>1669</v>
      </c>
      <c r="J490" s="29">
        <v>54453568</v>
      </c>
      <c r="K490" s="29">
        <v>3618</v>
      </c>
      <c r="L490" s="29">
        <v>7226</v>
      </c>
      <c r="N490" s="34"/>
      <c r="O490" s="29">
        <f t="shared" si="77"/>
        <v>5422</v>
      </c>
      <c r="P490" s="32" cm="1">
        <f t="array" ref="P490">WPNFACTOR(C490)</f>
        <v>2</v>
      </c>
      <c r="Q490" s="34" cm="1">
        <f t="array" ref="Q490">HPFACTOr(C490)</f>
        <v>5</v>
      </c>
      <c r="R490" s="33">
        <f t="shared" si="78"/>
        <v>2711</v>
      </c>
      <c r="S490" s="34">
        <f t="shared" si="79"/>
        <v>10890713.6</v>
      </c>
      <c r="T490" s="33">
        <f t="shared" si="80"/>
        <v>2711</v>
      </c>
      <c r="U490" s="42">
        <f t="shared" si="81"/>
        <v>10890713.6</v>
      </c>
      <c r="V490" s="44"/>
      <c r="W490" s="29">
        <f t="shared" si="76"/>
        <v>29524724569.599998</v>
      </c>
      <c r="X490" s="41">
        <f t="shared" si="82"/>
        <v>34.781204549938039</v>
      </c>
      <c r="Y490" s="33">
        <f t="shared" si="83"/>
        <v>414.52092987347066</v>
      </c>
      <c r="Z490" s="33">
        <v>0.8</v>
      </c>
      <c r="AA490" s="29">
        <f t="shared" si="84"/>
        <v>331.61674389877658</v>
      </c>
      <c r="AB490" s="33">
        <f t="shared" si="85"/>
        <v>3090.7362911192013</v>
      </c>
      <c r="AC490" s="29">
        <v>273</v>
      </c>
      <c r="AD490" s="46">
        <f t="shared" si="86"/>
        <v>8.8328467486672141E-2</v>
      </c>
    </row>
    <row r="491" spans="1:30" hidden="1" x14ac:dyDescent="0.2">
      <c r="A491" s="30" t="s">
        <v>8848</v>
      </c>
      <c r="B491" s="29">
        <v>5</v>
      </c>
      <c r="C491" s="29">
        <v>2</v>
      </c>
      <c r="D491" s="29">
        <v>340</v>
      </c>
      <c r="E491" s="29">
        <v>1597</v>
      </c>
      <c r="F491" s="29">
        <v>1638</v>
      </c>
      <c r="G491" s="29">
        <v>6636</v>
      </c>
      <c r="H491" s="29">
        <v>31537</v>
      </c>
      <c r="I491" s="29">
        <v>2386</v>
      </c>
      <c r="J491" s="29">
        <v>21508234</v>
      </c>
      <c r="K491" s="29">
        <v>8187</v>
      </c>
      <c r="L491" s="29">
        <v>16361</v>
      </c>
      <c r="N491" s="34"/>
      <c r="O491" s="29">
        <f t="shared" si="77"/>
        <v>12274</v>
      </c>
      <c r="P491" s="32" cm="1">
        <f t="array" ref="P491">WPNFACTOR(C491)</f>
        <v>4.5</v>
      </c>
      <c r="Q491" s="34" cm="1">
        <f t="array" ref="Q491">HPFACTOr(C491)</f>
        <v>2</v>
      </c>
      <c r="R491" s="33">
        <f t="shared" si="78"/>
        <v>2727.5555555555557</v>
      </c>
      <c r="S491" s="34">
        <f t="shared" si="79"/>
        <v>10754117</v>
      </c>
      <c r="T491" s="33">
        <f t="shared" si="80"/>
        <v>2727.5555555555557</v>
      </c>
      <c r="U491" s="42">
        <f t="shared" si="81"/>
        <v>10754116.999999998</v>
      </c>
      <c r="V491" s="44"/>
      <c r="W491" s="29">
        <f t="shared" si="76"/>
        <v>29332451568.444439</v>
      </c>
      <c r="X491" s="41">
        <f t="shared" si="82"/>
        <v>34.771778603597191</v>
      </c>
      <c r="Y491" s="33">
        <f t="shared" si="83"/>
        <v>413.84440735294254</v>
      </c>
      <c r="Z491" s="33">
        <v>0.8</v>
      </c>
      <c r="AA491" s="29">
        <f t="shared" si="84"/>
        <v>331.07552588235404</v>
      </c>
      <c r="AB491" s="33">
        <f t="shared" si="85"/>
        <v>3084.012436859914</v>
      </c>
      <c r="AC491" s="29">
        <v>273</v>
      </c>
      <c r="AD491" s="46">
        <f t="shared" si="86"/>
        <v>8.8521043799020371E-2</v>
      </c>
    </row>
    <row r="492" spans="1:30" hidden="1" x14ac:dyDescent="0.2">
      <c r="A492" s="30" t="s">
        <v>8848</v>
      </c>
      <c r="B492" s="29">
        <v>6</v>
      </c>
      <c r="C492" s="29">
        <v>1</v>
      </c>
      <c r="D492" s="29">
        <v>342</v>
      </c>
      <c r="E492" s="29">
        <v>6525</v>
      </c>
      <c r="F492" s="29">
        <v>2289</v>
      </c>
      <c r="G492" s="29">
        <v>2240</v>
      </c>
      <c r="H492" s="29">
        <v>32862</v>
      </c>
      <c r="I492" s="29">
        <v>1690</v>
      </c>
      <c r="J492" s="29">
        <v>56358328</v>
      </c>
      <c r="K492" s="29">
        <v>3659</v>
      </c>
      <c r="L492" s="29">
        <v>7313</v>
      </c>
      <c r="N492" s="34"/>
      <c r="O492" s="29">
        <f t="shared" si="77"/>
        <v>5486</v>
      </c>
      <c r="P492" s="32" cm="1">
        <f t="array" ref="P492">WPNFACTOR(C492)</f>
        <v>2</v>
      </c>
      <c r="Q492" s="34" cm="1">
        <f t="array" ref="Q492">HPFACTOr(C492)</f>
        <v>5</v>
      </c>
      <c r="R492" s="33">
        <f t="shared" si="78"/>
        <v>2743</v>
      </c>
      <c r="S492" s="34">
        <f t="shared" si="79"/>
        <v>11271665.6</v>
      </c>
      <c r="T492" s="33">
        <f t="shared" si="80"/>
        <v>2743</v>
      </c>
      <c r="U492" s="42">
        <f t="shared" si="81"/>
        <v>11271665.6</v>
      </c>
      <c r="V492" s="44"/>
      <c r="W492" s="29">
        <f t="shared" si="76"/>
        <v>30918178740.799999</v>
      </c>
      <c r="X492" s="41">
        <f t="shared" si="82"/>
        <v>34.847736287573561</v>
      </c>
      <c r="Y492" s="33">
        <f t="shared" si="83"/>
        <v>419.32762648231892</v>
      </c>
      <c r="Z492" s="33">
        <v>0.8</v>
      </c>
      <c r="AA492" s="29">
        <f t="shared" si="84"/>
        <v>335.46210118585515</v>
      </c>
      <c r="AB492" s="33">
        <f t="shared" si="85"/>
        <v>3138.6144353064569</v>
      </c>
      <c r="AC492" s="29">
        <v>274</v>
      </c>
      <c r="AD492" s="46">
        <f t="shared" si="86"/>
        <v>8.7299668579153278E-2</v>
      </c>
    </row>
    <row r="493" spans="1:30" hidden="1" x14ac:dyDescent="0.2">
      <c r="A493" s="30" t="s">
        <v>8848</v>
      </c>
      <c r="B493" s="29">
        <v>7</v>
      </c>
      <c r="C493" s="29">
        <v>3</v>
      </c>
      <c r="D493" s="29">
        <v>344</v>
      </c>
      <c r="E493" s="29">
        <v>1661</v>
      </c>
      <c r="F493" s="29">
        <v>6567</v>
      </c>
      <c r="G493" s="29">
        <v>1641</v>
      </c>
      <c r="H493" s="29">
        <v>33110</v>
      </c>
      <c r="I493" s="29">
        <v>2433</v>
      </c>
      <c r="J493" s="29">
        <v>45691800</v>
      </c>
      <c r="K493" s="29">
        <v>4600</v>
      </c>
      <c r="L493" s="29">
        <v>9187</v>
      </c>
      <c r="N493" s="34"/>
      <c r="O493" s="29">
        <f t="shared" si="77"/>
        <v>6893.5</v>
      </c>
      <c r="P493" s="32" cm="1">
        <f t="array" ref="P493">WPNFACTOR(C493)</f>
        <v>2.5</v>
      </c>
      <c r="Q493" s="34" cm="1">
        <f t="array" ref="Q493">HPFACTOr(C493)</f>
        <v>4</v>
      </c>
      <c r="R493" s="33">
        <f t="shared" si="78"/>
        <v>2757.4</v>
      </c>
      <c r="S493" s="34">
        <f t="shared" si="79"/>
        <v>11422950</v>
      </c>
      <c r="T493" s="33">
        <f t="shared" si="80"/>
        <v>2757.4</v>
      </c>
      <c r="U493" s="42">
        <f t="shared" si="81"/>
        <v>11422950</v>
      </c>
      <c r="V493" s="44"/>
      <c r="W493" s="29">
        <f t="shared" si="76"/>
        <v>31497642330</v>
      </c>
      <c r="X493" s="41">
        <f t="shared" si="82"/>
        <v>34.874524792530146</v>
      </c>
      <c r="Y493" s="33">
        <f t="shared" si="83"/>
        <v>421.27870986548669</v>
      </c>
      <c r="Z493" s="33">
        <v>0.8</v>
      </c>
      <c r="AA493" s="29">
        <f t="shared" si="84"/>
        <v>337.02296789238937</v>
      </c>
      <c r="AB493" s="33">
        <f t="shared" si="85"/>
        <v>3158.1010037854176</v>
      </c>
      <c r="AC493" s="29">
        <v>277</v>
      </c>
      <c r="AD493" s="46">
        <f t="shared" si="86"/>
        <v>8.7710937575453563E-2</v>
      </c>
    </row>
    <row r="494" spans="1:30" hidden="1" x14ac:dyDescent="0.2">
      <c r="A494" s="30" t="s">
        <v>8848</v>
      </c>
      <c r="B494" s="29">
        <v>8</v>
      </c>
      <c r="C494" s="29">
        <v>3</v>
      </c>
      <c r="D494" s="29">
        <v>346</v>
      </c>
      <c r="E494" s="29">
        <v>1671</v>
      </c>
      <c r="F494" s="29">
        <v>6608</v>
      </c>
      <c r="G494" s="29">
        <v>1652</v>
      </c>
      <c r="H494" s="29">
        <v>33352</v>
      </c>
      <c r="I494" s="29">
        <v>2449</v>
      </c>
      <c r="J494" s="29">
        <v>46292576</v>
      </c>
      <c r="K494" s="29">
        <v>4636</v>
      </c>
      <c r="L494" s="29">
        <v>9250</v>
      </c>
      <c r="N494" s="34"/>
      <c r="O494" s="29">
        <f t="shared" si="77"/>
        <v>6943</v>
      </c>
      <c r="P494" s="32" cm="1">
        <f t="array" ref="P494">WPNFACTOR(C494)</f>
        <v>2.5</v>
      </c>
      <c r="Q494" s="34" cm="1">
        <f t="array" ref="Q494">HPFACTOr(C494)</f>
        <v>4</v>
      </c>
      <c r="R494" s="33">
        <f t="shared" si="78"/>
        <v>2777.2</v>
      </c>
      <c r="S494" s="34">
        <f t="shared" si="79"/>
        <v>11573144</v>
      </c>
      <c r="T494" s="33">
        <f t="shared" si="80"/>
        <v>2777.2</v>
      </c>
      <c r="U494" s="42">
        <f t="shared" si="81"/>
        <v>11573144</v>
      </c>
      <c r="V494" s="44"/>
      <c r="W494" s="29">
        <f t="shared" si="76"/>
        <v>32140935516.799999</v>
      </c>
      <c r="X494" s="41">
        <f t="shared" si="82"/>
        <v>34.90369287059994</v>
      </c>
      <c r="Y494" s="33">
        <f t="shared" si="83"/>
        <v>423.41342935838986</v>
      </c>
      <c r="Z494" s="33">
        <v>0.8</v>
      </c>
      <c r="AA494" s="29">
        <f t="shared" si="84"/>
        <v>338.7307434867119</v>
      </c>
      <c r="AB494" s="33">
        <f t="shared" si="85"/>
        <v>3179.4561362006034</v>
      </c>
      <c r="AC494" s="29">
        <v>278</v>
      </c>
      <c r="AD494" s="46">
        <f t="shared" si="86"/>
        <v>8.7436337565645839E-2</v>
      </c>
    </row>
    <row r="495" spans="1:30" hidden="1" x14ac:dyDescent="0.2">
      <c r="A495" s="30" t="s">
        <v>8848</v>
      </c>
      <c r="B495" s="29">
        <v>9</v>
      </c>
      <c r="C495" s="29">
        <v>2</v>
      </c>
      <c r="D495" s="29">
        <v>348</v>
      </c>
      <c r="E495" s="29">
        <v>1648</v>
      </c>
      <c r="F495" s="29">
        <v>1685</v>
      </c>
      <c r="G495" s="29">
        <v>6813</v>
      </c>
      <c r="H495" s="29">
        <v>33038</v>
      </c>
      <c r="I495" s="29">
        <v>2454</v>
      </c>
      <c r="J495" s="29">
        <v>23060524</v>
      </c>
      <c r="K495" s="29">
        <v>8377</v>
      </c>
      <c r="L495" s="29">
        <v>16743</v>
      </c>
      <c r="N495" s="34"/>
      <c r="O495" s="29">
        <f t="shared" si="77"/>
        <v>12560</v>
      </c>
      <c r="P495" s="32" cm="1">
        <f t="array" ref="P495">WPNFACTOR(C495)</f>
        <v>4.5</v>
      </c>
      <c r="Q495" s="34" cm="1">
        <f t="array" ref="Q495">HPFACTOr(C495)</f>
        <v>2</v>
      </c>
      <c r="R495" s="33">
        <f t="shared" si="78"/>
        <v>2791.1111111111113</v>
      </c>
      <c r="S495" s="34">
        <f t="shared" si="79"/>
        <v>11530262</v>
      </c>
      <c r="T495" s="33">
        <f t="shared" si="80"/>
        <v>2791.1111111111113</v>
      </c>
      <c r="U495" s="42">
        <f t="shared" si="81"/>
        <v>11530261.999999998</v>
      </c>
      <c r="V495" s="44"/>
      <c r="W495" s="29">
        <f t="shared" si="76"/>
        <v>32182242382.222218</v>
      </c>
      <c r="X495" s="41">
        <f t="shared" si="82"/>
        <v>34.905545802001576</v>
      </c>
      <c r="Y495" s="33">
        <f t="shared" si="83"/>
        <v>423.54940438886325</v>
      </c>
      <c r="Z495" s="33">
        <v>0.8</v>
      </c>
      <c r="AA495" s="29">
        <f t="shared" si="84"/>
        <v>338.83952351109065</v>
      </c>
      <c r="AB495" s="33">
        <f t="shared" si="85"/>
        <v>3180.8176102051211</v>
      </c>
      <c r="AC495" s="29">
        <v>279</v>
      </c>
      <c r="AD495" s="46">
        <f t="shared" si="86"/>
        <v>8.7713297079617253E-2</v>
      </c>
    </row>
    <row r="496" spans="1:30" hidden="1" x14ac:dyDescent="0.2">
      <c r="A496" s="30" t="s">
        <v>8848</v>
      </c>
      <c r="B496" s="29">
        <v>10</v>
      </c>
      <c r="C496" s="29">
        <v>2</v>
      </c>
      <c r="D496" s="29">
        <v>348</v>
      </c>
      <c r="E496" s="29">
        <v>1648</v>
      </c>
      <c r="F496" s="29">
        <v>1685</v>
      </c>
      <c r="G496" s="29">
        <v>6813</v>
      </c>
      <c r="H496" s="29">
        <v>33038</v>
      </c>
      <c r="I496" s="29">
        <v>2454</v>
      </c>
      <c r="J496" s="29">
        <v>23060524</v>
      </c>
      <c r="K496" s="29">
        <v>8377</v>
      </c>
      <c r="L496" s="29">
        <v>16743</v>
      </c>
      <c r="N496" s="34"/>
      <c r="O496" s="29">
        <f t="shared" ref="O496" si="87">AVERAGE(K496, L496)</f>
        <v>12560</v>
      </c>
      <c r="P496" s="32" cm="1">
        <f t="array" ref="P496">WPNFACTOR(C496)</f>
        <v>4.5</v>
      </c>
      <c r="Q496" s="34" cm="1">
        <f t="array" ref="Q496">HPFACTOr(C496)</f>
        <v>2</v>
      </c>
      <c r="R496" s="33">
        <f t="shared" ref="R496" si="88">O496/P496</f>
        <v>2791.1111111111113</v>
      </c>
      <c r="S496" s="34">
        <f t="shared" ref="S496" si="89">J496/Q496</f>
        <v>11530262</v>
      </c>
      <c r="T496" s="33">
        <f t="shared" ref="T496" si="90">R496*(1 + (N496/400))</f>
        <v>2791.1111111111113</v>
      </c>
      <c r="U496" s="42">
        <f t="shared" ref="U496" si="91">S496*1.6/(1 + (0.6*(1 - (M496/100))))</f>
        <v>11530261.999999998</v>
      </c>
      <c r="V496" s="44"/>
      <c r="W496" s="29">
        <f t="shared" ref="W496" si="92">T496*U496</f>
        <v>32182242382.222218</v>
      </c>
      <c r="X496" s="41">
        <f t="shared" si="82"/>
        <v>34.905545802001576</v>
      </c>
      <c r="Y496" s="33">
        <f t="shared" ref="Y496" si="93">POWER(W496, 1/4)</f>
        <v>423.54940438886325</v>
      </c>
      <c r="Z496" s="33">
        <v>0.8</v>
      </c>
      <c r="AA496" s="29">
        <f t="shared" ref="AA496" si="94">Y496*Z496</f>
        <v>338.83952351109065</v>
      </c>
      <c r="AB496" s="33">
        <f t="shared" ref="AB496" si="95">POWER(W496, 1/$AB$1)</f>
        <v>3180.8176102051211</v>
      </c>
      <c r="AC496" s="29">
        <v>279</v>
      </c>
      <c r="AD496" s="46">
        <f t="shared" ref="AD496" si="96">IF(AC496 = "", ,AC496/AB496)</f>
        <v>8.7713297079617253E-2</v>
      </c>
    </row>
    <row r="497" spans="1:30" hidden="1" x14ac:dyDescent="0.2">
      <c r="A497" s="30" t="s">
        <v>8849</v>
      </c>
      <c r="B497" s="29">
        <v>1</v>
      </c>
      <c r="C497" s="29">
        <v>3</v>
      </c>
      <c r="D497" s="29">
        <v>352</v>
      </c>
      <c r="E497" s="29">
        <v>1708</v>
      </c>
      <c r="F497" s="29">
        <v>6765</v>
      </c>
      <c r="G497" s="29">
        <v>1691</v>
      </c>
      <c r="H497" s="29">
        <v>34562</v>
      </c>
      <c r="I497" s="29">
        <v>2489</v>
      </c>
      <c r="J497" s="29">
        <v>48801544</v>
      </c>
      <c r="K497" s="29">
        <v>4747</v>
      </c>
      <c r="L497" s="29">
        <v>9412</v>
      </c>
      <c r="N497" s="34"/>
      <c r="O497" s="29">
        <f t="shared" si="77"/>
        <v>7079.5</v>
      </c>
      <c r="P497" s="32" cm="1">
        <f t="array" ref="P497">WPNFACTOR(C497)</f>
        <v>2.5</v>
      </c>
      <c r="Q497" s="34" cm="1">
        <f t="array" ref="Q497">HPFACTOr(C497)</f>
        <v>4</v>
      </c>
      <c r="R497" s="33">
        <f t="shared" si="78"/>
        <v>2831.8</v>
      </c>
      <c r="S497" s="34">
        <f t="shared" si="79"/>
        <v>12200386</v>
      </c>
      <c r="T497" s="33">
        <f t="shared" si="80"/>
        <v>2831.8</v>
      </c>
      <c r="U497" s="42">
        <f t="shared" si="81"/>
        <v>12200386</v>
      </c>
      <c r="V497" s="44"/>
      <c r="W497" s="29">
        <f t="shared" si="76"/>
        <v>34549053074.800003</v>
      </c>
      <c r="X497" s="41">
        <f t="shared" si="82"/>
        <v>35.007927118444861</v>
      </c>
      <c r="Y497" s="33">
        <f t="shared" si="83"/>
        <v>431.13078728516871</v>
      </c>
      <c r="Z497" s="33">
        <v>0.8</v>
      </c>
      <c r="AA497" s="29">
        <f t="shared" si="84"/>
        <v>344.904629828135</v>
      </c>
      <c r="AB497" s="33">
        <f t="shared" si="85"/>
        <v>3256.9571854632595</v>
      </c>
      <c r="AC497" s="29">
        <v>282</v>
      </c>
      <c r="AD497" s="46">
        <f t="shared" si="86"/>
        <v>8.6583883036180961E-2</v>
      </c>
    </row>
    <row r="498" spans="1:30" hidden="1" x14ac:dyDescent="0.2">
      <c r="A498" s="30" t="s">
        <v>8849</v>
      </c>
      <c r="B498" s="29">
        <v>2</v>
      </c>
      <c r="C498" s="29">
        <v>1</v>
      </c>
      <c r="D498" s="29">
        <v>354</v>
      </c>
      <c r="E498" s="29">
        <v>6810</v>
      </c>
      <c r="F498" s="29">
        <v>2393</v>
      </c>
      <c r="G498" s="29">
        <v>2351</v>
      </c>
      <c r="H498" s="29">
        <v>34859</v>
      </c>
      <c r="I498" s="29">
        <v>1702</v>
      </c>
      <c r="J498" s="29">
        <v>61874724</v>
      </c>
      <c r="K498" s="29">
        <v>3793</v>
      </c>
      <c r="L498" s="29">
        <v>7572</v>
      </c>
      <c r="N498" s="34"/>
      <c r="O498" s="29">
        <f t="shared" si="77"/>
        <v>5682.5</v>
      </c>
      <c r="P498" s="32" cm="1">
        <f t="array" ref="P498">WPNFACTOR(C498)</f>
        <v>2</v>
      </c>
      <c r="Q498" s="34" cm="1">
        <f t="array" ref="Q498">HPFACTOr(C498)</f>
        <v>5</v>
      </c>
      <c r="R498" s="33">
        <f t="shared" si="78"/>
        <v>2841.25</v>
      </c>
      <c r="S498" s="34">
        <f t="shared" si="79"/>
        <v>12374944.800000001</v>
      </c>
      <c r="T498" s="33">
        <f t="shared" si="80"/>
        <v>2841.25</v>
      </c>
      <c r="U498" s="42">
        <f t="shared" si="81"/>
        <v>12374944.800000001</v>
      </c>
      <c r="V498" s="44"/>
      <c r="W498" s="29">
        <f t="shared" si="76"/>
        <v>35160311913</v>
      </c>
      <c r="X498" s="41">
        <f t="shared" si="82"/>
        <v>35.033228817800399</v>
      </c>
      <c r="Y498" s="33">
        <f t="shared" si="83"/>
        <v>433.02520879868592</v>
      </c>
      <c r="Z498" s="33">
        <v>0.8</v>
      </c>
      <c r="AA498" s="29">
        <f t="shared" si="84"/>
        <v>346.42016703894876</v>
      </c>
      <c r="AB498" s="33">
        <f t="shared" si="85"/>
        <v>3276.0529035147315</v>
      </c>
      <c r="AC498" s="29">
        <v>284</v>
      </c>
      <c r="AD498" s="46">
        <f t="shared" si="86"/>
        <v>8.6689686755457768E-2</v>
      </c>
    </row>
    <row r="499" spans="1:30" hidden="1" x14ac:dyDescent="0.2">
      <c r="A499" s="30" t="s">
        <v>8849</v>
      </c>
      <c r="B499" s="29">
        <v>3</v>
      </c>
      <c r="C499" s="29">
        <v>1</v>
      </c>
      <c r="D499" s="29">
        <v>356</v>
      </c>
      <c r="E499" s="29">
        <v>6855</v>
      </c>
      <c r="F499" s="29">
        <v>2409</v>
      </c>
      <c r="G499" s="29">
        <v>2367</v>
      </c>
      <c r="H499" s="29">
        <v>35150</v>
      </c>
      <c r="I499" s="29">
        <v>1705</v>
      </c>
      <c r="J499" s="29">
        <v>62742752</v>
      </c>
      <c r="K499" s="29">
        <v>3845</v>
      </c>
      <c r="L499" s="29">
        <v>7615</v>
      </c>
      <c r="N499" s="34"/>
      <c r="O499" s="29">
        <f t="shared" si="77"/>
        <v>5730</v>
      </c>
      <c r="P499" s="32" cm="1">
        <f t="array" ref="P499">WPNFACTOR(C499)</f>
        <v>2</v>
      </c>
      <c r="Q499" s="34" cm="1">
        <f t="array" ref="Q499">HPFACTOr(C499)</f>
        <v>5</v>
      </c>
      <c r="R499" s="33">
        <f t="shared" si="78"/>
        <v>2865</v>
      </c>
      <c r="S499" s="34">
        <f t="shared" si="79"/>
        <v>12548550.4</v>
      </c>
      <c r="T499" s="33">
        <f t="shared" si="80"/>
        <v>2865</v>
      </c>
      <c r="U499" s="42">
        <f t="shared" si="81"/>
        <v>12548550.4</v>
      </c>
      <c r="V499" s="44"/>
      <c r="W499" s="29">
        <f t="shared" si="76"/>
        <v>35951596896</v>
      </c>
      <c r="X499" s="41">
        <f t="shared" si="82"/>
        <v>35.065336802508249</v>
      </c>
      <c r="Y499" s="33">
        <f t="shared" si="83"/>
        <v>435.44122832786451</v>
      </c>
      <c r="Z499" s="33">
        <v>0.8</v>
      </c>
      <c r="AA499" s="29">
        <f t="shared" si="84"/>
        <v>348.35298266229165</v>
      </c>
      <c r="AB499" s="33">
        <f t="shared" si="85"/>
        <v>3300.4467376835837</v>
      </c>
      <c r="AC499" s="29">
        <v>285</v>
      </c>
      <c r="AD499" s="46">
        <f t="shared" si="86"/>
        <v>8.6351946464079912E-2</v>
      </c>
    </row>
    <row r="500" spans="1:30" hidden="1" x14ac:dyDescent="0.2">
      <c r="A500" s="30" t="s">
        <v>8849</v>
      </c>
      <c r="B500" s="29">
        <v>4</v>
      </c>
      <c r="C500" s="29">
        <v>1</v>
      </c>
      <c r="D500" s="29">
        <v>358</v>
      </c>
      <c r="E500" s="29">
        <v>6899</v>
      </c>
      <c r="F500" s="29">
        <v>2424</v>
      </c>
      <c r="G500" s="29">
        <v>2383</v>
      </c>
      <c r="H500" s="29">
        <v>35442</v>
      </c>
      <c r="I500" s="29">
        <v>1708</v>
      </c>
      <c r="J500" s="29">
        <v>63618392</v>
      </c>
      <c r="K500" s="29">
        <v>3829</v>
      </c>
      <c r="L500" s="29">
        <v>7653</v>
      </c>
      <c r="N500" s="34"/>
      <c r="O500" s="29">
        <f t="shared" si="77"/>
        <v>5741</v>
      </c>
      <c r="P500" s="32" cm="1">
        <f t="array" ref="P500">WPNFACTOR(C500)</f>
        <v>2</v>
      </c>
      <c r="Q500" s="34" cm="1">
        <f t="array" ref="Q500">HPFACTOr(C500)</f>
        <v>5</v>
      </c>
      <c r="R500" s="33">
        <f t="shared" si="78"/>
        <v>2870.5</v>
      </c>
      <c r="S500" s="34">
        <f t="shared" si="79"/>
        <v>12723678.4</v>
      </c>
      <c r="T500" s="33">
        <f t="shared" si="80"/>
        <v>2870.5</v>
      </c>
      <c r="U500" s="42">
        <f t="shared" si="81"/>
        <v>12723678.4</v>
      </c>
      <c r="V500" s="44"/>
      <c r="W500" s="29">
        <f t="shared" si="76"/>
        <v>36523318847.200005</v>
      </c>
      <c r="X500" s="41">
        <f t="shared" si="82"/>
        <v>35.088098816792844</v>
      </c>
      <c r="Y500" s="33">
        <f t="shared" si="83"/>
        <v>437.16215551393174</v>
      </c>
      <c r="Z500" s="33">
        <v>0.8</v>
      </c>
      <c r="AA500" s="29">
        <f t="shared" si="84"/>
        <v>349.72972441114541</v>
      </c>
      <c r="AB500" s="33">
        <f t="shared" si="85"/>
        <v>3317.8499787138599</v>
      </c>
      <c r="AC500" s="29">
        <v>286</v>
      </c>
      <c r="AD500" s="46">
        <f t="shared" si="86"/>
        <v>8.6200401415034988E-2</v>
      </c>
    </row>
    <row r="501" spans="1:30" hidden="1" x14ac:dyDescent="0.2">
      <c r="A501" s="30" t="s">
        <v>8849</v>
      </c>
      <c r="B501" s="29">
        <v>5</v>
      </c>
      <c r="C501" s="29">
        <v>3</v>
      </c>
      <c r="D501" s="29">
        <v>360</v>
      </c>
      <c r="E501" s="29">
        <v>1752</v>
      </c>
      <c r="F501" s="29">
        <v>6944</v>
      </c>
      <c r="G501" s="29">
        <v>1736</v>
      </c>
      <c r="H501" s="29">
        <v>35728</v>
      </c>
      <c r="I501" s="29">
        <v>2544</v>
      </c>
      <c r="J501" s="29">
        <v>51591232</v>
      </c>
      <c r="K501" s="29">
        <v>4813</v>
      </c>
      <c r="L501" s="29">
        <v>9626</v>
      </c>
      <c r="N501" s="34"/>
      <c r="O501" s="29">
        <f t="shared" si="77"/>
        <v>7219.5</v>
      </c>
      <c r="P501" s="32" cm="1">
        <f t="array" ref="P501">WPNFACTOR(C501)</f>
        <v>2.5</v>
      </c>
      <c r="Q501" s="34" cm="1">
        <f t="array" ref="Q501">HPFACTOr(C501)</f>
        <v>4</v>
      </c>
      <c r="R501" s="33">
        <f t="shared" si="78"/>
        <v>2887.8</v>
      </c>
      <c r="S501" s="34">
        <f t="shared" si="79"/>
        <v>12897808</v>
      </c>
      <c r="T501" s="33">
        <f t="shared" si="80"/>
        <v>2887.8</v>
      </c>
      <c r="U501" s="42">
        <f t="shared" si="81"/>
        <v>12897808</v>
      </c>
      <c r="V501" s="44"/>
      <c r="W501" s="29">
        <f t="shared" si="76"/>
        <v>37246289942.400002</v>
      </c>
      <c r="X501" s="41">
        <f t="shared" si="82"/>
        <v>35.116377676508314</v>
      </c>
      <c r="Y501" s="33">
        <f t="shared" si="83"/>
        <v>439.30966185332488</v>
      </c>
      <c r="Z501" s="33">
        <v>0.8</v>
      </c>
      <c r="AA501" s="29">
        <f t="shared" si="84"/>
        <v>351.44772948265995</v>
      </c>
      <c r="AB501" s="33">
        <f t="shared" si="85"/>
        <v>3339.5991350330232</v>
      </c>
      <c r="AC501" s="29">
        <v>288</v>
      </c>
      <c r="AD501" s="46">
        <f t="shared" si="86"/>
        <v>8.6237895135025583E-2</v>
      </c>
    </row>
    <row r="502" spans="1:30" hidden="1" x14ac:dyDescent="0.2">
      <c r="A502" s="30" t="s">
        <v>8849</v>
      </c>
      <c r="B502" s="29">
        <v>6</v>
      </c>
      <c r="C502" s="29">
        <v>3</v>
      </c>
      <c r="D502" s="29">
        <v>362</v>
      </c>
      <c r="E502" s="29">
        <v>1762</v>
      </c>
      <c r="F502" s="29">
        <v>6988</v>
      </c>
      <c r="G502" s="29">
        <v>1747</v>
      </c>
      <c r="H502" s="29">
        <v>36008</v>
      </c>
      <c r="I502" s="29">
        <v>2557</v>
      </c>
      <c r="J502" s="29">
        <v>52283616</v>
      </c>
      <c r="K502" s="29">
        <v>4847</v>
      </c>
      <c r="L502" s="29">
        <v>9672</v>
      </c>
      <c r="N502" s="34"/>
      <c r="O502" s="29">
        <f t="shared" si="77"/>
        <v>7259.5</v>
      </c>
      <c r="P502" s="32" cm="1">
        <f t="array" ref="P502">WPNFACTOR(C502)</f>
        <v>2.5</v>
      </c>
      <c r="Q502" s="34" cm="1">
        <f t="array" ref="Q502">HPFACTOr(C502)</f>
        <v>4</v>
      </c>
      <c r="R502" s="33">
        <f t="shared" si="78"/>
        <v>2903.8</v>
      </c>
      <c r="S502" s="34">
        <f t="shared" si="79"/>
        <v>13070904</v>
      </c>
      <c r="T502" s="33">
        <f t="shared" si="80"/>
        <v>2903.8</v>
      </c>
      <c r="U502" s="42">
        <f t="shared" si="81"/>
        <v>13070904</v>
      </c>
      <c r="V502" s="44"/>
      <c r="W502" s="29">
        <f t="shared" si="76"/>
        <v>37955291035.200005</v>
      </c>
      <c r="X502" s="41">
        <f t="shared" si="82"/>
        <v>35.143581962792844</v>
      </c>
      <c r="Y502" s="33">
        <f t="shared" si="83"/>
        <v>441.38551977910049</v>
      </c>
      <c r="Z502" s="33">
        <v>0.8</v>
      </c>
      <c r="AA502" s="29">
        <f t="shared" si="84"/>
        <v>353.10841582328044</v>
      </c>
      <c r="AB502" s="33">
        <f t="shared" si="85"/>
        <v>3360.6563767286339</v>
      </c>
      <c r="AC502" s="29">
        <v>289</v>
      </c>
      <c r="AD502" s="46">
        <f t="shared" si="86"/>
        <v>8.5995105599377425E-2</v>
      </c>
    </row>
    <row r="503" spans="1:30" hidden="1" x14ac:dyDescent="0.2">
      <c r="A503" s="30" t="s">
        <v>8849</v>
      </c>
      <c r="B503" s="29">
        <v>7</v>
      </c>
      <c r="C503" s="29">
        <v>2</v>
      </c>
      <c r="D503" s="29">
        <v>364</v>
      </c>
      <c r="E503" s="29">
        <v>1742</v>
      </c>
      <c r="F503" s="29">
        <v>1773</v>
      </c>
      <c r="G503" s="29">
        <v>7156</v>
      </c>
      <c r="H503" s="29">
        <v>35607</v>
      </c>
      <c r="I503" s="29">
        <v>2563</v>
      </c>
      <c r="J503" s="29">
        <v>25993110</v>
      </c>
      <c r="K503" s="29">
        <v>9198</v>
      </c>
      <c r="L503" s="29">
        <v>17512</v>
      </c>
      <c r="N503" s="34"/>
      <c r="O503" s="29">
        <f t="shared" si="77"/>
        <v>13355</v>
      </c>
      <c r="P503" s="32" cm="1">
        <f t="array" ref="P503">WPNFACTOR(C503)</f>
        <v>4.5</v>
      </c>
      <c r="Q503" s="34" cm="1">
        <f t="array" ref="Q503">HPFACTOr(C503)</f>
        <v>2</v>
      </c>
      <c r="R503" s="33">
        <f t="shared" si="78"/>
        <v>2967.7777777777778</v>
      </c>
      <c r="S503" s="34">
        <f t="shared" si="79"/>
        <v>12996555</v>
      </c>
      <c r="T503" s="33">
        <f t="shared" si="80"/>
        <v>2967.7777777777778</v>
      </c>
      <c r="U503" s="42">
        <f t="shared" si="81"/>
        <v>12996555</v>
      </c>
      <c r="V503" s="44"/>
      <c r="W503" s="29">
        <f t="shared" si="76"/>
        <v>38570887116.666664</v>
      </c>
      <c r="X503" s="41">
        <f t="shared" si="82"/>
        <v>35.166793276694015</v>
      </c>
      <c r="Y503" s="33">
        <f t="shared" si="83"/>
        <v>443.16444208804086</v>
      </c>
      <c r="Z503" s="33">
        <v>0.8</v>
      </c>
      <c r="AA503" s="29">
        <f t="shared" si="84"/>
        <v>354.53155367043269</v>
      </c>
      <c r="AB503" s="33">
        <f t="shared" si="85"/>
        <v>3378.7278313088937</v>
      </c>
      <c r="AC503" s="29">
        <v>289</v>
      </c>
      <c r="AD503" s="46">
        <f t="shared" si="86"/>
        <v>8.5535152409137255E-2</v>
      </c>
    </row>
    <row r="504" spans="1:30" hidden="1" x14ac:dyDescent="0.2">
      <c r="A504" s="30" t="s">
        <v>8849</v>
      </c>
      <c r="B504" s="29">
        <v>8</v>
      </c>
      <c r="C504" s="29">
        <v>1</v>
      </c>
      <c r="D504" s="29">
        <v>366</v>
      </c>
      <c r="E504" s="29">
        <v>7076</v>
      </c>
      <c r="F504" s="29">
        <v>2485</v>
      </c>
      <c r="G504" s="29">
        <v>2447</v>
      </c>
      <c r="H504" s="29">
        <v>36570</v>
      </c>
      <c r="I504" s="29">
        <v>1723</v>
      </c>
      <c r="J504" s="29">
        <v>67105952</v>
      </c>
      <c r="K504" s="29">
        <v>3916</v>
      </c>
      <c r="L504" s="29">
        <v>7591</v>
      </c>
      <c r="N504" s="34"/>
      <c r="O504" s="29">
        <f t="shared" si="77"/>
        <v>5753.5</v>
      </c>
      <c r="P504" s="32" cm="1">
        <f t="array" ref="P504">WPNFACTOR(C504)</f>
        <v>2</v>
      </c>
      <c r="Q504" s="34" cm="1">
        <f t="array" ref="Q504">HPFACTOr(C504)</f>
        <v>5</v>
      </c>
      <c r="R504" s="33">
        <f t="shared" si="78"/>
        <v>2876.75</v>
      </c>
      <c r="S504" s="34">
        <f t="shared" si="79"/>
        <v>13421190.4</v>
      </c>
      <c r="T504" s="33">
        <f t="shared" si="80"/>
        <v>2876.75</v>
      </c>
      <c r="U504" s="42">
        <f t="shared" si="81"/>
        <v>13421190.4</v>
      </c>
      <c r="V504" s="44"/>
      <c r="W504" s="29">
        <f t="shared" si="76"/>
        <v>38609409483.200005</v>
      </c>
      <c r="X504" s="41">
        <f t="shared" si="82"/>
        <v>35.168233437829031</v>
      </c>
      <c r="Y504" s="33">
        <f t="shared" si="83"/>
        <v>443.27505240984414</v>
      </c>
      <c r="Z504" s="33">
        <v>0.8</v>
      </c>
      <c r="AA504" s="29">
        <f t="shared" si="84"/>
        <v>354.62004192787532</v>
      </c>
      <c r="AB504" s="33">
        <f t="shared" si="85"/>
        <v>3379.85228288998</v>
      </c>
      <c r="AC504" s="29">
        <v>292</v>
      </c>
      <c r="AD504" s="46">
        <f t="shared" si="86"/>
        <v>8.6394308259626712E-2</v>
      </c>
    </row>
    <row r="505" spans="1:30" hidden="1" x14ac:dyDescent="0.2">
      <c r="A505" s="30" t="s">
        <v>8849</v>
      </c>
      <c r="B505" s="29">
        <v>9</v>
      </c>
      <c r="C505" s="29">
        <v>1</v>
      </c>
      <c r="D505" s="29">
        <v>368</v>
      </c>
      <c r="E505" s="29">
        <v>7119</v>
      </c>
      <c r="F505" s="29">
        <v>2500</v>
      </c>
      <c r="G505" s="29">
        <v>2463</v>
      </c>
      <c r="H505" s="29">
        <v>36844</v>
      </c>
      <c r="I505" s="29">
        <v>1727</v>
      </c>
      <c r="J505" s="29">
        <v>67977184</v>
      </c>
      <c r="K505" s="29">
        <v>3952</v>
      </c>
      <c r="L505" s="29">
        <v>7833</v>
      </c>
      <c r="N505" s="34"/>
      <c r="O505" s="29">
        <f t="shared" si="77"/>
        <v>5892.5</v>
      </c>
      <c r="P505" s="32" cm="1">
        <f t="array" ref="P505">WPNFACTOR(C505)</f>
        <v>2</v>
      </c>
      <c r="Q505" s="34" cm="1">
        <f t="array" ref="Q505">HPFACTOr(C505)</f>
        <v>5</v>
      </c>
      <c r="R505" s="33">
        <f t="shared" si="78"/>
        <v>2946.25</v>
      </c>
      <c r="S505" s="34">
        <f t="shared" si="79"/>
        <v>13595436.800000001</v>
      </c>
      <c r="T505" s="33">
        <f t="shared" si="80"/>
        <v>2946.25</v>
      </c>
      <c r="U505" s="42">
        <f t="shared" si="81"/>
        <v>13595436.800000001</v>
      </c>
      <c r="V505" s="44"/>
      <c r="W505" s="29">
        <f t="shared" si="76"/>
        <v>40055555672</v>
      </c>
      <c r="X505" s="41">
        <f t="shared" si="82"/>
        <v>35.221283305978794</v>
      </c>
      <c r="Y505" s="33">
        <f t="shared" si="83"/>
        <v>447.36879751268981</v>
      </c>
      <c r="Z505" s="33">
        <v>0.8</v>
      </c>
      <c r="AA505" s="29">
        <f t="shared" si="84"/>
        <v>357.89503801015189</v>
      </c>
      <c r="AB505" s="33">
        <f t="shared" si="85"/>
        <v>3421.5344752813753</v>
      </c>
      <c r="AC505" s="29">
        <v>293</v>
      </c>
      <c r="AD505" s="46">
        <f t="shared" si="86"/>
        <v>8.5634092573597317E-2</v>
      </c>
    </row>
    <row r="506" spans="1:30" hidden="1" x14ac:dyDescent="0.2">
      <c r="A506" s="30" t="s">
        <v>8849</v>
      </c>
      <c r="B506" s="29">
        <v>10</v>
      </c>
      <c r="C506" s="29">
        <v>1</v>
      </c>
      <c r="D506" s="29">
        <v>370</v>
      </c>
      <c r="E506" s="29">
        <v>7163</v>
      </c>
      <c r="F506" s="29">
        <v>2516</v>
      </c>
      <c r="G506" s="29">
        <v>2479</v>
      </c>
      <c r="H506" s="29">
        <v>37114</v>
      </c>
      <c r="I506" s="29">
        <v>1731</v>
      </c>
      <c r="J506" s="29">
        <v>68846472</v>
      </c>
      <c r="K506" s="29">
        <v>3964</v>
      </c>
      <c r="L506" s="29">
        <v>7873</v>
      </c>
      <c r="N506" s="34"/>
      <c r="O506" s="29">
        <f t="shared" si="77"/>
        <v>5918.5</v>
      </c>
      <c r="P506" s="32" cm="1">
        <f t="array" ref="P506">WPNFACTOR(C506)</f>
        <v>2</v>
      </c>
      <c r="Q506" s="34" cm="1">
        <f t="array" ref="Q506">HPFACTOr(C506)</f>
        <v>5</v>
      </c>
      <c r="R506" s="33">
        <f t="shared" si="78"/>
        <v>2959.25</v>
      </c>
      <c r="S506" s="34">
        <f t="shared" si="79"/>
        <v>13769294.4</v>
      </c>
      <c r="T506" s="33">
        <f t="shared" si="80"/>
        <v>2959.25</v>
      </c>
      <c r="U506" s="42">
        <f t="shared" si="81"/>
        <v>13769294.4</v>
      </c>
      <c r="V506" s="44"/>
      <c r="W506" s="29">
        <f t="shared" si="76"/>
        <v>40746784453.200005</v>
      </c>
      <c r="X506" s="41">
        <f t="shared" si="82"/>
        <v>35.245967161923751</v>
      </c>
      <c r="Y506" s="33">
        <f t="shared" si="83"/>
        <v>449.28646505163857</v>
      </c>
      <c r="Z506" s="33">
        <v>0.8</v>
      </c>
      <c r="AA506" s="29">
        <f t="shared" si="84"/>
        <v>359.42917204131089</v>
      </c>
      <c r="AB506" s="33">
        <f t="shared" si="85"/>
        <v>3441.1038589802743</v>
      </c>
      <c r="AC506" s="29">
        <v>294</v>
      </c>
      <c r="AD506" s="46">
        <f t="shared" si="86"/>
        <v>8.5437700240504511E-2</v>
      </c>
    </row>
    <row r="507" spans="1:30" x14ac:dyDescent="0.2">
      <c r="A507" s="30" t="s">
        <v>8850</v>
      </c>
      <c r="B507" s="29">
        <v>1</v>
      </c>
      <c r="C507" s="29">
        <v>1</v>
      </c>
      <c r="D507" s="29">
        <v>372</v>
      </c>
      <c r="E507" s="29">
        <v>7206</v>
      </c>
      <c r="F507" s="29">
        <v>2531</v>
      </c>
      <c r="G507" s="29">
        <v>2494</v>
      </c>
      <c r="H507" s="29">
        <v>37389</v>
      </c>
      <c r="I507" s="29">
        <v>1736</v>
      </c>
      <c r="J507" s="29">
        <v>69730488</v>
      </c>
      <c r="K507" s="29">
        <v>3980</v>
      </c>
      <c r="L507" s="29">
        <v>7945</v>
      </c>
      <c r="N507" s="34"/>
      <c r="O507" s="29">
        <f t="shared" si="77"/>
        <v>5962.5</v>
      </c>
      <c r="P507" s="32" cm="1">
        <f t="array" ref="P507">WPNFACTOR(C507)</f>
        <v>2</v>
      </c>
      <c r="Q507" s="34" cm="1">
        <f t="array" ref="Q507">HPFACTOr(C507)</f>
        <v>5</v>
      </c>
      <c r="R507" s="33">
        <f t="shared" si="78"/>
        <v>2981.25</v>
      </c>
      <c r="S507" s="34">
        <f t="shared" si="79"/>
        <v>13946097.6</v>
      </c>
      <c r="T507" s="33">
        <f t="shared" si="80"/>
        <v>2981.25</v>
      </c>
      <c r="U507" s="42">
        <f t="shared" si="81"/>
        <v>13946097.6</v>
      </c>
      <c r="V507" s="44"/>
      <c r="W507" s="29">
        <f t="shared" si="76"/>
        <v>41576803470</v>
      </c>
      <c r="X507" s="41">
        <f t="shared" si="82"/>
        <v>35.275059793283205</v>
      </c>
      <c r="Y507" s="33">
        <f t="shared" si="83"/>
        <v>451.557202845571</v>
      </c>
      <c r="Z507" s="33">
        <v>0.8</v>
      </c>
      <c r="AA507" s="29">
        <f t="shared" si="84"/>
        <v>361.24576227645684</v>
      </c>
      <c r="AB507" s="33">
        <f t="shared" si="85"/>
        <v>3464.3122714479709</v>
      </c>
      <c r="AC507" s="29">
        <v>292</v>
      </c>
      <c r="AD507" s="46">
        <f t="shared" si="86"/>
        <v>8.4288013643167736E-2</v>
      </c>
    </row>
    <row r="508" spans="1:30" x14ac:dyDescent="0.2">
      <c r="A508" s="30" t="s">
        <v>8850</v>
      </c>
      <c r="B508" s="29">
        <v>2</v>
      </c>
      <c r="C508" s="29">
        <v>3</v>
      </c>
      <c r="D508" s="29">
        <v>374</v>
      </c>
      <c r="E508" s="29">
        <v>1826</v>
      </c>
      <c r="F508" s="29">
        <v>7249</v>
      </c>
      <c r="G508" s="29">
        <v>1812</v>
      </c>
      <c r="H508" s="29">
        <v>37658</v>
      </c>
      <c r="I508" s="29">
        <v>2639</v>
      </c>
      <c r="J508" s="29">
        <v>56487000</v>
      </c>
      <c r="K508" s="29">
        <v>5024</v>
      </c>
      <c r="L508" s="29">
        <v>9980</v>
      </c>
      <c r="N508" s="34"/>
      <c r="O508" s="29">
        <f t="shared" si="77"/>
        <v>7502</v>
      </c>
      <c r="P508" s="32" cm="1">
        <f t="array" ref="P508">WPNFACTOR(C508)</f>
        <v>2.5</v>
      </c>
      <c r="Q508" s="34" cm="1">
        <f t="array" ref="Q508">HPFACTOr(C508)</f>
        <v>4</v>
      </c>
      <c r="R508" s="33">
        <f t="shared" si="78"/>
        <v>3000.8</v>
      </c>
      <c r="S508" s="34">
        <f t="shared" si="79"/>
        <v>14121750</v>
      </c>
      <c r="T508" s="33">
        <f t="shared" si="80"/>
        <v>3000.8</v>
      </c>
      <c r="U508" s="42">
        <f t="shared" si="81"/>
        <v>14121750</v>
      </c>
      <c r="V508" s="44"/>
      <c r="W508" s="29">
        <f t="shared" si="76"/>
        <v>42376547400</v>
      </c>
      <c r="X508" s="41">
        <f t="shared" si="82"/>
        <v>35.302546998787427</v>
      </c>
      <c r="Y508" s="33">
        <f t="shared" si="83"/>
        <v>453.71317701346936</v>
      </c>
      <c r="Z508" s="33">
        <v>0.8</v>
      </c>
      <c r="AA508" s="29">
        <f t="shared" si="84"/>
        <v>362.97054161077551</v>
      </c>
      <c r="AB508" s="33">
        <f t="shared" si="85"/>
        <v>3486.3837606462339</v>
      </c>
      <c r="AC508" s="29">
        <v>295</v>
      </c>
      <c r="AD508" s="46">
        <f t="shared" si="86"/>
        <v>8.4614896194135258E-2</v>
      </c>
    </row>
    <row r="509" spans="1:30" x14ac:dyDescent="0.2">
      <c r="A509" s="30" t="s">
        <v>8850</v>
      </c>
      <c r="B509" s="29">
        <v>3</v>
      </c>
      <c r="C509" s="29">
        <v>1</v>
      </c>
      <c r="D509" s="29">
        <v>376</v>
      </c>
      <c r="E509" s="29">
        <v>7292</v>
      </c>
      <c r="F509" s="29">
        <v>2561</v>
      </c>
      <c r="G509" s="29">
        <v>2525</v>
      </c>
      <c r="H509" s="29">
        <v>37922</v>
      </c>
      <c r="I509" s="29">
        <v>1745</v>
      </c>
      <c r="J509" s="29">
        <v>71482968</v>
      </c>
      <c r="K509" s="29">
        <v>4082</v>
      </c>
      <c r="L509" s="29">
        <v>7966</v>
      </c>
      <c r="N509" s="34"/>
      <c r="O509" s="29">
        <f t="shared" si="77"/>
        <v>6024</v>
      </c>
      <c r="P509" s="32" cm="1">
        <f t="array" ref="P509">WPNFACTOR(C509)</f>
        <v>2</v>
      </c>
      <c r="Q509" s="34" cm="1">
        <f t="array" ref="Q509">HPFACTOr(C509)</f>
        <v>5</v>
      </c>
      <c r="R509" s="33">
        <f t="shared" si="78"/>
        <v>3012</v>
      </c>
      <c r="S509" s="34">
        <f t="shared" si="79"/>
        <v>14296593.6</v>
      </c>
      <c r="T509" s="33">
        <f t="shared" si="80"/>
        <v>3012</v>
      </c>
      <c r="U509" s="42">
        <f t="shared" si="81"/>
        <v>14296593.6</v>
      </c>
      <c r="V509" s="44"/>
      <c r="W509" s="29">
        <f t="shared" si="76"/>
        <v>43061339923.199997</v>
      </c>
      <c r="X509" s="41">
        <f t="shared" si="82"/>
        <v>35.325674160865532</v>
      </c>
      <c r="Y509" s="33">
        <f t="shared" si="83"/>
        <v>455.53514080993483</v>
      </c>
      <c r="Z509" s="33">
        <v>0.8</v>
      </c>
      <c r="AA509" s="29">
        <f t="shared" si="84"/>
        <v>364.4281126479479</v>
      </c>
      <c r="AB509" s="33">
        <f t="shared" si="85"/>
        <v>3505.0631461548192</v>
      </c>
      <c r="AC509" s="29">
        <v>296</v>
      </c>
      <c r="AD509" s="46">
        <f t="shared" si="86"/>
        <v>8.4449263153710277E-2</v>
      </c>
    </row>
    <row r="510" spans="1:30" x14ac:dyDescent="0.2">
      <c r="A510" s="30" t="s">
        <v>8850</v>
      </c>
      <c r="B510" s="29">
        <v>4</v>
      </c>
      <c r="C510" s="29">
        <v>1</v>
      </c>
      <c r="D510" s="29">
        <v>378</v>
      </c>
      <c r="E510" s="29">
        <v>7336</v>
      </c>
      <c r="F510" s="29">
        <v>2576</v>
      </c>
      <c r="G510" s="29">
        <v>2541</v>
      </c>
      <c r="H510" s="29">
        <v>38192</v>
      </c>
      <c r="I510" s="29">
        <v>1750</v>
      </c>
      <c r="J510" s="29">
        <v>72373840</v>
      </c>
      <c r="K510" s="29">
        <v>4055</v>
      </c>
      <c r="L510" s="29">
        <v>8051</v>
      </c>
      <c r="N510" s="34"/>
      <c r="O510" s="29">
        <f t="shared" si="77"/>
        <v>6053</v>
      </c>
      <c r="P510" s="32" cm="1">
        <f t="array" ref="P510">WPNFACTOR(C510)</f>
        <v>2</v>
      </c>
      <c r="Q510" s="34" cm="1">
        <f t="array" ref="Q510">HPFACTOr(C510)</f>
        <v>5</v>
      </c>
      <c r="R510" s="33">
        <f t="shared" si="78"/>
        <v>3026.5</v>
      </c>
      <c r="S510" s="34">
        <f t="shared" si="79"/>
        <v>14474768</v>
      </c>
      <c r="T510" s="33">
        <f t="shared" si="80"/>
        <v>3026.5</v>
      </c>
      <c r="U510" s="42">
        <f t="shared" si="81"/>
        <v>14474768</v>
      </c>
      <c r="V510" s="44"/>
      <c r="W510" s="29">
        <f t="shared" si="76"/>
        <v>43807885352</v>
      </c>
      <c r="X510" s="41">
        <f t="shared" si="82"/>
        <v>35.350471524963069</v>
      </c>
      <c r="Y510" s="33">
        <f t="shared" si="83"/>
        <v>457.49681239477786</v>
      </c>
      <c r="Z510" s="33">
        <v>0.8</v>
      </c>
      <c r="AA510" s="29">
        <f t="shared" si="84"/>
        <v>365.9974499158223</v>
      </c>
      <c r="AB510" s="33">
        <f t="shared" si="85"/>
        <v>3525.2027206520088</v>
      </c>
      <c r="AC510" s="29">
        <v>296</v>
      </c>
      <c r="AD510" s="46">
        <f t="shared" si="86"/>
        <v>8.3966802324846976E-2</v>
      </c>
    </row>
    <row r="511" spans="1:30" x14ac:dyDescent="0.2">
      <c r="A511" s="30" t="s">
        <v>8850</v>
      </c>
      <c r="B511" s="29">
        <v>5</v>
      </c>
      <c r="C511" s="29">
        <v>2</v>
      </c>
      <c r="D511" s="29">
        <v>380</v>
      </c>
      <c r="E511" s="29">
        <v>1830</v>
      </c>
      <c r="F511" s="29">
        <v>1858</v>
      </c>
      <c r="G511" s="29">
        <v>7489</v>
      </c>
      <c r="H511" s="29">
        <v>37846</v>
      </c>
      <c r="I511" s="29">
        <v>2673</v>
      </c>
      <c r="J511" s="29">
        <v>28838652</v>
      </c>
      <c r="K511" s="29">
        <v>9157</v>
      </c>
      <c r="L511" s="29">
        <v>17530</v>
      </c>
      <c r="N511" s="34"/>
      <c r="O511" s="29">
        <f t="shared" si="77"/>
        <v>13343.5</v>
      </c>
      <c r="P511" s="32" cm="1">
        <f t="array" ref="P511">WPNFACTOR(C511)</f>
        <v>4.5</v>
      </c>
      <c r="Q511" s="34" cm="1">
        <f t="array" ref="Q511">HPFACTOr(C511)</f>
        <v>2</v>
      </c>
      <c r="R511" s="33">
        <f t="shared" si="78"/>
        <v>2965.2222222222222</v>
      </c>
      <c r="S511" s="34">
        <f t="shared" si="79"/>
        <v>14419326</v>
      </c>
      <c r="T511" s="33">
        <f t="shared" si="80"/>
        <v>2965.2222222222222</v>
      </c>
      <c r="U511" s="42">
        <f t="shared" si="81"/>
        <v>14419326</v>
      </c>
      <c r="V511" s="44"/>
      <c r="W511" s="29">
        <f t="shared" si="76"/>
        <v>42756505884.666664</v>
      </c>
      <c r="X511" s="41">
        <f t="shared" si="82"/>
        <v>35.31542490789942</v>
      </c>
      <c r="Y511" s="33">
        <f t="shared" si="83"/>
        <v>454.7268010196114</v>
      </c>
      <c r="Z511" s="33">
        <v>0.8</v>
      </c>
      <c r="AA511" s="29">
        <f t="shared" si="84"/>
        <v>363.78144081568917</v>
      </c>
      <c r="AB511" s="33">
        <f t="shared" si="85"/>
        <v>3496.7726953900019</v>
      </c>
      <c r="AC511" s="29">
        <v>297</v>
      </c>
      <c r="AD511" s="46">
        <f t="shared" si="86"/>
        <v>8.4935460744003266E-2</v>
      </c>
    </row>
    <row r="512" spans="1:30" x14ac:dyDescent="0.2">
      <c r="A512" s="30" t="s">
        <v>8850</v>
      </c>
      <c r="B512" s="29">
        <v>6</v>
      </c>
      <c r="C512" s="29">
        <v>3</v>
      </c>
      <c r="D512" s="29">
        <v>382</v>
      </c>
      <c r="E512" s="29">
        <v>1869</v>
      </c>
      <c r="F512" s="29">
        <v>7421</v>
      </c>
      <c r="G512" s="29">
        <v>1855</v>
      </c>
      <c r="H512" s="29">
        <v>38714</v>
      </c>
      <c r="I512" s="29">
        <v>2694</v>
      </c>
      <c r="J512" s="29">
        <v>59309848</v>
      </c>
      <c r="K512" s="29">
        <v>5163</v>
      </c>
      <c r="L512" s="29">
        <v>9965</v>
      </c>
      <c r="N512" s="34"/>
      <c r="O512" s="29">
        <f t="shared" si="77"/>
        <v>7564</v>
      </c>
      <c r="P512" s="32" cm="1">
        <f t="array" ref="P512">WPNFACTOR(C512)</f>
        <v>2.5</v>
      </c>
      <c r="Q512" s="34" cm="1">
        <f t="array" ref="Q512">HPFACTOr(C512)</f>
        <v>4</v>
      </c>
      <c r="R512" s="33">
        <f t="shared" si="78"/>
        <v>3025.6</v>
      </c>
      <c r="S512" s="34">
        <f t="shared" si="79"/>
        <v>14827462</v>
      </c>
      <c r="T512" s="33">
        <f t="shared" si="80"/>
        <v>3025.6</v>
      </c>
      <c r="U512" s="42">
        <f t="shared" si="81"/>
        <v>14827462.000000002</v>
      </c>
      <c r="V512" s="44"/>
      <c r="W512" s="29">
        <f t="shared" si="76"/>
        <v>44861969027.200005</v>
      </c>
      <c r="X512" s="41">
        <f t="shared" si="82"/>
        <v>35.384773891710552</v>
      </c>
      <c r="Y512" s="33">
        <f t="shared" si="83"/>
        <v>460.22433917028059</v>
      </c>
      <c r="Z512" s="33">
        <v>0.8</v>
      </c>
      <c r="AA512" s="29">
        <f t="shared" si="84"/>
        <v>368.17947133622448</v>
      </c>
      <c r="AB512" s="33">
        <f t="shared" si="85"/>
        <v>3553.2528283087277</v>
      </c>
      <c r="AC512" s="29">
        <v>298</v>
      </c>
      <c r="AD512" s="46">
        <f t="shared" si="86"/>
        <v>8.3866815675438897E-2</v>
      </c>
    </row>
    <row r="513" spans="1:30" x14ac:dyDescent="0.2">
      <c r="A513" s="30" t="s">
        <v>8850</v>
      </c>
      <c r="B513" s="29">
        <v>7</v>
      </c>
      <c r="C513" s="29">
        <v>1</v>
      </c>
      <c r="D513" s="29">
        <v>384</v>
      </c>
      <c r="E513" s="29">
        <v>7464</v>
      </c>
      <c r="F513" s="29">
        <v>2620</v>
      </c>
      <c r="G513" s="29">
        <v>2586</v>
      </c>
      <c r="H513" s="29">
        <v>38978</v>
      </c>
      <c r="I513" s="29">
        <v>1765</v>
      </c>
      <c r="J513" s="29">
        <v>75032648</v>
      </c>
      <c r="K513" s="29">
        <v>4115</v>
      </c>
      <c r="L513" s="29">
        <v>8191</v>
      </c>
      <c r="N513" s="34"/>
      <c r="O513" s="29">
        <f t="shared" si="77"/>
        <v>6153</v>
      </c>
      <c r="P513" s="32" cm="1">
        <f t="array" ref="P513">WPNFACTOR(C513)</f>
        <v>2</v>
      </c>
      <c r="Q513" s="34" cm="1">
        <f t="array" ref="Q513">HPFACTOr(C513)</f>
        <v>5</v>
      </c>
      <c r="R513" s="33">
        <f t="shared" si="78"/>
        <v>3076.5</v>
      </c>
      <c r="S513" s="34">
        <f t="shared" si="79"/>
        <v>15006529.6</v>
      </c>
      <c r="T513" s="33">
        <f t="shared" si="80"/>
        <v>3076.5</v>
      </c>
      <c r="U513" s="42">
        <f t="shared" si="81"/>
        <v>15006529.6</v>
      </c>
      <c r="V513" s="44"/>
      <c r="W513" s="29">
        <f t="shared" si="76"/>
        <v>46167588314.400002</v>
      </c>
      <c r="X513" s="41">
        <f t="shared" si="82"/>
        <v>35.426161320253115</v>
      </c>
      <c r="Y513" s="33">
        <f t="shared" si="83"/>
        <v>463.53688415225423</v>
      </c>
      <c r="Z513" s="33">
        <v>0.8</v>
      </c>
      <c r="AA513" s="29">
        <f t="shared" si="84"/>
        <v>370.82950732180342</v>
      </c>
      <c r="AB513" s="33">
        <f t="shared" si="85"/>
        <v>3587.3938797220362</v>
      </c>
      <c r="AD513" s="46">
        <f t="shared" si="86"/>
        <v>0</v>
      </c>
    </row>
    <row r="514" spans="1:30" x14ac:dyDescent="0.2">
      <c r="A514" s="30" t="s">
        <v>8850</v>
      </c>
      <c r="B514" s="29">
        <v>8</v>
      </c>
      <c r="C514" s="29">
        <v>3</v>
      </c>
      <c r="D514" s="29">
        <v>386</v>
      </c>
      <c r="E514" s="29">
        <v>1890</v>
      </c>
      <c r="F514" s="29">
        <v>7507</v>
      </c>
      <c r="G514" s="29">
        <v>1876</v>
      </c>
      <c r="H514" s="29">
        <v>39237</v>
      </c>
      <c r="I514" s="29">
        <v>2721</v>
      </c>
      <c r="J514" s="29">
        <v>60738876</v>
      </c>
      <c r="K514" s="29">
        <v>5162</v>
      </c>
      <c r="L514" s="29">
        <v>10319</v>
      </c>
      <c r="N514" s="34"/>
      <c r="O514" s="29">
        <f t="shared" si="77"/>
        <v>7740.5</v>
      </c>
      <c r="P514" s="32" cm="1">
        <f t="array" ref="P514">WPNFACTOR(C514)</f>
        <v>2.5</v>
      </c>
      <c r="Q514" s="34" cm="1">
        <f t="array" ref="Q514">HPFACTOr(C514)</f>
        <v>4</v>
      </c>
      <c r="R514" s="33">
        <f t="shared" si="78"/>
        <v>3096.2</v>
      </c>
      <c r="S514" s="34">
        <f t="shared" si="79"/>
        <v>15184719</v>
      </c>
      <c r="T514" s="33">
        <f t="shared" si="80"/>
        <v>3096.2</v>
      </c>
      <c r="U514" s="42">
        <f t="shared" si="81"/>
        <v>15184719</v>
      </c>
      <c r="V514" s="44"/>
      <c r="W514" s="29">
        <f t="shared" si="76"/>
        <v>47014926967.799995</v>
      </c>
      <c r="X514" s="41">
        <f t="shared" si="82"/>
        <v>35.452399825736876</v>
      </c>
      <c r="Y514" s="33">
        <f t="shared" si="83"/>
        <v>465.64928609189718</v>
      </c>
      <c r="Z514" s="33">
        <v>0.8</v>
      </c>
      <c r="AA514" s="29">
        <f t="shared" si="84"/>
        <v>372.51942887351777</v>
      </c>
      <c r="AB514" s="33">
        <f t="shared" si="85"/>
        <v>3609.2080881448992</v>
      </c>
      <c r="AD514" s="46">
        <f t="shared" si="86"/>
        <v>0</v>
      </c>
    </row>
    <row r="515" spans="1:30" x14ac:dyDescent="0.2">
      <c r="A515" s="30" t="s">
        <v>8850</v>
      </c>
      <c r="B515" s="29">
        <v>9</v>
      </c>
      <c r="C515" s="29">
        <v>2</v>
      </c>
      <c r="D515" s="29">
        <v>388</v>
      </c>
      <c r="E515" s="29">
        <v>1874</v>
      </c>
      <c r="F515" s="29">
        <v>1900</v>
      </c>
      <c r="G515" s="29">
        <v>7654</v>
      </c>
      <c r="H515" s="29">
        <v>38918</v>
      </c>
      <c r="I515" s="29">
        <v>2729</v>
      </c>
      <c r="J515" s="29">
        <v>30278204</v>
      </c>
      <c r="K515" s="29">
        <v>9868</v>
      </c>
      <c r="L515" s="29">
        <v>18597</v>
      </c>
      <c r="N515" s="34"/>
      <c r="O515" s="29">
        <f t="shared" si="77"/>
        <v>14232.5</v>
      </c>
      <c r="P515" s="32" cm="1">
        <f t="array" ref="P515">WPNFACTOR(C515)</f>
        <v>4.5</v>
      </c>
      <c r="Q515" s="34" cm="1">
        <f t="array" ref="Q515">HPFACTOr(C515)</f>
        <v>2</v>
      </c>
      <c r="R515" s="33">
        <f t="shared" si="78"/>
        <v>3162.7777777777778</v>
      </c>
      <c r="S515" s="34">
        <f t="shared" si="79"/>
        <v>15139102</v>
      </c>
      <c r="T515" s="33">
        <f t="shared" si="80"/>
        <v>3162.7777777777778</v>
      </c>
      <c r="U515" s="42">
        <f t="shared" si="81"/>
        <v>15139102.000000002</v>
      </c>
      <c r="V515" s="44"/>
      <c r="W515" s="29">
        <f t="shared" si="76"/>
        <v>47881615381.111115</v>
      </c>
      <c r="X515" s="41">
        <f t="shared" si="82"/>
        <v>35.478752774150145</v>
      </c>
      <c r="Y515" s="33">
        <f t="shared" si="83"/>
        <v>467.78059121518004</v>
      </c>
      <c r="Z515" s="33">
        <v>0.8</v>
      </c>
      <c r="AA515" s="29">
        <f t="shared" si="84"/>
        <v>374.22447297214404</v>
      </c>
      <c r="AB515" s="33">
        <f t="shared" si="85"/>
        <v>3631.2509603263629</v>
      </c>
      <c r="AD515" s="46">
        <f t="shared" si="86"/>
        <v>0</v>
      </c>
    </row>
    <row r="516" spans="1:30" x14ac:dyDescent="0.2">
      <c r="A516" s="30" t="s">
        <v>8850</v>
      </c>
      <c r="B516" s="29">
        <v>10</v>
      </c>
      <c r="C516" s="29">
        <v>1</v>
      </c>
      <c r="D516" s="29">
        <v>390</v>
      </c>
      <c r="E516" s="29">
        <v>7592</v>
      </c>
      <c r="F516" s="29">
        <v>2665</v>
      </c>
      <c r="G516" s="29">
        <v>2632</v>
      </c>
      <c r="H516" s="29">
        <v>39754</v>
      </c>
      <c r="I516" s="29">
        <v>1781</v>
      </c>
      <c r="J516" s="29">
        <v>77719072</v>
      </c>
      <c r="K516" s="29">
        <v>4180</v>
      </c>
      <c r="L516" s="29">
        <v>8336</v>
      </c>
      <c r="N516" s="34"/>
      <c r="O516" s="29">
        <f t="shared" si="77"/>
        <v>6258</v>
      </c>
      <c r="P516" s="32" cm="1">
        <f t="array" ref="P516">WPNFACTOR(C516)</f>
        <v>2</v>
      </c>
      <c r="Q516" s="34" cm="1">
        <f t="array" ref="Q516">HPFACTOr(C516)</f>
        <v>5</v>
      </c>
      <c r="R516" s="33">
        <f t="shared" si="78"/>
        <v>3129</v>
      </c>
      <c r="S516" s="34">
        <f t="shared" si="79"/>
        <v>15543814.4</v>
      </c>
      <c r="T516" s="33">
        <f t="shared" si="80"/>
        <v>3129</v>
      </c>
      <c r="U516" s="42">
        <f t="shared" si="81"/>
        <v>15543814.4</v>
      </c>
      <c r="V516" s="44"/>
      <c r="W516" s="29">
        <f t="shared" si="76"/>
        <v>48636595257.599998</v>
      </c>
      <c r="X516" s="41">
        <f t="shared" si="82"/>
        <v>35.501323187176069</v>
      </c>
      <c r="Y516" s="33">
        <f t="shared" si="83"/>
        <v>469.61373591670468</v>
      </c>
      <c r="Z516" s="33">
        <v>0.8</v>
      </c>
      <c r="AA516" s="29">
        <f t="shared" si="84"/>
        <v>375.69098873336378</v>
      </c>
      <c r="AB516" s="33">
        <f t="shared" si="85"/>
        <v>3650.2369335805574</v>
      </c>
      <c r="AD516" s="46">
        <f t="shared" si="86"/>
        <v>0</v>
      </c>
    </row>
    <row r="517" spans="1:30" x14ac:dyDescent="0.2">
      <c r="A517" s="30" t="s">
        <v>8851</v>
      </c>
      <c r="B517" s="29">
        <v>1</v>
      </c>
      <c r="C517" s="29">
        <v>2</v>
      </c>
      <c r="D517" s="29">
        <v>392</v>
      </c>
      <c r="E517" s="29">
        <v>1895</v>
      </c>
      <c r="F517" s="29">
        <v>1921</v>
      </c>
      <c r="G517" s="29">
        <v>7737</v>
      </c>
      <c r="H517" s="29">
        <v>39440</v>
      </c>
      <c r="I517" s="29">
        <v>2756</v>
      </c>
      <c r="J517" s="29">
        <v>30999840</v>
      </c>
      <c r="K517" s="29">
        <v>9910</v>
      </c>
      <c r="L517" s="29">
        <v>18710</v>
      </c>
      <c r="N517" s="34"/>
      <c r="O517" s="29">
        <f t="shared" si="77"/>
        <v>14310</v>
      </c>
      <c r="P517" s="32" cm="1">
        <f t="array" ref="P517">WPNFACTOR(C517)</f>
        <v>4.5</v>
      </c>
      <c r="Q517" s="34" cm="1">
        <f t="array" ref="Q517">HPFACTOr(C517)</f>
        <v>2</v>
      </c>
      <c r="R517" s="33">
        <f t="shared" si="78"/>
        <v>3180</v>
      </c>
      <c r="S517" s="34">
        <f t="shared" si="79"/>
        <v>15499920</v>
      </c>
      <c r="T517" s="33">
        <f t="shared" si="80"/>
        <v>3180</v>
      </c>
      <c r="U517" s="42">
        <f t="shared" si="81"/>
        <v>15499920</v>
      </c>
      <c r="V517" s="44"/>
      <c r="W517" s="29">
        <f t="shared" si="76"/>
        <v>49289745600</v>
      </c>
      <c r="X517" s="41">
        <f t="shared" si="82"/>
        <v>35.520568483695598</v>
      </c>
      <c r="Y517" s="33">
        <f t="shared" si="83"/>
        <v>471.18249135913987</v>
      </c>
      <c r="Z517" s="33">
        <v>0.8</v>
      </c>
      <c r="AA517" s="29">
        <f t="shared" si="84"/>
        <v>376.94599308731193</v>
      </c>
      <c r="AB517" s="33">
        <f t="shared" si="85"/>
        <v>3666.5042455142957</v>
      </c>
      <c r="AC517" s="29">
        <v>298</v>
      </c>
      <c r="AD517" s="46">
        <f t="shared" si="86"/>
        <v>8.1276327544030955E-2</v>
      </c>
    </row>
    <row r="518" spans="1:30" x14ac:dyDescent="0.2">
      <c r="A518" s="30" t="s">
        <v>8851</v>
      </c>
      <c r="B518" s="29">
        <v>2</v>
      </c>
      <c r="C518" s="29">
        <v>2</v>
      </c>
      <c r="D518" s="29">
        <v>394</v>
      </c>
      <c r="E518" s="29">
        <v>1906</v>
      </c>
      <c r="F518" s="29">
        <v>1931</v>
      </c>
      <c r="G518" s="29">
        <v>7778</v>
      </c>
      <c r="H518" s="29">
        <v>39704</v>
      </c>
      <c r="I518" s="29">
        <v>2770</v>
      </c>
      <c r="J518" s="29">
        <v>31366160</v>
      </c>
      <c r="K518" s="29">
        <v>9918</v>
      </c>
      <c r="L518" s="29">
        <v>18819</v>
      </c>
      <c r="N518" s="34"/>
      <c r="O518" s="29">
        <f t="shared" si="77"/>
        <v>14368.5</v>
      </c>
      <c r="P518" s="32" cm="1">
        <f t="array" ref="P518">WPNFACTOR(C518)</f>
        <v>4.5</v>
      </c>
      <c r="Q518" s="34" cm="1">
        <f t="array" ref="Q518">HPFACTOr(C518)</f>
        <v>2</v>
      </c>
      <c r="R518" s="33">
        <f t="shared" si="78"/>
        <v>3193</v>
      </c>
      <c r="S518" s="34">
        <f t="shared" si="79"/>
        <v>15683080</v>
      </c>
      <c r="T518" s="33">
        <f t="shared" si="80"/>
        <v>3193</v>
      </c>
      <c r="U518" s="42">
        <f t="shared" si="81"/>
        <v>15683080</v>
      </c>
      <c r="V518" s="44"/>
      <c r="W518" s="29">
        <f t="shared" si="76"/>
        <v>50076074440</v>
      </c>
      <c r="X518" s="41">
        <f t="shared" si="82"/>
        <v>35.543402419931681</v>
      </c>
      <c r="Y518" s="33">
        <f t="shared" si="83"/>
        <v>473.05056887624215</v>
      </c>
      <c r="Z518" s="33">
        <v>0.8</v>
      </c>
      <c r="AA518" s="29">
        <f t="shared" si="84"/>
        <v>378.44045510099374</v>
      </c>
      <c r="AB518" s="33">
        <f t="shared" si="85"/>
        <v>3685.8989560765158</v>
      </c>
      <c r="AC518" s="29">
        <v>299</v>
      </c>
      <c r="AD518" s="46">
        <f t="shared" si="86"/>
        <v>8.1119966543595351E-2</v>
      </c>
    </row>
    <row r="519" spans="1:30" x14ac:dyDescent="0.2">
      <c r="A519" s="30" t="s">
        <v>8851</v>
      </c>
      <c r="B519" s="29">
        <v>3</v>
      </c>
      <c r="C519" s="29">
        <v>1</v>
      </c>
      <c r="D519" s="29">
        <v>396</v>
      </c>
      <c r="E519" s="29">
        <v>7718</v>
      </c>
      <c r="F519" s="29">
        <v>2709</v>
      </c>
      <c r="G519" s="29">
        <v>2677</v>
      </c>
      <c r="H519" s="29">
        <v>40513</v>
      </c>
      <c r="I519" s="29">
        <v>1797</v>
      </c>
      <c r="J519" s="29">
        <v>80418304</v>
      </c>
      <c r="K519" s="29">
        <v>4237</v>
      </c>
      <c r="L519" s="29">
        <v>8464</v>
      </c>
      <c r="N519" s="34"/>
      <c r="O519" s="29">
        <f t="shared" si="77"/>
        <v>6350.5</v>
      </c>
      <c r="P519" s="32" cm="1">
        <f t="array" ref="P519">WPNFACTOR(C519)</f>
        <v>2</v>
      </c>
      <c r="Q519" s="34" cm="1">
        <f t="array" ref="Q519">HPFACTOr(C519)</f>
        <v>5</v>
      </c>
      <c r="R519" s="33">
        <f t="shared" si="78"/>
        <v>3175.25</v>
      </c>
      <c r="S519" s="34">
        <f t="shared" si="79"/>
        <v>16083660.800000001</v>
      </c>
      <c r="T519" s="33">
        <f t="shared" si="80"/>
        <v>3175.25</v>
      </c>
      <c r="U519" s="42">
        <f t="shared" si="81"/>
        <v>16083660.800000001</v>
      </c>
      <c r="V519" s="44"/>
      <c r="W519" s="29">
        <f t="shared" si="76"/>
        <v>51069643955.200005</v>
      </c>
      <c r="X519" s="41">
        <f t="shared" si="82"/>
        <v>35.57174694984959</v>
      </c>
      <c r="Y519" s="33">
        <f t="shared" si="83"/>
        <v>475.3797824018967</v>
      </c>
      <c r="Z519" s="33">
        <v>0.8</v>
      </c>
      <c r="AA519" s="29">
        <f t="shared" si="84"/>
        <v>380.30382592151739</v>
      </c>
      <c r="AB519" s="33">
        <f t="shared" si="85"/>
        <v>3710.1170388362634</v>
      </c>
      <c r="AD519" s="46">
        <f t="shared" si="86"/>
        <v>0</v>
      </c>
    </row>
    <row r="520" spans="1:30" x14ac:dyDescent="0.2">
      <c r="A520" s="30" t="s">
        <v>8851</v>
      </c>
      <c r="B520" s="29">
        <v>4</v>
      </c>
      <c r="C520" s="29">
        <v>3</v>
      </c>
      <c r="D520" s="29">
        <v>398</v>
      </c>
      <c r="E520" s="29">
        <v>1952</v>
      </c>
      <c r="F520" s="29">
        <v>7761</v>
      </c>
      <c r="G520" s="29">
        <v>1940</v>
      </c>
      <c r="H520" s="29">
        <v>40766</v>
      </c>
      <c r="I520" s="29">
        <v>2804</v>
      </c>
      <c r="J520" s="29">
        <v>65062536</v>
      </c>
      <c r="K520" s="29">
        <v>5335</v>
      </c>
      <c r="L520" s="29">
        <v>10577</v>
      </c>
      <c r="N520" s="34"/>
      <c r="O520" s="29">
        <f t="shared" si="77"/>
        <v>7956</v>
      </c>
      <c r="P520" s="32" cm="1">
        <f t="array" ref="P520">WPNFACTOR(C520)</f>
        <v>2.5</v>
      </c>
      <c r="Q520" s="34" cm="1">
        <f t="array" ref="Q520">HPFACTOr(C520)</f>
        <v>4</v>
      </c>
      <c r="R520" s="33">
        <f t="shared" si="78"/>
        <v>3182.4</v>
      </c>
      <c r="S520" s="34">
        <f t="shared" si="79"/>
        <v>16265634</v>
      </c>
      <c r="T520" s="33">
        <f t="shared" si="80"/>
        <v>3182.4</v>
      </c>
      <c r="U520" s="42">
        <f t="shared" si="81"/>
        <v>16265634</v>
      </c>
      <c r="V520" s="44"/>
      <c r="W520" s="29">
        <f t="shared" si="76"/>
        <v>51763753641.599998</v>
      </c>
      <c r="X520" s="41">
        <f t="shared" si="82"/>
        <v>35.59122318683329</v>
      </c>
      <c r="Y520" s="33">
        <f t="shared" si="83"/>
        <v>476.9868875790051</v>
      </c>
      <c r="Z520" s="33">
        <v>0.8</v>
      </c>
      <c r="AA520" s="29">
        <f t="shared" si="84"/>
        <v>381.5895100632041</v>
      </c>
      <c r="AB520" s="33">
        <f t="shared" si="85"/>
        <v>3726.8500610796427</v>
      </c>
      <c r="AD520" s="46">
        <f t="shared" si="86"/>
        <v>0</v>
      </c>
    </row>
    <row r="521" spans="1:30" x14ac:dyDescent="0.2">
      <c r="A521" s="30" t="s">
        <v>8851</v>
      </c>
      <c r="B521" s="29">
        <v>5</v>
      </c>
      <c r="C521" s="29">
        <v>2</v>
      </c>
      <c r="D521" s="29">
        <v>400</v>
      </c>
      <c r="E521" s="29">
        <v>1938</v>
      </c>
      <c r="F521" s="29">
        <v>1963</v>
      </c>
      <c r="G521" s="29">
        <v>7901</v>
      </c>
      <c r="H521" s="29">
        <v>40480</v>
      </c>
      <c r="I521" s="29">
        <v>2812</v>
      </c>
      <c r="J521" s="29">
        <v>32464960</v>
      </c>
      <c r="K521" s="29">
        <v>9869</v>
      </c>
      <c r="L521" s="29">
        <v>19019</v>
      </c>
      <c r="N521" s="34"/>
      <c r="O521" s="29">
        <f t="shared" si="77"/>
        <v>14444</v>
      </c>
      <c r="P521" s="32" cm="1">
        <f t="array" ref="P521">WPNFACTOR(C521)</f>
        <v>4.5</v>
      </c>
      <c r="Q521" s="34" cm="1">
        <f t="array" ref="Q521">HPFACTOr(C521)</f>
        <v>2</v>
      </c>
      <c r="R521" s="33">
        <f t="shared" si="78"/>
        <v>3209.7777777777778</v>
      </c>
      <c r="S521" s="34">
        <f t="shared" si="79"/>
        <v>16232480</v>
      </c>
      <c r="T521" s="33">
        <f t="shared" si="80"/>
        <v>3209.7777777777778</v>
      </c>
      <c r="U521" s="42">
        <f t="shared" si="81"/>
        <v>16232480</v>
      </c>
      <c r="V521" s="44"/>
      <c r="W521" s="29">
        <f t="shared" si="76"/>
        <v>52102653582.222221</v>
      </c>
      <c r="X521" s="41">
        <f t="shared" si="82"/>
        <v>35.600637799542923</v>
      </c>
      <c r="Y521" s="33">
        <f t="shared" si="83"/>
        <v>477.76569248288308</v>
      </c>
      <c r="Z521" s="33">
        <v>0.8</v>
      </c>
      <c r="AA521" s="29">
        <f t="shared" si="84"/>
        <v>382.21255398630649</v>
      </c>
      <c r="AB521" s="33">
        <f t="shared" si="85"/>
        <v>3734.9656682721384</v>
      </c>
      <c r="AD521" s="46">
        <f t="shared" si="86"/>
        <v>0</v>
      </c>
    </row>
    <row r="522" spans="1:30" x14ac:dyDescent="0.2">
      <c r="A522" s="30" t="s">
        <v>8851</v>
      </c>
      <c r="B522" s="29">
        <v>6</v>
      </c>
      <c r="C522" s="29">
        <v>1</v>
      </c>
      <c r="D522" s="29">
        <v>404</v>
      </c>
      <c r="E522" s="29">
        <v>7884</v>
      </c>
      <c r="F522" s="29">
        <v>2766</v>
      </c>
      <c r="G522" s="29">
        <v>2736</v>
      </c>
      <c r="H522" s="29">
        <v>41476</v>
      </c>
      <c r="I522" s="29">
        <v>1824</v>
      </c>
      <c r="J522" s="29">
        <v>83988896</v>
      </c>
      <c r="K522" s="29">
        <v>4343</v>
      </c>
      <c r="L522" s="29">
        <v>8638</v>
      </c>
      <c r="N522" s="34"/>
      <c r="O522" s="29">
        <f t="shared" si="77"/>
        <v>6490.5</v>
      </c>
      <c r="P522" s="32" cm="1">
        <f t="array" ref="P522">WPNFACTOR(C522)</f>
        <v>2</v>
      </c>
      <c r="Q522" s="34" cm="1">
        <f t="array" ref="Q522">HPFACTOr(C522)</f>
        <v>5</v>
      </c>
      <c r="R522" s="33">
        <f t="shared" si="78"/>
        <v>3245.25</v>
      </c>
      <c r="S522" s="34">
        <f t="shared" si="79"/>
        <v>16797779.199999999</v>
      </c>
      <c r="T522" s="33">
        <f t="shared" si="80"/>
        <v>3245.25</v>
      </c>
      <c r="U522" s="42">
        <f t="shared" si="81"/>
        <v>16797779.199999999</v>
      </c>
      <c r="V522" s="44"/>
      <c r="W522" s="29">
        <f t="shared" si="76"/>
        <v>54512992948.799995</v>
      </c>
      <c r="X522" s="41">
        <f t="shared" si="82"/>
        <v>35.665881080207996</v>
      </c>
      <c r="Y522" s="33">
        <f t="shared" si="83"/>
        <v>483.19786503988252</v>
      </c>
      <c r="Z522" s="33">
        <v>0.8</v>
      </c>
      <c r="AA522" s="29">
        <f t="shared" si="84"/>
        <v>386.55829203190603</v>
      </c>
      <c r="AB522" s="33">
        <f t="shared" si="85"/>
        <v>3791.6945323332338</v>
      </c>
      <c r="AD522" s="46">
        <f t="shared" si="86"/>
        <v>0</v>
      </c>
    </row>
    <row r="523" spans="1:30" x14ac:dyDescent="0.2">
      <c r="A523" s="30" t="s">
        <v>8851</v>
      </c>
      <c r="B523" s="29">
        <v>7</v>
      </c>
      <c r="C523" s="29">
        <v>3</v>
      </c>
      <c r="D523" s="29">
        <v>408</v>
      </c>
      <c r="E523" s="29">
        <v>2003</v>
      </c>
      <c r="F523" s="29">
        <v>7965</v>
      </c>
      <c r="G523" s="29">
        <v>1991</v>
      </c>
      <c r="H523" s="29">
        <v>41932</v>
      </c>
      <c r="I523" s="29">
        <v>2874</v>
      </c>
      <c r="J523" s="29">
        <v>68600752</v>
      </c>
      <c r="K523" s="29">
        <v>5473</v>
      </c>
      <c r="L523" s="29">
        <v>10904</v>
      </c>
      <c r="N523" s="34"/>
      <c r="O523" s="29">
        <f t="shared" si="77"/>
        <v>8188.5</v>
      </c>
      <c r="P523" s="32" cm="1">
        <f t="array" ref="P523">WPNFACTOR(C523)</f>
        <v>2.5</v>
      </c>
      <c r="Q523" s="34" cm="1">
        <f t="array" ref="Q523">HPFACTOr(C523)</f>
        <v>4</v>
      </c>
      <c r="R523" s="33">
        <f t="shared" si="78"/>
        <v>3275.4</v>
      </c>
      <c r="S523" s="34">
        <f t="shared" si="79"/>
        <v>17150188</v>
      </c>
      <c r="T523" s="33">
        <f t="shared" si="80"/>
        <v>3275.4</v>
      </c>
      <c r="U523" s="42">
        <f t="shared" si="81"/>
        <v>17150188</v>
      </c>
      <c r="V523" s="44"/>
      <c r="W523" s="29">
        <f t="shared" si="76"/>
        <v>56173725775.200005</v>
      </c>
      <c r="X523" s="41">
        <f t="shared" si="82"/>
        <v>35.709176443069197</v>
      </c>
      <c r="Y523" s="33">
        <f t="shared" si="83"/>
        <v>486.83669724064151</v>
      </c>
      <c r="Z523" s="33">
        <v>0.8</v>
      </c>
      <c r="AA523" s="29">
        <f t="shared" si="84"/>
        <v>389.46935779251322</v>
      </c>
      <c r="AB523" s="33">
        <f t="shared" si="85"/>
        <v>3829.8145368771065</v>
      </c>
      <c r="AD523" s="46">
        <f t="shared" si="86"/>
        <v>0</v>
      </c>
    </row>
    <row r="524" spans="1:30" x14ac:dyDescent="0.2">
      <c r="A524" s="30" t="s">
        <v>8851</v>
      </c>
      <c r="B524" s="29">
        <v>8</v>
      </c>
      <c r="C524" s="29">
        <v>1</v>
      </c>
      <c r="D524" s="29">
        <v>412</v>
      </c>
      <c r="E524" s="29">
        <v>8046</v>
      </c>
      <c r="F524" s="29">
        <v>2823</v>
      </c>
      <c r="G524" s="29">
        <v>2793</v>
      </c>
      <c r="H524" s="29">
        <v>42383</v>
      </c>
      <c r="I524" s="29">
        <v>1854</v>
      </c>
      <c r="J524" s="29">
        <v>87520896</v>
      </c>
      <c r="K524" s="29">
        <v>4431</v>
      </c>
      <c r="L524" s="29">
        <v>8806</v>
      </c>
      <c r="N524" s="34"/>
      <c r="O524" s="29">
        <f t="shared" si="77"/>
        <v>6618.5</v>
      </c>
      <c r="P524" s="32" cm="1">
        <f t="array" ref="P524">WPNFACTOR(C524)</f>
        <v>2</v>
      </c>
      <c r="Q524" s="34" cm="1">
        <f t="array" ref="Q524">HPFACTOr(C524)</f>
        <v>5</v>
      </c>
      <c r="R524" s="33">
        <f t="shared" si="78"/>
        <v>3309.25</v>
      </c>
      <c r="S524" s="34">
        <f t="shared" si="79"/>
        <v>17504179.199999999</v>
      </c>
      <c r="T524" s="33">
        <f t="shared" si="80"/>
        <v>3309.25</v>
      </c>
      <c r="U524" s="42">
        <f t="shared" si="81"/>
        <v>17504179.199999999</v>
      </c>
      <c r="V524" s="44"/>
      <c r="W524" s="29">
        <f t="shared" si="76"/>
        <v>57925705017.599998</v>
      </c>
      <c r="X524" s="41">
        <f t="shared" si="82"/>
        <v>35.753484647207664</v>
      </c>
      <c r="Y524" s="33">
        <f t="shared" si="83"/>
        <v>490.58902921602891</v>
      </c>
      <c r="Z524" s="33">
        <v>0.8</v>
      </c>
      <c r="AA524" s="29">
        <f t="shared" si="84"/>
        <v>392.47122337282315</v>
      </c>
      <c r="AB524" s="33">
        <f t="shared" si="85"/>
        <v>3869.2231372146543</v>
      </c>
      <c r="AD524" s="46">
        <f t="shared" si="86"/>
        <v>0</v>
      </c>
    </row>
    <row r="525" spans="1:30" x14ac:dyDescent="0.2">
      <c r="A525" s="30" t="s">
        <v>8851</v>
      </c>
      <c r="B525" s="29">
        <v>9</v>
      </c>
      <c r="C525" s="29">
        <v>1</v>
      </c>
      <c r="D525" s="29">
        <v>416</v>
      </c>
      <c r="E525" s="29">
        <v>8127</v>
      </c>
      <c r="F525" s="29">
        <v>2851</v>
      </c>
      <c r="G525" s="29">
        <v>2821</v>
      </c>
      <c r="H525" s="29">
        <v>42840</v>
      </c>
      <c r="I525" s="29">
        <v>1868</v>
      </c>
      <c r="J525" s="29">
        <v>89321400</v>
      </c>
      <c r="K525" s="29">
        <v>4609</v>
      </c>
      <c r="L525" s="29">
        <v>8868</v>
      </c>
      <c r="N525" s="34"/>
      <c r="O525" s="29">
        <f t="shared" si="77"/>
        <v>6738.5</v>
      </c>
      <c r="P525" s="32" cm="1">
        <f t="array" ref="P525">WPNFACTOR(C525)</f>
        <v>2</v>
      </c>
      <c r="Q525" s="34" cm="1">
        <f t="array" ref="Q525">HPFACTOr(C525)</f>
        <v>5</v>
      </c>
      <c r="R525" s="33">
        <f t="shared" si="78"/>
        <v>3369.25</v>
      </c>
      <c r="S525" s="34">
        <f t="shared" si="79"/>
        <v>17864280</v>
      </c>
      <c r="T525" s="33">
        <f t="shared" si="80"/>
        <v>3369.25</v>
      </c>
      <c r="U525" s="42">
        <f t="shared" si="81"/>
        <v>17864280</v>
      </c>
      <c r="V525" s="44"/>
      <c r="W525" s="29">
        <f t="shared" si="76"/>
        <v>60189225390</v>
      </c>
      <c r="X525" s="41">
        <f t="shared" si="82"/>
        <v>35.808786198854328</v>
      </c>
      <c r="Y525" s="33">
        <f t="shared" si="83"/>
        <v>495.31295655289205</v>
      </c>
      <c r="Z525" s="33">
        <v>0.8</v>
      </c>
      <c r="AA525" s="29">
        <f t="shared" si="84"/>
        <v>396.25036524231365</v>
      </c>
      <c r="AB525" s="33">
        <f t="shared" si="85"/>
        <v>3918.9788353812041</v>
      </c>
      <c r="AD525" s="46">
        <f t="shared" si="86"/>
        <v>0</v>
      </c>
    </row>
    <row r="526" spans="1:30" x14ac:dyDescent="0.2">
      <c r="A526" s="30" t="s">
        <v>8851</v>
      </c>
      <c r="B526" s="29">
        <v>10</v>
      </c>
      <c r="C526" s="29">
        <v>1</v>
      </c>
      <c r="D526" s="29">
        <v>420</v>
      </c>
      <c r="E526" s="29">
        <v>8208</v>
      </c>
      <c r="F526" s="29">
        <v>2880</v>
      </c>
      <c r="G526" s="29">
        <v>2850</v>
      </c>
      <c r="H526" s="29">
        <v>43296</v>
      </c>
      <c r="I526" s="29">
        <v>1884</v>
      </c>
      <c r="J526" s="29">
        <v>91138080</v>
      </c>
      <c r="K526" s="29">
        <v>4499</v>
      </c>
      <c r="L526" s="29">
        <v>8979</v>
      </c>
      <c r="N526" s="34"/>
      <c r="O526" s="29">
        <f t="shared" si="77"/>
        <v>6739</v>
      </c>
      <c r="P526" s="32" cm="1">
        <f t="array" ref="P526">WPNFACTOR(C526)</f>
        <v>2</v>
      </c>
      <c r="Q526" s="34" cm="1">
        <f t="array" ref="Q526">HPFACTOr(C526)</f>
        <v>5</v>
      </c>
      <c r="R526" s="33">
        <f t="shared" si="78"/>
        <v>3369.5</v>
      </c>
      <c r="S526" s="34">
        <f t="shared" si="79"/>
        <v>18227616</v>
      </c>
      <c r="T526" s="33">
        <f t="shared" si="80"/>
        <v>3369.5</v>
      </c>
      <c r="U526" s="42">
        <f t="shared" si="81"/>
        <v>18227616</v>
      </c>
      <c r="V526" s="44"/>
      <c r="W526" s="29">
        <f t="shared" si="76"/>
        <v>61417952112</v>
      </c>
      <c r="X526" s="41">
        <f t="shared" si="82"/>
        <v>35.83794135752219</v>
      </c>
      <c r="Y526" s="33">
        <f t="shared" si="83"/>
        <v>497.82171068945547</v>
      </c>
      <c r="Z526" s="33">
        <v>0.8</v>
      </c>
      <c r="AA526" s="29">
        <f t="shared" si="84"/>
        <v>398.25736855156441</v>
      </c>
      <c r="AB526" s="33">
        <f t="shared" si="85"/>
        <v>3945.4672592667075</v>
      </c>
      <c r="AD526" s="46">
        <f t="shared" si="86"/>
        <v>0</v>
      </c>
    </row>
    <row r="527" spans="1:30" x14ac:dyDescent="0.2">
      <c r="A527" s="30" t="s">
        <v>8852</v>
      </c>
      <c r="B527" s="29">
        <v>1</v>
      </c>
      <c r="C527" s="29">
        <v>1</v>
      </c>
      <c r="D527" s="29">
        <v>424</v>
      </c>
      <c r="E527" s="29">
        <v>9041</v>
      </c>
      <c r="F527" s="29">
        <v>3171</v>
      </c>
      <c r="G527" s="29">
        <v>3141</v>
      </c>
      <c r="H527" s="29">
        <v>47883</v>
      </c>
      <c r="I527" s="29">
        <v>2049</v>
      </c>
      <c r="J527" s="29">
        <v>101751376</v>
      </c>
      <c r="K527" s="29">
        <v>4535</v>
      </c>
      <c r="L527" s="29">
        <v>9045</v>
      </c>
      <c r="N527" s="34"/>
      <c r="O527" s="29">
        <f t="shared" si="77"/>
        <v>6790</v>
      </c>
      <c r="P527" s="32" cm="1">
        <f t="array" ref="P527">WPNFACTOR(C527)</f>
        <v>2</v>
      </c>
      <c r="Q527" s="34" cm="1">
        <f t="array" ref="Q527">HPFACTOr(C527)</f>
        <v>5</v>
      </c>
      <c r="R527" s="33">
        <f t="shared" si="78"/>
        <v>3395</v>
      </c>
      <c r="S527" s="34">
        <f t="shared" si="79"/>
        <v>20350275.199999999</v>
      </c>
      <c r="T527" s="33">
        <f t="shared" si="80"/>
        <v>3395</v>
      </c>
      <c r="U527" s="42">
        <f t="shared" si="81"/>
        <v>20350275.199999999</v>
      </c>
      <c r="V527" s="44"/>
      <c r="W527" s="29">
        <f t="shared" si="76"/>
        <v>69089184304</v>
      </c>
      <c r="X527" s="41">
        <f t="shared" si="82"/>
        <v>36.007740827760983</v>
      </c>
      <c r="Y527" s="33">
        <f t="shared" si="83"/>
        <v>512.68724904515477</v>
      </c>
      <c r="Z527" s="33">
        <v>0.8</v>
      </c>
      <c r="AA527" s="29">
        <f t="shared" si="84"/>
        <v>410.14979923612384</v>
      </c>
      <c r="AB527" s="33">
        <f t="shared" si="85"/>
        <v>4103.3322959623611</v>
      </c>
      <c r="AD527" s="46">
        <f t="shared" si="86"/>
        <v>0</v>
      </c>
    </row>
    <row r="528" spans="1:30" x14ac:dyDescent="0.2">
      <c r="A528" s="30" t="s">
        <v>8852</v>
      </c>
      <c r="B528" s="29">
        <v>2</v>
      </c>
      <c r="C528" s="29">
        <v>2</v>
      </c>
      <c r="D528" s="29">
        <v>428</v>
      </c>
      <c r="E528" s="29">
        <v>2342</v>
      </c>
      <c r="F528" s="29">
        <v>2365</v>
      </c>
      <c r="G528" s="29">
        <v>9511</v>
      </c>
      <c r="H528" s="29">
        <v>49434</v>
      </c>
      <c r="I528" s="29">
        <v>3374</v>
      </c>
      <c r="J528" s="29">
        <v>42414372</v>
      </c>
      <c r="K528" s="29">
        <v>10557</v>
      </c>
      <c r="L528" s="29">
        <v>20581</v>
      </c>
      <c r="N528" s="34"/>
      <c r="O528" s="29">
        <f t="shared" si="77"/>
        <v>15569</v>
      </c>
      <c r="P528" s="32" cm="1">
        <f t="array" ref="P528">WPNFACTOR(C528)</f>
        <v>4.5</v>
      </c>
      <c r="Q528" s="34" cm="1">
        <f t="array" ref="Q528">HPFACTOr(C528)</f>
        <v>2</v>
      </c>
      <c r="R528" s="33">
        <f t="shared" si="78"/>
        <v>3459.7777777777778</v>
      </c>
      <c r="S528" s="34">
        <f t="shared" si="79"/>
        <v>21207186</v>
      </c>
      <c r="T528" s="33">
        <f t="shared" si="80"/>
        <v>3459.7777777777778</v>
      </c>
      <c r="U528" s="42">
        <f t="shared" si="81"/>
        <v>21207186</v>
      </c>
      <c r="V528" s="44"/>
      <c r="W528" s="29">
        <f t="shared" si="76"/>
        <v>73372150852</v>
      </c>
      <c r="X528" s="41">
        <f t="shared" si="82"/>
        <v>36.094513526224127</v>
      </c>
      <c r="Y528" s="33">
        <f t="shared" si="83"/>
        <v>520.45455350711995</v>
      </c>
      <c r="Z528" s="33">
        <v>0.8</v>
      </c>
      <c r="AA528" s="29">
        <f t="shared" si="84"/>
        <v>416.36364280569597</v>
      </c>
      <c r="AB528" s="33">
        <f t="shared" si="85"/>
        <v>4186.4291921635122</v>
      </c>
      <c r="AD528" s="46">
        <f t="shared" si="86"/>
        <v>0</v>
      </c>
    </row>
    <row r="529" spans="1:30" x14ac:dyDescent="0.2">
      <c r="A529" s="30" t="s">
        <v>8852</v>
      </c>
      <c r="B529" s="29">
        <v>3</v>
      </c>
      <c r="C529" s="29">
        <v>1</v>
      </c>
      <c r="D529" s="29">
        <v>432</v>
      </c>
      <c r="E529" s="29">
        <v>9811</v>
      </c>
      <c r="F529" s="29">
        <v>3441</v>
      </c>
      <c r="G529" s="29">
        <v>3411</v>
      </c>
      <c r="H529" s="29">
        <v>52140</v>
      </c>
      <c r="I529" s="29">
        <v>2201</v>
      </c>
      <c r="J529" s="29">
        <v>112883104</v>
      </c>
      <c r="K529" s="29">
        <v>4628</v>
      </c>
      <c r="L529" s="29">
        <v>9222</v>
      </c>
      <c r="N529" s="34"/>
      <c r="O529" s="29">
        <f t="shared" si="77"/>
        <v>6925</v>
      </c>
      <c r="P529" s="32" cm="1">
        <f t="array" ref="P529">WPNFACTOR(C529)</f>
        <v>2</v>
      </c>
      <c r="Q529" s="34" cm="1">
        <f t="array" ref="Q529">HPFACTOr(C529)</f>
        <v>5</v>
      </c>
      <c r="R529" s="33">
        <f t="shared" si="78"/>
        <v>3462.5</v>
      </c>
      <c r="S529" s="34">
        <f t="shared" si="79"/>
        <v>22576620.800000001</v>
      </c>
      <c r="T529" s="33">
        <f t="shared" si="80"/>
        <v>3462.5</v>
      </c>
      <c r="U529" s="42">
        <f t="shared" si="81"/>
        <v>22576620.800000001</v>
      </c>
      <c r="V529" s="44"/>
      <c r="W529" s="29">
        <f t="shared" si="76"/>
        <v>78171549520</v>
      </c>
      <c r="X529" s="41">
        <f t="shared" si="82"/>
        <v>36.185924584095289</v>
      </c>
      <c r="Y529" s="33">
        <f t="shared" si="83"/>
        <v>528.76436632982518</v>
      </c>
      <c r="Z529" s="33">
        <v>0.8</v>
      </c>
      <c r="AA529" s="29">
        <f t="shared" si="84"/>
        <v>423.01149306386014</v>
      </c>
      <c r="AB529" s="33">
        <f t="shared" si="85"/>
        <v>4275.7887494180122</v>
      </c>
      <c r="AD529" s="46">
        <f t="shared" si="86"/>
        <v>0</v>
      </c>
    </row>
    <row r="530" spans="1:30" x14ac:dyDescent="0.2">
      <c r="A530" s="30" t="s">
        <v>8852</v>
      </c>
      <c r="B530" s="29">
        <v>4</v>
      </c>
      <c r="C530" s="29">
        <v>2</v>
      </c>
      <c r="D530" s="29">
        <v>436</v>
      </c>
      <c r="E530" s="29">
        <v>2545</v>
      </c>
      <c r="F530" s="29">
        <v>2568</v>
      </c>
      <c r="G530" s="29">
        <v>10322</v>
      </c>
      <c r="H530" s="29">
        <v>53922</v>
      </c>
      <c r="I530" s="29">
        <v>3657</v>
      </c>
      <c r="J530" s="29">
        <v>47127828</v>
      </c>
      <c r="K530" s="29">
        <v>10533</v>
      </c>
      <c r="L530" s="29">
        <v>19240</v>
      </c>
      <c r="N530" s="34"/>
      <c r="O530" s="29">
        <f t="shared" si="77"/>
        <v>14886.5</v>
      </c>
      <c r="P530" s="32" cm="1">
        <f t="array" ref="P530">WPNFACTOR(C530)</f>
        <v>4.5</v>
      </c>
      <c r="Q530" s="34" cm="1">
        <f t="array" ref="Q530">HPFACTOr(C530)</f>
        <v>2</v>
      </c>
      <c r="R530" s="33">
        <f t="shared" si="78"/>
        <v>3308.1111111111113</v>
      </c>
      <c r="S530" s="34">
        <f t="shared" si="79"/>
        <v>23563914</v>
      </c>
      <c r="T530" s="33">
        <f t="shared" si="80"/>
        <v>3308.1111111111113</v>
      </c>
      <c r="U530" s="42">
        <f t="shared" si="81"/>
        <v>23563913.999999996</v>
      </c>
      <c r="V530" s="44"/>
      <c r="W530" s="29">
        <f t="shared" si="76"/>
        <v>77952045724.666656</v>
      </c>
      <c r="X530" s="41">
        <f t="shared" si="82"/>
        <v>36.181867833478591</v>
      </c>
      <c r="Y530" s="33">
        <f t="shared" si="83"/>
        <v>528.39278548378604</v>
      </c>
      <c r="Z530" s="33">
        <v>0.8</v>
      </c>
      <c r="AA530" s="29">
        <f t="shared" si="84"/>
        <v>422.71422838702887</v>
      </c>
      <c r="AB530" s="33">
        <f t="shared" si="85"/>
        <v>4271.7828942863007</v>
      </c>
      <c r="AD530" s="46">
        <f t="shared" si="86"/>
        <v>0</v>
      </c>
    </row>
    <row r="531" spans="1:30" x14ac:dyDescent="0.2">
      <c r="A531" s="30" t="s">
        <v>8852</v>
      </c>
      <c r="B531" s="29">
        <v>5</v>
      </c>
      <c r="C531" s="29">
        <v>1</v>
      </c>
      <c r="D531" s="29">
        <v>440</v>
      </c>
      <c r="E531" s="29">
        <v>10958</v>
      </c>
      <c r="F531" s="29">
        <v>3842</v>
      </c>
      <c r="G531" s="29">
        <v>3813</v>
      </c>
      <c r="H531" s="29">
        <v>58465</v>
      </c>
      <c r="I531" s="29">
        <v>2428</v>
      </c>
      <c r="J531" s="29">
        <v>128915328</v>
      </c>
      <c r="K531" s="29">
        <v>4709</v>
      </c>
      <c r="L531" s="29">
        <v>9401</v>
      </c>
      <c r="N531" s="34"/>
      <c r="O531" s="29">
        <f t="shared" si="77"/>
        <v>7055</v>
      </c>
      <c r="P531" s="32" cm="1">
        <f t="array" ref="P531">WPNFACTOR(C531)</f>
        <v>2</v>
      </c>
      <c r="Q531" s="34" cm="1">
        <f t="array" ref="Q531">HPFACTOr(C531)</f>
        <v>5</v>
      </c>
      <c r="R531" s="33">
        <f t="shared" si="78"/>
        <v>3527.5</v>
      </c>
      <c r="S531" s="34">
        <f t="shared" si="79"/>
        <v>25783065.600000001</v>
      </c>
      <c r="T531" s="33">
        <f t="shared" si="80"/>
        <v>3527.5</v>
      </c>
      <c r="U531" s="42">
        <f t="shared" si="81"/>
        <v>25783065.600000005</v>
      </c>
      <c r="V531" s="44"/>
      <c r="W531" s="29">
        <f t="shared" si="76"/>
        <v>90949763904.000015</v>
      </c>
      <c r="X531" s="41">
        <f t="shared" si="82"/>
        <v>36.404350841670997</v>
      </c>
      <c r="Y531" s="33">
        <f t="shared" si="83"/>
        <v>549.16189376803072</v>
      </c>
      <c r="Z531" s="33">
        <v>0.8</v>
      </c>
      <c r="AA531" s="29">
        <f t="shared" si="84"/>
        <v>439.3295150144246</v>
      </c>
      <c r="AB531" s="33">
        <f t="shared" si="85"/>
        <v>4497.1136042100143</v>
      </c>
      <c r="AD531" s="46">
        <f t="shared" si="86"/>
        <v>0</v>
      </c>
    </row>
    <row r="532" spans="1:30" x14ac:dyDescent="0.2">
      <c r="A532" s="30" t="s">
        <v>8852</v>
      </c>
      <c r="B532" s="29">
        <v>6</v>
      </c>
      <c r="C532" s="29">
        <v>3</v>
      </c>
      <c r="D532" s="29">
        <v>444</v>
      </c>
      <c r="E532" s="29">
        <v>3133</v>
      </c>
      <c r="F532" s="29">
        <v>12490</v>
      </c>
      <c r="G532" s="29">
        <v>3122</v>
      </c>
      <c r="H532" s="29">
        <v>66896</v>
      </c>
      <c r="I532" s="29">
        <v>4454</v>
      </c>
      <c r="J532" s="29">
        <v>119074880</v>
      </c>
      <c r="K532" s="29">
        <v>5942</v>
      </c>
      <c r="L532" s="29">
        <v>11862</v>
      </c>
      <c r="N532" s="34"/>
      <c r="O532" s="29">
        <f t="shared" si="77"/>
        <v>8902</v>
      </c>
      <c r="P532" s="32" cm="1">
        <f t="array" ref="P532">WPNFACTOR(C532)</f>
        <v>2.5</v>
      </c>
      <c r="Q532" s="34" cm="1">
        <f t="array" ref="Q532">HPFACTOr(C532)</f>
        <v>4</v>
      </c>
      <c r="R532" s="33">
        <f t="shared" si="78"/>
        <v>3560.8</v>
      </c>
      <c r="S532" s="34">
        <f t="shared" si="79"/>
        <v>29768720</v>
      </c>
      <c r="T532" s="33">
        <f t="shared" si="80"/>
        <v>3560.8</v>
      </c>
      <c r="U532" s="42">
        <f t="shared" si="81"/>
        <v>29768720</v>
      </c>
      <c r="V532" s="44"/>
      <c r="W532" s="29">
        <f t="shared" si="76"/>
        <v>106000458176</v>
      </c>
      <c r="X532" s="41">
        <f t="shared" si="82"/>
        <v>36.625279544462806</v>
      </c>
      <c r="Y532" s="33">
        <f t="shared" si="83"/>
        <v>570.59365187446019</v>
      </c>
      <c r="Z532" s="33">
        <v>0.8</v>
      </c>
      <c r="AA532" s="29">
        <f t="shared" si="84"/>
        <v>456.47492149956815</v>
      </c>
      <c r="AB532" s="33">
        <f t="shared" si="85"/>
        <v>4732.6303099412817</v>
      </c>
      <c r="AD532" s="46">
        <f t="shared" si="86"/>
        <v>0</v>
      </c>
    </row>
    <row r="533" spans="1:30" x14ac:dyDescent="0.2">
      <c r="A533" s="30" t="s">
        <v>8852</v>
      </c>
      <c r="B533" s="29">
        <v>7</v>
      </c>
      <c r="C533" s="29">
        <v>2</v>
      </c>
      <c r="D533" s="29">
        <v>448</v>
      </c>
      <c r="E533" s="29">
        <v>3360</v>
      </c>
      <c r="F533" s="29">
        <v>3383</v>
      </c>
      <c r="G533" s="29">
        <v>13579</v>
      </c>
      <c r="H533" s="29">
        <v>71868</v>
      </c>
      <c r="I533" s="29">
        <v>4796</v>
      </c>
      <c r="J533" s="29">
        <v>64537464</v>
      </c>
      <c r="K533" s="29">
        <v>11207</v>
      </c>
      <c r="L533" s="29">
        <v>20640</v>
      </c>
      <c r="N533" s="34"/>
      <c r="O533" s="29">
        <f t="shared" si="77"/>
        <v>15923.5</v>
      </c>
      <c r="P533" s="32" cm="1">
        <f t="array" ref="P533">WPNFACTOR(C533)</f>
        <v>4.5</v>
      </c>
      <c r="Q533" s="34" cm="1">
        <f t="array" ref="Q533">HPFACTOr(C533)</f>
        <v>2</v>
      </c>
      <c r="R533" s="33">
        <f t="shared" si="78"/>
        <v>3538.5555555555557</v>
      </c>
      <c r="S533" s="34">
        <f t="shared" si="79"/>
        <v>32268732</v>
      </c>
      <c r="T533" s="33">
        <f t="shared" si="80"/>
        <v>3538.5555555555557</v>
      </c>
      <c r="U533" s="42">
        <f t="shared" si="81"/>
        <v>32268732</v>
      </c>
      <c r="V533" s="44"/>
      <c r="W533" s="29">
        <f t="shared" si="76"/>
        <v>114184700889.33334</v>
      </c>
      <c r="X533" s="41">
        <f t="shared" si="82"/>
        <v>36.732578406986391</v>
      </c>
      <c r="Y533" s="33">
        <f t="shared" si="83"/>
        <v>581.30221747052337</v>
      </c>
      <c r="Z533" s="33">
        <v>0.8</v>
      </c>
      <c r="AA533" s="29">
        <f t="shared" si="84"/>
        <v>465.04177397641871</v>
      </c>
      <c r="AB533" s="33">
        <f t="shared" si="85"/>
        <v>4851.4248251404269</v>
      </c>
      <c r="AD533" s="46">
        <f t="shared" si="86"/>
        <v>0</v>
      </c>
    </row>
    <row r="534" spans="1:30" x14ac:dyDescent="0.2">
      <c r="A534" s="30" t="s">
        <v>8852</v>
      </c>
      <c r="B534" s="29">
        <v>8</v>
      </c>
      <c r="C534" s="29">
        <v>1</v>
      </c>
      <c r="D534" s="29">
        <v>452</v>
      </c>
      <c r="E534" s="29">
        <v>14533</v>
      </c>
      <c r="F534" s="29">
        <v>5093</v>
      </c>
      <c r="G534" s="29">
        <v>5064</v>
      </c>
      <c r="H534" s="29">
        <v>78150</v>
      </c>
      <c r="I534" s="29">
        <v>3140</v>
      </c>
      <c r="J534" s="29">
        <v>177009744</v>
      </c>
      <c r="K534" s="29">
        <v>4879</v>
      </c>
      <c r="L534" s="29">
        <v>9249</v>
      </c>
      <c r="N534" s="34"/>
      <c r="O534" s="29">
        <f t="shared" si="77"/>
        <v>7064</v>
      </c>
      <c r="P534" s="32" cm="1">
        <f t="array" ref="P534">WPNFACTOR(C534)</f>
        <v>2</v>
      </c>
      <c r="Q534" s="34" cm="1">
        <f t="array" ref="Q534">HPFACTOr(C534)</f>
        <v>5</v>
      </c>
      <c r="R534" s="33">
        <f t="shared" si="78"/>
        <v>3532</v>
      </c>
      <c r="S534" s="34">
        <f t="shared" si="79"/>
        <v>35401948.799999997</v>
      </c>
      <c r="T534" s="33">
        <f t="shared" si="80"/>
        <v>3532</v>
      </c>
      <c r="U534" s="42">
        <f t="shared" si="81"/>
        <v>35401948.799999997</v>
      </c>
      <c r="V534" s="44"/>
      <c r="W534" s="29">
        <f t="shared" si="76"/>
        <v>125039683161.59999</v>
      </c>
      <c r="X534" s="41">
        <f t="shared" si="82"/>
        <v>36.86359507156687</v>
      </c>
      <c r="Y534" s="33">
        <f t="shared" si="83"/>
        <v>594.65074338239799</v>
      </c>
      <c r="Z534" s="33">
        <v>0.8</v>
      </c>
      <c r="AA534" s="29">
        <f t="shared" si="84"/>
        <v>475.72059470591842</v>
      </c>
      <c r="AB534" s="33">
        <f t="shared" si="85"/>
        <v>5000.5290528399746</v>
      </c>
      <c r="AD534" s="46">
        <f t="shared" si="86"/>
        <v>0</v>
      </c>
    </row>
    <row r="535" spans="1:30" x14ac:dyDescent="0.2">
      <c r="A535" s="30" t="s">
        <v>8852</v>
      </c>
      <c r="B535" s="29">
        <v>9</v>
      </c>
      <c r="C535" s="29">
        <v>1</v>
      </c>
      <c r="D535" s="29">
        <v>456</v>
      </c>
      <c r="E535" s="29">
        <v>15630</v>
      </c>
      <c r="F535" s="29">
        <v>5477</v>
      </c>
      <c r="G535" s="29">
        <v>5448</v>
      </c>
      <c r="H535" s="29">
        <v>84188</v>
      </c>
      <c r="I535" s="29">
        <v>3359</v>
      </c>
      <c r="J535" s="29">
        <v>192369584</v>
      </c>
      <c r="K535" s="29">
        <v>4880</v>
      </c>
      <c r="L535" s="29">
        <v>9743</v>
      </c>
      <c r="N535" s="34"/>
      <c r="O535" s="29">
        <f t="shared" si="77"/>
        <v>7311.5</v>
      </c>
      <c r="P535" s="32" cm="1">
        <f t="array" ref="P535">WPNFACTOR(C535)</f>
        <v>2</v>
      </c>
      <c r="Q535" s="34" cm="1">
        <f t="array" ref="Q535">HPFACTOr(C535)</f>
        <v>5</v>
      </c>
      <c r="R535" s="33">
        <f t="shared" si="78"/>
        <v>3655.75</v>
      </c>
      <c r="S535" s="34">
        <f t="shared" si="79"/>
        <v>38473916.799999997</v>
      </c>
      <c r="T535" s="33">
        <f t="shared" si="80"/>
        <v>3655.75</v>
      </c>
      <c r="U535" s="42">
        <f t="shared" si="81"/>
        <v>38473916.799999997</v>
      </c>
      <c r="V535" s="44"/>
      <c r="W535" s="29">
        <f t="shared" si="76"/>
        <v>140651021341.59998</v>
      </c>
      <c r="X535" s="41">
        <f t="shared" si="82"/>
        <v>37.033329072624845</v>
      </c>
      <c r="Y535" s="33">
        <f t="shared" si="83"/>
        <v>612.40076217888566</v>
      </c>
      <c r="Z535" s="33">
        <v>0.8</v>
      </c>
      <c r="AA535" s="29">
        <f t="shared" si="84"/>
        <v>489.92060974310857</v>
      </c>
      <c r="AB535" s="33">
        <f t="shared" si="85"/>
        <v>5200.5302879024748</v>
      </c>
      <c r="AD535" s="46">
        <f t="shared" si="86"/>
        <v>0</v>
      </c>
    </row>
    <row r="536" spans="1:30" x14ac:dyDescent="0.2">
      <c r="A536" s="30" t="s">
        <v>8852</v>
      </c>
      <c r="B536" s="29">
        <v>10</v>
      </c>
      <c r="C536" s="29">
        <v>1</v>
      </c>
      <c r="D536" s="29">
        <v>460</v>
      </c>
      <c r="E536" s="29">
        <v>19366</v>
      </c>
      <c r="F536" s="29">
        <v>6785</v>
      </c>
      <c r="G536" s="29">
        <v>6756</v>
      </c>
      <c r="H536" s="29">
        <v>104742</v>
      </c>
      <c r="I536" s="29">
        <v>4105</v>
      </c>
      <c r="J536" s="29">
        <v>241430304</v>
      </c>
      <c r="K536" s="29">
        <v>4919</v>
      </c>
      <c r="L536" s="29">
        <v>9823</v>
      </c>
      <c r="N536" s="34"/>
      <c r="O536" s="29">
        <f t="shared" si="77"/>
        <v>7371</v>
      </c>
      <c r="P536" s="32" cm="1">
        <f t="array" ref="P536">WPNFACTOR(C536)</f>
        <v>2</v>
      </c>
      <c r="Q536" s="34" cm="1">
        <f t="array" ref="Q536">HPFACTOr(C536)</f>
        <v>5</v>
      </c>
      <c r="R536" s="33">
        <f t="shared" si="78"/>
        <v>3685.5</v>
      </c>
      <c r="S536" s="34">
        <f t="shared" si="79"/>
        <v>48286060.799999997</v>
      </c>
      <c r="T536" s="33">
        <f t="shared" si="80"/>
        <v>3685.5</v>
      </c>
      <c r="U536" s="42">
        <f t="shared" si="81"/>
        <v>48286060.799999997</v>
      </c>
      <c r="V536" s="44"/>
      <c r="W536" s="29">
        <f t="shared" ref="W536:W599" si="97">T536*U536</f>
        <v>177958277078.39999</v>
      </c>
      <c r="X536" s="41">
        <f t="shared" si="82"/>
        <v>37.372748079852592</v>
      </c>
      <c r="Y536" s="33">
        <f t="shared" si="83"/>
        <v>649.50058729185662</v>
      </c>
      <c r="Z536" s="33">
        <v>0.8</v>
      </c>
      <c r="AA536" s="29">
        <f t="shared" si="84"/>
        <v>519.60046983348536</v>
      </c>
      <c r="AB536" s="33">
        <f t="shared" si="85"/>
        <v>5624.7867792457719</v>
      </c>
      <c r="AD536" s="46">
        <f t="shared" si="86"/>
        <v>0</v>
      </c>
    </row>
    <row r="537" spans="1:30" x14ac:dyDescent="0.2">
      <c r="A537" s="30" t="s">
        <v>8853</v>
      </c>
      <c r="B537" s="29">
        <v>1</v>
      </c>
      <c r="C537" s="29">
        <v>1</v>
      </c>
      <c r="D537" s="29">
        <v>464</v>
      </c>
      <c r="E537" s="29">
        <v>9040</v>
      </c>
      <c r="F537" s="29">
        <v>3173</v>
      </c>
      <c r="G537" s="29">
        <v>3135</v>
      </c>
      <c r="H537" s="29">
        <v>47416</v>
      </c>
      <c r="I537" s="29">
        <v>2110</v>
      </c>
      <c r="J537" s="29">
        <v>110242200</v>
      </c>
      <c r="K537" s="29">
        <v>4966</v>
      </c>
      <c r="L537" s="29">
        <v>9792</v>
      </c>
      <c r="N537" s="34"/>
      <c r="O537" s="29">
        <f t="shared" si="77"/>
        <v>7379</v>
      </c>
      <c r="P537" s="32" cm="1">
        <f t="array" ref="P537">WPNFACTOR(C537)</f>
        <v>2</v>
      </c>
      <c r="Q537" s="34" cm="1">
        <f t="array" ref="Q537">HPFACTOr(C537)</f>
        <v>5</v>
      </c>
      <c r="R537" s="33">
        <f t="shared" si="78"/>
        <v>3689.5</v>
      </c>
      <c r="S537" s="34">
        <f t="shared" si="79"/>
        <v>22048440</v>
      </c>
      <c r="T537" s="33">
        <f t="shared" si="80"/>
        <v>3689.5</v>
      </c>
      <c r="U537" s="42">
        <f t="shared" si="81"/>
        <v>22048440</v>
      </c>
      <c r="V537" s="44"/>
      <c r="W537" s="29">
        <f t="shared" si="97"/>
        <v>81347719380</v>
      </c>
      <c r="X537" s="41">
        <f t="shared" si="82"/>
        <v>36.243382848732274</v>
      </c>
      <c r="Y537" s="33">
        <f t="shared" si="83"/>
        <v>534.05544271962174</v>
      </c>
      <c r="Z537" s="33">
        <v>0.8</v>
      </c>
      <c r="AA537" s="29">
        <f t="shared" si="84"/>
        <v>427.24435417569742</v>
      </c>
      <c r="AB537" s="33">
        <f t="shared" si="85"/>
        <v>4332.9312074314366</v>
      </c>
      <c r="AD537" s="46">
        <f t="shared" si="86"/>
        <v>0</v>
      </c>
    </row>
    <row r="538" spans="1:30" x14ac:dyDescent="0.2">
      <c r="A538" s="30" t="s">
        <v>8853</v>
      </c>
      <c r="B538" s="29">
        <v>2</v>
      </c>
      <c r="C538" s="29">
        <v>1</v>
      </c>
      <c r="D538" s="29">
        <v>468</v>
      </c>
      <c r="E538" s="29">
        <v>9126</v>
      </c>
      <c r="F538" s="29">
        <v>3202</v>
      </c>
      <c r="G538" s="29">
        <v>3166</v>
      </c>
      <c r="H538" s="29">
        <v>47938</v>
      </c>
      <c r="I538" s="29">
        <v>2120</v>
      </c>
      <c r="J538" s="29">
        <v>112414608</v>
      </c>
      <c r="K538" s="29">
        <v>5030</v>
      </c>
      <c r="L538" s="29">
        <v>9944</v>
      </c>
      <c r="N538" s="34"/>
      <c r="O538" s="29">
        <f t="shared" si="77"/>
        <v>7487</v>
      </c>
      <c r="P538" s="32" cm="1">
        <f t="array" ref="P538">WPNFACTOR(C538)</f>
        <v>2</v>
      </c>
      <c r="Q538" s="34" cm="1">
        <f t="array" ref="Q538">HPFACTOr(C538)</f>
        <v>5</v>
      </c>
      <c r="R538" s="33">
        <f t="shared" si="78"/>
        <v>3743.5</v>
      </c>
      <c r="S538" s="34">
        <f t="shared" si="79"/>
        <v>22482921.600000001</v>
      </c>
      <c r="T538" s="33">
        <f t="shared" si="80"/>
        <v>3743.5</v>
      </c>
      <c r="U538" s="42">
        <f t="shared" si="81"/>
        <v>22482921.600000001</v>
      </c>
      <c r="V538" s="44"/>
      <c r="W538" s="29">
        <f t="shared" si="97"/>
        <v>84164817009.600006</v>
      </c>
      <c r="X538" s="41">
        <f t="shared" si="82"/>
        <v>36.292498225711398</v>
      </c>
      <c r="Y538" s="33">
        <f t="shared" si="83"/>
        <v>538.6202112255387</v>
      </c>
      <c r="Z538" s="33">
        <v>0.8</v>
      </c>
      <c r="AA538" s="29">
        <f t="shared" si="84"/>
        <v>430.89616898043096</v>
      </c>
      <c r="AB538" s="33">
        <f t="shared" si="85"/>
        <v>4382.381630627835</v>
      </c>
      <c r="AD538" s="46">
        <f t="shared" si="86"/>
        <v>0</v>
      </c>
    </row>
    <row r="539" spans="1:30" x14ac:dyDescent="0.2">
      <c r="A539" s="30" t="s">
        <v>8853</v>
      </c>
      <c r="B539" s="29">
        <v>3</v>
      </c>
      <c r="C539" s="29">
        <v>2</v>
      </c>
      <c r="D539" s="29">
        <v>472</v>
      </c>
      <c r="E539" s="29">
        <v>4576</v>
      </c>
      <c r="F539" s="29">
        <v>4634</v>
      </c>
      <c r="G539" s="29">
        <v>18651</v>
      </c>
      <c r="H539" s="29">
        <v>95656</v>
      </c>
      <c r="I539" s="29">
        <v>6636</v>
      </c>
      <c r="J539" s="29">
        <v>90490576</v>
      </c>
      <c r="K539" s="29">
        <v>11355</v>
      </c>
      <c r="L539" s="29">
        <v>22703</v>
      </c>
      <c r="N539" s="34"/>
      <c r="O539" s="29">
        <f t="shared" si="77"/>
        <v>17029</v>
      </c>
      <c r="P539" s="32" cm="1">
        <f t="array" ref="P539">WPNFACTOR(C539)</f>
        <v>4.5</v>
      </c>
      <c r="Q539" s="34" cm="1">
        <f t="array" ref="Q539">HPFACTOr(C539)</f>
        <v>2</v>
      </c>
      <c r="R539" s="33">
        <f t="shared" si="78"/>
        <v>3784.2222222222222</v>
      </c>
      <c r="S539" s="34">
        <f t="shared" si="79"/>
        <v>45245288</v>
      </c>
      <c r="T539" s="33">
        <f t="shared" si="80"/>
        <v>3784.2222222222222</v>
      </c>
      <c r="U539" s="42">
        <f t="shared" si="81"/>
        <v>45245287.999999993</v>
      </c>
      <c r="V539" s="44"/>
      <c r="W539" s="29">
        <f t="shared" si="97"/>
        <v>171218224300.44443</v>
      </c>
      <c r="X539" s="41">
        <f t="shared" si="82"/>
        <v>37.317045312723018</v>
      </c>
      <c r="Y539" s="33">
        <f t="shared" si="83"/>
        <v>643.26140825155994</v>
      </c>
      <c r="Z539" s="33">
        <v>0.8</v>
      </c>
      <c r="AA539" s="29">
        <f t="shared" si="84"/>
        <v>514.60912660124802</v>
      </c>
      <c r="AB539" s="33">
        <f t="shared" si="85"/>
        <v>5552.8592177174205</v>
      </c>
      <c r="AD539" s="46">
        <f t="shared" si="86"/>
        <v>0</v>
      </c>
    </row>
    <row r="540" spans="1:30" x14ac:dyDescent="0.2">
      <c r="A540" s="30" t="s">
        <v>8853</v>
      </c>
      <c r="B540" s="29">
        <v>4</v>
      </c>
      <c r="C540" s="29">
        <v>1</v>
      </c>
      <c r="D540" s="29">
        <v>476</v>
      </c>
      <c r="E540" s="29">
        <v>18592</v>
      </c>
      <c r="F540" s="29">
        <v>6524</v>
      </c>
      <c r="G540" s="29">
        <v>6454</v>
      </c>
      <c r="H540" s="29">
        <v>97944</v>
      </c>
      <c r="I540" s="29">
        <v>4284</v>
      </c>
      <c r="J540" s="29">
        <v>233596448</v>
      </c>
      <c r="K540" s="29">
        <v>5090</v>
      </c>
      <c r="L540" s="29">
        <v>10175</v>
      </c>
      <c r="N540" s="34"/>
      <c r="O540" s="29">
        <f t="shared" si="77"/>
        <v>7632.5</v>
      </c>
      <c r="P540" s="32" cm="1">
        <f t="array" ref="P540">WPNFACTOR(C540)</f>
        <v>2</v>
      </c>
      <c r="Q540" s="34" cm="1">
        <f t="array" ref="Q540">HPFACTOr(C540)</f>
        <v>5</v>
      </c>
      <c r="R540" s="33">
        <f t="shared" si="78"/>
        <v>3816.25</v>
      </c>
      <c r="S540" s="34">
        <f t="shared" si="79"/>
        <v>46719289.600000001</v>
      </c>
      <c r="T540" s="33">
        <f t="shared" si="80"/>
        <v>3816.25</v>
      </c>
      <c r="U540" s="42">
        <f t="shared" si="81"/>
        <v>46719289.599999994</v>
      </c>
      <c r="V540" s="44"/>
      <c r="W540" s="29">
        <f t="shared" si="97"/>
        <v>178292488935.99997</v>
      </c>
      <c r="X540" s="41">
        <f t="shared" si="82"/>
        <v>37.375454970487027</v>
      </c>
      <c r="Y540" s="33">
        <f t="shared" si="83"/>
        <v>649.80531895938907</v>
      </c>
      <c r="Z540" s="33">
        <v>0.8</v>
      </c>
      <c r="AA540" s="29">
        <f t="shared" si="84"/>
        <v>519.84425516751128</v>
      </c>
      <c r="AB540" s="33">
        <f t="shared" si="85"/>
        <v>5628.3057592270552</v>
      </c>
      <c r="AD540" s="46">
        <f t="shared" si="86"/>
        <v>0</v>
      </c>
    </row>
    <row r="541" spans="1:30" x14ac:dyDescent="0.2">
      <c r="A541" s="30" t="s">
        <v>8853</v>
      </c>
      <c r="B541" s="29">
        <v>5</v>
      </c>
      <c r="C541" s="29">
        <v>1</v>
      </c>
      <c r="D541" s="29">
        <v>480</v>
      </c>
      <c r="E541" s="29">
        <v>18761</v>
      </c>
      <c r="F541" s="29">
        <v>6582</v>
      </c>
      <c r="G541" s="29">
        <v>6514</v>
      </c>
      <c r="H541" s="29">
        <v>98962</v>
      </c>
      <c r="I541" s="29">
        <v>4306</v>
      </c>
      <c r="J541" s="29">
        <v>238003616</v>
      </c>
      <c r="K541" s="29">
        <v>5133</v>
      </c>
      <c r="L541" s="29">
        <v>10259</v>
      </c>
      <c r="N541" s="34"/>
      <c r="O541" s="29">
        <f t="shared" si="77"/>
        <v>7696</v>
      </c>
      <c r="P541" s="32" cm="1">
        <f t="array" ref="P541">WPNFACTOR(C541)</f>
        <v>2</v>
      </c>
      <c r="Q541" s="34" cm="1">
        <f t="array" ref="Q541">HPFACTOr(C541)</f>
        <v>5</v>
      </c>
      <c r="R541" s="33">
        <f t="shared" si="78"/>
        <v>3848</v>
      </c>
      <c r="S541" s="34">
        <f t="shared" si="79"/>
        <v>47600723.200000003</v>
      </c>
      <c r="T541" s="33">
        <f t="shared" si="80"/>
        <v>3848</v>
      </c>
      <c r="U541" s="42">
        <f t="shared" si="81"/>
        <v>47600723.200000003</v>
      </c>
      <c r="V541" s="44"/>
      <c r="W541" s="29">
        <f t="shared" si="97"/>
        <v>183167582873.60001</v>
      </c>
      <c r="X541" s="41">
        <f t="shared" si="82"/>
        <v>37.414373240614118</v>
      </c>
      <c r="Y541" s="33">
        <f t="shared" si="83"/>
        <v>654.20243096788636</v>
      </c>
      <c r="Z541" s="33">
        <v>0.8</v>
      </c>
      <c r="AA541" s="29">
        <f t="shared" si="84"/>
        <v>523.36194477430911</v>
      </c>
      <c r="AB541" s="33">
        <f t="shared" si="85"/>
        <v>5679.1438783729445</v>
      </c>
      <c r="AD541" s="46">
        <f t="shared" si="86"/>
        <v>0</v>
      </c>
    </row>
    <row r="542" spans="1:30" x14ac:dyDescent="0.2">
      <c r="A542" s="30" t="s">
        <v>8853</v>
      </c>
      <c r="B542" s="29">
        <v>6</v>
      </c>
      <c r="C542" s="29">
        <v>2</v>
      </c>
      <c r="D542" s="29">
        <v>484</v>
      </c>
      <c r="E542" s="29">
        <v>7945</v>
      </c>
      <c r="F542" s="29">
        <v>8026</v>
      </c>
      <c r="G542" s="29">
        <v>32266</v>
      </c>
      <c r="H542" s="29">
        <v>167706</v>
      </c>
      <c r="I542" s="29">
        <v>11446</v>
      </c>
      <c r="J542" s="29">
        <v>162674816</v>
      </c>
      <c r="K542" s="29">
        <v>11672</v>
      </c>
      <c r="L542" s="29">
        <v>23265</v>
      </c>
      <c r="N542" s="34"/>
      <c r="O542" s="29">
        <f t="shared" si="77"/>
        <v>17468.5</v>
      </c>
      <c r="P542" s="32" cm="1">
        <f t="array" ref="P542">WPNFACTOR(C542)</f>
        <v>4.5</v>
      </c>
      <c r="Q542" s="34" cm="1">
        <f t="array" ref="Q542">HPFACTOr(C542)</f>
        <v>2</v>
      </c>
      <c r="R542" s="33">
        <f t="shared" si="78"/>
        <v>3881.8888888888887</v>
      </c>
      <c r="S542" s="34">
        <f t="shared" si="79"/>
        <v>81337408</v>
      </c>
      <c r="T542" s="33">
        <f t="shared" si="80"/>
        <v>3881.8888888888887</v>
      </c>
      <c r="U542" s="42">
        <f t="shared" si="81"/>
        <v>81337408</v>
      </c>
      <c r="V542" s="44"/>
      <c r="W542" s="29">
        <f t="shared" si="97"/>
        <v>315742780366.22223</v>
      </c>
      <c r="X542" s="41">
        <f t="shared" si="82"/>
        <v>38.199958790128754</v>
      </c>
      <c r="Y542" s="33">
        <f t="shared" si="83"/>
        <v>749.60652327002663</v>
      </c>
      <c r="Z542" s="33">
        <v>0.8</v>
      </c>
      <c r="AA542" s="29">
        <f t="shared" si="84"/>
        <v>599.6852186160213</v>
      </c>
      <c r="AB542" s="33">
        <f t="shared" si="85"/>
        <v>6809.4360088343183</v>
      </c>
      <c r="AD542" s="46">
        <f t="shared" si="86"/>
        <v>0</v>
      </c>
    </row>
    <row r="543" spans="1:30" x14ac:dyDescent="0.2">
      <c r="A543" s="30" t="s">
        <v>8853</v>
      </c>
      <c r="B543" s="29">
        <v>7</v>
      </c>
      <c r="C543" s="29">
        <v>3</v>
      </c>
      <c r="D543" s="29">
        <v>488</v>
      </c>
      <c r="E543" s="29">
        <v>8625</v>
      </c>
      <c r="F543" s="29">
        <v>34344</v>
      </c>
      <c r="G543" s="29">
        <v>8586</v>
      </c>
      <c r="H543" s="29">
        <v>182798</v>
      </c>
      <c r="I543" s="29">
        <v>12301</v>
      </c>
      <c r="J543" s="29">
        <v>357552896</v>
      </c>
      <c r="K543" s="29">
        <v>6520</v>
      </c>
      <c r="L543" s="29">
        <v>13024</v>
      </c>
      <c r="N543" s="34"/>
      <c r="O543" s="29">
        <f t="shared" si="77"/>
        <v>9772</v>
      </c>
      <c r="P543" s="32" cm="1">
        <f t="array" ref="P543">WPNFACTOR(C543)</f>
        <v>2.5</v>
      </c>
      <c r="Q543" s="34" cm="1">
        <f t="array" ref="Q543">HPFACTOr(C543)</f>
        <v>4</v>
      </c>
      <c r="R543" s="33">
        <f t="shared" si="78"/>
        <v>3908.8</v>
      </c>
      <c r="S543" s="34">
        <f t="shared" si="79"/>
        <v>89388224</v>
      </c>
      <c r="T543" s="33">
        <f t="shared" si="80"/>
        <v>3908.8</v>
      </c>
      <c r="U543" s="42">
        <f t="shared" si="81"/>
        <v>89388224</v>
      </c>
      <c r="V543" s="44"/>
      <c r="W543" s="29">
        <f t="shared" si="97"/>
        <v>349400689971.20001</v>
      </c>
      <c r="X543" s="41">
        <f t="shared" si="82"/>
        <v>38.346091500948248</v>
      </c>
      <c r="Y543" s="33">
        <f t="shared" si="83"/>
        <v>768.83109450486199</v>
      </c>
      <c r="Z543" s="33">
        <v>0.8</v>
      </c>
      <c r="AA543" s="29">
        <f t="shared" si="84"/>
        <v>615.06487560388962</v>
      </c>
      <c r="AB543" s="33">
        <f t="shared" si="85"/>
        <v>7043.2740370508254</v>
      </c>
      <c r="AD543" s="46">
        <f t="shared" si="86"/>
        <v>0</v>
      </c>
    </row>
    <row r="544" spans="1:30" x14ac:dyDescent="0.2">
      <c r="A544" s="30" t="s">
        <v>8853</v>
      </c>
      <c r="B544" s="29">
        <v>8</v>
      </c>
      <c r="C544" s="29">
        <v>1</v>
      </c>
      <c r="D544" s="29">
        <v>492</v>
      </c>
      <c r="E544" s="29">
        <v>41522</v>
      </c>
      <c r="F544" s="29">
        <v>14558</v>
      </c>
      <c r="G544" s="29">
        <v>14457</v>
      </c>
      <c r="H544" s="29">
        <v>222387</v>
      </c>
      <c r="I544" s="29">
        <v>9089</v>
      </c>
      <c r="J544" s="29">
        <v>548183936</v>
      </c>
      <c r="K544" s="29">
        <v>5260</v>
      </c>
      <c r="L544" s="29">
        <v>10509</v>
      </c>
      <c r="N544" s="34"/>
      <c r="O544" s="29">
        <f t="shared" si="77"/>
        <v>7884.5</v>
      </c>
      <c r="P544" s="32" cm="1">
        <f t="array" ref="P544">WPNFACTOR(C544)</f>
        <v>2</v>
      </c>
      <c r="Q544" s="34" cm="1">
        <f t="array" ref="Q544">HPFACTOr(C544)</f>
        <v>5</v>
      </c>
      <c r="R544" s="33">
        <f t="shared" si="78"/>
        <v>3942.25</v>
      </c>
      <c r="S544" s="34">
        <f t="shared" si="79"/>
        <v>109636787.2</v>
      </c>
      <c r="T544" s="33">
        <f t="shared" si="80"/>
        <v>3942.25</v>
      </c>
      <c r="U544" s="42">
        <f t="shared" si="81"/>
        <v>109636787.2</v>
      </c>
      <c r="V544" s="44"/>
      <c r="W544" s="29">
        <f t="shared" si="97"/>
        <v>432215624339.20001</v>
      </c>
      <c r="X544" s="41">
        <f t="shared" si="82"/>
        <v>38.652960269473567</v>
      </c>
      <c r="Y544" s="33">
        <f t="shared" si="83"/>
        <v>810.82123771858005</v>
      </c>
      <c r="Z544" s="33">
        <v>0.8</v>
      </c>
      <c r="AA544" s="29">
        <f t="shared" si="84"/>
        <v>648.65699017486406</v>
      </c>
      <c r="AB544" s="33">
        <f t="shared" si="85"/>
        <v>7560.7838200027054</v>
      </c>
      <c r="AD544" s="46">
        <f t="shared" si="86"/>
        <v>0</v>
      </c>
    </row>
    <row r="545" spans="1:30" x14ac:dyDescent="0.2">
      <c r="A545" s="30" t="s">
        <v>8853</v>
      </c>
      <c r="B545" s="29">
        <v>9</v>
      </c>
      <c r="C545" s="29">
        <v>1</v>
      </c>
      <c r="D545" s="29">
        <v>496</v>
      </c>
      <c r="E545" s="29">
        <v>47500</v>
      </c>
      <c r="F545" s="29">
        <v>16500</v>
      </c>
      <c r="G545" s="29">
        <v>16000</v>
      </c>
      <c r="H545" s="29">
        <v>270000</v>
      </c>
      <c r="I545" s="29">
        <v>11000</v>
      </c>
      <c r="J545" s="29">
        <v>670950016</v>
      </c>
      <c r="K545" s="29">
        <v>6337</v>
      </c>
      <c r="L545" s="29">
        <v>10105</v>
      </c>
      <c r="N545" s="34"/>
      <c r="O545" s="29">
        <f t="shared" si="77"/>
        <v>8221</v>
      </c>
      <c r="P545" s="32" cm="1">
        <f t="array" ref="P545">WPNFACTOR(C545)</f>
        <v>2</v>
      </c>
      <c r="Q545" s="34" cm="1">
        <f t="array" ref="Q545">HPFACTOr(C545)</f>
        <v>5</v>
      </c>
      <c r="R545" s="33">
        <f t="shared" si="78"/>
        <v>4110.5</v>
      </c>
      <c r="S545" s="34">
        <f t="shared" si="79"/>
        <v>134190003.2</v>
      </c>
      <c r="T545" s="33">
        <f t="shared" si="80"/>
        <v>4110.5</v>
      </c>
      <c r="U545" s="42">
        <f t="shared" si="81"/>
        <v>134190003.19999999</v>
      </c>
      <c r="V545" s="44"/>
      <c r="W545" s="29">
        <f t="shared" si="97"/>
        <v>551588008153.59998</v>
      </c>
      <c r="X545" s="41">
        <f t="shared" si="82"/>
        <v>39.004800135918543</v>
      </c>
      <c r="Y545" s="33">
        <f t="shared" si="83"/>
        <v>861.79447195620469</v>
      </c>
      <c r="Z545" s="33">
        <v>0.8</v>
      </c>
      <c r="AA545" s="29">
        <f t="shared" si="84"/>
        <v>689.43557756496375</v>
      </c>
      <c r="AB545" s="33">
        <f t="shared" si="85"/>
        <v>8201.0905160487855</v>
      </c>
      <c r="AD545" s="46">
        <f t="shared" si="86"/>
        <v>0</v>
      </c>
    </row>
    <row r="546" spans="1:30" x14ac:dyDescent="0.2">
      <c r="A546" s="30" t="s">
        <v>8853</v>
      </c>
      <c r="B546" s="29">
        <v>10</v>
      </c>
      <c r="C546" s="29">
        <v>2</v>
      </c>
      <c r="D546" s="29">
        <v>500</v>
      </c>
      <c r="E546" s="29">
        <v>9500</v>
      </c>
      <c r="F546" s="29">
        <v>11000</v>
      </c>
      <c r="G546" s="29">
        <v>40200</v>
      </c>
      <c r="H546" s="29">
        <v>190000</v>
      </c>
      <c r="I546" s="29">
        <v>29800</v>
      </c>
      <c r="J546" s="29">
        <v>454106400</v>
      </c>
      <c r="K546" s="29">
        <v>12038</v>
      </c>
      <c r="L546" s="29">
        <v>24020</v>
      </c>
      <c r="N546" s="34"/>
      <c r="O546" s="29">
        <f t="shared" si="77"/>
        <v>18029</v>
      </c>
      <c r="P546" s="32" cm="1">
        <f t="array" ref="P546">WPNFACTOR(C546)</f>
        <v>4.5</v>
      </c>
      <c r="Q546" s="34" cm="1">
        <f t="array" ref="Q546">HPFACTOr(C546)</f>
        <v>2</v>
      </c>
      <c r="R546" s="33">
        <f t="shared" si="78"/>
        <v>4006.4444444444443</v>
      </c>
      <c r="S546" s="34">
        <f t="shared" si="79"/>
        <v>227053200</v>
      </c>
      <c r="T546" s="33">
        <f t="shared" si="80"/>
        <v>4006.4444444444443</v>
      </c>
      <c r="U546" s="42">
        <f t="shared" si="81"/>
        <v>227053200</v>
      </c>
      <c r="V546" s="44"/>
      <c r="W546" s="29">
        <f t="shared" si="97"/>
        <v>909676031733.33325</v>
      </c>
      <c r="X546" s="41">
        <f t="shared" si="82"/>
        <v>39.726561885084891</v>
      </c>
      <c r="Y546" s="33">
        <f t="shared" si="83"/>
        <v>976.61117175179561</v>
      </c>
      <c r="Z546" s="33">
        <v>0.8</v>
      </c>
      <c r="AA546" s="29">
        <f t="shared" si="84"/>
        <v>781.28893740143656</v>
      </c>
      <c r="AB546" s="33">
        <f t="shared" si="85"/>
        <v>9689.370975760834</v>
      </c>
      <c r="AD546" s="46">
        <f t="shared" si="86"/>
        <v>0</v>
      </c>
    </row>
    <row r="547" spans="1:30" x14ac:dyDescent="0.2">
      <c r="A547" s="30" t="s">
        <v>2846</v>
      </c>
      <c r="B547" s="29">
        <v>1</v>
      </c>
      <c r="C547" s="29">
        <v>1</v>
      </c>
      <c r="D547" s="29">
        <v>222</v>
      </c>
      <c r="E547" s="29">
        <v>90000</v>
      </c>
      <c r="F547" s="29">
        <v>2000</v>
      </c>
      <c r="G547" s="29">
        <v>2000</v>
      </c>
      <c r="H547" s="29">
        <v>74000</v>
      </c>
      <c r="I547" s="29">
        <v>5000</v>
      </c>
      <c r="J547" s="29">
        <v>80000000</v>
      </c>
      <c r="K547" s="29">
        <v>2000</v>
      </c>
      <c r="L547" s="29">
        <v>2996</v>
      </c>
      <c r="N547" s="34"/>
      <c r="O547" s="29">
        <f t="shared" si="77"/>
        <v>2498</v>
      </c>
      <c r="P547" s="32" cm="1">
        <f t="array" ref="P547">WPNFACTOR(C547)</f>
        <v>2</v>
      </c>
      <c r="Q547" s="34" cm="1">
        <f t="array" ref="Q547">HPFACTOr(C547)</f>
        <v>5</v>
      </c>
      <c r="R547" s="33">
        <f t="shared" si="78"/>
        <v>1249</v>
      </c>
      <c r="S547" s="34">
        <f t="shared" si="79"/>
        <v>16000000</v>
      </c>
      <c r="T547" s="33">
        <f t="shared" si="80"/>
        <v>1249</v>
      </c>
      <c r="U547" s="42">
        <f t="shared" si="81"/>
        <v>16000000</v>
      </c>
      <c r="V547" s="44"/>
      <c r="W547" s="29">
        <f t="shared" si="97"/>
        <v>19984000000</v>
      </c>
      <c r="X547" s="41">
        <f t="shared" si="82"/>
        <v>34.21812633093213</v>
      </c>
      <c r="Y547" s="33">
        <f t="shared" si="83"/>
        <v>375.98507467262357</v>
      </c>
      <c r="Z547" s="33">
        <v>0.8</v>
      </c>
      <c r="AA547" s="29">
        <f t="shared" si="84"/>
        <v>300.78805973809887</v>
      </c>
      <c r="AB547" s="33">
        <f t="shared" si="85"/>
        <v>2713.6935787860584</v>
      </c>
      <c r="AD547" s="46">
        <f t="shared" si="86"/>
        <v>0</v>
      </c>
    </row>
    <row r="548" spans="1:30" x14ac:dyDescent="0.2">
      <c r="A548" s="30" t="s">
        <v>2846</v>
      </c>
      <c r="B548" s="29">
        <v>2</v>
      </c>
      <c r="C548" s="29">
        <v>1</v>
      </c>
      <c r="D548" s="29">
        <v>244</v>
      </c>
      <c r="E548" s="29">
        <v>100000</v>
      </c>
      <c r="F548" s="29">
        <v>2500</v>
      </c>
      <c r="G548" s="29">
        <v>2500</v>
      </c>
      <c r="H548" s="29">
        <v>84000</v>
      </c>
      <c r="I548" s="29">
        <v>6000</v>
      </c>
      <c r="J548" s="29">
        <v>100000000</v>
      </c>
      <c r="K548" s="29">
        <v>2400</v>
      </c>
      <c r="L548" s="29">
        <v>3399</v>
      </c>
      <c r="N548" s="34"/>
      <c r="O548" s="29">
        <f t="shared" si="77"/>
        <v>2899.5</v>
      </c>
      <c r="P548" s="32" cm="1">
        <f t="array" ref="P548">WPNFACTOR(C548)</f>
        <v>2</v>
      </c>
      <c r="Q548" s="34" cm="1">
        <f t="array" ref="Q548">HPFACTOr(C548)</f>
        <v>5</v>
      </c>
      <c r="R548" s="33">
        <f t="shared" si="78"/>
        <v>1449.75</v>
      </c>
      <c r="S548" s="34">
        <f t="shared" si="79"/>
        <v>20000000</v>
      </c>
      <c r="T548" s="33">
        <f t="shared" si="80"/>
        <v>1449.75</v>
      </c>
      <c r="U548" s="42">
        <f t="shared" si="81"/>
        <v>20000000</v>
      </c>
      <c r="V548" s="44"/>
      <c r="W548" s="29">
        <f t="shared" si="97"/>
        <v>28995000000</v>
      </c>
      <c r="X548" s="41">
        <f t="shared" si="82"/>
        <v>34.755085087143932</v>
      </c>
      <c r="Y548" s="33">
        <f t="shared" si="83"/>
        <v>412.64898221241418</v>
      </c>
      <c r="Z548" s="33">
        <v>0.8</v>
      </c>
      <c r="AA548" s="29">
        <f t="shared" si="84"/>
        <v>330.11918576993139</v>
      </c>
      <c r="AB548" s="33">
        <f t="shared" si="85"/>
        <v>3072.1402456046671</v>
      </c>
      <c r="AD548" s="46">
        <f t="shared" si="86"/>
        <v>0</v>
      </c>
    </row>
    <row r="549" spans="1:30" x14ac:dyDescent="0.2">
      <c r="A549" s="30" t="s">
        <v>2846</v>
      </c>
      <c r="B549" s="29">
        <v>3</v>
      </c>
      <c r="C549" s="29">
        <v>2</v>
      </c>
      <c r="D549" s="29">
        <v>266</v>
      </c>
      <c r="E549" s="29">
        <v>3000</v>
      </c>
      <c r="F549" s="29">
        <v>3000</v>
      </c>
      <c r="G549" s="29">
        <v>120000</v>
      </c>
      <c r="H549" s="29">
        <v>100000</v>
      </c>
      <c r="I549" s="29">
        <v>7200</v>
      </c>
      <c r="J549" s="29">
        <v>120000000</v>
      </c>
      <c r="K549" s="29">
        <v>6304</v>
      </c>
      <c r="L549" s="29">
        <v>8544</v>
      </c>
      <c r="N549" s="34"/>
      <c r="O549" s="29">
        <f t="shared" si="77"/>
        <v>7424</v>
      </c>
      <c r="P549" s="32" cm="1">
        <f t="array" ref="P549">WPNFACTOR(C549)</f>
        <v>4.5</v>
      </c>
      <c r="Q549" s="34" cm="1">
        <f t="array" ref="Q549">HPFACTOr(C549)</f>
        <v>2</v>
      </c>
      <c r="R549" s="33">
        <f t="shared" si="78"/>
        <v>1649.7777777777778</v>
      </c>
      <c r="S549" s="34">
        <f t="shared" si="79"/>
        <v>60000000</v>
      </c>
      <c r="T549" s="33">
        <f t="shared" si="80"/>
        <v>1649.7777777777778</v>
      </c>
      <c r="U549" s="42">
        <f t="shared" si="81"/>
        <v>60000000</v>
      </c>
      <c r="V549" s="44"/>
      <c r="W549" s="29">
        <f t="shared" si="97"/>
        <v>98986666666.666672</v>
      </c>
      <c r="X549" s="41">
        <f t="shared" si="82"/>
        <v>36.526515158617954</v>
      </c>
      <c r="Y549" s="33">
        <f t="shared" si="83"/>
        <v>560.911281469767</v>
      </c>
      <c r="Z549" s="33">
        <v>0.8</v>
      </c>
      <c r="AA549" s="29">
        <f t="shared" si="84"/>
        <v>448.7290251758136</v>
      </c>
      <c r="AB549" s="33">
        <f t="shared" si="85"/>
        <v>4625.8573201724439</v>
      </c>
      <c r="AD549" s="46">
        <f t="shared" si="86"/>
        <v>0</v>
      </c>
    </row>
    <row r="550" spans="1:30" x14ac:dyDescent="0.2">
      <c r="A550" s="30" t="s">
        <v>2846</v>
      </c>
      <c r="B550" s="29">
        <v>4</v>
      </c>
      <c r="C550" s="29">
        <v>3</v>
      </c>
      <c r="D550" s="29">
        <v>288</v>
      </c>
      <c r="E550" s="29">
        <v>3500</v>
      </c>
      <c r="F550" s="29">
        <v>140000</v>
      </c>
      <c r="G550" s="29">
        <v>3500</v>
      </c>
      <c r="H550" s="29">
        <v>120000</v>
      </c>
      <c r="I550" s="29">
        <v>8600</v>
      </c>
      <c r="J550" s="29">
        <v>144000000</v>
      </c>
      <c r="K550" s="29">
        <v>4001</v>
      </c>
      <c r="L550" s="29">
        <v>5249</v>
      </c>
      <c r="N550" s="34"/>
      <c r="O550" s="29">
        <f t="shared" si="77"/>
        <v>4625</v>
      </c>
      <c r="P550" s="32" cm="1">
        <f t="array" ref="P550">WPNFACTOR(C550)</f>
        <v>2.5</v>
      </c>
      <c r="Q550" s="34" cm="1">
        <f t="array" ref="Q550">HPFACTOr(C550)</f>
        <v>4</v>
      </c>
      <c r="R550" s="33">
        <f t="shared" si="78"/>
        <v>1850</v>
      </c>
      <c r="S550" s="34">
        <f t="shared" si="79"/>
        <v>36000000</v>
      </c>
      <c r="T550" s="33">
        <f t="shared" si="80"/>
        <v>1850</v>
      </c>
      <c r="U550" s="42">
        <f t="shared" si="81"/>
        <v>36000000</v>
      </c>
      <c r="V550" s="44"/>
      <c r="W550" s="29">
        <f t="shared" si="97"/>
        <v>66600000000</v>
      </c>
      <c r="X550" s="41">
        <f t="shared" si="82"/>
        <v>35.954803126170162</v>
      </c>
      <c r="Y550" s="33">
        <f t="shared" si="83"/>
        <v>508.00566730232333</v>
      </c>
      <c r="Z550" s="33">
        <v>0.8</v>
      </c>
      <c r="AA550" s="29">
        <f t="shared" si="84"/>
        <v>406.40453384185867</v>
      </c>
      <c r="AB550" s="33">
        <f t="shared" si="85"/>
        <v>4053.4492791548591</v>
      </c>
      <c r="AD550" s="46">
        <f t="shared" si="86"/>
        <v>0</v>
      </c>
    </row>
    <row r="551" spans="1:30" x14ac:dyDescent="0.2">
      <c r="A551" s="30" t="s">
        <v>2846</v>
      </c>
      <c r="B551" s="29">
        <v>5</v>
      </c>
      <c r="C551" s="29">
        <v>2</v>
      </c>
      <c r="D551" s="29">
        <v>333</v>
      </c>
      <c r="E551" s="29">
        <v>4000</v>
      </c>
      <c r="F551" s="29">
        <v>4000</v>
      </c>
      <c r="G551" s="29">
        <v>180000</v>
      </c>
      <c r="H551" s="29">
        <v>144000</v>
      </c>
      <c r="I551" s="29">
        <v>10300</v>
      </c>
      <c r="J551" s="29">
        <v>172000000</v>
      </c>
      <c r="K551" s="29">
        <v>7885</v>
      </c>
      <c r="L551" s="29">
        <v>10348</v>
      </c>
      <c r="N551" s="34"/>
      <c r="O551" s="29">
        <f t="shared" si="77"/>
        <v>9116.5</v>
      </c>
      <c r="P551" s="32" cm="1">
        <f t="array" ref="P551">WPNFACTOR(C551)</f>
        <v>4.5</v>
      </c>
      <c r="Q551" s="34" cm="1">
        <f t="array" ref="Q551">HPFACTOr(C551)</f>
        <v>2</v>
      </c>
      <c r="R551" s="33">
        <f t="shared" si="78"/>
        <v>2025.8888888888889</v>
      </c>
      <c r="S551" s="34">
        <f t="shared" si="79"/>
        <v>86000000</v>
      </c>
      <c r="T551" s="33">
        <f t="shared" si="80"/>
        <v>2025.8888888888889</v>
      </c>
      <c r="U551" s="42">
        <f t="shared" si="81"/>
        <v>86000000</v>
      </c>
      <c r="V551" s="44"/>
      <c r="W551" s="29">
        <f t="shared" si="97"/>
        <v>174226444444.44446</v>
      </c>
      <c r="X551" s="41">
        <f t="shared" si="82"/>
        <v>37.342172659508179</v>
      </c>
      <c r="Y551" s="33">
        <f t="shared" si="83"/>
        <v>646.0684279100193</v>
      </c>
      <c r="Z551" s="33">
        <v>0.8</v>
      </c>
      <c r="AA551" s="29">
        <f t="shared" si="84"/>
        <v>516.8547423280155</v>
      </c>
      <c r="AB551" s="33">
        <f t="shared" si="85"/>
        <v>5585.1909365619567</v>
      </c>
      <c r="AD551" s="46">
        <f t="shared" si="86"/>
        <v>0</v>
      </c>
    </row>
    <row r="552" spans="1:30" x14ac:dyDescent="0.2">
      <c r="A552" s="30" t="s">
        <v>2846</v>
      </c>
      <c r="B552" s="29">
        <v>6</v>
      </c>
      <c r="C552" s="29">
        <v>2</v>
      </c>
      <c r="D552" s="29">
        <v>366</v>
      </c>
      <c r="E552" s="29">
        <v>4500</v>
      </c>
      <c r="F552" s="29">
        <v>4500</v>
      </c>
      <c r="G552" s="29">
        <v>215000</v>
      </c>
      <c r="H552" s="29">
        <v>172000</v>
      </c>
      <c r="I552" s="29">
        <v>12400</v>
      </c>
      <c r="J552" s="29">
        <v>206000000</v>
      </c>
      <c r="K552" s="29">
        <v>9015</v>
      </c>
      <c r="L552" s="29">
        <v>11236</v>
      </c>
      <c r="N552" s="34"/>
      <c r="O552" s="29">
        <f t="shared" ref="O552:O615" si="98">AVERAGE(K552, L552)</f>
        <v>10125.5</v>
      </c>
      <c r="P552" s="32" cm="1">
        <f t="array" ref="P552">WPNFACTOR(C552)</f>
        <v>4.5</v>
      </c>
      <c r="Q552" s="34" cm="1">
        <f t="array" ref="Q552">HPFACTOr(C552)</f>
        <v>2</v>
      </c>
      <c r="R552" s="33">
        <f t="shared" ref="R552:R615" si="99">O552/P552</f>
        <v>2250.1111111111113</v>
      </c>
      <c r="S552" s="34">
        <f t="shared" ref="S552:S615" si="100">J552/Q552</f>
        <v>103000000</v>
      </c>
      <c r="T552" s="33">
        <f t="shared" ref="T552:T615" si="101">R552*(1 + (N552/400))</f>
        <v>2250.1111111111113</v>
      </c>
      <c r="U552" s="42">
        <f t="shared" ref="U552:U615" si="102">S552*1.6/(1 + (0.6*(1 - (M552/100))))</f>
        <v>103000000</v>
      </c>
      <c r="V552" s="44"/>
      <c r="W552" s="29">
        <f t="shared" si="97"/>
        <v>231761444444.44446</v>
      </c>
      <c r="X552" s="41">
        <f t="shared" ref="X552:X615" si="103">LOG(W552, 2)</f>
        <v>37.753849625052283</v>
      </c>
      <c r="Y552" s="33">
        <f t="shared" si="83"/>
        <v>693.84153987279603</v>
      </c>
      <c r="Z552" s="33">
        <v>0.8</v>
      </c>
      <c r="AA552" s="29">
        <f t="shared" si="84"/>
        <v>555.07323189823683</v>
      </c>
      <c r="AB552" s="33">
        <f t="shared" si="85"/>
        <v>6142.5268421758137</v>
      </c>
      <c r="AD552" s="46">
        <f t="shared" si="86"/>
        <v>0</v>
      </c>
    </row>
    <row r="553" spans="1:30" x14ac:dyDescent="0.2">
      <c r="A553" s="30" t="s">
        <v>2846</v>
      </c>
      <c r="B553" s="29">
        <v>7</v>
      </c>
      <c r="C553" s="29">
        <v>2</v>
      </c>
      <c r="D553" s="29">
        <v>399</v>
      </c>
      <c r="E553" s="29">
        <v>5000</v>
      </c>
      <c r="F553" s="29">
        <v>5000</v>
      </c>
      <c r="G553" s="29">
        <v>240000</v>
      </c>
      <c r="H553" s="29">
        <v>206000</v>
      </c>
      <c r="I553" s="29">
        <v>15000</v>
      </c>
      <c r="J553" s="29">
        <v>248000000</v>
      </c>
      <c r="K553" s="29">
        <v>10125</v>
      </c>
      <c r="L553" s="29">
        <v>13498</v>
      </c>
      <c r="N553" s="34"/>
      <c r="O553" s="29">
        <f t="shared" si="98"/>
        <v>11811.5</v>
      </c>
      <c r="P553" s="32" cm="1">
        <f t="array" ref="P553">WPNFACTOR(C553)</f>
        <v>4.5</v>
      </c>
      <c r="Q553" s="34" cm="1">
        <f t="array" ref="Q553">HPFACTOr(C553)</f>
        <v>2</v>
      </c>
      <c r="R553" s="33">
        <f t="shared" si="99"/>
        <v>2624.7777777777778</v>
      </c>
      <c r="S553" s="34">
        <f t="shared" si="100"/>
        <v>124000000</v>
      </c>
      <c r="T553" s="33">
        <f t="shared" si="101"/>
        <v>2624.7777777777778</v>
      </c>
      <c r="U553" s="42">
        <f t="shared" si="102"/>
        <v>124000000</v>
      </c>
      <c r="V553" s="44"/>
      <c r="W553" s="29">
        <f t="shared" si="97"/>
        <v>325472444444.44446</v>
      </c>
      <c r="X553" s="41">
        <f t="shared" si="103"/>
        <v>38.243744449068444</v>
      </c>
      <c r="Y553" s="33">
        <f t="shared" ref="Y553:Y616" si="104">POWER(W553, 1/4)</f>
        <v>755.31577718259723</v>
      </c>
      <c r="Z553" s="33">
        <v>0.8</v>
      </c>
      <c r="AA553" s="29">
        <f t="shared" ref="AA553:AA616" si="105">Y553*Z553</f>
        <v>604.25262174607781</v>
      </c>
      <c r="AB553" s="33">
        <f t="shared" ref="AB553:AB616" si="106">POWER(W553, 1/$AB$1)</f>
        <v>6878.674228245909</v>
      </c>
      <c r="AD553" s="46">
        <f t="shared" ref="AD553:AD616" si="107">IF(AC553 = "", ,AC553/AB553)</f>
        <v>0</v>
      </c>
    </row>
    <row r="554" spans="1:30" x14ac:dyDescent="0.2">
      <c r="A554" s="30" t="s">
        <v>2846</v>
      </c>
      <c r="B554" s="29">
        <v>8</v>
      </c>
      <c r="C554" s="29">
        <v>5</v>
      </c>
      <c r="D554" s="29">
        <v>444</v>
      </c>
      <c r="E554" s="29">
        <v>290000</v>
      </c>
      <c r="F554" s="29">
        <v>6000</v>
      </c>
      <c r="G554" s="29">
        <v>6000</v>
      </c>
      <c r="H554" s="29">
        <v>248000</v>
      </c>
      <c r="I554" s="29">
        <v>18000</v>
      </c>
      <c r="J554" s="29">
        <v>300000000</v>
      </c>
      <c r="K554" s="29">
        <v>5001</v>
      </c>
      <c r="L554" s="29">
        <v>6499</v>
      </c>
      <c r="N554" s="34"/>
      <c r="O554" s="29">
        <f t="shared" si="98"/>
        <v>5750</v>
      </c>
      <c r="P554" s="32" cm="1">
        <f t="array" ref="P554">WPNFACTOR(C554)</f>
        <v>2</v>
      </c>
      <c r="Q554" s="34" cm="1">
        <f t="array" ref="Q554">HPFACTOr(C554)</f>
        <v>5</v>
      </c>
      <c r="R554" s="33">
        <f t="shared" si="99"/>
        <v>2875</v>
      </c>
      <c r="S554" s="34">
        <f t="shared" si="100"/>
        <v>60000000</v>
      </c>
      <c r="T554" s="33">
        <f t="shared" si="101"/>
        <v>2875</v>
      </c>
      <c r="U554" s="42">
        <f t="shared" si="102"/>
        <v>60000000</v>
      </c>
      <c r="V554" s="44"/>
      <c r="W554" s="29">
        <f t="shared" si="97"/>
        <v>172500000000</v>
      </c>
      <c r="X554" s="41">
        <f t="shared" si="103"/>
        <v>37.327805405651795</v>
      </c>
      <c r="Y554" s="33">
        <f t="shared" si="104"/>
        <v>644.46194080481121</v>
      </c>
      <c r="Z554" s="33">
        <v>0.8</v>
      </c>
      <c r="AA554" s="29">
        <f t="shared" si="105"/>
        <v>515.56955264384897</v>
      </c>
      <c r="AB554" s="33">
        <f t="shared" si="106"/>
        <v>5566.6814076047549</v>
      </c>
      <c r="AD554" s="46">
        <f t="shared" si="107"/>
        <v>0</v>
      </c>
    </row>
    <row r="555" spans="1:30" x14ac:dyDescent="0.2">
      <c r="A555" s="30" t="s">
        <v>2846</v>
      </c>
      <c r="B555" s="29">
        <v>9</v>
      </c>
      <c r="C555" s="29">
        <v>6</v>
      </c>
      <c r="D555" s="29">
        <v>488</v>
      </c>
      <c r="E555" s="29">
        <v>350000</v>
      </c>
      <c r="F555" s="29">
        <v>7000</v>
      </c>
      <c r="G555" s="29">
        <v>7000</v>
      </c>
      <c r="H555" s="29">
        <v>300000</v>
      </c>
      <c r="I555" s="29">
        <v>21500</v>
      </c>
      <c r="J555" s="29">
        <v>360000000</v>
      </c>
      <c r="K555" s="29">
        <v>4465</v>
      </c>
      <c r="L555" s="29">
        <v>6102</v>
      </c>
      <c r="N555" s="34"/>
      <c r="O555" s="29">
        <f t="shared" si="98"/>
        <v>5283.5</v>
      </c>
      <c r="P555" s="32" cm="1">
        <f t="array" ref="P555">WPNFACTOR(C555)</f>
        <v>2</v>
      </c>
      <c r="Q555" s="34" cm="1">
        <f t="array" ref="Q555">HPFACTOr(C555)</f>
        <v>4</v>
      </c>
      <c r="R555" s="33">
        <f t="shared" si="99"/>
        <v>2641.75</v>
      </c>
      <c r="S555" s="34">
        <f t="shared" si="100"/>
        <v>90000000</v>
      </c>
      <c r="T555" s="33">
        <f t="shared" si="101"/>
        <v>2641.75</v>
      </c>
      <c r="U555" s="42">
        <f t="shared" si="102"/>
        <v>90000000</v>
      </c>
      <c r="V555" s="44"/>
      <c r="W555" s="29">
        <f t="shared" si="97"/>
        <v>237757500000</v>
      </c>
      <c r="X555" s="41">
        <f t="shared" si="103"/>
        <v>37.790699895013574</v>
      </c>
      <c r="Y555" s="33">
        <f t="shared" si="104"/>
        <v>698.28635608585716</v>
      </c>
      <c r="Z555" s="33">
        <v>0.8</v>
      </c>
      <c r="AA555" s="29">
        <f t="shared" si="105"/>
        <v>558.62908486868571</v>
      </c>
      <c r="AB555" s="33">
        <f t="shared" si="106"/>
        <v>6195.0489436379194</v>
      </c>
      <c r="AD555" s="46">
        <f t="shared" si="107"/>
        <v>0</v>
      </c>
    </row>
    <row r="556" spans="1:30" x14ac:dyDescent="0.2">
      <c r="A556" s="30" t="s">
        <v>2846</v>
      </c>
      <c r="B556" s="29">
        <v>10</v>
      </c>
      <c r="C556" s="29">
        <v>4</v>
      </c>
      <c r="D556" s="29">
        <v>555</v>
      </c>
      <c r="E556" s="29">
        <v>10000</v>
      </c>
      <c r="F556" s="29">
        <v>400000</v>
      </c>
      <c r="G556" s="29">
        <v>10000</v>
      </c>
      <c r="H556" s="29">
        <v>360000</v>
      </c>
      <c r="I556" s="29">
        <v>24000</v>
      </c>
      <c r="J556" s="29">
        <v>430000000</v>
      </c>
      <c r="K556" s="29">
        <v>12001</v>
      </c>
      <c r="L556" s="29">
        <v>15998</v>
      </c>
      <c r="N556" s="34"/>
      <c r="O556" s="29">
        <f t="shared" si="98"/>
        <v>13999.5</v>
      </c>
      <c r="P556" s="32" cm="1">
        <f t="array" ref="P556">WPNFACTOR(C556)</f>
        <v>4</v>
      </c>
      <c r="Q556" s="34" cm="1">
        <f t="array" ref="Q556">HPFACTOr(C556)</f>
        <v>4</v>
      </c>
      <c r="R556" s="33">
        <f t="shared" si="99"/>
        <v>3499.875</v>
      </c>
      <c r="S556" s="34">
        <f t="shared" si="100"/>
        <v>107500000</v>
      </c>
      <c r="T556" s="33">
        <f t="shared" si="101"/>
        <v>3499.875</v>
      </c>
      <c r="U556" s="42">
        <f t="shared" si="102"/>
        <v>107500000</v>
      </c>
      <c r="V556" s="44"/>
      <c r="W556" s="29">
        <f t="shared" si="97"/>
        <v>376236562500</v>
      </c>
      <c r="X556" s="41">
        <f t="shared" si="103"/>
        <v>38.452849099890329</v>
      </c>
      <c r="Y556" s="33">
        <f t="shared" si="104"/>
        <v>783.18660215123123</v>
      </c>
      <c r="Z556" s="33">
        <v>0.8</v>
      </c>
      <c r="AA556" s="29">
        <f t="shared" si="105"/>
        <v>626.54928172098505</v>
      </c>
      <c r="AB556" s="33">
        <f t="shared" si="106"/>
        <v>7219.1655183318562</v>
      </c>
      <c r="AD556" s="46">
        <f t="shared" si="107"/>
        <v>0</v>
      </c>
    </row>
    <row r="557" spans="1:30" x14ac:dyDescent="0.2">
      <c r="A557" s="30" t="s">
        <v>2846</v>
      </c>
      <c r="B557" s="29">
        <v>11</v>
      </c>
      <c r="C557" s="29">
        <v>2</v>
      </c>
      <c r="D557" s="29">
        <v>557</v>
      </c>
      <c r="E557" s="29">
        <v>10100</v>
      </c>
      <c r="F557" s="29">
        <v>10100</v>
      </c>
      <c r="G557" s="29">
        <v>404000</v>
      </c>
      <c r="H557" s="29">
        <v>361800</v>
      </c>
      <c r="I557" s="29">
        <v>24240</v>
      </c>
      <c r="J557" s="29">
        <v>403768800</v>
      </c>
      <c r="K557" s="29">
        <v>13636</v>
      </c>
      <c r="L557" s="29">
        <v>18177</v>
      </c>
      <c r="N557" s="34"/>
      <c r="O557" s="29">
        <f t="shared" si="98"/>
        <v>15906.5</v>
      </c>
      <c r="P557" s="32" cm="1">
        <f t="array" ref="P557">WPNFACTOR(C557)</f>
        <v>4.5</v>
      </c>
      <c r="Q557" s="34" cm="1">
        <f t="array" ref="Q557">HPFACTOr(C557)</f>
        <v>2</v>
      </c>
      <c r="R557" s="33">
        <f t="shared" si="99"/>
        <v>3534.7777777777778</v>
      </c>
      <c r="S557" s="34">
        <f t="shared" si="100"/>
        <v>201884400</v>
      </c>
      <c r="T557" s="33">
        <f t="shared" si="101"/>
        <v>3534.7777777777778</v>
      </c>
      <c r="U557" s="42">
        <f t="shared" si="102"/>
        <v>201884400</v>
      </c>
      <c r="V557" s="44"/>
      <c r="W557" s="29">
        <f t="shared" si="97"/>
        <v>713616490800</v>
      </c>
      <c r="X557" s="41">
        <f t="shared" si="103"/>
        <v>39.376357998313608</v>
      </c>
      <c r="Y557" s="33">
        <f t="shared" si="104"/>
        <v>919.10730820534252</v>
      </c>
      <c r="Z557" s="33">
        <v>0.8</v>
      </c>
      <c r="AA557" s="29">
        <f t="shared" si="105"/>
        <v>735.28584656427404</v>
      </c>
      <c r="AB557" s="33">
        <f t="shared" si="106"/>
        <v>8936.2427795335898</v>
      </c>
      <c r="AD557" s="46">
        <f t="shared" si="107"/>
        <v>0</v>
      </c>
    </row>
    <row r="558" spans="1:30" x14ac:dyDescent="0.2">
      <c r="A558" s="30" t="s">
        <v>2846</v>
      </c>
      <c r="B558" s="29">
        <v>12</v>
      </c>
      <c r="C558" s="29">
        <v>3</v>
      </c>
      <c r="D558" s="29">
        <v>559</v>
      </c>
      <c r="E558" s="29">
        <v>10200</v>
      </c>
      <c r="F558" s="29">
        <v>408040</v>
      </c>
      <c r="G558" s="29">
        <v>10200</v>
      </c>
      <c r="H558" s="29">
        <v>363600</v>
      </c>
      <c r="I558" s="29">
        <v>24480</v>
      </c>
      <c r="J558" s="29">
        <v>814464000</v>
      </c>
      <c r="K558" s="29">
        <v>7653</v>
      </c>
      <c r="L558" s="29">
        <v>10198</v>
      </c>
      <c r="N558" s="34"/>
      <c r="O558" s="29">
        <f t="shared" si="98"/>
        <v>8925.5</v>
      </c>
      <c r="P558" s="32" cm="1">
        <f t="array" ref="P558">WPNFACTOR(C558)</f>
        <v>2.5</v>
      </c>
      <c r="Q558" s="34" cm="1">
        <f t="array" ref="Q558">HPFACTOr(C558)</f>
        <v>4</v>
      </c>
      <c r="R558" s="33">
        <f t="shared" si="99"/>
        <v>3570.2</v>
      </c>
      <c r="S558" s="34">
        <f t="shared" si="100"/>
        <v>203616000</v>
      </c>
      <c r="T558" s="33">
        <f t="shared" si="101"/>
        <v>3570.2</v>
      </c>
      <c r="U558" s="42">
        <f t="shared" si="102"/>
        <v>203616000</v>
      </c>
      <c r="V558" s="44"/>
      <c r="W558" s="29">
        <f t="shared" si="97"/>
        <v>726949843200</v>
      </c>
      <c r="X558" s="41">
        <f t="shared" si="103"/>
        <v>39.403064870817978</v>
      </c>
      <c r="Y558" s="33">
        <f t="shared" si="104"/>
        <v>923.37074722905834</v>
      </c>
      <c r="Z558" s="33">
        <v>0.8</v>
      </c>
      <c r="AA558" s="29">
        <f t="shared" si="105"/>
        <v>738.69659778324672</v>
      </c>
      <c r="AB558" s="33">
        <f t="shared" si="106"/>
        <v>8991.5552194058127</v>
      </c>
      <c r="AD558" s="46">
        <f t="shared" si="107"/>
        <v>0</v>
      </c>
    </row>
    <row r="559" spans="1:30" x14ac:dyDescent="0.2">
      <c r="A559" s="30" t="s">
        <v>2846</v>
      </c>
      <c r="B559" s="29">
        <v>13</v>
      </c>
      <c r="C559" s="29">
        <v>5</v>
      </c>
      <c r="D559" s="29">
        <v>561</v>
      </c>
      <c r="E559" s="29">
        <v>412120</v>
      </c>
      <c r="F559" s="29">
        <v>10300</v>
      </c>
      <c r="G559" s="29">
        <v>10300</v>
      </c>
      <c r="H559" s="29">
        <v>365410</v>
      </c>
      <c r="I559" s="29">
        <v>24720</v>
      </c>
      <c r="J559" s="29">
        <v>1026802112</v>
      </c>
      <c r="K559" s="29">
        <v>6182</v>
      </c>
      <c r="L559" s="29">
        <v>8241</v>
      </c>
      <c r="N559" s="34"/>
      <c r="O559" s="29">
        <f t="shared" si="98"/>
        <v>7211.5</v>
      </c>
      <c r="P559" s="32" cm="1">
        <f t="array" ref="P559">WPNFACTOR(C559)</f>
        <v>2</v>
      </c>
      <c r="Q559" s="34" cm="1">
        <f t="array" ref="Q559">HPFACTOr(C559)</f>
        <v>5</v>
      </c>
      <c r="R559" s="33">
        <f t="shared" si="99"/>
        <v>3605.75</v>
      </c>
      <c r="S559" s="34">
        <f t="shared" si="100"/>
        <v>205360422.40000001</v>
      </c>
      <c r="T559" s="33">
        <f t="shared" si="101"/>
        <v>3605.75</v>
      </c>
      <c r="U559" s="42">
        <f t="shared" si="102"/>
        <v>205360422.40000001</v>
      </c>
      <c r="V559" s="44"/>
      <c r="W559" s="29">
        <f t="shared" si="97"/>
        <v>740478343068.80005</v>
      </c>
      <c r="X559" s="41">
        <f t="shared" si="103"/>
        <v>39.429666585076404</v>
      </c>
      <c r="Y559" s="33">
        <f t="shared" si="104"/>
        <v>927.63705890264555</v>
      </c>
      <c r="Z559" s="33">
        <v>0.8</v>
      </c>
      <c r="AA559" s="29">
        <f t="shared" si="105"/>
        <v>742.10964712211648</v>
      </c>
      <c r="AB559" s="33">
        <f t="shared" si="106"/>
        <v>9046.9902105094588</v>
      </c>
      <c r="AD559" s="46">
        <f t="shared" si="107"/>
        <v>0</v>
      </c>
    </row>
    <row r="560" spans="1:30" x14ac:dyDescent="0.2">
      <c r="A560" s="30" t="s">
        <v>2846</v>
      </c>
      <c r="B560" s="29">
        <v>14</v>
      </c>
      <c r="C560" s="29">
        <v>1</v>
      </c>
      <c r="D560" s="29">
        <v>563</v>
      </c>
      <c r="E560" s="29">
        <v>416240</v>
      </c>
      <c r="F560" s="29">
        <v>10400</v>
      </c>
      <c r="G560" s="29">
        <v>10400</v>
      </c>
      <c r="H560" s="29">
        <v>367230</v>
      </c>
      <c r="I560" s="29">
        <v>24960</v>
      </c>
      <c r="J560" s="29">
        <v>1035588608</v>
      </c>
      <c r="K560" s="29">
        <v>6244</v>
      </c>
      <c r="L560" s="29">
        <v>8322</v>
      </c>
      <c r="N560" s="34"/>
      <c r="O560" s="29">
        <f t="shared" si="98"/>
        <v>7283</v>
      </c>
      <c r="P560" s="32" cm="1">
        <f t="array" ref="P560">WPNFACTOR(C560)</f>
        <v>2</v>
      </c>
      <c r="Q560" s="34" cm="1">
        <f t="array" ref="Q560">HPFACTOr(C560)</f>
        <v>5</v>
      </c>
      <c r="R560" s="33">
        <f t="shared" si="99"/>
        <v>3641.5</v>
      </c>
      <c r="S560" s="34">
        <f t="shared" si="100"/>
        <v>207117721.59999999</v>
      </c>
      <c r="T560" s="33">
        <f t="shared" si="101"/>
        <v>3641.5</v>
      </c>
      <c r="U560" s="42">
        <f t="shared" si="102"/>
        <v>207117721.59999999</v>
      </c>
      <c r="V560" s="44"/>
      <c r="W560" s="29">
        <f t="shared" si="97"/>
        <v>754219183206.40002</v>
      </c>
      <c r="X560" s="41">
        <f t="shared" si="103"/>
        <v>39.456192888969788</v>
      </c>
      <c r="Y560" s="33">
        <f t="shared" si="104"/>
        <v>931.9109045640563</v>
      </c>
      <c r="Z560" s="33">
        <v>0.8</v>
      </c>
      <c r="AA560" s="29">
        <f t="shared" si="105"/>
        <v>745.52872365124506</v>
      </c>
      <c r="AB560" s="33">
        <f t="shared" si="106"/>
        <v>9102.6083703678341</v>
      </c>
      <c r="AD560" s="46">
        <f t="shared" si="107"/>
        <v>0</v>
      </c>
    </row>
    <row r="561" spans="1:30" x14ac:dyDescent="0.2">
      <c r="A561" s="30" t="s">
        <v>2846</v>
      </c>
      <c r="B561" s="29">
        <v>15</v>
      </c>
      <c r="C561" s="29">
        <v>6</v>
      </c>
      <c r="D561" s="29">
        <v>565</v>
      </c>
      <c r="E561" s="29">
        <v>420400</v>
      </c>
      <c r="F561" s="29">
        <v>10500</v>
      </c>
      <c r="G561" s="29">
        <v>10500</v>
      </c>
      <c r="H561" s="29">
        <v>369060</v>
      </c>
      <c r="I561" s="29">
        <v>25210</v>
      </c>
      <c r="J561" s="29">
        <v>835551872</v>
      </c>
      <c r="K561" s="29">
        <v>5110</v>
      </c>
      <c r="L561" s="29">
        <v>7507</v>
      </c>
      <c r="N561" s="34"/>
      <c r="O561" s="29">
        <f t="shared" si="98"/>
        <v>6308.5</v>
      </c>
      <c r="P561" s="32" cm="1">
        <f t="array" ref="P561">WPNFACTOR(C561)</f>
        <v>2</v>
      </c>
      <c r="Q561" s="34" cm="1">
        <f t="array" ref="Q561">HPFACTOr(C561)</f>
        <v>4</v>
      </c>
      <c r="R561" s="33">
        <f t="shared" si="99"/>
        <v>3154.25</v>
      </c>
      <c r="S561" s="34">
        <f t="shared" si="100"/>
        <v>208887968</v>
      </c>
      <c r="T561" s="33">
        <f t="shared" si="101"/>
        <v>3154.25</v>
      </c>
      <c r="U561" s="42">
        <f t="shared" si="102"/>
        <v>208887968</v>
      </c>
      <c r="V561" s="44"/>
      <c r="W561" s="29">
        <f t="shared" si="97"/>
        <v>658884873064</v>
      </c>
      <c r="X561" s="41">
        <f t="shared" si="103"/>
        <v>39.261235448949527</v>
      </c>
      <c r="Y561" s="33">
        <f t="shared" si="104"/>
        <v>900.95351552462671</v>
      </c>
      <c r="Z561" s="33">
        <v>0.8</v>
      </c>
      <c r="AA561" s="29">
        <f t="shared" si="105"/>
        <v>720.76281241970139</v>
      </c>
      <c r="AB561" s="33">
        <f t="shared" si="106"/>
        <v>8701.6814166130371</v>
      </c>
      <c r="AD561" s="46">
        <f t="shared" si="107"/>
        <v>0</v>
      </c>
    </row>
    <row r="562" spans="1:30" x14ac:dyDescent="0.2">
      <c r="A562" s="30" t="s">
        <v>2846</v>
      </c>
      <c r="B562" s="29">
        <v>16</v>
      </c>
      <c r="C562" s="29">
        <v>2</v>
      </c>
      <c r="D562" s="29">
        <v>567</v>
      </c>
      <c r="E562" s="29">
        <v>10600</v>
      </c>
      <c r="F562" s="29">
        <v>10600</v>
      </c>
      <c r="G562" s="29">
        <v>424600</v>
      </c>
      <c r="H562" s="29">
        <v>370900</v>
      </c>
      <c r="I562" s="29">
        <v>25460</v>
      </c>
      <c r="J562" s="29">
        <v>421342400</v>
      </c>
      <c r="K562" s="29">
        <v>14335</v>
      </c>
      <c r="L562" s="29">
        <v>19104</v>
      </c>
      <c r="N562" s="34"/>
      <c r="O562" s="29">
        <f t="shared" si="98"/>
        <v>16719.5</v>
      </c>
      <c r="P562" s="32" cm="1">
        <f t="array" ref="P562">WPNFACTOR(C562)</f>
        <v>4.5</v>
      </c>
      <c r="Q562" s="34" cm="1">
        <f t="array" ref="Q562">HPFACTOr(C562)</f>
        <v>2</v>
      </c>
      <c r="R562" s="33">
        <f t="shared" si="99"/>
        <v>3715.4444444444443</v>
      </c>
      <c r="S562" s="34">
        <f t="shared" si="100"/>
        <v>210671200</v>
      </c>
      <c r="T562" s="33">
        <f t="shared" si="101"/>
        <v>3715.4444444444443</v>
      </c>
      <c r="U562" s="42">
        <f t="shared" si="102"/>
        <v>210671200</v>
      </c>
      <c r="V562" s="44"/>
      <c r="W562" s="29">
        <f t="shared" si="97"/>
        <v>782737139644.44446</v>
      </c>
      <c r="X562" s="41">
        <f t="shared" si="103"/>
        <v>39.50973694386898</v>
      </c>
      <c r="Y562" s="33">
        <f t="shared" si="104"/>
        <v>940.59785761289311</v>
      </c>
      <c r="Z562" s="33">
        <v>0.8</v>
      </c>
      <c r="AA562" s="29">
        <f t="shared" si="105"/>
        <v>752.47828609031455</v>
      </c>
      <c r="AB562" s="33">
        <f t="shared" si="106"/>
        <v>9215.9189563910149</v>
      </c>
      <c r="AD562" s="46">
        <f t="shared" si="107"/>
        <v>0</v>
      </c>
    </row>
    <row r="563" spans="1:30" x14ac:dyDescent="0.2">
      <c r="A563" s="30" t="s">
        <v>2846</v>
      </c>
      <c r="B563" s="29">
        <v>17</v>
      </c>
      <c r="C563" s="29">
        <v>1</v>
      </c>
      <c r="D563" s="29">
        <v>569</v>
      </c>
      <c r="E563" s="29">
        <v>428840</v>
      </c>
      <c r="F563" s="29">
        <v>10700</v>
      </c>
      <c r="G563" s="29">
        <v>10700</v>
      </c>
      <c r="H563" s="29">
        <v>372750</v>
      </c>
      <c r="I563" s="29">
        <v>25710</v>
      </c>
      <c r="J563" s="29">
        <v>1062337472</v>
      </c>
      <c r="K563" s="29">
        <v>6432</v>
      </c>
      <c r="L563" s="29">
        <v>8569</v>
      </c>
      <c r="N563" s="34"/>
      <c r="O563" s="29">
        <f t="shared" si="98"/>
        <v>7500.5</v>
      </c>
      <c r="P563" s="32" cm="1">
        <f t="array" ref="P563">WPNFACTOR(C563)</f>
        <v>2</v>
      </c>
      <c r="Q563" s="34" cm="1">
        <f t="array" ref="Q563">HPFACTOr(C563)</f>
        <v>5</v>
      </c>
      <c r="R563" s="33">
        <f t="shared" si="99"/>
        <v>3750.25</v>
      </c>
      <c r="S563" s="34">
        <f t="shared" si="100"/>
        <v>212467494.40000001</v>
      </c>
      <c r="T563" s="33">
        <f t="shared" si="101"/>
        <v>3750.25</v>
      </c>
      <c r="U563" s="42">
        <f t="shared" si="102"/>
        <v>212467494.40000001</v>
      </c>
      <c r="V563" s="44"/>
      <c r="W563" s="29">
        <f t="shared" si="97"/>
        <v>796806220873.59998</v>
      </c>
      <c r="X563" s="41">
        <f t="shared" si="103"/>
        <v>39.535437954706708</v>
      </c>
      <c r="Y563" s="33">
        <f t="shared" si="104"/>
        <v>944.79628953558006</v>
      </c>
      <c r="Z563" s="33">
        <v>0.8</v>
      </c>
      <c r="AA563" s="29">
        <f t="shared" si="105"/>
        <v>755.83703162846405</v>
      </c>
      <c r="AB563" s="33">
        <f t="shared" si="106"/>
        <v>9270.8076834023977</v>
      </c>
      <c r="AD563" s="46">
        <f t="shared" si="107"/>
        <v>0</v>
      </c>
    </row>
    <row r="564" spans="1:30" x14ac:dyDescent="0.2">
      <c r="A564" s="30" t="s">
        <v>2846</v>
      </c>
      <c r="B564" s="29">
        <v>18</v>
      </c>
      <c r="C564" s="29">
        <v>2</v>
      </c>
      <c r="D564" s="29">
        <v>571</v>
      </c>
      <c r="E564" s="29">
        <v>10800</v>
      </c>
      <c r="F564" s="29">
        <v>10800</v>
      </c>
      <c r="G564" s="29">
        <v>433120</v>
      </c>
      <c r="H564" s="29">
        <v>374610</v>
      </c>
      <c r="I564" s="29">
        <v>25960</v>
      </c>
      <c r="J564" s="29">
        <v>428553856</v>
      </c>
      <c r="K564" s="29">
        <v>14620</v>
      </c>
      <c r="L564" s="29">
        <v>19487</v>
      </c>
      <c r="N564" s="34"/>
      <c r="O564" s="29">
        <f t="shared" si="98"/>
        <v>17053.5</v>
      </c>
      <c r="P564" s="32" cm="1">
        <f t="array" ref="P564">WPNFACTOR(C564)</f>
        <v>4.5</v>
      </c>
      <c r="Q564" s="34" cm="1">
        <f t="array" ref="Q564">HPFACTOr(C564)</f>
        <v>2</v>
      </c>
      <c r="R564" s="33">
        <f t="shared" si="99"/>
        <v>3789.6666666666665</v>
      </c>
      <c r="S564" s="34">
        <f t="shared" si="100"/>
        <v>214276928</v>
      </c>
      <c r="T564" s="33">
        <f t="shared" si="101"/>
        <v>3789.6666666666665</v>
      </c>
      <c r="U564" s="42">
        <f t="shared" si="102"/>
        <v>214276928</v>
      </c>
      <c r="V564" s="44"/>
      <c r="W564" s="29">
        <f t="shared" si="97"/>
        <v>812038131477.33325</v>
      </c>
      <c r="X564" s="41">
        <f t="shared" si="103"/>
        <v>39.562756518464063</v>
      </c>
      <c r="Y564" s="33">
        <f t="shared" si="104"/>
        <v>949.27950777747515</v>
      </c>
      <c r="Z564" s="33">
        <v>0.8</v>
      </c>
      <c r="AA564" s="29">
        <f t="shared" si="105"/>
        <v>759.42360622198021</v>
      </c>
      <c r="AB564" s="33">
        <f t="shared" si="106"/>
        <v>9329.509424171345</v>
      </c>
      <c r="AD564" s="46">
        <f t="shared" si="107"/>
        <v>0</v>
      </c>
    </row>
    <row r="565" spans="1:30" x14ac:dyDescent="0.2">
      <c r="A565" s="30" t="s">
        <v>2846</v>
      </c>
      <c r="B565" s="29">
        <v>19</v>
      </c>
      <c r="C565" s="29">
        <v>7</v>
      </c>
      <c r="D565" s="29">
        <v>573</v>
      </c>
      <c r="E565" s="29">
        <v>10900</v>
      </c>
      <c r="F565" s="29">
        <v>437450</v>
      </c>
      <c r="G565" s="29">
        <v>10900</v>
      </c>
      <c r="H565" s="29">
        <v>376480</v>
      </c>
      <c r="I565" s="29">
        <v>26220</v>
      </c>
      <c r="J565" s="29">
        <v>864398080</v>
      </c>
      <c r="K565" s="29">
        <v>8201</v>
      </c>
      <c r="L565" s="29">
        <v>10935</v>
      </c>
      <c r="N565" s="34"/>
      <c r="O565" s="29">
        <f t="shared" si="98"/>
        <v>9568</v>
      </c>
      <c r="P565" s="32" cm="1">
        <f t="array" ref="P565">WPNFACTOR(C565)</f>
        <v>2.5</v>
      </c>
      <c r="Q565" s="34" cm="1">
        <f t="array" ref="Q565">HPFACTOr(C565)</f>
        <v>4</v>
      </c>
      <c r="R565" s="33">
        <f t="shared" si="99"/>
        <v>3827.2</v>
      </c>
      <c r="S565" s="34">
        <f t="shared" si="100"/>
        <v>216099520</v>
      </c>
      <c r="T565" s="33">
        <f t="shared" si="101"/>
        <v>3827.2</v>
      </c>
      <c r="U565" s="42">
        <f t="shared" si="102"/>
        <v>216099520</v>
      </c>
      <c r="V565" s="44"/>
      <c r="W565" s="29">
        <f t="shared" si="97"/>
        <v>827056082944</v>
      </c>
      <c r="X565" s="41">
        <f t="shared" si="103"/>
        <v>39.589194206098092</v>
      </c>
      <c r="Y565" s="33">
        <f t="shared" si="104"/>
        <v>953.63842116366334</v>
      </c>
      <c r="Z565" s="33">
        <v>0.8</v>
      </c>
      <c r="AA565" s="29">
        <f t="shared" si="105"/>
        <v>762.91073693093074</v>
      </c>
      <c r="AB565" s="33">
        <f t="shared" si="106"/>
        <v>9386.6722354190933</v>
      </c>
      <c r="AD565" s="46">
        <f t="shared" si="107"/>
        <v>0</v>
      </c>
    </row>
    <row r="566" spans="1:30" x14ac:dyDescent="0.2">
      <c r="A566" s="30" t="s">
        <v>2846</v>
      </c>
      <c r="B566" s="29">
        <v>20</v>
      </c>
      <c r="C566" s="29">
        <v>6</v>
      </c>
      <c r="D566" s="29">
        <v>575</v>
      </c>
      <c r="E566" s="29">
        <v>441820</v>
      </c>
      <c r="F566" s="29">
        <v>11000</v>
      </c>
      <c r="G566" s="29">
        <v>11000</v>
      </c>
      <c r="H566" s="29">
        <v>378360</v>
      </c>
      <c r="I566" s="29">
        <v>26480</v>
      </c>
      <c r="J566" s="29">
        <v>871741440</v>
      </c>
      <c r="K566" s="29">
        <v>5315</v>
      </c>
      <c r="L566" s="29">
        <v>7685</v>
      </c>
      <c r="N566" s="34"/>
      <c r="O566" s="29">
        <f t="shared" si="98"/>
        <v>6500</v>
      </c>
      <c r="P566" s="32" cm="1">
        <f t="array" ref="P566">WPNFACTOR(C566)</f>
        <v>2</v>
      </c>
      <c r="Q566" s="34" cm="1">
        <f t="array" ref="Q566">HPFACTOr(C566)</f>
        <v>4</v>
      </c>
      <c r="R566" s="33">
        <f t="shared" si="99"/>
        <v>3250</v>
      </c>
      <c r="S566" s="34">
        <f t="shared" si="100"/>
        <v>217935360</v>
      </c>
      <c r="T566" s="33">
        <f t="shared" si="101"/>
        <v>3250</v>
      </c>
      <c r="U566" s="42">
        <f t="shared" si="102"/>
        <v>217935360</v>
      </c>
      <c r="V566" s="44"/>
      <c r="W566" s="29">
        <f t="shared" si="97"/>
        <v>708289920000</v>
      </c>
      <c r="X566" s="41">
        <f t="shared" si="103"/>
        <v>39.365549054537347</v>
      </c>
      <c r="Y566" s="33">
        <f t="shared" si="104"/>
        <v>917.38738806012475</v>
      </c>
      <c r="Z566" s="33">
        <v>0.8</v>
      </c>
      <c r="AA566" s="29">
        <f t="shared" si="105"/>
        <v>733.90991044809982</v>
      </c>
      <c r="AB566" s="33">
        <f t="shared" si="106"/>
        <v>8913.9532843065299</v>
      </c>
      <c r="AD566" s="46">
        <f t="shared" si="107"/>
        <v>0</v>
      </c>
    </row>
    <row r="567" spans="1:30" x14ac:dyDescent="0.2">
      <c r="A567" s="30" t="s">
        <v>2846</v>
      </c>
      <c r="B567" s="29">
        <v>21</v>
      </c>
      <c r="C567" s="29">
        <v>2</v>
      </c>
      <c r="D567" s="29">
        <v>580</v>
      </c>
      <c r="E567" s="29">
        <v>12000</v>
      </c>
      <c r="F567" s="29">
        <v>12000</v>
      </c>
      <c r="G567" s="29">
        <v>450000</v>
      </c>
      <c r="H567" s="29">
        <v>380000</v>
      </c>
      <c r="I567" s="29">
        <v>27000</v>
      </c>
      <c r="J567" s="29">
        <v>450000000</v>
      </c>
      <c r="K567" s="29">
        <v>15000</v>
      </c>
      <c r="L567" s="29">
        <v>20000</v>
      </c>
      <c r="N567" s="34"/>
      <c r="O567" s="29">
        <f t="shared" si="98"/>
        <v>17500</v>
      </c>
      <c r="P567" s="32" cm="1">
        <f t="array" ref="P567">WPNFACTOR(C567)</f>
        <v>4.5</v>
      </c>
      <c r="Q567" s="34" cm="1">
        <f t="array" ref="Q567">HPFACTOr(C567)</f>
        <v>2</v>
      </c>
      <c r="R567" s="33">
        <f t="shared" si="99"/>
        <v>3888.8888888888887</v>
      </c>
      <c r="S567" s="34">
        <f t="shared" si="100"/>
        <v>225000000</v>
      </c>
      <c r="T567" s="33">
        <f t="shared" si="101"/>
        <v>3888.8888888888887</v>
      </c>
      <c r="U567" s="42">
        <f t="shared" si="102"/>
        <v>225000000</v>
      </c>
      <c r="V567" s="44"/>
      <c r="W567" s="29">
        <f t="shared" si="97"/>
        <v>875000000000</v>
      </c>
      <c r="X567" s="41">
        <f t="shared" si="103"/>
        <v>39.670492060705953</v>
      </c>
      <c r="Y567" s="33">
        <f t="shared" si="104"/>
        <v>967.16821013383435</v>
      </c>
      <c r="Z567" s="33">
        <v>0.8</v>
      </c>
      <c r="AA567" s="29">
        <f t="shared" si="105"/>
        <v>773.7345681070675</v>
      </c>
      <c r="AB567" s="33">
        <f t="shared" si="106"/>
        <v>9564.6559138619305</v>
      </c>
      <c r="AD567" s="46">
        <f t="shared" si="107"/>
        <v>0</v>
      </c>
    </row>
    <row r="568" spans="1:30" x14ac:dyDescent="0.2">
      <c r="A568" s="30" t="s">
        <v>8854</v>
      </c>
      <c r="B568" s="29">
        <v>1</v>
      </c>
      <c r="C568" s="29">
        <v>3</v>
      </c>
      <c r="D568" s="29">
        <v>410</v>
      </c>
      <c r="E568" s="29">
        <v>8400</v>
      </c>
      <c r="F568" s="29">
        <v>66000</v>
      </c>
      <c r="G568" s="29">
        <v>8400</v>
      </c>
      <c r="H568" s="29">
        <v>157500</v>
      </c>
      <c r="I568" s="29">
        <v>27000</v>
      </c>
      <c r="J568" s="29">
        <v>468750016</v>
      </c>
      <c r="K568" s="29">
        <v>1500</v>
      </c>
      <c r="L568" s="29">
        <v>1624</v>
      </c>
      <c r="N568" s="34"/>
      <c r="O568" s="29">
        <f t="shared" si="98"/>
        <v>1562</v>
      </c>
      <c r="P568" s="32" cm="1">
        <f t="array" ref="P568">WPNFACTOR(C568)</f>
        <v>2.5</v>
      </c>
      <c r="Q568" s="34" cm="1">
        <f t="array" ref="Q568">HPFACTOr(C568)</f>
        <v>4</v>
      </c>
      <c r="R568" s="33">
        <f t="shared" si="99"/>
        <v>624.79999999999995</v>
      </c>
      <c r="S568" s="34">
        <f t="shared" si="100"/>
        <v>117187504</v>
      </c>
      <c r="T568" s="33">
        <f t="shared" si="101"/>
        <v>624.79999999999995</v>
      </c>
      <c r="U568" s="42">
        <f t="shared" si="102"/>
        <v>117187504</v>
      </c>
      <c r="V568" s="44"/>
      <c r="W568" s="29">
        <f t="shared" si="97"/>
        <v>73218752499.199997</v>
      </c>
      <c r="X568" s="41">
        <f t="shared" si="103"/>
        <v>36.091494142093389</v>
      </c>
      <c r="Y568" s="33">
        <f t="shared" si="104"/>
        <v>520.18231281528097</v>
      </c>
      <c r="Z568" s="33">
        <v>0.8</v>
      </c>
      <c r="AA568" s="29">
        <f t="shared" si="105"/>
        <v>416.14585025222482</v>
      </c>
      <c r="AB568" s="33">
        <f t="shared" si="106"/>
        <v>4183.5096493666242</v>
      </c>
      <c r="AD568" s="46">
        <f t="shared" si="107"/>
        <v>0</v>
      </c>
    </row>
    <row r="569" spans="1:30" x14ac:dyDescent="0.2">
      <c r="A569" s="30" t="s">
        <v>8854</v>
      </c>
      <c r="B569" s="29">
        <v>2</v>
      </c>
      <c r="C569" s="29">
        <v>1</v>
      </c>
      <c r="D569" s="29">
        <v>420</v>
      </c>
      <c r="E569" s="29">
        <v>58332</v>
      </c>
      <c r="F569" s="29">
        <v>14424</v>
      </c>
      <c r="G569" s="29">
        <v>14556</v>
      </c>
      <c r="H569" s="29">
        <v>196785</v>
      </c>
      <c r="I569" s="29">
        <v>28584</v>
      </c>
      <c r="J569" s="29">
        <v>597611456</v>
      </c>
      <c r="K569" s="29">
        <v>700</v>
      </c>
      <c r="L569" s="29">
        <v>1969</v>
      </c>
      <c r="N569" s="34"/>
      <c r="O569" s="29">
        <f t="shared" si="98"/>
        <v>1334.5</v>
      </c>
      <c r="P569" s="32" cm="1">
        <f t="array" ref="P569">WPNFACTOR(C569)</f>
        <v>2</v>
      </c>
      <c r="Q569" s="34" cm="1">
        <f t="array" ref="Q569">HPFACTOr(C569)</f>
        <v>5</v>
      </c>
      <c r="R569" s="33">
        <f t="shared" si="99"/>
        <v>667.25</v>
      </c>
      <c r="S569" s="34">
        <f t="shared" si="100"/>
        <v>119522291.2</v>
      </c>
      <c r="T569" s="33">
        <f t="shared" si="101"/>
        <v>667.25</v>
      </c>
      <c r="U569" s="42">
        <f t="shared" si="102"/>
        <v>119522291.2</v>
      </c>
      <c r="V569" s="44"/>
      <c r="W569" s="29">
        <f t="shared" si="97"/>
        <v>79751248803.199997</v>
      </c>
      <c r="X569" s="41">
        <f t="shared" si="103"/>
        <v>36.214788058698815</v>
      </c>
      <c r="Y569" s="33">
        <f t="shared" si="104"/>
        <v>531.41569036931935</v>
      </c>
      <c r="Z569" s="33">
        <v>0.8</v>
      </c>
      <c r="AA569" s="29">
        <f t="shared" si="105"/>
        <v>425.13255229545553</v>
      </c>
      <c r="AB569" s="33">
        <f t="shared" si="106"/>
        <v>4304.3987581583133</v>
      </c>
      <c r="AD569" s="46">
        <f t="shared" si="107"/>
        <v>0</v>
      </c>
    </row>
    <row r="570" spans="1:30" x14ac:dyDescent="0.2">
      <c r="A570" s="30" t="s">
        <v>8854</v>
      </c>
      <c r="B570" s="29">
        <v>3</v>
      </c>
      <c r="C570" s="29">
        <v>3</v>
      </c>
      <c r="D570" s="29">
        <v>430</v>
      </c>
      <c r="E570" s="29">
        <v>9300</v>
      </c>
      <c r="F570" s="29">
        <v>67740</v>
      </c>
      <c r="G570" s="29">
        <v>9360</v>
      </c>
      <c r="H570" s="29">
        <v>198000</v>
      </c>
      <c r="I570" s="29">
        <v>28800</v>
      </c>
      <c r="J570" s="29">
        <v>513187488</v>
      </c>
      <c r="K570" s="29">
        <v>1705</v>
      </c>
      <c r="L570" s="29">
        <v>1819</v>
      </c>
      <c r="N570" s="34"/>
      <c r="O570" s="29">
        <f t="shared" si="98"/>
        <v>1762</v>
      </c>
      <c r="P570" s="32" cm="1">
        <f t="array" ref="P570">WPNFACTOR(C570)</f>
        <v>2.5</v>
      </c>
      <c r="Q570" s="34" cm="1">
        <f t="array" ref="Q570">HPFACTOr(C570)</f>
        <v>4</v>
      </c>
      <c r="R570" s="33">
        <f t="shared" si="99"/>
        <v>704.8</v>
      </c>
      <c r="S570" s="34">
        <f t="shared" si="100"/>
        <v>128296872</v>
      </c>
      <c r="T570" s="33">
        <f t="shared" si="101"/>
        <v>704.8</v>
      </c>
      <c r="U570" s="42">
        <f t="shared" si="102"/>
        <v>128296872</v>
      </c>
      <c r="V570" s="44"/>
      <c r="W570" s="29">
        <f t="shared" si="97"/>
        <v>90423635385.599991</v>
      </c>
      <c r="X570" s="41">
        <f t="shared" si="103"/>
        <v>36.395980869708417</v>
      </c>
      <c r="Y570" s="33">
        <f t="shared" si="104"/>
        <v>548.3659636230808</v>
      </c>
      <c r="Z570" s="33">
        <v>0.8</v>
      </c>
      <c r="AA570" s="29">
        <f t="shared" si="105"/>
        <v>438.69277089846469</v>
      </c>
      <c r="AB570" s="33">
        <f t="shared" si="106"/>
        <v>4488.4251563256066</v>
      </c>
      <c r="AD570" s="46">
        <f t="shared" si="107"/>
        <v>0</v>
      </c>
    </row>
    <row r="571" spans="1:30" x14ac:dyDescent="0.2">
      <c r="A571" s="30" t="s">
        <v>8854</v>
      </c>
      <c r="B571" s="29">
        <v>4</v>
      </c>
      <c r="C571" s="29">
        <v>3</v>
      </c>
      <c r="D571" s="29">
        <v>440</v>
      </c>
      <c r="E571" s="29">
        <v>11790</v>
      </c>
      <c r="F571" s="29">
        <v>73920</v>
      </c>
      <c r="G571" s="29">
        <v>11880</v>
      </c>
      <c r="H571" s="29">
        <v>207000</v>
      </c>
      <c r="I571" s="29">
        <v>35640</v>
      </c>
      <c r="J571" s="29">
        <v>554774976</v>
      </c>
      <c r="K571" s="29">
        <v>1165</v>
      </c>
      <c r="L571" s="29">
        <v>2474</v>
      </c>
      <c r="N571" s="34"/>
      <c r="O571" s="29">
        <f t="shared" si="98"/>
        <v>1819.5</v>
      </c>
      <c r="P571" s="32" cm="1">
        <f t="array" ref="P571">WPNFACTOR(C571)</f>
        <v>2.5</v>
      </c>
      <c r="Q571" s="34" cm="1">
        <f t="array" ref="Q571">HPFACTOr(C571)</f>
        <v>4</v>
      </c>
      <c r="R571" s="33">
        <f t="shared" si="99"/>
        <v>727.8</v>
      </c>
      <c r="S571" s="34">
        <f t="shared" si="100"/>
        <v>138693744</v>
      </c>
      <c r="T571" s="33">
        <f t="shared" si="101"/>
        <v>727.8</v>
      </c>
      <c r="U571" s="42">
        <f t="shared" si="102"/>
        <v>138693744</v>
      </c>
      <c r="V571" s="44"/>
      <c r="W571" s="29">
        <f t="shared" si="97"/>
        <v>100941306883.2</v>
      </c>
      <c r="X571" s="41">
        <f t="shared" si="103"/>
        <v>36.554725714147828</v>
      </c>
      <c r="Y571" s="33">
        <f t="shared" si="104"/>
        <v>563.66001881864042</v>
      </c>
      <c r="Z571" s="33">
        <v>0.8</v>
      </c>
      <c r="AA571" s="29">
        <f t="shared" si="105"/>
        <v>450.92801505491235</v>
      </c>
      <c r="AB571" s="33">
        <f t="shared" si="106"/>
        <v>4656.1072392666256</v>
      </c>
      <c r="AD571" s="46">
        <f t="shared" si="107"/>
        <v>0</v>
      </c>
    </row>
    <row r="572" spans="1:30" x14ac:dyDescent="0.2">
      <c r="A572" s="30" t="s">
        <v>8854</v>
      </c>
      <c r="B572" s="29">
        <v>5</v>
      </c>
      <c r="C572" s="29">
        <v>2</v>
      </c>
      <c r="D572" s="29">
        <v>450</v>
      </c>
      <c r="E572" s="29">
        <v>23214</v>
      </c>
      <c r="F572" s="29">
        <v>23190</v>
      </c>
      <c r="G572" s="29">
        <v>73494</v>
      </c>
      <c r="H572" s="29">
        <v>221647</v>
      </c>
      <c r="I572" s="29">
        <v>45972</v>
      </c>
      <c r="J572" s="29">
        <v>299962912</v>
      </c>
      <c r="K572" s="29">
        <v>1911</v>
      </c>
      <c r="L572" s="29">
        <v>4818</v>
      </c>
      <c r="N572" s="34"/>
      <c r="O572" s="29">
        <f t="shared" si="98"/>
        <v>3364.5</v>
      </c>
      <c r="P572" s="32" cm="1">
        <f t="array" ref="P572">WPNFACTOR(C572)</f>
        <v>4.5</v>
      </c>
      <c r="Q572" s="34" cm="1">
        <f t="array" ref="Q572">HPFACTOr(C572)</f>
        <v>2</v>
      </c>
      <c r="R572" s="33">
        <f t="shared" si="99"/>
        <v>747.66666666666663</v>
      </c>
      <c r="S572" s="34">
        <f t="shared" si="100"/>
        <v>149981456</v>
      </c>
      <c r="T572" s="33">
        <f t="shared" si="101"/>
        <v>747.66666666666663</v>
      </c>
      <c r="U572" s="42">
        <f t="shared" si="102"/>
        <v>149981456</v>
      </c>
      <c r="V572" s="44"/>
      <c r="W572" s="29">
        <f t="shared" si="97"/>
        <v>112136135269.33333</v>
      </c>
      <c r="X572" s="41">
        <f t="shared" si="103"/>
        <v>36.706460297580591</v>
      </c>
      <c r="Y572" s="33">
        <f t="shared" si="104"/>
        <v>578.67723283958173</v>
      </c>
      <c r="Z572" s="33">
        <v>0.8</v>
      </c>
      <c r="AA572" s="29">
        <f t="shared" si="105"/>
        <v>462.94178627166542</v>
      </c>
      <c r="AB572" s="33">
        <f t="shared" si="106"/>
        <v>4822.2367457273458</v>
      </c>
      <c r="AD572" s="46">
        <f t="shared" si="107"/>
        <v>0</v>
      </c>
    </row>
    <row r="573" spans="1:30" x14ac:dyDescent="0.2">
      <c r="A573" s="30" t="s">
        <v>8854</v>
      </c>
      <c r="B573" s="29">
        <v>6</v>
      </c>
      <c r="C573" s="29">
        <v>3</v>
      </c>
      <c r="D573" s="29">
        <v>460</v>
      </c>
      <c r="E573" s="29">
        <v>26790</v>
      </c>
      <c r="F573" s="29">
        <v>74640</v>
      </c>
      <c r="G573" s="29">
        <v>26580</v>
      </c>
      <c r="H573" s="29">
        <v>243450</v>
      </c>
      <c r="I573" s="29">
        <v>47760</v>
      </c>
      <c r="J573" s="29">
        <v>706649984</v>
      </c>
      <c r="K573" s="29">
        <v>1757</v>
      </c>
      <c r="L573" s="29">
        <v>2041</v>
      </c>
      <c r="N573" s="34"/>
      <c r="O573" s="29">
        <f t="shared" si="98"/>
        <v>1899</v>
      </c>
      <c r="P573" s="32" cm="1">
        <f t="array" ref="P573">WPNFACTOR(C573)</f>
        <v>2.5</v>
      </c>
      <c r="Q573" s="34" cm="1">
        <f t="array" ref="Q573">HPFACTOr(C573)</f>
        <v>4</v>
      </c>
      <c r="R573" s="33">
        <f t="shared" si="99"/>
        <v>759.6</v>
      </c>
      <c r="S573" s="34">
        <f t="shared" si="100"/>
        <v>176662496</v>
      </c>
      <c r="T573" s="33">
        <f t="shared" si="101"/>
        <v>759.6</v>
      </c>
      <c r="U573" s="42">
        <f t="shared" si="102"/>
        <v>176662496</v>
      </c>
      <c r="V573" s="44"/>
      <c r="W573" s="29">
        <f t="shared" si="97"/>
        <v>134192831961.60001</v>
      </c>
      <c r="X573" s="41">
        <f t="shared" si="103"/>
        <v>36.965516654422458</v>
      </c>
      <c r="Y573" s="33">
        <f t="shared" si="104"/>
        <v>605.24655972065364</v>
      </c>
      <c r="Z573" s="33">
        <v>0.8</v>
      </c>
      <c r="AA573" s="29">
        <f t="shared" si="105"/>
        <v>484.19724777652294</v>
      </c>
      <c r="AB573" s="33">
        <f t="shared" si="106"/>
        <v>5119.6834109257934</v>
      </c>
      <c r="AD573" s="46">
        <f t="shared" si="107"/>
        <v>0</v>
      </c>
    </row>
    <row r="574" spans="1:30" x14ac:dyDescent="0.2">
      <c r="A574" s="30" t="s">
        <v>8854</v>
      </c>
      <c r="B574" s="29">
        <v>7</v>
      </c>
      <c r="C574" s="29">
        <v>3</v>
      </c>
      <c r="D574" s="29">
        <v>470</v>
      </c>
      <c r="E574" s="29">
        <v>23460</v>
      </c>
      <c r="F574" s="29">
        <v>77880</v>
      </c>
      <c r="G574" s="29">
        <v>23100</v>
      </c>
      <c r="H574" s="29">
        <v>245250</v>
      </c>
      <c r="I574" s="29">
        <v>47820</v>
      </c>
      <c r="J574" s="29">
        <v>722437504</v>
      </c>
      <c r="K574" s="29">
        <v>1005</v>
      </c>
      <c r="L574" s="29">
        <v>2919</v>
      </c>
      <c r="N574" s="34"/>
      <c r="O574" s="29">
        <f t="shared" si="98"/>
        <v>1962</v>
      </c>
      <c r="P574" s="32" cm="1">
        <f t="array" ref="P574">WPNFACTOR(C574)</f>
        <v>2.5</v>
      </c>
      <c r="Q574" s="34" cm="1">
        <f t="array" ref="Q574">HPFACTOr(C574)</f>
        <v>4</v>
      </c>
      <c r="R574" s="33">
        <f t="shared" si="99"/>
        <v>784.8</v>
      </c>
      <c r="S574" s="34">
        <f t="shared" si="100"/>
        <v>180609376</v>
      </c>
      <c r="T574" s="33">
        <f t="shared" si="101"/>
        <v>784.8</v>
      </c>
      <c r="U574" s="42">
        <f t="shared" si="102"/>
        <v>180609376</v>
      </c>
      <c r="V574" s="44"/>
      <c r="W574" s="29">
        <f t="shared" si="97"/>
        <v>141742238284.79999</v>
      </c>
      <c r="X574" s="41">
        <f t="shared" si="103"/>
        <v>37.044478780024683</v>
      </c>
      <c r="Y574" s="33">
        <f t="shared" si="104"/>
        <v>613.58512367454705</v>
      </c>
      <c r="Z574" s="33">
        <v>0.8</v>
      </c>
      <c r="AA574" s="29">
        <f t="shared" si="105"/>
        <v>490.86809893963766</v>
      </c>
      <c r="AB574" s="33">
        <f t="shared" si="106"/>
        <v>5213.9447982951006</v>
      </c>
      <c r="AD574" s="46">
        <f t="shared" si="107"/>
        <v>0</v>
      </c>
    </row>
    <row r="575" spans="1:30" x14ac:dyDescent="0.2">
      <c r="A575" s="30" t="s">
        <v>8854</v>
      </c>
      <c r="B575" s="29">
        <v>8</v>
      </c>
      <c r="C575" s="29">
        <v>1</v>
      </c>
      <c r="D575" s="29">
        <v>480</v>
      </c>
      <c r="E575" s="29">
        <v>89244</v>
      </c>
      <c r="F575" s="29">
        <v>18792</v>
      </c>
      <c r="G575" s="29">
        <v>11916</v>
      </c>
      <c r="H575" s="29">
        <v>262327</v>
      </c>
      <c r="I575" s="29">
        <v>48132</v>
      </c>
      <c r="J575" s="29">
        <v>1039800576</v>
      </c>
      <c r="K575" s="29">
        <v>1410</v>
      </c>
      <c r="L575" s="29">
        <v>1689</v>
      </c>
      <c r="N575" s="34"/>
      <c r="O575" s="29">
        <f t="shared" si="98"/>
        <v>1549.5</v>
      </c>
      <c r="P575" s="32" cm="1">
        <f t="array" ref="P575">WPNFACTOR(C575)</f>
        <v>2</v>
      </c>
      <c r="Q575" s="34" cm="1">
        <f t="array" ref="Q575">HPFACTOr(C575)</f>
        <v>5</v>
      </c>
      <c r="R575" s="33">
        <f t="shared" si="99"/>
        <v>774.75</v>
      </c>
      <c r="S575" s="34">
        <f t="shared" si="100"/>
        <v>207960115.19999999</v>
      </c>
      <c r="T575" s="33">
        <f t="shared" si="101"/>
        <v>774.75</v>
      </c>
      <c r="U575" s="42">
        <f t="shared" si="102"/>
        <v>207960115.19999999</v>
      </c>
      <c r="V575" s="44"/>
      <c r="W575" s="29">
        <f t="shared" si="97"/>
        <v>161117099251.19998</v>
      </c>
      <c r="X575" s="41">
        <f t="shared" si="103"/>
        <v>37.229318658201557</v>
      </c>
      <c r="Y575" s="33">
        <f t="shared" si="104"/>
        <v>633.55658406328587</v>
      </c>
      <c r="Z575" s="33">
        <v>0.8</v>
      </c>
      <c r="AA575" s="29">
        <f t="shared" si="105"/>
        <v>506.84526725062869</v>
      </c>
      <c r="AB575" s="33">
        <f t="shared" si="106"/>
        <v>5441.4404171560673</v>
      </c>
      <c r="AD575" s="46">
        <f t="shared" si="107"/>
        <v>0</v>
      </c>
    </row>
    <row r="576" spans="1:30" x14ac:dyDescent="0.2">
      <c r="A576" s="30" t="s">
        <v>8854</v>
      </c>
      <c r="B576" s="29">
        <v>9</v>
      </c>
      <c r="C576" s="29">
        <v>1</v>
      </c>
      <c r="D576" s="29">
        <v>490</v>
      </c>
      <c r="E576" s="29">
        <v>86820</v>
      </c>
      <c r="F576" s="29">
        <v>33240</v>
      </c>
      <c r="G576" s="29">
        <v>33414</v>
      </c>
      <c r="H576" s="29">
        <v>315225</v>
      </c>
      <c r="I576" s="29">
        <v>61182</v>
      </c>
      <c r="J576" s="29">
        <v>1307133056</v>
      </c>
      <c r="K576" s="29">
        <v>1115</v>
      </c>
      <c r="L576" s="29">
        <v>2364</v>
      </c>
      <c r="N576" s="34"/>
      <c r="O576" s="29">
        <f t="shared" si="98"/>
        <v>1739.5</v>
      </c>
      <c r="P576" s="32" cm="1">
        <f t="array" ref="P576">WPNFACTOR(C576)</f>
        <v>2</v>
      </c>
      <c r="Q576" s="34" cm="1">
        <f t="array" ref="Q576">HPFACTOr(C576)</f>
        <v>5</v>
      </c>
      <c r="R576" s="33">
        <f t="shared" si="99"/>
        <v>869.75</v>
      </c>
      <c r="S576" s="34">
        <f t="shared" si="100"/>
        <v>261426611.19999999</v>
      </c>
      <c r="T576" s="33">
        <f t="shared" si="101"/>
        <v>869.75</v>
      </c>
      <c r="U576" s="42">
        <f t="shared" si="102"/>
        <v>261426611.19999999</v>
      </c>
      <c r="V576" s="44"/>
      <c r="W576" s="29">
        <f t="shared" si="97"/>
        <v>227375795091.19998</v>
      </c>
      <c r="X576" s="41">
        <f t="shared" si="103"/>
        <v>37.726287726484919</v>
      </c>
      <c r="Y576" s="33">
        <f t="shared" si="104"/>
        <v>690.5355753398461</v>
      </c>
      <c r="Z576" s="33">
        <v>0.8</v>
      </c>
      <c r="AA576" s="29">
        <f t="shared" si="105"/>
        <v>552.42846027187693</v>
      </c>
      <c r="AB576" s="33">
        <f t="shared" si="106"/>
        <v>6103.5345912300218</v>
      </c>
      <c r="AD576" s="46">
        <f t="shared" si="107"/>
        <v>0</v>
      </c>
    </row>
    <row r="577" spans="1:30" x14ac:dyDescent="0.2">
      <c r="A577" s="30" t="s">
        <v>8854</v>
      </c>
      <c r="B577" s="29">
        <v>10</v>
      </c>
      <c r="C577" s="29">
        <v>2</v>
      </c>
      <c r="D577" s="29">
        <v>500</v>
      </c>
      <c r="E577" s="29">
        <v>35466</v>
      </c>
      <c r="F577" s="29">
        <v>26028</v>
      </c>
      <c r="G577" s="29">
        <v>73044</v>
      </c>
      <c r="H577" s="29">
        <v>315225</v>
      </c>
      <c r="I577" s="29">
        <v>51240</v>
      </c>
      <c r="J577" s="29">
        <v>534621568</v>
      </c>
      <c r="K577" s="29">
        <v>2567</v>
      </c>
      <c r="L577" s="29">
        <v>5151</v>
      </c>
      <c r="N577" s="34"/>
      <c r="O577" s="29">
        <f t="shared" si="98"/>
        <v>3859</v>
      </c>
      <c r="P577" s="32" cm="1">
        <f t="array" ref="P577">WPNFACTOR(C577)</f>
        <v>4.5</v>
      </c>
      <c r="Q577" s="34" cm="1">
        <f t="array" ref="Q577">HPFACTOr(C577)</f>
        <v>2</v>
      </c>
      <c r="R577" s="33">
        <f t="shared" si="99"/>
        <v>857.55555555555554</v>
      </c>
      <c r="S577" s="34">
        <f t="shared" si="100"/>
        <v>267310784</v>
      </c>
      <c r="T577" s="33">
        <f t="shared" si="101"/>
        <v>857.55555555555554</v>
      </c>
      <c r="U577" s="42">
        <f t="shared" si="102"/>
        <v>267310784</v>
      </c>
      <c r="V577" s="44"/>
      <c r="W577" s="29">
        <f t="shared" si="97"/>
        <v>229233847879.11111</v>
      </c>
      <c r="X577" s="41">
        <f t="shared" si="103"/>
        <v>37.738029126956881</v>
      </c>
      <c r="Y577" s="33">
        <f t="shared" si="104"/>
        <v>691.9419897825918</v>
      </c>
      <c r="Z577" s="33">
        <v>0.8</v>
      </c>
      <c r="AA577" s="29">
        <f t="shared" si="105"/>
        <v>553.55359182607344</v>
      </c>
      <c r="AB577" s="33">
        <f t="shared" si="106"/>
        <v>6120.1149810291836</v>
      </c>
      <c r="AD577" s="46">
        <f t="shared" si="107"/>
        <v>0</v>
      </c>
    </row>
    <row r="578" spans="1:30" x14ac:dyDescent="0.2">
      <c r="A578" s="30" t="s">
        <v>8855</v>
      </c>
      <c r="B578" s="29">
        <v>1</v>
      </c>
      <c r="C578" s="29">
        <v>1</v>
      </c>
      <c r="D578" s="29">
        <v>328</v>
      </c>
      <c r="E578" s="29">
        <v>52800</v>
      </c>
      <c r="F578" s="29">
        <v>6720</v>
      </c>
      <c r="G578" s="29">
        <v>6720</v>
      </c>
      <c r="H578" s="29">
        <v>126000</v>
      </c>
      <c r="I578" s="29">
        <v>21600</v>
      </c>
      <c r="J578" s="29">
        <v>207270000</v>
      </c>
      <c r="K578" s="29">
        <v>1118</v>
      </c>
      <c r="L578" s="29">
        <v>1891</v>
      </c>
      <c r="N578" s="34"/>
      <c r="O578" s="29">
        <f t="shared" si="98"/>
        <v>1504.5</v>
      </c>
      <c r="P578" s="32" cm="1">
        <f t="array" ref="P578">WPNFACTOR(C578)</f>
        <v>2</v>
      </c>
      <c r="Q578" s="34" cm="1">
        <f t="array" ref="Q578">HPFACTOr(C578)</f>
        <v>5</v>
      </c>
      <c r="R578" s="33">
        <f t="shared" si="99"/>
        <v>752.25</v>
      </c>
      <c r="S578" s="34">
        <f t="shared" si="100"/>
        <v>41454000</v>
      </c>
      <c r="T578" s="33">
        <f t="shared" si="101"/>
        <v>752.25</v>
      </c>
      <c r="U578" s="42">
        <f t="shared" si="102"/>
        <v>41454000</v>
      </c>
      <c r="V578" s="44"/>
      <c r="W578" s="29">
        <f t="shared" si="97"/>
        <v>31183771500</v>
      </c>
      <c r="X578" s="41">
        <f t="shared" si="103"/>
        <v>34.860076373230584</v>
      </c>
      <c r="Y578" s="33">
        <f t="shared" si="104"/>
        <v>420.22526513383116</v>
      </c>
      <c r="Z578" s="33">
        <v>0.8</v>
      </c>
      <c r="AA578" s="29">
        <f t="shared" si="105"/>
        <v>336.18021210706496</v>
      </c>
      <c r="AB578" s="33">
        <f t="shared" si="106"/>
        <v>3147.5759127963724</v>
      </c>
      <c r="AD578" s="46">
        <f t="shared" si="107"/>
        <v>0</v>
      </c>
    </row>
    <row r="579" spans="1:30" x14ac:dyDescent="0.2">
      <c r="A579" s="30" t="s">
        <v>8855</v>
      </c>
      <c r="B579" s="29">
        <v>2</v>
      </c>
      <c r="C579" s="29">
        <v>1</v>
      </c>
      <c r="D579" s="29">
        <v>349</v>
      </c>
      <c r="E579" s="29">
        <v>48416</v>
      </c>
      <c r="F579" s="29">
        <v>11972</v>
      </c>
      <c r="G579" s="29">
        <v>12081</v>
      </c>
      <c r="H579" s="29">
        <v>163332</v>
      </c>
      <c r="I579" s="29">
        <v>23725</v>
      </c>
      <c r="J579" s="29">
        <v>285831008</v>
      </c>
      <c r="K579" s="29">
        <v>1190</v>
      </c>
      <c r="L579" s="29">
        <v>3248</v>
      </c>
      <c r="N579" s="34"/>
      <c r="O579" s="29">
        <f t="shared" si="98"/>
        <v>2219</v>
      </c>
      <c r="P579" s="32" cm="1">
        <f t="array" ref="P579">WPNFACTOR(C579)</f>
        <v>2</v>
      </c>
      <c r="Q579" s="34" cm="1">
        <f t="array" ref="Q579">HPFACTOr(C579)</f>
        <v>5</v>
      </c>
      <c r="R579" s="33">
        <f t="shared" si="99"/>
        <v>1109.5</v>
      </c>
      <c r="S579" s="34">
        <f t="shared" si="100"/>
        <v>57166201.600000001</v>
      </c>
      <c r="T579" s="33">
        <f t="shared" si="101"/>
        <v>1109.5</v>
      </c>
      <c r="U579" s="42">
        <f t="shared" si="102"/>
        <v>57166201.600000001</v>
      </c>
      <c r="V579" s="44"/>
      <c r="W579" s="29">
        <f t="shared" si="97"/>
        <v>63425900675.200005</v>
      </c>
      <c r="X579" s="41">
        <f t="shared" si="103"/>
        <v>35.884353050201362</v>
      </c>
      <c r="Y579" s="33">
        <f t="shared" si="104"/>
        <v>501.84160185209913</v>
      </c>
      <c r="Z579" s="33">
        <v>0.8</v>
      </c>
      <c r="AA579" s="29">
        <f t="shared" si="105"/>
        <v>401.47328148167935</v>
      </c>
      <c r="AB579" s="33">
        <f t="shared" si="106"/>
        <v>3988.0036552955457</v>
      </c>
      <c r="AD579" s="46">
        <f t="shared" si="107"/>
        <v>0</v>
      </c>
    </row>
    <row r="580" spans="1:30" x14ac:dyDescent="0.2">
      <c r="A580" s="30" t="s">
        <v>8855</v>
      </c>
      <c r="B580" s="29">
        <v>3</v>
      </c>
      <c r="C580" s="29">
        <v>2</v>
      </c>
      <c r="D580" s="29">
        <v>370</v>
      </c>
      <c r="E580" s="29">
        <v>7998</v>
      </c>
      <c r="F580" s="29">
        <v>7998</v>
      </c>
      <c r="G580" s="29">
        <v>58256</v>
      </c>
      <c r="H580" s="29">
        <v>170280</v>
      </c>
      <c r="I580" s="29">
        <v>24768</v>
      </c>
      <c r="J580" s="29">
        <v>126347760</v>
      </c>
      <c r="K580" s="29">
        <v>2845</v>
      </c>
      <c r="L580" s="29">
        <v>4764</v>
      </c>
      <c r="N580" s="34"/>
      <c r="O580" s="29">
        <f t="shared" si="98"/>
        <v>3804.5</v>
      </c>
      <c r="P580" s="32" cm="1">
        <f t="array" ref="P580">WPNFACTOR(C580)</f>
        <v>4.5</v>
      </c>
      <c r="Q580" s="34" cm="1">
        <f t="array" ref="Q580">HPFACTOr(C580)</f>
        <v>2</v>
      </c>
      <c r="R580" s="33">
        <f t="shared" si="99"/>
        <v>845.44444444444446</v>
      </c>
      <c r="S580" s="34">
        <f t="shared" si="100"/>
        <v>63173880</v>
      </c>
      <c r="T580" s="33">
        <f t="shared" si="101"/>
        <v>845.44444444444446</v>
      </c>
      <c r="U580" s="42">
        <f t="shared" si="102"/>
        <v>63173880</v>
      </c>
      <c r="V580" s="44"/>
      <c r="W580" s="29">
        <f t="shared" si="97"/>
        <v>53410005880</v>
      </c>
      <c r="X580" s="41">
        <f t="shared" si="103"/>
        <v>35.636390991932473</v>
      </c>
      <c r="Y580" s="33">
        <f t="shared" si="104"/>
        <v>480.73490510935562</v>
      </c>
      <c r="Z580" s="33">
        <v>0.8</v>
      </c>
      <c r="AA580" s="29">
        <f t="shared" si="105"/>
        <v>384.58792408748451</v>
      </c>
      <c r="AB580" s="33">
        <f t="shared" si="106"/>
        <v>3765.9470425521181</v>
      </c>
      <c r="AD580" s="46">
        <f t="shared" si="107"/>
        <v>0</v>
      </c>
    </row>
    <row r="581" spans="1:30" x14ac:dyDescent="0.2">
      <c r="A581" s="30" t="s">
        <v>8855</v>
      </c>
      <c r="B581" s="29">
        <v>4</v>
      </c>
      <c r="C581" s="29">
        <v>3</v>
      </c>
      <c r="D581" s="29">
        <v>392</v>
      </c>
      <c r="E581" s="29">
        <v>10493</v>
      </c>
      <c r="F581" s="29">
        <v>65789</v>
      </c>
      <c r="G581" s="29">
        <v>10573</v>
      </c>
      <c r="H581" s="29">
        <v>184230</v>
      </c>
      <c r="I581" s="29">
        <v>31720</v>
      </c>
      <c r="J581" s="29">
        <v>289609568</v>
      </c>
      <c r="K581" s="29">
        <v>1670</v>
      </c>
      <c r="L581" s="29">
        <v>2816</v>
      </c>
      <c r="N581" s="34"/>
      <c r="O581" s="29">
        <f t="shared" si="98"/>
        <v>2243</v>
      </c>
      <c r="P581" s="32" cm="1">
        <f t="array" ref="P581">WPNFACTOR(C581)</f>
        <v>2.5</v>
      </c>
      <c r="Q581" s="34" cm="1">
        <f t="array" ref="Q581">HPFACTOr(C581)</f>
        <v>4</v>
      </c>
      <c r="R581" s="33">
        <f t="shared" si="99"/>
        <v>897.2</v>
      </c>
      <c r="S581" s="34">
        <f t="shared" si="100"/>
        <v>72402392</v>
      </c>
      <c r="T581" s="33">
        <f t="shared" si="101"/>
        <v>897.2</v>
      </c>
      <c r="U581" s="42">
        <f t="shared" si="102"/>
        <v>72402392</v>
      </c>
      <c r="V581" s="44"/>
      <c r="W581" s="29">
        <f t="shared" si="97"/>
        <v>64959426102.400002</v>
      </c>
      <c r="X581" s="41">
        <f t="shared" si="103"/>
        <v>35.918819835662745</v>
      </c>
      <c r="Y581" s="33">
        <f t="shared" si="104"/>
        <v>504.8478892680796</v>
      </c>
      <c r="Z581" s="33">
        <v>0.8</v>
      </c>
      <c r="AA581" s="29">
        <f t="shared" si="105"/>
        <v>403.87831141446372</v>
      </c>
      <c r="AB581" s="33">
        <f t="shared" si="106"/>
        <v>4019.8889869428785</v>
      </c>
      <c r="AD581" s="46">
        <f t="shared" si="107"/>
        <v>0</v>
      </c>
    </row>
    <row r="582" spans="1:30" x14ac:dyDescent="0.2">
      <c r="A582" s="30" t="s">
        <v>8855</v>
      </c>
      <c r="B582" s="29">
        <v>5</v>
      </c>
      <c r="C582" s="29">
        <v>3</v>
      </c>
      <c r="D582" s="29">
        <v>414</v>
      </c>
      <c r="E582" s="29">
        <v>21357</v>
      </c>
      <c r="F582" s="29">
        <v>67614</v>
      </c>
      <c r="G582" s="29">
        <v>21357</v>
      </c>
      <c r="H582" s="29">
        <v>203916</v>
      </c>
      <c r="I582" s="29">
        <v>42294</v>
      </c>
      <c r="J582" s="29">
        <v>338500544</v>
      </c>
      <c r="K582" s="29">
        <v>1794</v>
      </c>
      <c r="L582" s="29">
        <v>2970</v>
      </c>
      <c r="N582" s="34"/>
      <c r="O582" s="29">
        <f t="shared" si="98"/>
        <v>2382</v>
      </c>
      <c r="P582" s="32" cm="1">
        <f t="array" ref="P582">WPNFACTOR(C582)</f>
        <v>2.5</v>
      </c>
      <c r="Q582" s="34" cm="1">
        <f t="array" ref="Q582">HPFACTOr(C582)</f>
        <v>4</v>
      </c>
      <c r="R582" s="33">
        <f t="shared" si="99"/>
        <v>952.8</v>
      </c>
      <c r="S582" s="34">
        <f t="shared" si="100"/>
        <v>84625136</v>
      </c>
      <c r="T582" s="33">
        <f t="shared" si="101"/>
        <v>952.8</v>
      </c>
      <c r="U582" s="42">
        <f t="shared" si="102"/>
        <v>84625135.999999985</v>
      </c>
      <c r="V582" s="44"/>
      <c r="W582" s="29">
        <f t="shared" si="97"/>
        <v>80630829580.799988</v>
      </c>
      <c r="X582" s="41">
        <f t="shared" si="103"/>
        <v>36.230612514414986</v>
      </c>
      <c r="Y582" s="33">
        <f t="shared" si="104"/>
        <v>532.87492193183584</v>
      </c>
      <c r="Z582" s="33">
        <v>0.8</v>
      </c>
      <c r="AA582" s="29">
        <f t="shared" si="105"/>
        <v>426.29993754546871</v>
      </c>
      <c r="AB582" s="33">
        <f t="shared" si="106"/>
        <v>4320.1654168483938</v>
      </c>
      <c r="AD582" s="46">
        <f t="shared" si="107"/>
        <v>0</v>
      </c>
    </row>
    <row r="583" spans="1:30" x14ac:dyDescent="0.2">
      <c r="A583" s="30" t="s">
        <v>8855</v>
      </c>
      <c r="B583" s="29">
        <v>6</v>
      </c>
      <c r="C583" s="29">
        <v>1</v>
      </c>
      <c r="D583" s="29">
        <v>437</v>
      </c>
      <c r="E583" s="29">
        <v>70908</v>
      </c>
      <c r="F583" s="29">
        <v>25251</v>
      </c>
      <c r="G583" s="29">
        <v>25251</v>
      </c>
      <c r="H583" s="29">
        <v>231278</v>
      </c>
      <c r="I583" s="29">
        <v>45372</v>
      </c>
      <c r="J583" s="29">
        <v>506498816</v>
      </c>
      <c r="K583" s="29">
        <v>1498</v>
      </c>
      <c r="L583" s="29">
        <v>2511</v>
      </c>
      <c r="N583" s="34"/>
      <c r="O583" s="29">
        <f t="shared" si="98"/>
        <v>2004.5</v>
      </c>
      <c r="P583" s="32" cm="1">
        <f t="array" ref="P583">WPNFACTOR(C583)</f>
        <v>2</v>
      </c>
      <c r="Q583" s="34" cm="1">
        <f t="array" ref="Q583">HPFACTOr(C583)</f>
        <v>5</v>
      </c>
      <c r="R583" s="33">
        <f t="shared" si="99"/>
        <v>1002.25</v>
      </c>
      <c r="S583" s="34">
        <f t="shared" si="100"/>
        <v>101299763.2</v>
      </c>
      <c r="T583" s="33">
        <f t="shared" si="101"/>
        <v>1002.25</v>
      </c>
      <c r="U583" s="42">
        <f t="shared" si="102"/>
        <v>101299763.2</v>
      </c>
      <c r="V583" s="44"/>
      <c r="W583" s="29">
        <f t="shared" si="97"/>
        <v>101527687667.2</v>
      </c>
      <c r="X583" s="41">
        <f t="shared" si="103"/>
        <v>36.563082262924901</v>
      </c>
      <c r="Y583" s="33">
        <f t="shared" si="104"/>
        <v>564.4768346328384</v>
      </c>
      <c r="Z583" s="33">
        <v>0.8</v>
      </c>
      <c r="AA583" s="29">
        <f t="shared" si="105"/>
        <v>451.58146770627076</v>
      </c>
      <c r="AB583" s="33">
        <f t="shared" si="106"/>
        <v>4665.1058085056175</v>
      </c>
      <c r="AD583" s="46">
        <f t="shared" si="107"/>
        <v>0</v>
      </c>
    </row>
    <row r="584" spans="1:30" x14ac:dyDescent="0.2">
      <c r="A584" s="30" t="s">
        <v>8855</v>
      </c>
      <c r="B584" s="29">
        <v>7</v>
      </c>
      <c r="C584" s="29">
        <v>3</v>
      </c>
      <c r="D584" s="29">
        <v>461</v>
      </c>
      <c r="E584" s="29">
        <v>22991</v>
      </c>
      <c r="F584" s="29">
        <v>76322</v>
      </c>
      <c r="G584" s="29">
        <v>22638</v>
      </c>
      <c r="H584" s="29">
        <v>240345</v>
      </c>
      <c r="I584" s="29">
        <v>46864</v>
      </c>
      <c r="J584" s="29">
        <v>444157568</v>
      </c>
      <c r="K584" s="29">
        <v>2064</v>
      </c>
      <c r="L584" s="29">
        <v>3262</v>
      </c>
      <c r="N584" s="34"/>
      <c r="O584" s="29">
        <f t="shared" si="98"/>
        <v>2663</v>
      </c>
      <c r="P584" s="32" cm="1">
        <f t="array" ref="P584">WPNFACTOR(C584)</f>
        <v>2.5</v>
      </c>
      <c r="Q584" s="34" cm="1">
        <f t="array" ref="Q584">HPFACTOr(C584)</f>
        <v>4</v>
      </c>
      <c r="R584" s="33">
        <f t="shared" si="99"/>
        <v>1065.2</v>
      </c>
      <c r="S584" s="34">
        <f t="shared" si="100"/>
        <v>111039392</v>
      </c>
      <c r="T584" s="33">
        <f t="shared" si="101"/>
        <v>1065.2</v>
      </c>
      <c r="U584" s="42">
        <f t="shared" si="102"/>
        <v>111039392</v>
      </c>
      <c r="V584" s="44"/>
      <c r="W584" s="29">
        <f t="shared" si="97"/>
        <v>118279160358.40001</v>
      </c>
      <c r="X584" s="41">
        <f t="shared" si="103"/>
        <v>36.783404950946405</v>
      </c>
      <c r="Y584" s="33">
        <f t="shared" si="104"/>
        <v>586.44468990595419</v>
      </c>
      <c r="Z584" s="33">
        <v>0.8</v>
      </c>
      <c r="AA584" s="29">
        <f t="shared" si="105"/>
        <v>469.15575192476336</v>
      </c>
      <c r="AB584" s="33">
        <f t="shared" si="106"/>
        <v>4908.7330083365905</v>
      </c>
      <c r="AD584" s="46">
        <f t="shared" si="107"/>
        <v>0</v>
      </c>
    </row>
    <row r="585" spans="1:30" x14ac:dyDescent="0.2">
      <c r="A585" s="30" t="s">
        <v>8855</v>
      </c>
      <c r="B585" s="29">
        <v>8</v>
      </c>
      <c r="C585" s="29">
        <v>2</v>
      </c>
      <c r="D585" s="29">
        <v>485</v>
      </c>
      <c r="E585" s="29">
        <v>18980</v>
      </c>
      <c r="F585" s="29">
        <v>18980</v>
      </c>
      <c r="G585" s="29">
        <v>90136</v>
      </c>
      <c r="H585" s="29">
        <v>264951</v>
      </c>
      <c r="I585" s="29">
        <v>48613</v>
      </c>
      <c r="J585" s="29">
        <v>257532368</v>
      </c>
      <c r="K585" s="29">
        <v>3755</v>
      </c>
      <c r="L585" s="29">
        <v>6243</v>
      </c>
      <c r="N585" s="34"/>
      <c r="O585" s="29">
        <f t="shared" si="98"/>
        <v>4999</v>
      </c>
      <c r="P585" s="32" cm="1">
        <f t="array" ref="P585">WPNFACTOR(C585)</f>
        <v>4.5</v>
      </c>
      <c r="Q585" s="34" cm="1">
        <f t="array" ref="Q585">HPFACTOr(C585)</f>
        <v>2</v>
      </c>
      <c r="R585" s="33">
        <f t="shared" si="99"/>
        <v>1110.8888888888889</v>
      </c>
      <c r="S585" s="34">
        <f t="shared" si="100"/>
        <v>128766184</v>
      </c>
      <c r="T585" s="33">
        <f t="shared" si="101"/>
        <v>1110.8888888888889</v>
      </c>
      <c r="U585" s="42">
        <f t="shared" si="102"/>
        <v>128766184</v>
      </c>
      <c r="V585" s="44"/>
      <c r="W585" s="29">
        <f t="shared" si="97"/>
        <v>143044923070.22223</v>
      </c>
      <c r="X585" s="41">
        <f t="shared" si="103"/>
        <v>37.057677338406414</v>
      </c>
      <c r="Y585" s="33">
        <f t="shared" si="104"/>
        <v>614.99008228101047</v>
      </c>
      <c r="Z585" s="33">
        <v>0.8</v>
      </c>
      <c r="AA585" s="29">
        <f t="shared" si="105"/>
        <v>491.99206582480838</v>
      </c>
      <c r="AB585" s="33">
        <f t="shared" si="106"/>
        <v>5229.8690669148182</v>
      </c>
      <c r="AD585" s="46">
        <f t="shared" si="107"/>
        <v>0</v>
      </c>
    </row>
    <row r="586" spans="1:30" x14ac:dyDescent="0.2">
      <c r="A586" s="30" t="s">
        <v>8855</v>
      </c>
      <c r="B586" s="29">
        <v>9</v>
      </c>
      <c r="C586" s="29">
        <v>5</v>
      </c>
      <c r="D586" s="29">
        <v>505</v>
      </c>
      <c r="E586" s="29">
        <v>89425</v>
      </c>
      <c r="F586" s="29">
        <v>34237</v>
      </c>
      <c r="G586" s="29">
        <v>34416</v>
      </c>
      <c r="H586" s="29">
        <v>324682</v>
      </c>
      <c r="I586" s="29">
        <v>63017</v>
      </c>
      <c r="J586" s="29">
        <v>821445440</v>
      </c>
      <c r="K586" s="29">
        <v>1725</v>
      </c>
      <c r="L586" s="29">
        <v>2908</v>
      </c>
      <c r="N586" s="34"/>
      <c r="O586" s="29">
        <f t="shared" si="98"/>
        <v>2316.5</v>
      </c>
      <c r="P586" s="32" cm="1">
        <f t="array" ref="P586">WPNFACTOR(C586)</f>
        <v>2</v>
      </c>
      <c r="Q586" s="34" cm="1">
        <f t="array" ref="Q586">HPFACTOr(C586)</f>
        <v>5</v>
      </c>
      <c r="R586" s="33">
        <f t="shared" si="99"/>
        <v>1158.25</v>
      </c>
      <c r="S586" s="34">
        <f t="shared" si="100"/>
        <v>164289088</v>
      </c>
      <c r="T586" s="33">
        <f t="shared" si="101"/>
        <v>1158.25</v>
      </c>
      <c r="U586" s="42">
        <f t="shared" si="102"/>
        <v>164289088</v>
      </c>
      <c r="V586" s="44"/>
      <c r="W586" s="29">
        <f t="shared" si="97"/>
        <v>190287836176</v>
      </c>
      <c r="X586" s="41">
        <f t="shared" si="103"/>
        <v>37.46939238651094</v>
      </c>
      <c r="Y586" s="33">
        <f t="shared" si="104"/>
        <v>660.4694846397465</v>
      </c>
      <c r="Z586" s="33">
        <v>0.8</v>
      </c>
      <c r="AA586" s="29">
        <f t="shared" si="105"/>
        <v>528.37558771179727</v>
      </c>
      <c r="AB586" s="33">
        <f t="shared" si="106"/>
        <v>5751.7986678047091</v>
      </c>
      <c r="AD586" s="46">
        <f t="shared" si="107"/>
        <v>0</v>
      </c>
    </row>
    <row r="587" spans="1:30" x14ac:dyDescent="0.2">
      <c r="A587" s="30" t="s">
        <v>8855</v>
      </c>
      <c r="B587" s="29">
        <v>10</v>
      </c>
      <c r="C587" s="29">
        <v>3</v>
      </c>
      <c r="D587" s="29">
        <v>525</v>
      </c>
      <c r="E587" s="29">
        <v>37239</v>
      </c>
      <c r="F587" s="29">
        <v>76696</v>
      </c>
      <c r="G587" s="29">
        <v>37239</v>
      </c>
      <c r="H587" s="29">
        <v>330986</v>
      </c>
      <c r="I587" s="29">
        <v>53802</v>
      </c>
      <c r="J587" s="29">
        <v>696394560</v>
      </c>
      <c r="K587" s="29">
        <v>2236</v>
      </c>
      <c r="L587" s="29">
        <v>3778</v>
      </c>
      <c r="N587" s="34"/>
      <c r="O587" s="29">
        <f t="shared" si="98"/>
        <v>3007</v>
      </c>
      <c r="P587" s="32" cm="1">
        <f t="array" ref="P587">WPNFACTOR(C587)</f>
        <v>2.5</v>
      </c>
      <c r="Q587" s="34" cm="1">
        <f t="array" ref="Q587">HPFACTOr(C587)</f>
        <v>4</v>
      </c>
      <c r="R587" s="33">
        <f t="shared" si="99"/>
        <v>1202.8</v>
      </c>
      <c r="S587" s="34">
        <f t="shared" si="100"/>
        <v>174098640</v>
      </c>
      <c r="T587" s="33">
        <f t="shared" si="101"/>
        <v>1202.8</v>
      </c>
      <c r="U587" s="42">
        <f t="shared" si="102"/>
        <v>174098640</v>
      </c>
      <c r="V587" s="44"/>
      <c r="W587" s="29">
        <f t="shared" si="97"/>
        <v>209405844192</v>
      </c>
      <c r="X587" s="41">
        <f t="shared" si="103"/>
        <v>37.607510749970309</v>
      </c>
      <c r="Y587" s="33">
        <f t="shared" si="104"/>
        <v>676.46790993105799</v>
      </c>
      <c r="Z587" s="33">
        <v>0.8</v>
      </c>
      <c r="AA587" s="29">
        <f t="shared" si="105"/>
        <v>541.17432794484637</v>
      </c>
      <c r="AB587" s="33">
        <f t="shared" si="106"/>
        <v>5938.3109183531533</v>
      </c>
      <c r="AD587" s="46">
        <f t="shared" si="107"/>
        <v>0</v>
      </c>
    </row>
    <row r="588" spans="1:30" x14ac:dyDescent="0.2">
      <c r="A588" s="30" t="s">
        <v>8856</v>
      </c>
      <c r="B588" s="29">
        <v>1</v>
      </c>
      <c r="C588" s="29">
        <v>1</v>
      </c>
      <c r="D588" s="29">
        <v>345</v>
      </c>
      <c r="E588" s="29">
        <v>48500</v>
      </c>
      <c r="F588" s="29">
        <v>12000</v>
      </c>
      <c r="G588" s="29">
        <v>12000</v>
      </c>
      <c r="H588" s="29">
        <v>163000</v>
      </c>
      <c r="I588" s="29">
        <v>23500</v>
      </c>
      <c r="J588" s="29">
        <v>318257504</v>
      </c>
      <c r="K588" s="29">
        <v>1190</v>
      </c>
      <c r="L588" s="29">
        <v>2011</v>
      </c>
      <c r="M588" s="29">
        <v>0</v>
      </c>
      <c r="N588" s="34">
        <v>60</v>
      </c>
      <c r="O588" s="29">
        <f t="shared" si="98"/>
        <v>1600.5</v>
      </c>
      <c r="P588" s="32" cm="1">
        <f t="array" ref="P588">WPNFACTOR(C588)</f>
        <v>2</v>
      </c>
      <c r="Q588" s="34" cm="1">
        <f t="array" ref="Q588">HPFACTOr(C588)</f>
        <v>5</v>
      </c>
      <c r="R588" s="33">
        <f t="shared" si="99"/>
        <v>800.25</v>
      </c>
      <c r="S588" s="34">
        <f t="shared" si="100"/>
        <v>63651500.799999997</v>
      </c>
      <c r="T588" s="33">
        <f t="shared" si="101"/>
        <v>920.28749999999991</v>
      </c>
      <c r="U588" s="42">
        <f t="shared" si="102"/>
        <v>63651500.799999997</v>
      </c>
      <c r="V588" s="44"/>
      <c r="W588" s="29">
        <f t="shared" si="97"/>
        <v>58577680542.479988</v>
      </c>
      <c r="X588" s="41">
        <f t="shared" si="103"/>
        <v>35.769632017882799</v>
      </c>
      <c r="Y588" s="33">
        <f t="shared" si="104"/>
        <v>491.96368151838197</v>
      </c>
      <c r="Z588" s="33">
        <v>0.8</v>
      </c>
      <c r="AA588" s="29">
        <f t="shared" si="105"/>
        <v>393.5709452147056</v>
      </c>
      <c r="AB588" s="33">
        <f t="shared" si="106"/>
        <v>3883.6855312436433</v>
      </c>
      <c r="AD588" s="46">
        <f t="shared" si="107"/>
        <v>0</v>
      </c>
    </row>
    <row r="589" spans="1:30" x14ac:dyDescent="0.2">
      <c r="A589" s="30" t="s">
        <v>8856</v>
      </c>
      <c r="B589" s="29">
        <v>2</v>
      </c>
      <c r="C589" s="29">
        <v>1</v>
      </c>
      <c r="D589" s="29">
        <v>390</v>
      </c>
      <c r="E589" s="29">
        <v>65500</v>
      </c>
      <c r="F589" s="29">
        <v>10500</v>
      </c>
      <c r="G589" s="29">
        <v>10500</v>
      </c>
      <c r="H589" s="29">
        <v>184000</v>
      </c>
      <c r="I589" s="29">
        <v>31500</v>
      </c>
      <c r="J589" s="29">
        <v>404800000</v>
      </c>
      <c r="K589" s="29">
        <v>1365</v>
      </c>
      <c r="L589" s="29">
        <v>2339</v>
      </c>
      <c r="M589" s="29">
        <v>10</v>
      </c>
      <c r="N589" s="34">
        <v>60</v>
      </c>
      <c r="O589" s="29">
        <f t="shared" si="98"/>
        <v>1852</v>
      </c>
      <c r="P589" s="32" cm="1">
        <f t="array" ref="P589">WPNFACTOR(C589)</f>
        <v>2</v>
      </c>
      <c r="Q589" s="34" cm="1">
        <f t="array" ref="Q589">HPFACTOr(C589)</f>
        <v>5</v>
      </c>
      <c r="R589" s="33">
        <f t="shared" si="99"/>
        <v>926</v>
      </c>
      <c r="S589" s="34">
        <f t="shared" si="100"/>
        <v>80960000</v>
      </c>
      <c r="T589" s="33">
        <f t="shared" si="101"/>
        <v>1064.8999999999999</v>
      </c>
      <c r="U589" s="42">
        <f t="shared" si="102"/>
        <v>84114285.714285716</v>
      </c>
      <c r="V589" s="44"/>
      <c r="W589" s="29">
        <f t="shared" si="97"/>
        <v>89573302857.142853</v>
      </c>
      <c r="X589" s="41">
        <f t="shared" si="103"/>
        <v>36.382349752866105</v>
      </c>
      <c r="Y589" s="33">
        <f t="shared" si="104"/>
        <v>547.07220105975682</v>
      </c>
      <c r="Z589" s="33">
        <v>0.8</v>
      </c>
      <c r="AA589" s="29">
        <f t="shared" si="105"/>
        <v>437.65776084780549</v>
      </c>
      <c r="AB589" s="33">
        <f t="shared" si="106"/>
        <v>4474.3112926521708</v>
      </c>
      <c r="AD589" s="46">
        <f t="shared" si="107"/>
        <v>0</v>
      </c>
    </row>
    <row r="590" spans="1:30" x14ac:dyDescent="0.2">
      <c r="A590" s="30" t="s">
        <v>8856</v>
      </c>
      <c r="B590" s="29">
        <v>3</v>
      </c>
      <c r="C590" s="29">
        <v>2</v>
      </c>
      <c r="D590" s="29">
        <v>435</v>
      </c>
      <c r="E590" s="29">
        <v>25000</v>
      </c>
      <c r="F590" s="29">
        <v>25000</v>
      </c>
      <c r="G590" s="29">
        <v>70500</v>
      </c>
      <c r="H590" s="29">
        <v>231000</v>
      </c>
      <c r="I590" s="29">
        <v>45000</v>
      </c>
      <c r="J590" s="29">
        <v>226149008</v>
      </c>
      <c r="K590" s="29">
        <v>3425</v>
      </c>
      <c r="L590" s="29">
        <v>5871</v>
      </c>
      <c r="M590" s="29">
        <v>35</v>
      </c>
      <c r="N590" s="34">
        <v>60</v>
      </c>
      <c r="O590" s="29">
        <f t="shared" si="98"/>
        <v>4648</v>
      </c>
      <c r="P590" s="32" cm="1">
        <f t="array" ref="P590">WPNFACTOR(C590)</f>
        <v>4.5</v>
      </c>
      <c r="Q590" s="34" cm="1">
        <f t="array" ref="Q590">HPFACTOr(C590)</f>
        <v>2</v>
      </c>
      <c r="R590" s="33">
        <f t="shared" si="99"/>
        <v>1032.8888888888889</v>
      </c>
      <c r="S590" s="34">
        <f t="shared" si="100"/>
        <v>113074504</v>
      </c>
      <c r="T590" s="33">
        <f t="shared" si="101"/>
        <v>1187.8222222222221</v>
      </c>
      <c r="U590" s="42">
        <f t="shared" si="102"/>
        <v>130157702.44604316</v>
      </c>
      <c r="V590" s="44"/>
      <c r="W590" s="29">
        <f t="shared" si="97"/>
        <v>154604211358.79773</v>
      </c>
      <c r="X590" s="41">
        <f t="shared" si="103"/>
        <v>37.16978866201277</v>
      </c>
      <c r="Y590" s="33">
        <f t="shared" si="104"/>
        <v>627.05455929758557</v>
      </c>
      <c r="Z590" s="33">
        <v>0.8</v>
      </c>
      <c r="AA590" s="29">
        <f t="shared" si="105"/>
        <v>501.64364743806846</v>
      </c>
      <c r="AB590" s="33">
        <f t="shared" si="106"/>
        <v>5367.1093028457472</v>
      </c>
      <c r="AD590" s="46">
        <f t="shared" si="107"/>
        <v>0</v>
      </c>
    </row>
    <row r="591" spans="1:30" x14ac:dyDescent="0.2">
      <c r="A591" s="30" t="s">
        <v>8856</v>
      </c>
      <c r="B591" s="29">
        <v>4</v>
      </c>
      <c r="C591" s="29">
        <v>1</v>
      </c>
      <c r="D591" s="29">
        <v>485</v>
      </c>
      <c r="E591" s="29">
        <v>90000</v>
      </c>
      <c r="F591" s="29">
        <v>19000</v>
      </c>
      <c r="G591" s="29">
        <v>18500</v>
      </c>
      <c r="H591" s="29">
        <v>265000</v>
      </c>
      <c r="I591" s="29">
        <v>48500</v>
      </c>
      <c r="J591" s="29">
        <v>721462528</v>
      </c>
      <c r="K591" s="29">
        <v>1697</v>
      </c>
      <c r="L591" s="29">
        <v>2909</v>
      </c>
      <c r="M591" s="29">
        <v>15</v>
      </c>
      <c r="N591" s="34">
        <v>60</v>
      </c>
      <c r="O591" s="29">
        <f t="shared" si="98"/>
        <v>2303</v>
      </c>
      <c r="P591" s="32" cm="1">
        <f t="array" ref="P591">WPNFACTOR(C591)</f>
        <v>2</v>
      </c>
      <c r="Q591" s="34" cm="1">
        <f t="array" ref="Q591">HPFACTOr(C591)</f>
        <v>5</v>
      </c>
      <c r="R591" s="33">
        <f t="shared" si="99"/>
        <v>1151.5</v>
      </c>
      <c r="S591" s="34">
        <f t="shared" si="100"/>
        <v>144292505.59999999</v>
      </c>
      <c r="T591" s="33">
        <f t="shared" si="101"/>
        <v>1324.2249999999999</v>
      </c>
      <c r="U591" s="42">
        <f t="shared" si="102"/>
        <v>152892721.16556293</v>
      </c>
      <c r="V591" s="44"/>
      <c r="W591" s="29">
        <f t="shared" si="97"/>
        <v>202464363685.46756</v>
      </c>
      <c r="X591" s="41">
        <f t="shared" si="103"/>
        <v>37.558877041345411</v>
      </c>
      <c r="Y591" s="33">
        <f t="shared" si="104"/>
        <v>670.79087825698048</v>
      </c>
      <c r="Z591" s="33">
        <v>0.8</v>
      </c>
      <c r="AA591" s="29">
        <f t="shared" si="105"/>
        <v>536.63270260558443</v>
      </c>
      <c r="AB591" s="33">
        <f t="shared" si="106"/>
        <v>5871.9569688168967</v>
      </c>
      <c r="AD591" s="46">
        <f t="shared" si="107"/>
        <v>0</v>
      </c>
    </row>
    <row r="592" spans="1:30" x14ac:dyDescent="0.2">
      <c r="A592" s="30" t="s">
        <v>8856</v>
      </c>
      <c r="B592" s="29">
        <v>5</v>
      </c>
      <c r="C592" s="29">
        <v>1</v>
      </c>
      <c r="D592" s="29">
        <v>525</v>
      </c>
      <c r="E592" s="29">
        <v>76500</v>
      </c>
      <c r="F592" s="29">
        <v>37000</v>
      </c>
      <c r="G592" s="29">
        <v>37000</v>
      </c>
      <c r="H592" s="29">
        <v>330500</v>
      </c>
      <c r="I592" s="29">
        <v>53500</v>
      </c>
      <c r="J592" s="29">
        <v>972496256</v>
      </c>
      <c r="K592" s="29">
        <v>1837</v>
      </c>
      <c r="L592" s="29">
        <v>3149</v>
      </c>
      <c r="M592" s="29">
        <v>30</v>
      </c>
      <c r="N592" s="34">
        <v>60</v>
      </c>
      <c r="O592" s="29">
        <f t="shared" si="98"/>
        <v>2493</v>
      </c>
      <c r="P592" s="32" cm="1">
        <f t="array" ref="P592">WPNFACTOR(C592)</f>
        <v>2</v>
      </c>
      <c r="Q592" s="34" cm="1">
        <f t="array" ref="Q592">HPFACTOr(C592)</f>
        <v>5</v>
      </c>
      <c r="R592" s="33">
        <f t="shared" si="99"/>
        <v>1246.5</v>
      </c>
      <c r="S592" s="34">
        <f t="shared" si="100"/>
        <v>194499251.19999999</v>
      </c>
      <c r="T592" s="33">
        <f t="shared" si="101"/>
        <v>1433.4749999999999</v>
      </c>
      <c r="U592" s="42">
        <f t="shared" si="102"/>
        <v>219154085.85915494</v>
      </c>
      <c r="V592" s="44"/>
      <c r="W592" s="29">
        <f t="shared" si="97"/>
        <v>314151903226.95209</v>
      </c>
      <c r="X592" s="41">
        <f t="shared" si="103"/>
        <v>38.192671364153036</v>
      </c>
      <c r="Y592" s="33">
        <f t="shared" si="104"/>
        <v>748.66050658670906</v>
      </c>
      <c r="Z592" s="33">
        <v>0.8</v>
      </c>
      <c r="AA592" s="29">
        <f t="shared" si="105"/>
        <v>598.92840526936732</v>
      </c>
      <c r="AB592" s="33">
        <f t="shared" si="106"/>
        <v>6797.9802480931057</v>
      </c>
      <c r="AD592" s="46">
        <f t="shared" si="107"/>
        <v>0</v>
      </c>
    </row>
    <row r="593" spans="1:30" x14ac:dyDescent="0.2">
      <c r="A593" s="30" t="s">
        <v>8856</v>
      </c>
      <c r="B593" s="29">
        <v>6</v>
      </c>
      <c r="C593" s="29">
        <v>4</v>
      </c>
      <c r="D593" s="29">
        <v>565</v>
      </c>
      <c r="E593" s="29">
        <v>39500</v>
      </c>
      <c r="F593" s="29">
        <v>111000</v>
      </c>
      <c r="G593" s="29">
        <v>39500</v>
      </c>
      <c r="H593" s="29">
        <v>376000</v>
      </c>
      <c r="I593" s="29">
        <v>71500</v>
      </c>
      <c r="J593" s="29">
        <v>951280000</v>
      </c>
      <c r="K593" s="29">
        <v>3955</v>
      </c>
      <c r="L593" s="29">
        <v>6779</v>
      </c>
      <c r="M593" s="29">
        <v>40</v>
      </c>
      <c r="N593" s="34">
        <v>60</v>
      </c>
      <c r="O593" s="29">
        <f t="shared" si="98"/>
        <v>5367</v>
      </c>
      <c r="P593" s="32" cm="1">
        <f t="array" ref="P593">WPNFACTOR(C593)</f>
        <v>4</v>
      </c>
      <c r="Q593" s="34" cm="1">
        <f t="array" ref="Q593">HPFACTOr(C593)</f>
        <v>4</v>
      </c>
      <c r="R593" s="33">
        <f t="shared" si="99"/>
        <v>1341.75</v>
      </c>
      <c r="S593" s="34">
        <f t="shared" si="100"/>
        <v>237820000</v>
      </c>
      <c r="T593" s="33">
        <f t="shared" si="101"/>
        <v>1543.0124999999998</v>
      </c>
      <c r="U593" s="42">
        <f t="shared" si="102"/>
        <v>279788235.29411769</v>
      </c>
      <c r="V593" s="44"/>
      <c r="W593" s="29">
        <f t="shared" si="97"/>
        <v>431716744411.76471</v>
      </c>
      <c r="X593" s="41">
        <f t="shared" si="103"/>
        <v>38.651294093501136</v>
      </c>
      <c r="Y593" s="33">
        <f t="shared" si="104"/>
        <v>810.58716610013289</v>
      </c>
      <c r="Z593" s="33">
        <v>0.8</v>
      </c>
      <c r="AA593" s="29">
        <f t="shared" si="105"/>
        <v>648.46973288010633</v>
      </c>
      <c r="AB593" s="33">
        <f t="shared" si="106"/>
        <v>7557.8737173939062</v>
      </c>
      <c r="AD593" s="46">
        <f t="shared" si="107"/>
        <v>0</v>
      </c>
    </row>
    <row r="594" spans="1:30" x14ac:dyDescent="0.2">
      <c r="A594" s="30" t="s">
        <v>8856</v>
      </c>
      <c r="B594" s="29">
        <v>7</v>
      </c>
      <c r="C594" s="29">
        <v>6</v>
      </c>
      <c r="D594" s="29">
        <v>600</v>
      </c>
      <c r="E594" s="29">
        <v>136500</v>
      </c>
      <c r="F594" s="29">
        <v>39500</v>
      </c>
      <c r="G594" s="29">
        <v>39500</v>
      </c>
      <c r="H594" s="29">
        <v>417500</v>
      </c>
      <c r="I594" s="29">
        <v>63000</v>
      </c>
      <c r="J594" s="29">
        <v>1120570112</v>
      </c>
      <c r="K594" s="29">
        <v>1692</v>
      </c>
      <c r="L594" s="29">
        <v>3703</v>
      </c>
      <c r="M594" s="29">
        <v>10</v>
      </c>
      <c r="N594" s="34">
        <v>60</v>
      </c>
      <c r="O594" s="29">
        <f t="shared" si="98"/>
        <v>2697.5</v>
      </c>
      <c r="P594" s="32" cm="1">
        <f t="array" ref="P594">WPNFACTOR(C594)</f>
        <v>2</v>
      </c>
      <c r="Q594" s="34" cm="1">
        <f t="array" ref="Q594">HPFACTOr(C594)</f>
        <v>4</v>
      </c>
      <c r="R594" s="33">
        <f t="shared" si="99"/>
        <v>1348.75</v>
      </c>
      <c r="S594" s="34">
        <f t="shared" si="100"/>
        <v>280142528</v>
      </c>
      <c r="T594" s="33">
        <f t="shared" si="101"/>
        <v>1551.0624999999998</v>
      </c>
      <c r="U594" s="42">
        <f t="shared" si="102"/>
        <v>291057171.94805193</v>
      </c>
      <c r="V594" s="44"/>
      <c r="W594" s="29">
        <f t="shared" si="97"/>
        <v>451447864764.67523</v>
      </c>
      <c r="X594" s="41">
        <f t="shared" si="103"/>
        <v>38.715768432157283</v>
      </c>
      <c r="Y594" s="33">
        <f t="shared" si="104"/>
        <v>819.69427304775809</v>
      </c>
      <c r="Z594" s="33">
        <v>0.8</v>
      </c>
      <c r="AA594" s="29">
        <f t="shared" si="105"/>
        <v>655.75541843820656</v>
      </c>
      <c r="AB594" s="33">
        <f t="shared" si="106"/>
        <v>7671.3041358228875</v>
      </c>
      <c r="AD594" s="46">
        <f t="shared" si="107"/>
        <v>0</v>
      </c>
    </row>
    <row r="595" spans="1:30" x14ac:dyDescent="0.2">
      <c r="A595" s="30" t="s">
        <v>8856</v>
      </c>
      <c r="B595" s="29">
        <v>8</v>
      </c>
      <c r="C595" s="29">
        <v>3</v>
      </c>
      <c r="D595" s="29">
        <v>625</v>
      </c>
      <c r="E595" s="29">
        <v>63500</v>
      </c>
      <c r="F595" s="29">
        <v>163000</v>
      </c>
      <c r="G595" s="29">
        <v>63500</v>
      </c>
      <c r="H595" s="29">
        <v>507500</v>
      </c>
      <c r="I595" s="29">
        <v>93500</v>
      </c>
      <c r="J595" s="29">
        <v>1417955072</v>
      </c>
      <c r="K595" s="29">
        <v>2734</v>
      </c>
      <c r="L595" s="29">
        <v>4686</v>
      </c>
      <c r="M595" s="29">
        <v>50</v>
      </c>
      <c r="N595" s="34">
        <v>60</v>
      </c>
      <c r="O595" s="29">
        <f t="shared" si="98"/>
        <v>3710</v>
      </c>
      <c r="P595" s="32" cm="1">
        <f t="array" ref="P595">WPNFACTOR(C595)</f>
        <v>2.5</v>
      </c>
      <c r="Q595" s="34" cm="1">
        <f t="array" ref="Q595">HPFACTOr(C595)</f>
        <v>4</v>
      </c>
      <c r="R595" s="33">
        <f t="shared" si="99"/>
        <v>1484</v>
      </c>
      <c r="S595" s="34">
        <f t="shared" si="100"/>
        <v>354488768</v>
      </c>
      <c r="T595" s="33">
        <f t="shared" si="101"/>
        <v>1706.6</v>
      </c>
      <c r="U595" s="42">
        <f t="shared" si="102"/>
        <v>436293868.30769235</v>
      </c>
      <c r="V595" s="44"/>
      <c r="W595" s="29">
        <f t="shared" si="97"/>
        <v>744579115653.90771</v>
      </c>
      <c r="X595" s="41">
        <f t="shared" si="103"/>
        <v>39.437634195049689</v>
      </c>
      <c r="Y595" s="33">
        <f t="shared" si="104"/>
        <v>928.91871489457048</v>
      </c>
      <c r="Z595" s="33">
        <v>0.8</v>
      </c>
      <c r="AA595" s="29">
        <f t="shared" si="105"/>
        <v>743.13497191565648</v>
      </c>
      <c r="AB595" s="33">
        <f t="shared" si="106"/>
        <v>9063.660233655979</v>
      </c>
      <c r="AD595" s="46">
        <f t="shared" si="107"/>
        <v>0</v>
      </c>
    </row>
    <row r="596" spans="1:30" x14ac:dyDescent="0.2">
      <c r="A596" s="30" t="s">
        <v>8856</v>
      </c>
      <c r="B596" s="29">
        <v>9</v>
      </c>
      <c r="C596" s="29">
        <v>6</v>
      </c>
      <c r="D596" s="29">
        <v>645</v>
      </c>
      <c r="E596" s="29">
        <v>182000</v>
      </c>
      <c r="F596" s="29">
        <v>42000</v>
      </c>
      <c r="G596" s="29">
        <v>42000</v>
      </c>
      <c r="H596" s="29">
        <v>575000</v>
      </c>
      <c r="I596" s="29">
        <v>100000</v>
      </c>
      <c r="J596" s="29">
        <v>1657149952</v>
      </c>
      <c r="K596" s="29">
        <v>1847</v>
      </c>
      <c r="L596" s="29">
        <v>3877</v>
      </c>
      <c r="M596" s="29">
        <v>50</v>
      </c>
      <c r="N596" s="34">
        <v>60</v>
      </c>
      <c r="O596" s="29">
        <f t="shared" si="98"/>
        <v>2862</v>
      </c>
      <c r="P596" s="32" cm="1">
        <f t="array" ref="P596">WPNFACTOR(C596)</f>
        <v>2</v>
      </c>
      <c r="Q596" s="34" cm="1">
        <f t="array" ref="Q596">HPFACTOr(C596)</f>
        <v>4</v>
      </c>
      <c r="R596" s="33">
        <f t="shared" si="99"/>
        <v>1431</v>
      </c>
      <c r="S596" s="34">
        <f t="shared" si="100"/>
        <v>414287488</v>
      </c>
      <c r="T596" s="33">
        <f t="shared" si="101"/>
        <v>1645.6499999999999</v>
      </c>
      <c r="U596" s="42">
        <f t="shared" si="102"/>
        <v>509892292.92307699</v>
      </c>
      <c r="V596" s="44"/>
      <c r="W596" s="29">
        <f t="shared" si="97"/>
        <v>839104251848.86157</v>
      </c>
      <c r="X596" s="41">
        <f t="shared" si="103"/>
        <v>39.610059108635575</v>
      </c>
      <c r="Y596" s="33">
        <f t="shared" si="104"/>
        <v>957.09264858047982</v>
      </c>
      <c r="Z596" s="33">
        <v>0.8</v>
      </c>
      <c r="AA596" s="29">
        <f t="shared" si="105"/>
        <v>765.6741188643839</v>
      </c>
      <c r="AB596" s="33">
        <f t="shared" si="106"/>
        <v>9432.0329061420271</v>
      </c>
      <c r="AD596" s="46">
        <f t="shared" si="107"/>
        <v>0</v>
      </c>
    </row>
    <row r="597" spans="1:30" x14ac:dyDescent="0.2">
      <c r="A597" s="30" t="s">
        <v>8856</v>
      </c>
      <c r="B597" s="29">
        <v>10</v>
      </c>
      <c r="C597" s="29">
        <v>6</v>
      </c>
      <c r="D597" s="29">
        <v>660</v>
      </c>
      <c r="E597" s="29">
        <v>229500</v>
      </c>
      <c r="F597" s="29">
        <v>62500</v>
      </c>
      <c r="G597" s="29">
        <v>62500</v>
      </c>
      <c r="H597" s="29">
        <v>711000</v>
      </c>
      <c r="I597" s="29">
        <v>137000</v>
      </c>
      <c r="J597" s="29">
        <v>2096028032</v>
      </c>
      <c r="K597" s="29">
        <v>1852</v>
      </c>
      <c r="L597" s="29">
        <v>3899</v>
      </c>
      <c r="M597" s="29">
        <v>60</v>
      </c>
      <c r="N597" s="34">
        <v>60</v>
      </c>
      <c r="O597" s="29">
        <f t="shared" si="98"/>
        <v>2875.5</v>
      </c>
      <c r="P597" s="32" cm="1">
        <f t="array" ref="P597">WPNFACTOR(C597)</f>
        <v>2</v>
      </c>
      <c r="Q597" s="34" cm="1">
        <f t="array" ref="Q597">HPFACTOr(C597)</f>
        <v>4</v>
      </c>
      <c r="R597" s="33">
        <f t="shared" si="99"/>
        <v>1437.75</v>
      </c>
      <c r="S597" s="34">
        <f t="shared" si="100"/>
        <v>524007008</v>
      </c>
      <c r="T597" s="33">
        <f t="shared" si="101"/>
        <v>1653.4124999999999</v>
      </c>
      <c r="U597" s="42">
        <f t="shared" si="102"/>
        <v>676138074.83870971</v>
      </c>
      <c r="V597" s="44"/>
      <c r="W597" s="29">
        <f t="shared" si="97"/>
        <v>1117935144664.2581</v>
      </c>
      <c r="X597" s="41">
        <f t="shared" si="103"/>
        <v>40.023973633461601</v>
      </c>
      <c r="Y597" s="33">
        <f t="shared" si="104"/>
        <v>1028.2628661607673</v>
      </c>
      <c r="Z597" s="33">
        <v>0.8</v>
      </c>
      <c r="AA597" s="29">
        <f t="shared" si="105"/>
        <v>822.61029292861394</v>
      </c>
      <c r="AB597" s="33">
        <f t="shared" si="106"/>
        <v>10378.60228414527</v>
      </c>
      <c r="AD597" s="46">
        <f t="shared" si="107"/>
        <v>0</v>
      </c>
    </row>
    <row r="598" spans="1:30" x14ac:dyDescent="0.2">
      <c r="A598" s="30" t="s">
        <v>8857</v>
      </c>
      <c r="B598" s="29">
        <v>1</v>
      </c>
      <c r="C598" s="29">
        <v>2</v>
      </c>
      <c r="D598" s="29">
        <v>345</v>
      </c>
      <c r="E598" s="29">
        <v>15000</v>
      </c>
      <c r="F598" s="29">
        <v>15000</v>
      </c>
      <c r="G598" s="29">
        <v>45000</v>
      </c>
      <c r="H598" s="29">
        <v>200000</v>
      </c>
      <c r="I598" s="29">
        <v>23500</v>
      </c>
      <c r="J598" s="29">
        <v>2875500032</v>
      </c>
      <c r="K598" s="29">
        <v>1038</v>
      </c>
      <c r="L598" s="29">
        <v>2069</v>
      </c>
      <c r="M598" s="29">
        <v>5</v>
      </c>
      <c r="N598" s="34">
        <v>30</v>
      </c>
      <c r="O598" s="29">
        <f t="shared" si="98"/>
        <v>1553.5</v>
      </c>
      <c r="P598" s="32" cm="1">
        <f t="array" ref="P598">WPNFACTOR(C598)</f>
        <v>4.5</v>
      </c>
      <c r="Q598" s="34" cm="1">
        <f t="array" ref="Q598">HPFACTOr(C598)</f>
        <v>2</v>
      </c>
      <c r="R598" s="33">
        <f t="shared" si="99"/>
        <v>345.22222222222223</v>
      </c>
      <c r="S598" s="34">
        <f t="shared" si="100"/>
        <v>1437750016</v>
      </c>
      <c r="T598" s="33">
        <f t="shared" si="101"/>
        <v>371.11388888888888</v>
      </c>
      <c r="U598" s="42">
        <f t="shared" si="102"/>
        <v>1465222946.2420382</v>
      </c>
      <c r="V598" s="44"/>
      <c r="W598" s="29">
        <f t="shared" si="97"/>
        <v>543764585669.11816</v>
      </c>
      <c r="X598" s="41">
        <f t="shared" si="103"/>
        <v>38.984191238258511</v>
      </c>
      <c r="Y598" s="33">
        <f t="shared" si="104"/>
        <v>858.7222776493071</v>
      </c>
      <c r="Z598" s="33">
        <v>0.8</v>
      </c>
      <c r="AA598" s="29">
        <f t="shared" si="105"/>
        <v>686.9778221194457</v>
      </c>
      <c r="AB598" s="33">
        <f t="shared" si="106"/>
        <v>8162.1324847856522</v>
      </c>
      <c r="AD598" s="46">
        <f t="shared" si="107"/>
        <v>0</v>
      </c>
    </row>
    <row r="599" spans="1:30" x14ac:dyDescent="0.2">
      <c r="A599" s="30" t="s">
        <v>8857</v>
      </c>
      <c r="B599" s="29">
        <v>2</v>
      </c>
      <c r="C599" s="29">
        <v>1</v>
      </c>
      <c r="D599" s="29">
        <v>390</v>
      </c>
      <c r="E599" s="29">
        <v>60000</v>
      </c>
      <c r="F599" s="29">
        <v>20000</v>
      </c>
      <c r="G599" s="29">
        <v>20000</v>
      </c>
      <c r="H599" s="29">
        <v>220000</v>
      </c>
      <c r="I599" s="29">
        <v>31500</v>
      </c>
      <c r="J599" s="29">
        <v>8910000128</v>
      </c>
      <c r="K599" s="29">
        <v>520</v>
      </c>
      <c r="L599" s="29">
        <v>1049</v>
      </c>
      <c r="M599" s="29">
        <v>10</v>
      </c>
      <c r="N599" s="34">
        <v>35</v>
      </c>
      <c r="O599" s="29">
        <f t="shared" si="98"/>
        <v>784.5</v>
      </c>
      <c r="P599" s="32" cm="1">
        <f t="array" ref="P599">WPNFACTOR(C599)</f>
        <v>2</v>
      </c>
      <c r="Q599" s="34" cm="1">
        <f t="array" ref="Q599">HPFACTOr(C599)</f>
        <v>5</v>
      </c>
      <c r="R599" s="33">
        <f t="shared" si="99"/>
        <v>392.25</v>
      </c>
      <c r="S599" s="34">
        <f t="shared" si="100"/>
        <v>1782000025.5999999</v>
      </c>
      <c r="T599" s="33">
        <f t="shared" si="101"/>
        <v>426.57187499999998</v>
      </c>
      <c r="U599" s="42">
        <f t="shared" si="102"/>
        <v>1851428598.025974</v>
      </c>
      <c r="V599" s="44"/>
      <c r="W599" s="29">
        <f t="shared" si="97"/>
        <v>789767368488.56104</v>
      </c>
      <c r="X599" s="41">
        <f t="shared" si="103"/>
        <v>39.522636803693608</v>
      </c>
      <c r="Y599" s="33">
        <f t="shared" si="104"/>
        <v>942.7027986840269</v>
      </c>
      <c r="Z599" s="33">
        <v>0.8</v>
      </c>
      <c r="AA599" s="29">
        <f t="shared" si="105"/>
        <v>754.16223894722157</v>
      </c>
      <c r="AB599" s="33">
        <f t="shared" si="106"/>
        <v>9243.4279823154848</v>
      </c>
      <c r="AD599" s="46">
        <f t="shared" si="107"/>
        <v>0</v>
      </c>
    </row>
    <row r="600" spans="1:30" x14ac:dyDescent="0.2">
      <c r="A600" s="30" t="s">
        <v>8857</v>
      </c>
      <c r="B600" s="29">
        <v>3</v>
      </c>
      <c r="C600" s="29">
        <v>3</v>
      </c>
      <c r="D600" s="29">
        <v>435</v>
      </c>
      <c r="E600" s="29">
        <v>25000</v>
      </c>
      <c r="F600" s="29">
        <v>75000</v>
      </c>
      <c r="G600" s="29">
        <v>25000</v>
      </c>
      <c r="H600" s="29">
        <v>240000</v>
      </c>
      <c r="I600" s="29">
        <v>45000</v>
      </c>
      <c r="J600" s="29">
        <v>8650800128</v>
      </c>
      <c r="K600" s="29">
        <v>725</v>
      </c>
      <c r="L600" s="29">
        <v>1459</v>
      </c>
      <c r="M600" s="29">
        <v>15</v>
      </c>
      <c r="N600" s="34">
        <v>35</v>
      </c>
      <c r="O600" s="29">
        <f t="shared" si="98"/>
        <v>1092</v>
      </c>
      <c r="P600" s="32" cm="1">
        <f t="array" ref="P600">WPNFACTOR(C600)</f>
        <v>2.5</v>
      </c>
      <c r="Q600" s="34" cm="1">
        <f t="array" ref="Q600">HPFACTOr(C600)</f>
        <v>4</v>
      </c>
      <c r="R600" s="33">
        <f t="shared" si="99"/>
        <v>436.8</v>
      </c>
      <c r="S600" s="34">
        <f t="shared" si="100"/>
        <v>2162700032</v>
      </c>
      <c r="T600" s="33">
        <f t="shared" si="101"/>
        <v>475.02</v>
      </c>
      <c r="U600" s="42">
        <f t="shared" si="102"/>
        <v>2291602682.9139075</v>
      </c>
      <c r="V600" s="44"/>
      <c r="W600" s="29">
        <f t="shared" ref="W600:W663" si="108">T600*U600</f>
        <v>1088557106437.7643</v>
      </c>
      <c r="X600" s="41">
        <f t="shared" si="103"/>
        <v>39.98555423291171</v>
      </c>
      <c r="Y600" s="33">
        <f t="shared" si="104"/>
        <v>1021.4398667389114</v>
      </c>
      <c r="Z600" s="33">
        <v>0.8</v>
      </c>
      <c r="AA600" s="29">
        <f t="shared" si="105"/>
        <v>817.15189339112919</v>
      </c>
      <c r="AB600" s="33">
        <f t="shared" si="106"/>
        <v>10286.881550253887</v>
      </c>
      <c r="AD600" s="46">
        <f t="shared" si="107"/>
        <v>0</v>
      </c>
    </row>
    <row r="601" spans="1:30" x14ac:dyDescent="0.2">
      <c r="A601" s="30" t="s">
        <v>8857</v>
      </c>
      <c r="B601" s="29">
        <v>4</v>
      </c>
      <c r="C601" s="29">
        <v>2</v>
      </c>
      <c r="D601" s="29">
        <v>485</v>
      </c>
      <c r="E601" s="29">
        <v>30000</v>
      </c>
      <c r="F601" s="29">
        <v>30000</v>
      </c>
      <c r="G601" s="29">
        <v>90000</v>
      </c>
      <c r="H601" s="29">
        <v>260000</v>
      </c>
      <c r="I601" s="29">
        <v>48500</v>
      </c>
      <c r="J601" s="29">
        <v>5212349952</v>
      </c>
      <c r="K601" s="29">
        <v>1460</v>
      </c>
      <c r="L601" s="29">
        <v>2919</v>
      </c>
      <c r="M601" s="29">
        <v>20</v>
      </c>
      <c r="N601" s="34">
        <v>40</v>
      </c>
      <c r="O601" s="29">
        <f t="shared" si="98"/>
        <v>2189.5</v>
      </c>
      <c r="P601" s="32" cm="1">
        <f t="array" ref="P601">WPNFACTOR(C601)</f>
        <v>4.5</v>
      </c>
      <c r="Q601" s="34" cm="1">
        <f t="array" ref="Q601">HPFACTOr(C601)</f>
        <v>2</v>
      </c>
      <c r="R601" s="33">
        <f t="shared" si="99"/>
        <v>486.55555555555554</v>
      </c>
      <c r="S601" s="34">
        <f t="shared" si="100"/>
        <v>2606174976</v>
      </c>
      <c r="T601" s="33">
        <f t="shared" si="101"/>
        <v>535.21111111111111</v>
      </c>
      <c r="U601" s="42">
        <f t="shared" si="102"/>
        <v>2817486460.5405407</v>
      </c>
      <c r="V601" s="44"/>
      <c r="W601" s="29">
        <f t="shared" si="108"/>
        <v>1507950059086.4146</v>
      </c>
      <c r="X601" s="41">
        <f t="shared" si="103"/>
        <v>40.455725788275195</v>
      </c>
      <c r="Y601" s="33">
        <f t="shared" si="104"/>
        <v>1108.1453786990301</v>
      </c>
      <c r="Z601" s="33">
        <v>0.8</v>
      </c>
      <c r="AA601" s="29">
        <f t="shared" si="105"/>
        <v>886.51630295922405</v>
      </c>
      <c r="AB601" s="33">
        <f t="shared" si="106"/>
        <v>11467.33023728578</v>
      </c>
      <c r="AD601" s="46">
        <f t="shared" si="107"/>
        <v>0</v>
      </c>
    </row>
    <row r="602" spans="1:30" x14ac:dyDescent="0.2">
      <c r="A602" s="30" t="s">
        <v>8857</v>
      </c>
      <c r="B602" s="29">
        <v>5</v>
      </c>
      <c r="C602" s="29">
        <v>2</v>
      </c>
      <c r="D602" s="29">
        <v>525</v>
      </c>
      <c r="E602" s="29">
        <v>35000</v>
      </c>
      <c r="F602" s="29">
        <v>35000</v>
      </c>
      <c r="G602" s="29">
        <v>105000</v>
      </c>
      <c r="H602" s="29">
        <v>280000</v>
      </c>
      <c r="I602" s="29">
        <v>53500</v>
      </c>
      <c r="J602" s="29">
        <v>6066899968</v>
      </c>
      <c r="K602" s="29">
        <v>1578</v>
      </c>
      <c r="L602" s="29">
        <v>3159</v>
      </c>
      <c r="M602" s="29">
        <v>25</v>
      </c>
      <c r="N602" s="34">
        <v>40</v>
      </c>
      <c r="O602" s="29">
        <f t="shared" si="98"/>
        <v>2368.5</v>
      </c>
      <c r="P602" s="32" cm="1">
        <f t="array" ref="P602">WPNFACTOR(C602)</f>
        <v>4.5</v>
      </c>
      <c r="Q602" s="34" cm="1">
        <f t="array" ref="Q602">HPFACTOr(C602)</f>
        <v>2</v>
      </c>
      <c r="R602" s="33">
        <f t="shared" si="99"/>
        <v>526.33333333333337</v>
      </c>
      <c r="S602" s="34">
        <f t="shared" si="100"/>
        <v>3033449984</v>
      </c>
      <c r="T602" s="33">
        <f t="shared" si="101"/>
        <v>578.96666666666681</v>
      </c>
      <c r="U602" s="42">
        <f t="shared" si="102"/>
        <v>3347255154.7586212</v>
      </c>
      <c r="V602" s="44"/>
      <c r="W602" s="29">
        <f t="shared" si="108"/>
        <v>1937949159433.417</v>
      </c>
      <c r="X602" s="41">
        <f t="shared" si="103"/>
        <v>40.817667861932108</v>
      </c>
      <c r="Y602" s="33">
        <f t="shared" si="104"/>
        <v>1179.8739018171348</v>
      </c>
      <c r="Z602" s="33">
        <v>0.8</v>
      </c>
      <c r="AA602" s="29">
        <f t="shared" si="105"/>
        <v>943.89912145370783</v>
      </c>
      <c r="AB602" s="33">
        <f t="shared" si="106"/>
        <v>12467.540657704612</v>
      </c>
      <c r="AD602" s="46">
        <f t="shared" si="107"/>
        <v>0</v>
      </c>
    </row>
    <row r="603" spans="1:30" x14ac:dyDescent="0.2">
      <c r="A603" s="30" t="s">
        <v>8857</v>
      </c>
      <c r="B603" s="29">
        <v>6</v>
      </c>
      <c r="C603" s="29">
        <v>1</v>
      </c>
      <c r="D603" s="29">
        <v>565</v>
      </c>
      <c r="E603" s="29">
        <v>120000</v>
      </c>
      <c r="F603" s="29">
        <v>40000</v>
      </c>
      <c r="G603" s="29">
        <v>40000</v>
      </c>
      <c r="H603" s="29">
        <v>300000</v>
      </c>
      <c r="I603" s="29">
        <v>71500</v>
      </c>
      <c r="J603" s="29">
        <v>17465624576</v>
      </c>
      <c r="K603" s="29">
        <v>750</v>
      </c>
      <c r="L603" s="29">
        <v>1509</v>
      </c>
      <c r="M603" s="29">
        <v>40</v>
      </c>
      <c r="N603" s="34">
        <v>45</v>
      </c>
      <c r="O603" s="29">
        <f t="shared" si="98"/>
        <v>1129.5</v>
      </c>
      <c r="P603" s="32" cm="1">
        <f t="array" ref="P603">WPNFACTOR(C603)</f>
        <v>2</v>
      </c>
      <c r="Q603" s="34" cm="1">
        <f t="array" ref="Q603">HPFACTOr(C603)</f>
        <v>5</v>
      </c>
      <c r="R603" s="33">
        <f t="shared" si="99"/>
        <v>564.75</v>
      </c>
      <c r="S603" s="34">
        <f t="shared" si="100"/>
        <v>3493124915.1999998</v>
      </c>
      <c r="T603" s="33">
        <f t="shared" si="101"/>
        <v>628.28437500000007</v>
      </c>
      <c r="U603" s="42">
        <f t="shared" si="102"/>
        <v>4109558723.7647061</v>
      </c>
      <c r="V603" s="44"/>
      <c r="W603" s="29">
        <f t="shared" si="108"/>
        <v>2581971534286.3062</v>
      </c>
      <c r="X603" s="41">
        <f t="shared" si="103"/>
        <v>41.231610233960239</v>
      </c>
      <c r="Y603" s="33">
        <f t="shared" si="104"/>
        <v>1267.6164384540057</v>
      </c>
      <c r="Z603" s="33">
        <v>0.8</v>
      </c>
      <c r="AA603" s="29">
        <f t="shared" si="105"/>
        <v>1014.0931507632046</v>
      </c>
      <c r="AB603" s="33">
        <f t="shared" si="106"/>
        <v>13718.832385197833</v>
      </c>
      <c r="AD603" s="46">
        <f t="shared" si="107"/>
        <v>0</v>
      </c>
    </row>
    <row r="604" spans="1:30" x14ac:dyDescent="0.2">
      <c r="A604" s="30" t="s">
        <v>8857</v>
      </c>
      <c r="B604" s="29">
        <v>7</v>
      </c>
      <c r="C604" s="29">
        <v>1</v>
      </c>
      <c r="D604" s="29">
        <v>600</v>
      </c>
      <c r="E604" s="29">
        <v>135000</v>
      </c>
      <c r="F604" s="29">
        <v>45000</v>
      </c>
      <c r="G604" s="29">
        <v>45000</v>
      </c>
      <c r="H604" s="29">
        <v>320000</v>
      </c>
      <c r="I604" s="29">
        <v>63000</v>
      </c>
      <c r="J604" s="29">
        <v>19764000768</v>
      </c>
      <c r="K604" s="29">
        <v>800</v>
      </c>
      <c r="L604" s="29">
        <v>1599</v>
      </c>
      <c r="M604" s="29">
        <v>20</v>
      </c>
      <c r="N604" s="34">
        <v>45</v>
      </c>
      <c r="O604" s="29">
        <f t="shared" si="98"/>
        <v>1199.5</v>
      </c>
      <c r="P604" s="32" cm="1">
        <f t="array" ref="P604">WPNFACTOR(C604)</f>
        <v>2</v>
      </c>
      <c r="Q604" s="34" cm="1">
        <f t="array" ref="Q604">HPFACTOr(C604)</f>
        <v>5</v>
      </c>
      <c r="R604" s="33">
        <f t="shared" si="99"/>
        <v>599.75</v>
      </c>
      <c r="S604" s="34">
        <f t="shared" si="100"/>
        <v>3952800153.5999999</v>
      </c>
      <c r="T604" s="33">
        <f t="shared" si="101"/>
        <v>667.22187500000007</v>
      </c>
      <c r="U604" s="42">
        <f t="shared" si="102"/>
        <v>4273297463.3513517</v>
      </c>
      <c r="V604" s="44"/>
      <c r="W604" s="29">
        <f t="shared" si="108"/>
        <v>2851237545930.0332</v>
      </c>
      <c r="X604" s="41">
        <f t="shared" si="103"/>
        <v>41.374725378576215</v>
      </c>
      <c r="Y604" s="33">
        <f t="shared" si="104"/>
        <v>1299.4463402942993</v>
      </c>
      <c r="Z604" s="33">
        <v>0.8</v>
      </c>
      <c r="AA604" s="29">
        <f t="shared" si="105"/>
        <v>1039.5570722354394</v>
      </c>
      <c r="AB604" s="33">
        <f t="shared" si="106"/>
        <v>14180.051248237445</v>
      </c>
      <c r="AD604" s="46">
        <f t="shared" si="107"/>
        <v>0</v>
      </c>
    </row>
    <row r="605" spans="1:30" x14ac:dyDescent="0.2">
      <c r="A605" s="30" t="s">
        <v>8857</v>
      </c>
      <c r="B605" s="29">
        <v>8</v>
      </c>
      <c r="C605" s="29">
        <v>3</v>
      </c>
      <c r="D605" s="29">
        <v>625</v>
      </c>
      <c r="E605" s="29">
        <v>50000</v>
      </c>
      <c r="F605" s="29">
        <v>150000</v>
      </c>
      <c r="G605" s="29">
        <v>50000</v>
      </c>
      <c r="H605" s="29">
        <v>340000</v>
      </c>
      <c r="I605" s="29">
        <v>93500</v>
      </c>
      <c r="J605" s="29">
        <v>17487900672</v>
      </c>
      <c r="K605" s="29">
        <v>1045</v>
      </c>
      <c r="L605" s="29">
        <v>2089</v>
      </c>
      <c r="M605" s="29">
        <v>60</v>
      </c>
      <c r="N605" s="34">
        <v>50</v>
      </c>
      <c r="O605" s="29">
        <f t="shared" si="98"/>
        <v>1567</v>
      </c>
      <c r="P605" s="32" cm="1">
        <f t="array" ref="P605">WPNFACTOR(C605)</f>
        <v>2.5</v>
      </c>
      <c r="Q605" s="34" cm="1">
        <f t="array" ref="Q605">HPFACTOr(C605)</f>
        <v>4</v>
      </c>
      <c r="R605" s="33">
        <f t="shared" si="99"/>
        <v>626.79999999999995</v>
      </c>
      <c r="S605" s="34">
        <f t="shared" si="100"/>
        <v>4371975168</v>
      </c>
      <c r="T605" s="33">
        <f t="shared" si="101"/>
        <v>705.15</v>
      </c>
      <c r="U605" s="42">
        <f t="shared" si="102"/>
        <v>5641258281.2903223</v>
      </c>
      <c r="V605" s="44"/>
      <c r="W605" s="29">
        <f t="shared" si="108"/>
        <v>3977933277051.8706</v>
      </c>
      <c r="X605" s="41">
        <f t="shared" si="103"/>
        <v>41.85515621630978</v>
      </c>
      <c r="Y605" s="33">
        <f t="shared" si="104"/>
        <v>1412.2590731739224</v>
      </c>
      <c r="Z605" s="33">
        <v>0.8</v>
      </c>
      <c r="AA605" s="29">
        <f t="shared" si="105"/>
        <v>1129.807258539138</v>
      </c>
      <c r="AB605" s="33">
        <f t="shared" si="106"/>
        <v>15844.766060105423</v>
      </c>
      <c r="AD605" s="46">
        <f t="shared" si="107"/>
        <v>0</v>
      </c>
    </row>
    <row r="606" spans="1:30" x14ac:dyDescent="0.2">
      <c r="A606" s="30" t="s">
        <v>8857</v>
      </c>
      <c r="B606" s="29">
        <v>9</v>
      </c>
      <c r="C606" s="29">
        <v>3</v>
      </c>
      <c r="D606" s="29">
        <v>645</v>
      </c>
      <c r="E606" s="29">
        <v>75000</v>
      </c>
      <c r="F606" s="29">
        <v>200000</v>
      </c>
      <c r="G606" s="29">
        <v>75000</v>
      </c>
      <c r="H606" s="29">
        <v>360000</v>
      </c>
      <c r="I606" s="29">
        <v>100000</v>
      </c>
      <c r="J606" s="29">
        <v>19099799552</v>
      </c>
      <c r="K606" s="29">
        <v>1075</v>
      </c>
      <c r="L606" s="29">
        <v>2159</v>
      </c>
      <c r="M606" s="29">
        <v>60</v>
      </c>
      <c r="N606" s="34">
        <v>60</v>
      </c>
      <c r="O606" s="29">
        <f t="shared" si="98"/>
        <v>1617</v>
      </c>
      <c r="P606" s="32" cm="1">
        <f t="array" ref="P606">WPNFACTOR(C606)</f>
        <v>2.5</v>
      </c>
      <c r="Q606" s="34" cm="1">
        <f t="array" ref="Q606">HPFACTOr(C606)</f>
        <v>4</v>
      </c>
      <c r="R606" s="33">
        <f t="shared" si="99"/>
        <v>646.79999999999995</v>
      </c>
      <c r="S606" s="34">
        <f t="shared" si="100"/>
        <v>4774949888</v>
      </c>
      <c r="T606" s="33">
        <f t="shared" si="101"/>
        <v>743.81999999999994</v>
      </c>
      <c r="U606" s="42">
        <f t="shared" si="102"/>
        <v>6161225661.9354839</v>
      </c>
      <c r="V606" s="44"/>
      <c r="W606" s="29">
        <f t="shared" si="108"/>
        <v>4582842871860.8516</v>
      </c>
      <c r="X606" s="41">
        <f t="shared" si="103"/>
        <v>42.059379960718154</v>
      </c>
      <c r="Y606" s="33">
        <f t="shared" si="104"/>
        <v>1463.132784903019</v>
      </c>
      <c r="Z606" s="33">
        <v>0.8</v>
      </c>
      <c r="AA606" s="29">
        <f t="shared" si="105"/>
        <v>1170.5062279224153</v>
      </c>
      <c r="AB606" s="33">
        <f t="shared" si="106"/>
        <v>16610.332358624342</v>
      </c>
      <c r="AD606" s="46">
        <f t="shared" si="107"/>
        <v>0</v>
      </c>
    </row>
    <row r="607" spans="1:30" x14ac:dyDescent="0.2">
      <c r="A607" s="30" t="s">
        <v>8857</v>
      </c>
      <c r="B607" s="29">
        <v>10</v>
      </c>
      <c r="C607" s="29">
        <v>2</v>
      </c>
      <c r="D607" s="29">
        <v>660</v>
      </c>
      <c r="E607" s="29">
        <v>100000</v>
      </c>
      <c r="F607" s="29">
        <v>100000</v>
      </c>
      <c r="G607" s="29">
        <v>250000</v>
      </c>
      <c r="H607" s="29">
        <v>500000</v>
      </c>
      <c r="I607" s="29">
        <v>137000</v>
      </c>
      <c r="J607" s="29">
        <v>13567500288</v>
      </c>
      <c r="K607" s="29">
        <v>2000</v>
      </c>
      <c r="L607" s="29">
        <v>4000</v>
      </c>
      <c r="M607" s="29">
        <v>60</v>
      </c>
      <c r="N607" s="34">
        <v>60</v>
      </c>
      <c r="O607" s="29">
        <f t="shared" si="98"/>
        <v>3000</v>
      </c>
      <c r="P607" s="32" cm="1">
        <f t="array" ref="P607">WPNFACTOR(C607)</f>
        <v>4.5</v>
      </c>
      <c r="Q607" s="34" cm="1">
        <f t="array" ref="Q607">HPFACTOr(C607)</f>
        <v>2</v>
      </c>
      <c r="R607" s="33">
        <f t="shared" si="99"/>
        <v>666.66666666666663</v>
      </c>
      <c r="S607" s="34">
        <f t="shared" si="100"/>
        <v>6783750144</v>
      </c>
      <c r="T607" s="33">
        <f t="shared" si="101"/>
        <v>766.66666666666652</v>
      </c>
      <c r="U607" s="42">
        <f t="shared" si="102"/>
        <v>8753225992.2580662</v>
      </c>
      <c r="V607" s="44"/>
      <c r="W607" s="29">
        <f t="shared" si="108"/>
        <v>6710806594064.5156</v>
      </c>
      <c r="X607" s="41">
        <f t="shared" si="103"/>
        <v>42.609623317789371</v>
      </c>
      <c r="Y607" s="33">
        <f t="shared" si="104"/>
        <v>1609.5100048808852</v>
      </c>
      <c r="Z607" s="33">
        <v>0.8</v>
      </c>
      <c r="AA607" s="29">
        <f t="shared" si="105"/>
        <v>1287.6080039047083</v>
      </c>
      <c r="AB607" s="33">
        <f t="shared" si="106"/>
        <v>18862.166502748256</v>
      </c>
      <c r="AD607" s="46">
        <f t="shared" si="107"/>
        <v>0</v>
      </c>
    </row>
    <row r="608" spans="1:30" x14ac:dyDescent="0.2">
      <c r="A608" s="30" t="s">
        <v>8858</v>
      </c>
      <c r="B608" s="29">
        <v>1</v>
      </c>
      <c r="C608" s="29">
        <v>2</v>
      </c>
      <c r="D608" s="29">
        <v>400</v>
      </c>
      <c r="E608" s="29">
        <v>35000</v>
      </c>
      <c r="F608" s="29">
        <v>15000</v>
      </c>
      <c r="G608" s="29">
        <v>35000</v>
      </c>
      <c r="H608" s="29">
        <v>180000</v>
      </c>
      <c r="I608" s="29">
        <v>20000</v>
      </c>
      <c r="J608" s="29">
        <v>6074999808</v>
      </c>
      <c r="K608" s="29">
        <v>1351</v>
      </c>
      <c r="L608" s="29">
        <v>2249</v>
      </c>
      <c r="N608" s="34"/>
      <c r="O608" s="29">
        <f t="shared" si="98"/>
        <v>1800</v>
      </c>
      <c r="P608" s="32" cm="1">
        <f t="array" ref="P608">WPNFACTOR(C608)</f>
        <v>4.5</v>
      </c>
      <c r="Q608" s="34" cm="1">
        <f t="array" ref="Q608">HPFACTOr(C608)</f>
        <v>2</v>
      </c>
      <c r="R608" s="33">
        <f t="shared" si="99"/>
        <v>400</v>
      </c>
      <c r="S608" s="34">
        <f t="shared" si="100"/>
        <v>3037499904</v>
      </c>
      <c r="T608" s="33">
        <f t="shared" si="101"/>
        <v>400</v>
      </c>
      <c r="U608" s="42">
        <f t="shared" si="102"/>
        <v>3037499904</v>
      </c>
      <c r="V608" s="44"/>
      <c r="W608" s="29">
        <f t="shared" si="108"/>
        <v>1214999961600</v>
      </c>
      <c r="X608" s="41">
        <f t="shared" si="103"/>
        <v>40.144093406883115</v>
      </c>
      <c r="Y608" s="33">
        <f t="shared" si="104"/>
        <v>1049.8906451787423</v>
      </c>
      <c r="Z608" s="33">
        <v>0.8</v>
      </c>
      <c r="AA608" s="29">
        <f t="shared" si="105"/>
        <v>839.91251614299381</v>
      </c>
      <c r="AB608" s="33">
        <f t="shared" si="106"/>
        <v>10670.679801054777</v>
      </c>
      <c r="AD608" s="46">
        <f t="shared" si="107"/>
        <v>0</v>
      </c>
    </row>
    <row r="609" spans="1:30" x14ac:dyDescent="0.2">
      <c r="A609" s="30" t="s">
        <v>8858</v>
      </c>
      <c r="B609" s="29">
        <v>2</v>
      </c>
      <c r="C609" s="29">
        <v>1</v>
      </c>
      <c r="D609" s="29">
        <v>400</v>
      </c>
      <c r="E609" s="29">
        <v>45000</v>
      </c>
      <c r="F609" s="29">
        <v>15000</v>
      </c>
      <c r="G609" s="29">
        <v>45000</v>
      </c>
      <c r="H609" s="29">
        <v>200000</v>
      </c>
      <c r="I609" s="29">
        <v>23500</v>
      </c>
      <c r="J609" s="29">
        <v>3037499904</v>
      </c>
      <c r="K609" s="29">
        <v>600</v>
      </c>
      <c r="L609" s="29">
        <v>999</v>
      </c>
      <c r="N609" s="34"/>
      <c r="O609" s="29">
        <f t="shared" si="98"/>
        <v>799.5</v>
      </c>
      <c r="P609" s="32" cm="1">
        <f t="array" ref="P609">WPNFACTOR(C609)</f>
        <v>2</v>
      </c>
      <c r="Q609" s="34" cm="1">
        <f t="array" ref="Q609">HPFACTOr(C609)</f>
        <v>5</v>
      </c>
      <c r="R609" s="33">
        <f t="shared" si="99"/>
        <v>399.75</v>
      </c>
      <c r="S609" s="34">
        <f t="shared" si="100"/>
        <v>607499980.79999995</v>
      </c>
      <c r="T609" s="33">
        <f t="shared" si="101"/>
        <v>399.75</v>
      </c>
      <c r="U609" s="42">
        <f t="shared" si="102"/>
        <v>607499980.79999995</v>
      </c>
      <c r="V609" s="44"/>
      <c r="W609" s="29">
        <f t="shared" si="108"/>
        <v>242848117324.79999</v>
      </c>
      <c r="X609" s="41">
        <f t="shared" si="103"/>
        <v>37.821263345701361</v>
      </c>
      <c r="Y609" s="33">
        <f t="shared" si="104"/>
        <v>701.99446074779667</v>
      </c>
      <c r="Z609" s="33">
        <v>0.8</v>
      </c>
      <c r="AA609" s="29">
        <f t="shared" si="105"/>
        <v>561.59556859823738</v>
      </c>
      <c r="AB609" s="33">
        <f t="shared" si="106"/>
        <v>6238.95108010075</v>
      </c>
      <c r="AD609" s="46">
        <f t="shared" si="107"/>
        <v>0</v>
      </c>
    </row>
    <row r="610" spans="1:30" x14ac:dyDescent="0.2">
      <c r="A610" s="30" t="s">
        <v>8858</v>
      </c>
      <c r="B610" s="29">
        <v>3</v>
      </c>
      <c r="C610" s="29">
        <v>1</v>
      </c>
      <c r="D610" s="29">
        <v>400</v>
      </c>
      <c r="E610" s="29">
        <v>60000</v>
      </c>
      <c r="F610" s="29">
        <v>20000</v>
      </c>
      <c r="G610" s="29">
        <v>20000</v>
      </c>
      <c r="H610" s="29">
        <v>220000</v>
      </c>
      <c r="I610" s="29">
        <v>31500</v>
      </c>
      <c r="J610" s="29">
        <v>8099999744</v>
      </c>
      <c r="K610" s="29">
        <v>600</v>
      </c>
      <c r="L610" s="29">
        <v>999</v>
      </c>
      <c r="N610" s="34"/>
      <c r="O610" s="29">
        <f t="shared" si="98"/>
        <v>799.5</v>
      </c>
      <c r="P610" s="32" cm="1">
        <f t="array" ref="P610">WPNFACTOR(C610)</f>
        <v>2</v>
      </c>
      <c r="Q610" s="34" cm="1">
        <f t="array" ref="Q610">HPFACTOr(C610)</f>
        <v>5</v>
      </c>
      <c r="R610" s="33">
        <f t="shared" si="99"/>
        <v>399.75</v>
      </c>
      <c r="S610" s="34">
        <f t="shared" si="100"/>
        <v>1619999948.8</v>
      </c>
      <c r="T610" s="33">
        <f t="shared" si="101"/>
        <v>399.75</v>
      </c>
      <c r="U610" s="42">
        <f t="shared" si="102"/>
        <v>1619999948.8</v>
      </c>
      <c r="V610" s="44"/>
      <c r="W610" s="29">
        <f t="shared" si="108"/>
        <v>647594979532.79993</v>
      </c>
      <c r="X610" s="41">
        <f t="shared" si="103"/>
        <v>39.236300844980207</v>
      </c>
      <c r="Y610" s="33">
        <f t="shared" si="104"/>
        <v>897.06903982777078</v>
      </c>
      <c r="Z610" s="33">
        <v>0.8</v>
      </c>
      <c r="AA610" s="29">
        <f t="shared" si="105"/>
        <v>717.65523186221662</v>
      </c>
      <c r="AB610" s="33">
        <f t="shared" si="106"/>
        <v>8651.6941430198422</v>
      </c>
      <c r="AD610" s="46">
        <f t="shared" si="107"/>
        <v>0</v>
      </c>
    </row>
    <row r="611" spans="1:30" x14ac:dyDescent="0.2">
      <c r="A611" s="30" t="s">
        <v>8858</v>
      </c>
      <c r="B611" s="29">
        <v>4</v>
      </c>
      <c r="C611" s="29">
        <v>3</v>
      </c>
      <c r="D611" s="29">
        <v>400</v>
      </c>
      <c r="E611" s="29">
        <v>25000</v>
      </c>
      <c r="F611" s="29">
        <v>75000</v>
      </c>
      <c r="G611" s="29">
        <v>25000</v>
      </c>
      <c r="H611" s="29">
        <v>240000</v>
      </c>
      <c r="I611" s="29">
        <v>45000</v>
      </c>
      <c r="J611" s="29">
        <v>8099999744</v>
      </c>
      <c r="K611" s="29">
        <v>750</v>
      </c>
      <c r="L611" s="29">
        <v>1249</v>
      </c>
      <c r="N611" s="34"/>
      <c r="O611" s="29">
        <f t="shared" si="98"/>
        <v>999.5</v>
      </c>
      <c r="P611" s="32" cm="1">
        <f t="array" ref="P611">WPNFACTOR(C611)</f>
        <v>2.5</v>
      </c>
      <c r="Q611" s="34" cm="1">
        <f t="array" ref="Q611">HPFACTOr(C611)</f>
        <v>4</v>
      </c>
      <c r="R611" s="33">
        <f t="shared" si="99"/>
        <v>399.8</v>
      </c>
      <c r="S611" s="34">
        <f t="shared" si="100"/>
        <v>2024999936</v>
      </c>
      <c r="T611" s="33">
        <f t="shared" si="101"/>
        <v>399.8</v>
      </c>
      <c r="U611" s="42">
        <f t="shared" si="102"/>
        <v>2024999936.0000002</v>
      </c>
      <c r="V611" s="44"/>
      <c r="W611" s="29">
        <f t="shared" si="108"/>
        <v>809594974412.80017</v>
      </c>
      <c r="X611" s="41">
        <f t="shared" si="103"/>
        <v>39.558409378244498</v>
      </c>
      <c r="Y611" s="33">
        <f t="shared" si="104"/>
        <v>948.56468290217299</v>
      </c>
      <c r="Z611" s="33">
        <v>0.8</v>
      </c>
      <c r="AA611" s="29">
        <f t="shared" si="105"/>
        <v>758.85174632173846</v>
      </c>
      <c r="AB611" s="33">
        <f t="shared" si="106"/>
        <v>9320.1435444130766</v>
      </c>
      <c r="AD611" s="46">
        <f t="shared" si="107"/>
        <v>0</v>
      </c>
    </row>
    <row r="612" spans="1:30" x14ac:dyDescent="0.2">
      <c r="A612" s="30" t="s">
        <v>8858</v>
      </c>
      <c r="B612" s="29">
        <v>5</v>
      </c>
      <c r="C612" s="29">
        <v>1</v>
      </c>
      <c r="D612" s="29">
        <v>400</v>
      </c>
      <c r="E612" s="29">
        <v>90000</v>
      </c>
      <c r="F612" s="29">
        <v>30000</v>
      </c>
      <c r="G612" s="29">
        <v>30000</v>
      </c>
      <c r="H612" s="29">
        <v>260000</v>
      </c>
      <c r="I612" s="29">
        <v>48500</v>
      </c>
      <c r="J612" s="29">
        <v>5062499840</v>
      </c>
      <c r="K612" s="29">
        <v>600</v>
      </c>
      <c r="L612" s="29">
        <v>999</v>
      </c>
      <c r="N612" s="34"/>
      <c r="O612" s="29">
        <f t="shared" si="98"/>
        <v>799.5</v>
      </c>
      <c r="P612" s="32" cm="1">
        <f t="array" ref="P612">WPNFACTOR(C612)</f>
        <v>2</v>
      </c>
      <c r="Q612" s="34" cm="1">
        <f t="array" ref="Q612">HPFACTOr(C612)</f>
        <v>5</v>
      </c>
      <c r="R612" s="33">
        <f t="shared" si="99"/>
        <v>399.75</v>
      </c>
      <c r="S612" s="34">
        <f t="shared" si="100"/>
        <v>1012499968</v>
      </c>
      <c r="T612" s="33">
        <f t="shared" si="101"/>
        <v>399.75</v>
      </c>
      <c r="U612" s="42">
        <f t="shared" si="102"/>
        <v>1012499968.0000001</v>
      </c>
      <c r="V612" s="44"/>
      <c r="W612" s="29">
        <f t="shared" si="108"/>
        <v>404746862208.00006</v>
      </c>
      <c r="X612" s="41">
        <f t="shared" si="103"/>
        <v>38.558228939867568</v>
      </c>
      <c r="Y612" s="33">
        <f t="shared" si="104"/>
        <v>797.61970145455575</v>
      </c>
      <c r="Z612" s="33">
        <v>0.8</v>
      </c>
      <c r="AA612" s="29">
        <f t="shared" si="105"/>
        <v>638.09576116364462</v>
      </c>
      <c r="AB612" s="33">
        <f t="shared" si="106"/>
        <v>7397.0944412837962</v>
      </c>
      <c r="AD612" s="46">
        <f t="shared" si="107"/>
        <v>0</v>
      </c>
    </row>
    <row r="613" spans="1:30" x14ac:dyDescent="0.2">
      <c r="A613" s="30" t="s">
        <v>8858</v>
      </c>
      <c r="B613" s="29">
        <v>6</v>
      </c>
      <c r="C613" s="29">
        <v>2</v>
      </c>
      <c r="D613" s="29">
        <v>400</v>
      </c>
      <c r="E613" s="29">
        <v>35000</v>
      </c>
      <c r="F613" s="29">
        <v>35000</v>
      </c>
      <c r="G613" s="29">
        <v>105000</v>
      </c>
      <c r="H613" s="29">
        <v>280000</v>
      </c>
      <c r="I613" s="29">
        <v>53500</v>
      </c>
      <c r="J613" s="29">
        <v>6074999808</v>
      </c>
      <c r="K613" s="29">
        <v>1350</v>
      </c>
      <c r="L613" s="29">
        <v>2249</v>
      </c>
      <c r="N613" s="34"/>
      <c r="O613" s="29">
        <f t="shared" si="98"/>
        <v>1799.5</v>
      </c>
      <c r="P613" s="32" cm="1">
        <f t="array" ref="P613">WPNFACTOR(C613)</f>
        <v>4.5</v>
      </c>
      <c r="Q613" s="34" cm="1">
        <f t="array" ref="Q613">HPFACTOr(C613)</f>
        <v>2</v>
      </c>
      <c r="R613" s="33">
        <f t="shared" si="99"/>
        <v>399.88888888888891</v>
      </c>
      <c r="S613" s="34">
        <f t="shared" si="100"/>
        <v>3037499904</v>
      </c>
      <c r="T613" s="33">
        <f t="shared" si="101"/>
        <v>399.88888888888891</v>
      </c>
      <c r="U613" s="42">
        <f t="shared" si="102"/>
        <v>3037499904</v>
      </c>
      <c r="V613" s="44"/>
      <c r="W613" s="29">
        <f t="shared" si="108"/>
        <v>1214662461610.6667</v>
      </c>
      <c r="X613" s="41">
        <f t="shared" si="103"/>
        <v>40.143692602590811</v>
      </c>
      <c r="Y613" s="33">
        <f t="shared" si="104"/>
        <v>1049.8177285102347</v>
      </c>
      <c r="Z613" s="33">
        <v>0.8</v>
      </c>
      <c r="AA613" s="29">
        <f t="shared" si="105"/>
        <v>839.85418280818783</v>
      </c>
      <c r="AB613" s="33">
        <f t="shared" si="106"/>
        <v>10669.691683649287</v>
      </c>
      <c r="AD613" s="46">
        <f t="shared" si="107"/>
        <v>0</v>
      </c>
    </row>
    <row r="614" spans="1:30" x14ac:dyDescent="0.2">
      <c r="A614" s="30" t="s">
        <v>8858</v>
      </c>
      <c r="B614" s="29">
        <v>7</v>
      </c>
      <c r="C614" s="29">
        <v>3</v>
      </c>
      <c r="D614" s="29">
        <v>450</v>
      </c>
      <c r="E614" s="29">
        <v>40000</v>
      </c>
      <c r="F614" s="29">
        <v>120000</v>
      </c>
      <c r="G614" s="29">
        <v>40000</v>
      </c>
      <c r="H614" s="29">
        <v>300000</v>
      </c>
      <c r="I614" s="29">
        <v>71500</v>
      </c>
      <c r="J614" s="29">
        <v>16199999488</v>
      </c>
      <c r="K614" s="29">
        <v>850</v>
      </c>
      <c r="L614" s="29">
        <v>1399</v>
      </c>
      <c r="N614" s="34"/>
      <c r="O614" s="29">
        <f t="shared" si="98"/>
        <v>1124.5</v>
      </c>
      <c r="P614" s="32" cm="1">
        <f t="array" ref="P614">WPNFACTOR(C614)</f>
        <v>2.5</v>
      </c>
      <c r="Q614" s="34" cm="1">
        <f t="array" ref="Q614">HPFACTOr(C614)</f>
        <v>4</v>
      </c>
      <c r="R614" s="33">
        <f t="shared" si="99"/>
        <v>449.8</v>
      </c>
      <c r="S614" s="34">
        <f t="shared" si="100"/>
        <v>4049999872</v>
      </c>
      <c r="T614" s="33">
        <f t="shared" si="101"/>
        <v>449.8</v>
      </c>
      <c r="U614" s="42">
        <f t="shared" si="102"/>
        <v>4049999872.0000005</v>
      </c>
      <c r="V614" s="44"/>
      <c r="W614" s="29">
        <f t="shared" si="108"/>
        <v>1821689942425.6003</v>
      </c>
      <c r="X614" s="41">
        <f t="shared" si="103"/>
        <v>40.728414567277689</v>
      </c>
      <c r="Y614" s="33">
        <f t="shared" si="104"/>
        <v>1161.7658737158126</v>
      </c>
      <c r="Z614" s="33">
        <v>0.8</v>
      </c>
      <c r="AA614" s="29">
        <f t="shared" si="105"/>
        <v>929.41269897265011</v>
      </c>
      <c r="AB614" s="33">
        <f t="shared" si="106"/>
        <v>12213.069266111399</v>
      </c>
      <c r="AD614" s="46">
        <f t="shared" si="107"/>
        <v>0</v>
      </c>
    </row>
    <row r="615" spans="1:30" x14ac:dyDescent="0.2">
      <c r="A615" s="30" t="s">
        <v>8858</v>
      </c>
      <c r="B615" s="29">
        <v>8</v>
      </c>
      <c r="C615" s="29">
        <v>2</v>
      </c>
      <c r="D615" s="29">
        <v>500</v>
      </c>
      <c r="E615" s="29">
        <v>50000</v>
      </c>
      <c r="F615" s="29">
        <v>50000</v>
      </c>
      <c r="G615" s="29">
        <v>150000</v>
      </c>
      <c r="H615" s="29">
        <v>320000</v>
      </c>
      <c r="I615" s="29">
        <v>93500</v>
      </c>
      <c r="J615" s="29">
        <v>16199999488</v>
      </c>
      <c r="K615" s="29">
        <v>1700</v>
      </c>
      <c r="L615" s="29">
        <v>2799</v>
      </c>
      <c r="N615" s="34"/>
      <c r="O615" s="29">
        <f t="shared" si="98"/>
        <v>2249.5</v>
      </c>
      <c r="P615" s="32" cm="1">
        <f t="array" ref="P615">WPNFACTOR(C615)</f>
        <v>4.5</v>
      </c>
      <c r="Q615" s="34" cm="1">
        <f t="array" ref="Q615">HPFACTOr(C615)</f>
        <v>2</v>
      </c>
      <c r="R615" s="33">
        <f t="shared" si="99"/>
        <v>499.88888888888891</v>
      </c>
      <c r="S615" s="34">
        <f t="shared" si="100"/>
        <v>8099999744</v>
      </c>
      <c r="T615" s="33">
        <f t="shared" si="101"/>
        <v>499.88888888888891</v>
      </c>
      <c r="U615" s="42">
        <f t="shared" si="102"/>
        <v>8099999744.000001</v>
      </c>
      <c r="V615" s="44"/>
      <c r="W615" s="29">
        <f t="shared" si="108"/>
        <v>4049099872028.4453</v>
      </c>
      <c r="X615" s="41">
        <f t="shared" si="103"/>
        <v>41.880738366523971</v>
      </c>
      <c r="Y615" s="33">
        <f t="shared" si="104"/>
        <v>1418.5335839273457</v>
      </c>
      <c r="Z615" s="33">
        <v>0.8</v>
      </c>
      <c r="AA615" s="29">
        <f t="shared" si="105"/>
        <v>1134.8268671418766</v>
      </c>
      <c r="AB615" s="33">
        <f t="shared" si="106"/>
        <v>15938.697550609375</v>
      </c>
      <c r="AD615" s="46">
        <f t="shared" si="107"/>
        <v>0</v>
      </c>
    </row>
    <row r="616" spans="1:30" x14ac:dyDescent="0.2">
      <c r="A616" s="30" t="s">
        <v>8858</v>
      </c>
      <c r="B616" s="29">
        <v>9</v>
      </c>
      <c r="C616" s="29">
        <v>1</v>
      </c>
      <c r="D616" s="29">
        <v>550</v>
      </c>
      <c r="E616" s="29">
        <v>200000</v>
      </c>
      <c r="F616" s="29">
        <v>75000</v>
      </c>
      <c r="G616" s="29">
        <v>75000</v>
      </c>
      <c r="H616" s="29">
        <v>330000</v>
      </c>
      <c r="I616" s="29">
        <v>100000</v>
      </c>
      <c r="J616" s="29">
        <v>18225000448</v>
      </c>
      <c r="K616" s="29">
        <v>850</v>
      </c>
      <c r="L616" s="29">
        <v>1399</v>
      </c>
      <c r="N616" s="34"/>
      <c r="O616" s="29">
        <f t="shared" ref="O616:O679" si="109">AVERAGE(K616, L616)</f>
        <v>1124.5</v>
      </c>
      <c r="P616" s="32" cm="1">
        <f t="array" ref="P616">WPNFACTOR(C616)</f>
        <v>2</v>
      </c>
      <c r="Q616" s="34" cm="1">
        <f t="array" ref="Q616">HPFACTOr(C616)</f>
        <v>5</v>
      </c>
      <c r="R616" s="33">
        <f t="shared" ref="R616:R679" si="110">O616/P616</f>
        <v>562.25</v>
      </c>
      <c r="S616" s="34">
        <f t="shared" ref="S616:S679" si="111">J616/Q616</f>
        <v>3645000089.5999999</v>
      </c>
      <c r="T616" s="33">
        <f t="shared" ref="T616:T679" si="112">R616*(1 + (N616/400))</f>
        <v>562.25</v>
      </c>
      <c r="U616" s="42">
        <f t="shared" ref="U616:U679" si="113">S616*1.6/(1 + (0.6*(1 - (M616/100))))</f>
        <v>3645000089.6000004</v>
      </c>
      <c r="V616" s="44"/>
      <c r="W616" s="29">
        <f t="shared" si="108"/>
        <v>2049401300377.6001</v>
      </c>
      <c r="X616" s="41">
        <f t="shared" ref="X616:X679" si="114">LOG(W616, 2)</f>
        <v>40.89833964978007</v>
      </c>
      <c r="Y616" s="33">
        <f t="shared" si="104"/>
        <v>1196.4836046027619</v>
      </c>
      <c r="Z616" s="33">
        <v>0.8</v>
      </c>
      <c r="AA616" s="29">
        <f t="shared" si="105"/>
        <v>957.18688368220955</v>
      </c>
      <c r="AB616" s="33">
        <f t="shared" si="106"/>
        <v>12702.104143021197</v>
      </c>
      <c r="AD616" s="46">
        <f t="shared" si="107"/>
        <v>0</v>
      </c>
    </row>
    <row r="617" spans="1:30" x14ac:dyDescent="0.2">
      <c r="A617" s="30" t="s">
        <v>8858</v>
      </c>
      <c r="B617" s="29">
        <v>10</v>
      </c>
      <c r="C617" s="29">
        <v>2</v>
      </c>
      <c r="D617" s="29">
        <v>600</v>
      </c>
      <c r="E617" s="29">
        <v>100000</v>
      </c>
      <c r="F617" s="29">
        <v>100000</v>
      </c>
      <c r="G617" s="29">
        <v>250000</v>
      </c>
      <c r="H617" s="29">
        <v>430000</v>
      </c>
      <c r="I617" s="29">
        <v>137000</v>
      </c>
      <c r="J617" s="29">
        <v>12149999616</v>
      </c>
      <c r="K617" s="29">
        <v>2050</v>
      </c>
      <c r="L617" s="29">
        <v>3398</v>
      </c>
      <c r="N617" s="34"/>
      <c r="O617" s="29">
        <f t="shared" si="109"/>
        <v>2724</v>
      </c>
      <c r="P617" s="32" cm="1">
        <f t="array" ref="P617">WPNFACTOR(C617)</f>
        <v>4.5</v>
      </c>
      <c r="Q617" s="34" cm="1">
        <f t="array" ref="Q617">HPFACTOr(C617)</f>
        <v>2</v>
      </c>
      <c r="R617" s="33">
        <f t="shared" si="110"/>
        <v>605.33333333333337</v>
      </c>
      <c r="S617" s="34">
        <f t="shared" si="111"/>
        <v>6074999808</v>
      </c>
      <c r="T617" s="33">
        <f t="shared" si="112"/>
        <v>605.33333333333337</v>
      </c>
      <c r="U617" s="42">
        <f t="shared" si="113"/>
        <v>6074999808</v>
      </c>
      <c r="V617" s="44"/>
      <c r="W617" s="29">
        <f t="shared" si="108"/>
        <v>3677399883776</v>
      </c>
      <c r="X617" s="41">
        <f t="shared" si="114"/>
        <v>41.741823203678152</v>
      </c>
      <c r="Y617" s="33">
        <f t="shared" ref="Y617:Y680" si="115">POWER(W617, 1/4)</f>
        <v>1384.7941317885288</v>
      </c>
      <c r="Z617" s="33">
        <v>0.8</v>
      </c>
      <c r="AA617" s="29">
        <f t="shared" ref="AA617:AA680" si="116">Y617*Z617</f>
        <v>1107.8353054308232</v>
      </c>
      <c r="AB617" s="33">
        <f t="shared" ref="AB617:AB680" si="117">POWER(W617, 1/$AB$1)</f>
        <v>15435.248270125454</v>
      </c>
      <c r="AD617" s="46">
        <f t="shared" ref="AD617:AD680" si="118">IF(AC617 = "", ,AC617/AB617)</f>
        <v>0</v>
      </c>
    </row>
    <row r="618" spans="1:30" x14ac:dyDescent="0.2">
      <c r="A618" s="30" t="s">
        <v>8859</v>
      </c>
      <c r="B618" s="29">
        <v>1</v>
      </c>
      <c r="C618" s="29">
        <v>3</v>
      </c>
      <c r="D618" s="29">
        <v>320</v>
      </c>
      <c r="E618" s="29">
        <v>9700</v>
      </c>
      <c r="F618" s="29">
        <v>19400</v>
      </c>
      <c r="G618" s="29">
        <v>9700</v>
      </c>
      <c r="H618" s="29">
        <v>65500</v>
      </c>
      <c r="I618" s="29">
        <v>9700</v>
      </c>
      <c r="J618" s="29">
        <v>181000000</v>
      </c>
      <c r="K618" s="29">
        <v>981</v>
      </c>
      <c r="L618" s="29">
        <v>1226</v>
      </c>
      <c r="M618" s="29">
        <v>50</v>
      </c>
      <c r="N618" s="34">
        <v>50</v>
      </c>
      <c r="O618" s="29">
        <f t="shared" si="109"/>
        <v>1103.5</v>
      </c>
      <c r="P618" s="32" cm="1">
        <f t="array" ref="P618">WPNFACTOR(C618)</f>
        <v>2.5</v>
      </c>
      <c r="Q618" s="34" cm="1">
        <f t="array" ref="Q618">HPFACTOr(C618)</f>
        <v>4</v>
      </c>
      <c r="R618" s="33">
        <f t="shared" si="110"/>
        <v>441.4</v>
      </c>
      <c r="S618" s="34">
        <f t="shared" si="111"/>
        <v>45250000</v>
      </c>
      <c r="T618" s="33">
        <f t="shared" si="112"/>
        <v>496.57499999999999</v>
      </c>
      <c r="U618" s="42">
        <f t="shared" si="113"/>
        <v>55692307.692307688</v>
      </c>
      <c r="V618" s="44"/>
      <c r="W618" s="29">
        <f t="shared" si="108"/>
        <v>27655407692.30769</v>
      </c>
      <c r="X618" s="41">
        <f t="shared" si="114"/>
        <v>34.686842559100853</v>
      </c>
      <c r="Y618" s="33">
        <f t="shared" si="115"/>
        <v>407.79792938098416</v>
      </c>
      <c r="Z618" s="33">
        <v>0.8</v>
      </c>
      <c r="AA618" s="29">
        <f t="shared" si="116"/>
        <v>326.23834350478734</v>
      </c>
      <c r="AB618" s="33">
        <f t="shared" si="117"/>
        <v>3024.0805508257613</v>
      </c>
      <c r="AD618" s="46">
        <f t="shared" si="118"/>
        <v>0</v>
      </c>
    </row>
    <row r="619" spans="1:30" x14ac:dyDescent="0.2">
      <c r="A619" s="30" t="s">
        <v>8859</v>
      </c>
      <c r="B619" s="29">
        <v>2</v>
      </c>
      <c r="C619" s="29">
        <v>1</v>
      </c>
      <c r="D619" s="29">
        <v>323</v>
      </c>
      <c r="E619" s="29">
        <v>19760</v>
      </c>
      <c r="F619" s="29">
        <v>9880</v>
      </c>
      <c r="G619" s="29">
        <v>9880</v>
      </c>
      <c r="H619" s="29">
        <v>67000</v>
      </c>
      <c r="I619" s="29">
        <v>9880</v>
      </c>
      <c r="J619" s="29">
        <v>185500000</v>
      </c>
      <c r="K619" s="29">
        <v>994</v>
      </c>
      <c r="L619" s="29">
        <v>1242</v>
      </c>
      <c r="M619" s="29">
        <v>50</v>
      </c>
      <c r="N619" s="34">
        <v>50</v>
      </c>
      <c r="O619" s="29">
        <f t="shared" si="109"/>
        <v>1118</v>
      </c>
      <c r="P619" s="32" cm="1">
        <f t="array" ref="P619">WPNFACTOR(C619)</f>
        <v>2</v>
      </c>
      <c r="Q619" s="34" cm="1">
        <f t="array" ref="Q619">HPFACTOr(C619)</f>
        <v>5</v>
      </c>
      <c r="R619" s="33">
        <f t="shared" si="110"/>
        <v>559</v>
      </c>
      <c r="S619" s="34">
        <f t="shared" si="111"/>
        <v>37100000</v>
      </c>
      <c r="T619" s="33">
        <f t="shared" si="112"/>
        <v>628.875</v>
      </c>
      <c r="U619" s="42">
        <f t="shared" si="113"/>
        <v>45661538.461538456</v>
      </c>
      <c r="V619" s="44"/>
      <c r="W619" s="29">
        <f t="shared" si="108"/>
        <v>28715399999.999996</v>
      </c>
      <c r="X619" s="41">
        <f t="shared" si="114"/>
        <v>34.741105607202023</v>
      </c>
      <c r="Y619" s="33">
        <f t="shared" si="115"/>
        <v>411.65056665613236</v>
      </c>
      <c r="Z619" s="33">
        <v>0.8</v>
      </c>
      <c r="AA619" s="29">
        <f t="shared" si="116"/>
        <v>329.32045332490588</v>
      </c>
      <c r="AB619" s="33">
        <f t="shared" si="117"/>
        <v>3062.2334073086604</v>
      </c>
      <c r="AD619" s="46">
        <f t="shared" si="118"/>
        <v>0</v>
      </c>
    </row>
    <row r="620" spans="1:30" x14ac:dyDescent="0.2">
      <c r="A620" s="30" t="s">
        <v>8859</v>
      </c>
      <c r="B620" s="29">
        <v>3</v>
      </c>
      <c r="C620" s="29">
        <v>2</v>
      </c>
      <c r="D620" s="29">
        <v>326</v>
      </c>
      <c r="E620" s="29">
        <v>10060</v>
      </c>
      <c r="F620" s="29">
        <v>10060</v>
      </c>
      <c r="G620" s="29">
        <v>20120</v>
      </c>
      <c r="H620" s="29">
        <v>68500</v>
      </c>
      <c r="I620" s="29">
        <v>10060</v>
      </c>
      <c r="J620" s="29">
        <v>190000000</v>
      </c>
      <c r="K620" s="29">
        <v>1005</v>
      </c>
      <c r="L620" s="29">
        <v>1252</v>
      </c>
      <c r="M620" s="29">
        <v>50</v>
      </c>
      <c r="N620" s="34">
        <v>50</v>
      </c>
      <c r="O620" s="29">
        <f t="shared" si="109"/>
        <v>1128.5</v>
      </c>
      <c r="P620" s="32" cm="1">
        <f t="array" ref="P620">WPNFACTOR(C620)</f>
        <v>4.5</v>
      </c>
      <c r="Q620" s="34" cm="1">
        <f t="array" ref="Q620">HPFACTOr(C620)</f>
        <v>2</v>
      </c>
      <c r="R620" s="33">
        <f t="shared" si="110"/>
        <v>250.77777777777777</v>
      </c>
      <c r="S620" s="34">
        <f t="shared" si="111"/>
        <v>95000000</v>
      </c>
      <c r="T620" s="33">
        <f t="shared" si="112"/>
        <v>282.125</v>
      </c>
      <c r="U620" s="42">
        <f t="shared" si="113"/>
        <v>116923076.92307691</v>
      </c>
      <c r="V620" s="44"/>
      <c r="W620" s="29">
        <f t="shared" si="108"/>
        <v>32986923076.923073</v>
      </c>
      <c r="X620" s="41">
        <f t="shared" si="114"/>
        <v>34.941175162705868</v>
      </c>
      <c r="Y620" s="33">
        <f t="shared" si="115"/>
        <v>426.17252918651445</v>
      </c>
      <c r="Z620" s="33">
        <v>0.8</v>
      </c>
      <c r="AA620" s="29">
        <f t="shared" si="116"/>
        <v>340.93802334921156</v>
      </c>
      <c r="AB620" s="33">
        <f t="shared" si="117"/>
        <v>3207.1105903857424</v>
      </c>
      <c r="AD620" s="46">
        <f t="shared" si="118"/>
        <v>0</v>
      </c>
    </row>
    <row r="621" spans="1:30" x14ac:dyDescent="0.2">
      <c r="A621" s="30" t="s">
        <v>8859</v>
      </c>
      <c r="B621" s="29">
        <v>4</v>
      </c>
      <c r="C621" s="29">
        <v>3</v>
      </c>
      <c r="D621" s="29">
        <v>329</v>
      </c>
      <c r="E621" s="29">
        <v>10240</v>
      </c>
      <c r="F621" s="29">
        <v>20480</v>
      </c>
      <c r="G621" s="29">
        <v>10240</v>
      </c>
      <c r="H621" s="29">
        <v>70000</v>
      </c>
      <c r="I621" s="29">
        <v>10240</v>
      </c>
      <c r="J621" s="29">
        <v>194500000</v>
      </c>
      <c r="K621" s="29">
        <v>1019</v>
      </c>
      <c r="L621" s="29">
        <v>1265</v>
      </c>
      <c r="M621" s="29">
        <v>50</v>
      </c>
      <c r="N621" s="34">
        <v>50</v>
      </c>
      <c r="O621" s="29">
        <f t="shared" si="109"/>
        <v>1142</v>
      </c>
      <c r="P621" s="32" cm="1">
        <f t="array" ref="P621">WPNFACTOR(C621)</f>
        <v>2.5</v>
      </c>
      <c r="Q621" s="34" cm="1">
        <f t="array" ref="Q621">HPFACTOr(C621)</f>
        <v>4</v>
      </c>
      <c r="R621" s="33">
        <f t="shared" si="110"/>
        <v>456.8</v>
      </c>
      <c r="S621" s="34">
        <f t="shared" si="111"/>
        <v>48625000</v>
      </c>
      <c r="T621" s="33">
        <f t="shared" si="112"/>
        <v>513.9</v>
      </c>
      <c r="U621" s="42">
        <f t="shared" si="113"/>
        <v>59846153.84615384</v>
      </c>
      <c r="V621" s="44"/>
      <c r="W621" s="29">
        <f t="shared" si="108"/>
        <v>30754938461.538456</v>
      </c>
      <c r="X621" s="41">
        <f t="shared" si="114"/>
        <v>34.840099038087068</v>
      </c>
      <c r="Y621" s="33">
        <f t="shared" si="115"/>
        <v>418.7730408997856</v>
      </c>
      <c r="Z621" s="33">
        <v>0.8</v>
      </c>
      <c r="AA621" s="29">
        <f t="shared" si="116"/>
        <v>335.01843271982852</v>
      </c>
      <c r="AB621" s="33">
        <f t="shared" si="117"/>
        <v>3133.0809847342121</v>
      </c>
      <c r="AD621" s="46">
        <f t="shared" si="118"/>
        <v>0</v>
      </c>
    </row>
    <row r="622" spans="1:30" x14ac:dyDescent="0.2">
      <c r="A622" s="30" t="s">
        <v>8859</v>
      </c>
      <c r="B622" s="29">
        <v>5</v>
      </c>
      <c r="C622" s="29">
        <v>3</v>
      </c>
      <c r="D622" s="29">
        <v>332</v>
      </c>
      <c r="E622" s="29">
        <v>10420</v>
      </c>
      <c r="F622" s="29">
        <v>20840</v>
      </c>
      <c r="G622" s="29">
        <v>10420</v>
      </c>
      <c r="H622" s="29">
        <v>71500</v>
      </c>
      <c r="I622" s="29">
        <v>10420</v>
      </c>
      <c r="J622" s="29">
        <v>199000000</v>
      </c>
      <c r="K622" s="29">
        <v>1031</v>
      </c>
      <c r="L622" s="29">
        <v>1277</v>
      </c>
      <c r="M622" s="29">
        <v>50</v>
      </c>
      <c r="N622" s="34">
        <v>50</v>
      </c>
      <c r="O622" s="29">
        <f t="shared" si="109"/>
        <v>1154</v>
      </c>
      <c r="P622" s="32" cm="1">
        <f t="array" ref="P622">WPNFACTOR(C622)</f>
        <v>2.5</v>
      </c>
      <c r="Q622" s="34" cm="1">
        <f t="array" ref="Q622">HPFACTOr(C622)</f>
        <v>4</v>
      </c>
      <c r="R622" s="33">
        <f t="shared" si="110"/>
        <v>461.6</v>
      </c>
      <c r="S622" s="34">
        <f t="shared" si="111"/>
        <v>49750000</v>
      </c>
      <c r="T622" s="33">
        <f t="shared" si="112"/>
        <v>519.30000000000007</v>
      </c>
      <c r="U622" s="42">
        <f t="shared" si="113"/>
        <v>61230769.230769232</v>
      </c>
      <c r="V622" s="44"/>
      <c r="W622" s="29">
        <f t="shared" si="108"/>
        <v>31797138461.538467</v>
      </c>
      <c r="X622" s="41">
        <f t="shared" si="114"/>
        <v>34.888177886927167</v>
      </c>
      <c r="Y622" s="33">
        <f t="shared" si="115"/>
        <v>422.27659355608398</v>
      </c>
      <c r="Z622" s="33">
        <v>0.8</v>
      </c>
      <c r="AA622" s="29">
        <f t="shared" si="116"/>
        <v>337.82127484486722</v>
      </c>
      <c r="AB622" s="33">
        <f t="shared" si="117"/>
        <v>3168.0790725713323</v>
      </c>
      <c r="AD622" s="46">
        <f t="shared" si="118"/>
        <v>0</v>
      </c>
    </row>
    <row r="623" spans="1:30" x14ac:dyDescent="0.2">
      <c r="A623" s="30" t="s">
        <v>8859</v>
      </c>
      <c r="B623" s="29">
        <v>6</v>
      </c>
      <c r="C623" s="29">
        <v>3</v>
      </c>
      <c r="D623" s="29">
        <v>335</v>
      </c>
      <c r="E623" s="29">
        <v>10600</v>
      </c>
      <c r="F623" s="29">
        <v>21200</v>
      </c>
      <c r="G623" s="29">
        <v>10600</v>
      </c>
      <c r="H623" s="29">
        <v>73000</v>
      </c>
      <c r="I623" s="29">
        <v>10600</v>
      </c>
      <c r="J623" s="29">
        <v>203500000</v>
      </c>
      <c r="K623" s="29">
        <v>1045</v>
      </c>
      <c r="L623" s="29">
        <v>1284</v>
      </c>
      <c r="M623" s="29">
        <v>50</v>
      </c>
      <c r="N623" s="34">
        <v>50</v>
      </c>
      <c r="O623" s="29">
        <f t="shared" si="109"/>
        <v>1164.5</v>
      </c>
      <c r="P623" s="32" cm="1">
        <f t="array" ref="P623">WPNFACTOR(C623)</f>
        <v>2.5</v>
      </c>
      <c r="Q623" s="34" cm="1">
        <f t="array" ref="Q623">HPFACTOr(C623)</f>
        <v>4</v>
      </c>
      <c r="R623" s="33">
        <f t="shared" si="110"/>
        <v>465.8</v>
      </c>
      <c r="S623" s="34">
        <f t="shared" si="111"/>
        <v>50875000</v>
      </c>
      <c r="T623" s="33">
        <f t="shared" si="112"/>
        <v>524.02499999999998</v>
      </c>
      <c r="U623" s="42">
        <f t="shared" si="113"/>
        <v>62615384.615384616</v>
      </c>
      <c r="V623" s="44"/>
      <c r="W623" s="29">
        <f t="shared" si="108"/>
        <v>32812026923.076923</v>
      </c>
      <c r="X623" s="41">
        <f t="shared" si="114"/>
        <v>34.933505666215147</v>
      </c>
      <c r="Y623" s="33">
        <f t="shared" si="115"/>
        <v>425.60651252805707</v>
      </c>
      <c r="Z623" s="33">
        <v>0.8</v>
      </c>
      <c r="AA623" s="29">
        <f t="shared" si="116"/>
        <v>340.4852100224457</v>
      </c>
      <c r="AB623" s="33">
        <f t="shared" si="117"/>
        <v>3201.43252668175</v>
      </c>
      <c r="AD623" s="46">
        <f t="shared" si="118"/>
        <v>0</v>
      </c>
    </row>
    <row r="624" spans="1:30" x14ac:dyDescent="0.2">
      <c r="A624" s="30" t="s">
        <v>8859</v>
      </c>
      <c r="B624" s="29">
        <v>7</v>
      </c>
      <c r="C624" s="29">
        <v>1</v>
      </c>
      <c r="D624" s="29">
        <v>338</v>
      </c>
      <c r="E624" s="29">
        <v>21560</v>
      </c>
      <c r="F624" s="29">
        <v>10780</v>
      </c>
      <c r="G624" s="29">
        <v>10780</v>
      </c>
      <c r="H624" s="29">
        <v>74500</v>
      </c>
      <c r="I624" s="29">
        <v>10780</v>
      </c>
      <c r="J624" s="29">
        <v>208000000</v>
      </c>
      <c r="K624" s="29">
        <v>1053</v>
      </c>
      <c r="L624" s="29">
        <v>1301</v>
      </c>
      <c r="M624" s="29">
        <v>50</v>
      </c>
      <c r="N624" s="34">
        <v>50</v>
      </c>
      <c r="O624" s="29">
        <f t="shared" si="109"/>
        <v>1177</v>
      </c>
      <c r="P624" s="32" cm="1">
        <f t="array" ref="P624">WPNFACTOR(C624)</f>
        <v>2</v>
      </c>
      <c r="Q624" s="34" cm="1">
        <f t="array" ref="Q624">HPFACTOr(C624)</f>
        <v>5</v>
      </c>
      <c r="R624" s="33">
        <f t="shared" si="110"/>
        <v>588.5</v>
      </c>
      <c r="S624" s="34">
        <f t="shared" si="111"/>
        <v>41600000</v>
      </c>
      <c r="T624" s="33">
        <f t="shared" si="112"/>
        <v>662.0625</v>
      </c>
      <c r="U624" s="42">
        <f t="shared" si="113"/>
        <v>51200000</v>
      </c>
      <c r="V624" s="44"/>
      <c r="W624" s="29">
        <f t="shared" si="108"/>
        <v>33897600000</v>
      </c>
      <c r="X624" s="41">
        <f t="shared" si="114"/>
        <v>34.980464080917564</v>
      </c>
      <c r="Y624" s="33">
        <f t="shared" si="115"/>
        <v>429.08391810286042</v>
      </c>
      <c r="Z624" s="33">
        <v>0.8</v>
      </c>
      <c r="AA624" s="29">
        <f t="shared" si="116"/>
        <v>343.26713448228838</v>
      </c>
      <c r="AB624" s="33">
        <f t="shared" si="117"/>
        <v>3236.3562145717392</v>
      </c>
      <c r="AD624" s="46">
        <f t="shared" si="118"/>
        <v>0</v>
      </c>
    </row>
    <row r="625" spans="1:30" x14ac:dyDescent="0.2">
      <c r="A625" s="30" t="s">
        <v>8859</v>
      </c>
      <c r="B625" s="29">
        <v>8</v>
      </c>
      <c r="C625" s="29">
        <v>1</v>
      </c>
      <c r="D625" s="29">
        <v>341</v>
      </c>
      <c r="E625" s="29">
        <v>21920</v>
      </c>
      <c r="F625" s="29">
        <v>10960</v>
      </c>
      <c r="G625" s="29">
        <v>10960</v>
      </c>
      <c r="H625" s="29">
        <v>76000</v>
      </c>
      <c r="I625" s="29">
        <v>10960</v>
      </c>
      <c r="J625" s="29">
        <v>212500000</v>
      </c>
      <c r="K625" s="29">
        <v>1064</v>
      </c>
      <c r="L625" s="29">
        <v>1308</v>
      </c>
      <c r="M625" s="29">
        <v>50</v>
      </c>
      <c r="N625" s="34">
        <v>50</v>
      </c>
      <c r="O625" s="29">
        <f t="shared" si="109"/>
        <v>1186</v>
      </c>
      <c r="P625" s="32" cm="1">
        <f t="array" ref="P625">WPNFACTOR(C625)</f>
        <v>2</v>
      </c>
      <c r="Q625" s="34" cm="1">
        <f t="array" ref="Q625">HPFACTOr(C625)</f>
        <v>5</v>
      </c>
      <c r="R625" s="33">
        <f t="shared" si="110"/>
        <v>593</v>
      </c>
      <c r="S625" s="34">
        <f t="shared" si="111"/>
        <v>42500000</v>
      </c>
      <c r="T625" s="33">
        <f t="shared" si="112"/>
        <v>667.125</v>
      </c>
      <c r="U625" s="42">
        <f t="shared" si="113"/>
        <v>52307692.307692304</v>
      </c>
      <c r="V625" s="44"/>
      <c r="W625" s="29">
        <f t="shared" si="108"/>
        <v>34895769230.769226</v>
      </c>
      <c r="X625" s="41">
        <f t="shared" si="114"/>
        <v>35.0223330833091</v>
      </c>
      <c r="Y625" s="33">
        <f t="shared" si="115"/>
        <v>432.20839092417589</v>
      </c>
      <c r="Z625" s="33">
        <v>0.8</v>
      </c>
      <c r="AA625" s="29">
        <f t="shared" si="116"/>
        <v>345.76671273934073</v>
      </c>
      <c r="AB625" s="33">
        <f t="shared" si="117"/>
        <v>3267.8159790765485</v>
      </c>
      <c r="AD625" s="46">
        <f t="shared" si="118"/>
        <v>0</v>
      </c>
    </row>
    <row r="626" spans="1:30" x14ac:dyDescent="0.2">
      <c r="A626" s="30" t="s">
        <v>8859</v>
      </c>
      <c r="B626" s="29">
        <v>9</v>
      </c>
      <c r="C626" s="29">
        <v>3</v>
      </c>
      <c r="D626" s="29">
        <v>344</v>
      </c>
      <c r="E626" s="29">
        <v>11140</v>
      </c>
      <c r="F626" s="29">
        <v>22280</v>
      </c>
      <c r="G626" s="29">
        <v>11140</v>
      </c>
      <c r="H626" s="29">
        <v>77500</v>
      </c>
      <c r="I626" s="29">
        <v>11140</v>
      </c>
      <c r="J626" s="29">
        <v>217000000</v>
      </c>
      <c r="K626" s="29">
        <v>1084</v>
      </c>
      <c r="L626" s="29">
        <v>1324</v>
      </c>
      <c r="M626" s="29">
        <v>50</v>
      </c>
      <c r="N626" s="34">
        <v>50</v>
      </c>
      <c r="O626" s="29">
        <f t="shared" si="109"/>
        <v>1204</v>
      </c>
      <c r="P626" s="32" cm="1">
        <f t="array" ref="P626">WPNFACTOR(C626)</f>
        <v>2.5</v>
      </c>
      <c r="Q626" s="34" cm="1">
        <f t="array" ref="Q626">HPFACTOr(C626)</f>
        <v>4</v>
      </c>
      <c r="R626" s="33">
        <f t="shared" si="110"/>
        <v>481.6</v>
      </c>
      <c r="S626" s="34">
        <f t="shared" si="111"/>
        <v>54250000</v>
      </c>
      <c r="T626" s="33">
        <f t="shared" si="112"/>
        <v>541.80000000000007</v>
      </c>
      <c r="U626" s="42">
        <f t="shared" si="113"/>
        <v>66769230.769230768</v>
      </c>
      <c r="V626" s="44"/>
      <c r="W626" s="29">
        <f t="shared" si="108"/>
        <v>36175569230.769234</v>
      </c>
      <c r="X626" s="41">
        <f t="shared" si="114"/>
        <v>35.07429666694221</v>
      </c>
      <c r="Y626" s="33">
        <f t="shared" si="115"/>
        <v>436.11783090384591</v>
      </c>
      <c r="Z626" s="33">
        <v>0.8</v>
      </c>
      <c r="AA626" s="29">
        <f t="shared" si="116"/>
        <v>348.89426472307673</v>
      </c>
      <c r="AB626" s="33">
        <f t="shared" si="117"/>
        <v>3307.2862948278271</v>
      </c>
      <c r="AD626" s="46">
        <f t="shared" si="118"/>
        <v>0</v>
      </c>
    </row>
    <row r="627" spans="1:30" x14ac:dyDescent="0.2">
      <c r="A627" s="30" t="s">
        <v>8859</v>
      </c>
      <c r="B627" s="29">
        <v>10</v>
      </c>
      <c r="C627" s="29">
        <v>2</v>
      </c>
      <c r="D627" s="29">
        <v>350</v>
      </c>
      <c r="E627" s="29">
        <v>11500</v>
      </c>
      <c r="F627" s="29">
        <v>11500</v>
      </c>
      <c r="G627" s="29">
        <v>23000</v>
      </c>
      <c r="H627" s="29">
        <v>80500</v>
      </c>
      <c r="I627" s="29">
        <v>11500</v>
      </c>
      <c r="J627" s="29">
        <v>226000000</v>
      </c>
      <c r="K627" s="29">
        <v>1100</v>
      </c>
      <c r="L627" s="29">
        <v>1350</v>
      </c>
      <c r="M627" s="29">
        <v>50</v>
      </c>
      <c r="N627" s="34">
        <v>50</v>
      </c>
      <c r="O627" s="29">
        <f t="shared" si="109"/>
        <v>1225</v>
      </c>
      <c r="P627" s="32" cm="1">
        <f t="array" ref="P627">WPNFACTOR(C627)</f>
        <v>4.5</v>
      </c>
      <c r="Q627" s="34" cm="1">
        <f t="array" ref="Q627">HPFACTOr(C627)</f>
        <v>2</v>
      </c>
      <c r="R627" s="33">
        <f t="shared" si="110"/>
        <v>272.22222222222223</v>
      </c>
      <c r="S627" s="34">
        <f t="shared" si="111"/>
        <v>113000000</v>
      </c>
      <c r="T627" s="33">
        <f t="shared" si="112"/>
        <v>306.25</v>
      </c>
      <c r="U627" s="42">
        <f t="shared" si="113"/>
        <v>139076923.07692307</v>
      </c>
      <c r="V627" s="44"/>
      <c r="W627" s="29">
        <f t="shared" si="108"/>
        <v>42592307692.307693</v>
      </c>
      <c r="X627" s="41">
        <f t="shared" si="114"/>
        <v>35.309873847488205</v>
      </c>
      <c r="Y627" s="33">
        <f t="shared" si="115"/>
        <v>454.28959804064925</v>
      </c>
      <c r="Z627" s="33">
        <v>0.8</v>
      </c>
      <c r="AA627" s="29">
        <f t="shared" si="116"/>
        <v>363.43167843251945</v>
      </c>
      <c r="AB627" s="33">
        <f t="shared" si="117"/>
        <v>3492.2907239360425</v>
      </c>
      <c r="AD627" s="46">
        <f t="shared" si="118"/>
        <v>0</v>
      </c>
    </row>
    <row r="628" spans="1:30" x14ac:dyDescent="0.2">
      <c r="A628" s="30" t="s">
        <v>8860</v>
      </c>
      <c r="B628" s="29">
        <v>1</v>
      </c>
      <c r="C628" s="29">
        <v>2</v>
      </c>
      <c r="D628" s="29">
        <v>350</v>
      </c>
      <c r="E628" s="29">
        <v>11500</v>
      </c>
      <c r="F628" s="29">
        <v>11500</v>
      </c>
      <c r="G628" s="29">
        <v>23000</v>
      </c>
      <c r="H628" s="29">
        <v>80500</v>
      </c>
      <c r="I628" s="29">
        <v>11500</v>
      </c>
      <c r="J628" s="29">
        <v>226000000</v>
      </c>
      <c r="K628" s="29">
        <v>1102</v>
      </c>
      <c r="L628" s="29">
        <v>1349</v>
      </c>
      <c r="M628" s="29">
        <v>50</v>
      </c>
      <c r="N628" s="34">
        <v>50</v>
      </c>
      <c r="O628" s="29">
        <f t="shared" si="109"/>
        <v>1225.5</v>
      </c>
      <c r="P628" s="32" cm="1">
        <f t="array" ref="P628">WPNFACTOR(C628)</f>
        <v>4.5</v>
      </c>
      <c r="Q628" s="34" cm="1">
        <f t="array" ref="Q628">HPFACTOr(C628)</f>
        <v>2</v>
      </c>
      <c r="R628" s="33">
        <f t="shared" si="110"/>
        <v>272.33333333333331</v>
      </c>
      <c r="S628" s="34">
        <f t="shared" si="111"/>
        <v>113000000</v>
      </c>
      <c r="T628" s="33">
        <f t="shared" si="112"/>
        <v>306.375</v>
      </c>
      <c r="U628" s="42">
        <f t="shared" si="113"/>
        <v>139076923.07692307</v>
      </c>
      <c r="V628" s="44"/>
      <c r="W628" s="29">
        <f t="shared" si="108"/>
        <v>42609692307.692307</v>
      </c>
      <c r="X628" s="41">
        <f t="shared" si="114"/>
        <v>35.310462582465114</v>
      </c>
      <c r="Y628" s="33">
        <f t="shared" si="115"/>
        <v>454.33594702845249</v>
      </c>
      <c r="Z628" s="33">
        <v>0.8</v>
      </c>
      <c r="AA628" s="29">
        <f t="shared" si="116"/>
        <v>363.46875762276204</v>
      </c>
      <c r="AB628" s="33">
        <f t="shared" si="117"/>
        <v>3492.7658009006777</v>
      </c>
      <c r="AD628" s="46">
        <f t="shared" si="118"/>
        <v>0</v>
      </c>
    </row>
    <row r="629" spans="1:30" x14ac:dyDescent="0.2">
      <c r="A629" s="30" t="s">
        <v>8860</v>
      </c>
      <c r="B629" s="29">
        <v>2</v>
      </c>
      <c r="C629" s="29">
        <v>1</v>
      </c>
      <c r="D629" s="29">
        <v>354</v>
      </c>
      <c r="E629" s="29">
        <v>23480</v>
      </c>
      <c r="F629" s="29">
        <v>11740</v>
      </c>
      <c r="G629" s="29">
        <v>11740</v>
      </c>
      <c r="H629" s="29">
        <v>82500</v>
      </c>
      <c r="I629" s="29">
        <v>11740</v>
      </c>
      <c r="J629" s="29">
        <v>232000000</v>
      </c>
      <c r="K629" s="29">
        <v>1116</v>
      </c>
      <c r="L629" s="29">
        <v>1363</v>
      </c>
      <c r="M629" s="29">
        <v>50</v>
      </c>
      <c r="N629" s="34">
        <v>50</v>
      </c>
      <c r="O629" s="29">
        <f t="shared" si="109"/>
        <v>1239.5</v>
      </c>
      <c r="P629" s="32" cm="1">
        <f t="array" ref="P629">WPNFACTOR(C629)</f>
        <v>2</v>
      </c>
      <c r="Q629" s="34" cm="1">
        <f t="array" ref="Q629">HPFACTOr(C629)</f>
        <v>5</v>
      </c>
      <c r="R629" s="33">
        <f t="shared" si="110"/>
        <v>619.75</v>
      </c>
      <c r="S629" s="34">
        <f t="shared" si="111"/>
        <v>46400000</v>
      </c>
      <c r="T629" s="33">
        <f t="shared" si="112"/>
        <v>697.21875</v>
      </c>
      <c r="U629" s="42">
        <f t="shared" si="113"/>
        <v>57107692.307692304</v>
      </c>
      <c r="V629" s="44"/>
      <c r="W629" s="29">
        <f t="shared" si="108"/>
        <v>39816553846.153847</v>
      </c>
      <c r="X629" s="41">
        <f t="shared" si="114"/>
        <v>35.212649308952329</v>
      </c>
      <c r="Y629" s="33">
        <f t="shared" si="115"/>
        <v>446.69996371837084</v>
      </c>
      <c r="Z629" s="33">
        <v>0.8</v>
      </c>
      <c r="AA629" s="29">
        <f t="shared" si="116"/>
        <v>357.35997097469669</v>
      </c>
      <c r="AB629" s="33">
        <f t="shared" si="117"/>
        <v>3414.7157387301013</v>
      </c>
      <c r="AD629" s="46">
        <f t="shared" si="118"/>
        <v>0</v>
      </c>
    </row>
    <row r="630" spans="1:30" x14ac:dyDescent="0.2">
      <c r="A630" s="30" t="s">
        <v>8860</v>
      </c>
      <c r="B630" s="29">
        <v>3</v>
      </c>
      <c r="C630" s="29">
        <v>1</v>
      </c>
      <c r="D630" s="29">
        <v>358</v>
      </c>
      <c r="E630" s="29">
        <v>23960</v>
      </c>
      <c r="F630" s="29">
        <v>11980</v>
      </c>
      <c r="G630" s="29">
        <v>11980</v>
      </c>
      <c r="H630" s="29">
        <v>84500</v>
      </c>
      <c r="I630" s="29">
        <v>11980</v>
      </c>
      <c r="J630" s="29">
        <v>238000000</v>
      </c>
      <c r="K630" s="29">
        <v>1140</v>
      </c>
      <c r="L630" s="29">
        <v>1380</v>
      </c>
      <c r="M630" s="29">
        <v>50</v>
      </c>
      <c r="N630" s="34">
        <v>50</v>
      </c>
      <c r="O630" s="29">
        <f t="shared" si="109"/>
        <v>1260</v>
      </c>
      <c r="P630" s="32" cm="1">
        <f t="array" ref="P630">WPNFACTOR(C630)</f>
        <v>2</v>
      </c>
      <c r="Q630" s="34" cm="1">
        <f t="array" ref="Q630">HPFACTOr(C630)</f>
        <v>5</v>
      </c>
      <c r="R630" s="33">
        <f t="shared" si="110"/>
        <v>630</v>
      </c>
      <c r="S630" s="34">
        <f t="shared" si="111"/>
        <v>47600000</v>
      </c>
      <c r="T630" s="33">
        <f t="shared" si="112"/>
        <v>708.75</v>
      </c>
      <c r="U630" s="42">
        <f t="shared" si="113"/>
        <v>58584615.384615384</v>
      </c>
      <c r="V630" s="44"/>
      <c r="W630" s="29">
        <f t="shared" si="108"/>
        <v>41521846153.846153</v>
      </c>
      <c r="X630" s="41">
        <f t="shared" si="114"/>
        <v>35.273151539433258</v>
      </c>
      <c r="Y630" s="33">
        <f t="shared" si="115"/>
        <v>451.40790876521555</v>
      </c>
      <c r="Z630" s="33">
        <v>0.8</v>
      </c>
      <c r="AA630" s="29">
        <f t="shared" si="116"/>
        <v>361.12632701217245</v>
      </c>
      <c r="AB630" s="33">
        <f t="shared" si="117"/>
        <v>3462.7851919411282</v>
      </c>
      <c r="AD630" s="46">
        <f t="shared" si="118"/>
        <v>0</v>
      </c>
    </row>
    <row r="631" spans="1:30" x14ac:dyDescent="0.2">
      <c r="A631" s="30" t="s">
        <v>8860</v>
      </c>
      <c r="B631" s="29">
        <v>4</v>
      </c>
      <c r="C631" s="29">
        <v>1</v>
      </c>
      <c r="D631" s="29">
        <v>362</v>
      </c>
      <c r="E631" s="29">
        <v>24440</v>
      </c>
      <c r="F631" s="29">
        <v>12220</v>
      </c>
      <c r="G631" s="29">
        <v>12220</v>
      </c>
      <c r="H631" s="29">
        <v>86500</v>
      </c>
      <c r="I631" s="29">
        <v>12220</v>
      </c>
      <c r="J631" s="29">
        <v>244000000</v>
      </c>
      <c r="K631" s="29">
        <v>1151</v>
      </c>
      <c r="L631" s="29">
        <v>1397</v>
      </c>
      <c r="M631" s="29">
        <v>50</v>
      </c>
      <c r="N631" s="34">
        <v>50</v>
      </c>
      <c r="O631" s="29">
        <f t="shared" si="109"/>
        <v>1274</v>
      </c>
      <c r="P631" s="32" cm="1">
        <f t="array" ref="P631">WPNFACTOR(C631)</f>
        <v>2</v>
      </c>
      <c r="Q631" s="34" cm="1">
        <f t="array" ref="Q631">HPFACTOr(C631)</f>
        <v>5</v>
      </c>
      <c r="R631" s="33">
        <f t="shared" si="110"/>
        <v>637</v>
      </c>
      <c r="S631" s="34">
        <f t="shared" si="111"/>
        <v>48800000</v>
      </c>
      <c r="T631" s="33">
        <f t="shared" si="112"/>
        <v>716.625</v>
      </c>
      <c r="U631" s="42">
        <f t="shared" si="113"/>
        <v>60061538.461538456</v>
      </c>
      <c r="V631" s="44"/>
      <c r="W631" s="29">
        <f t="shared" si="108"/>
        <v>43041600000</v>
      </c>
      <c r="X631" s="41">
        <f t="shared" si="114"/>
        <v>35.325012657557224</v>
      </c>
      <c r="Y631" s="33">
        <f t="shared" si="115"/>
        <v>455.48292590594252</v>
      </c>
      <c r="Z631" s="33">
        <v>0.8</v>
      </c>
      <c r="AA631" s="29">
        <f t="shared" si="116"/>
        <v>364.38634072475406</v>
      </c>
      <c r="AB631" s="33">
        <f t="shared" si="117"/>
        <v>3504.5274742300753</v>
      </c>
      <c r="AD631" s="46">
        <f t="shared" si="118"/>
        <v>0</v>
      </c>
    </row>
    <row r="632" spans="1:30" x14ac:dyDescent="0.2">
      <c r="A632" s="30" t="s">
        <v>8860</v>
      </c>
      <c r="B632" s="29">
        <v>5</v>
      </c>
      <c r="C632" s="29">
        <v>3</v>
      </c>
      <c r="D632" s="29">
        <v>366</v>
      </c>
      <c r="E632" s="29">
        <v>12460</v>
      </c>
      <c r="F632" s="29">
        <v>24920</v>
      </c>
      <c r="G632" s="29">
        <v>12460</v>
      </c>
      <c r="H632" s="29">
        <v>88500</v>
      </c>
      <c r="I632" s="29">
        <v>12460</v>
      </c>
      <c r="J632" s="29">
        <v>250000000</v>
      </c>
      <c r="K632" s="29">
        <v>1167</v>
      </c>
      <c r="L632" s="29">
        <v>1404</v>
      </c>
      <c r="M632" s="29">
        <v>50</v>
      </c>
      <c r="N632" s="34">
        <v>50</v>
      </c>
      <c r="O632" s="29">
        <f t="shared" si="109"/>
        <v>1285.5</v>
      </c>
      <c r="P632" s="32" cm="1">
        <f t="array" ref="P632">WPNFACTOR(C632)</f>
        <v>2.5</v>
      </c>
      <c r="Q632" s="34" cm="1">
        <f t="array" ref="Q632">HPFACTOr(C632)</f>
        <v>4</v>
      </c>
      <c r="R632" s="33">
        <f t="shared" si="110"/>
        <v>514.20000000000005</v>
      </c>
      <c r="S632" s="34">
        <f t="shared" si="111"/>
        <v>62500000</v>
      </c>
      <c r="T632" s="33">
        <f t="shared" si="112"/>
        <v>578.47500000000002</v>
      </c>
      <c r="U632" s="42">
        <f t="shared" si="113"/>
        <v>76923076.923076928</v>
      </c>
      <c r="V632" s="44"/>
      <c r="W632" s="29">
        <f t="shared" si="108"/>
        <v>44498076923.076927</v>
      </c>
      <c r="X632" s="41">
        <f t="shared" si="114"/>
        <v>35.373023937233775</v>
      </c>
      <c r="Y632" s="33">
        <f t="shared" si="115"/>
        <v>459.2882242324427</v>
      </c>
      <c r="Z632" s="33">
        <v>0.8</v>
      </c>
      <c r="AA632" s="29">
        <f t="shared" si="116"/>
        <v>367.43057938595416</v>
      </c>
      <c r="AB632" s="33">
        <f t="shared" si="117"/>
        <v>3543.6194831909033</v>
      </c>
      <c r="AD632" s="46">
        <f t="shared" si="118"/>
        <v>0</v>
      </c>
    </row>
    <row r="633" spans="1:30" x14ac:dyDescent="0.2">
      <c r="A633" s="30" t="s">
        <v>8860</v>
      </c>
      <c r="B633" s="29">
        <v>6</v>
      </c>
      <c r="C633" s="29">
        <v>2</v>
      </c>
      <c r="D633" s="29">
        <v>370</v>
      </c>
      <c r="E633" s="29">
        <v>12700</v>
      </c>
      <c r="F633" s="29">
        <v>12700</v>
      </c>
      <c r="G633" s="29">
        <v>25400</v>
      </c>
      <c r="H633" s="29">
        <v>90500</v>
      </c>
      <c r="I633" s="29">
        <v>12700</v>
      </c>
      <c r="J633" s="29">
        <v>256000000</v>
      </c>
      <c r="K633" s="29">
        <v>1181</v>
      </c>
      <c r="L633" s="29">
        <v>1429</v>
      </c>
      <c r="M633" s="29">
        <v>50</v>
      </c>
      <c r="N633" s="34">
        <v>50</v>
      </c>
      <c r="O633" s="29">
        <f t="shared" si="109"/>
        <v>1305</v>
      </c>
      <c r="P633" s="32" cm="1">
        <f t="array" ref="P633">WPNFACTOR(C633)</f>
        <v>4.5</v>
      </c>
      <c r="Q633" s="34" cm="1">
        <f t="array" ref="Q633">HPFACTOr(C633)</f>
        <v>2</v>
      </c>
      <c r="R633" s="33">
        <f t="shared" si="110"/>
        <v>290</v>
      </c>
      <c r="S633" s="34">
        <f t="shared" si="111"/>
        <v>128000000</v>
      </c>
      <c r="T633" s="33">
        <f t="shared" si="112"/>
        <v>326.25</v>
      </c>
      <c r="U633" s="42">
        <f t="shared" si="113"/>
        <v>157538461.53846154</v>
      </c>
      <c r="V633" s="44"/>
      <c r="W633" s="29">
        <f t="shared" si="108"/>
        <v>51396923076.923073</v>
      </c>
      <c r="X633" s="41">
        <f t="shared" si="114"/>
        <v>35.580962942640333</v>
      </c>
      <c r="Y633" s="33">
        <f t="shared" si="115"/>
        <v>476.13957513589531</v>
      </c>
      <c r="Z633" s="33">
        <v>0.8</v>
      </c>
      <c r="AA633" s="29">
        <f t="shared" si="116"/>
        <v>380.91166010871626</v>
      </c>
      <c r="AB633" s="33">
        <f t="shared" si="117"/>
        <v>3718.0255804917324</v>
      </c>
      <c r="AD633" s="46">
        <f t="shared" si="118"/>
        <v>0</v>
      </c>
    </row>
    <row r="634" spans="1:30" x14ac:dyDescent="0.2">
      <c r="A634" s="30" t="s">
        <v>8860</v>
      </c>
      <c r="B634" s="29">
        <v>7</v>
      </c>
      <c r="C634" s="29">
        <v>3</v>
      </c>
      <c r="D634" s="29">
        <v>374</v>
      </c>
      <c r="E634" s="29">
        <v>12940</v>
      </c>
      <c r="F634" s="29">
        <v>25880</v>
      </c>
      <c r="G634" s="29">
        <v>12940</v>
      </c>
      <c r="H634" s="29">
        <v>92500</v>
      </c>
      <c r="I634" s="29">
        <v>12940</v>
      </c>
      <c r="J634" s="29">
        <v>262000000</v>
      </c>
      <c r="K634" s="29">
        <v>1199</v>
      </c>
      <c r="L634" s="29">
        <v>1441</v>
      </c>
      <c r="M634" s="29">
        <v>50</v>
      </c>
      <c r="N634" s="34">
        <v>50</v>
      </c>
      <c r="O634" s="29">
        <f t="shared" si="109"/>
        <v>1320</v>
      </c>
      <c r="P634" s="32" cm="1">
        <f t="array" ref="P634">WPNFACTOR(C634)</f>
        <v>2.5</v>
      </c>
      <c r="Q634" s="34" cm="1">
        <f t="array" ref="Q634">HPFACTOr(C634)</f>
        <v>4</v>
      </c>
      <c r="R634" s="33">
        <f t="shared" si="110"/>
        <v>528</v>
      </c>
      <c r="S634" s="34">
        <f t="shared" si="111"/>
        <v>65500000</v>
      </c>
      <c r="T634" s="33">
        <f t="shared" si="112"/>
        <v>594</v>
      </c>
      <c r="U634" s="42">
        <f t="shared" si="113"/>
        <v>80615384.615384609</v>
      </c>
      <c r="V634" s="44"/>
      <c r="W634" s="29">
        <f t="shared" si="108"/>
        <v>47885538461.53846</v>
      </c>
      <c r="X634" s="41">
        <f t="shared" si="114"/>
        <v>35.478870973521296</v>
      </c>
      <c r="Y634" s="33">
        <f t="shared" si="115"/>
        <v>467.79017257790861</v>
      </c>
      <c r="Z634" s="33">
        <v>0.8</v>
      </c>
      <c r="AA634" s="29">
        <f t="shared" si="116"/>
        <v>374.2321380623269</v>
      </c>
      <c r="AB634" s="33">
        <f t="shared" si="117"/>
        <v>3631.3501306127082</v>
      </c>
      <c r="AD634" s="46">
        <f t="shared" si="118"/>
        <v>0</v>
      </c>
    </row>
    <row r="635" spans="1:30" x14ac:dyDescent="0.2">
      <c r="A635" s="30" t="s">
        <v>8860</v>
      </c>
      <c r="B635" s="29">
        <v>8</v>
      </c>
      <c r="C635" s="29">
        <v>2</v>
      </c>
      <c r="D635" s="29">
        <v>378</v>
      </c>
      <c r="E635" s="29">
        <v>13180</v>
      </c>
      <c r="F635" s="29">
        <v>13180</v>
      </c>
      <c r="G635" s="29">
        <v>26360</v>
      </c>
      <c r="H635" s="29">
        <v>94500</v>
      </c>
      <c r="I635" s="29">
        <v>13180</v>
      </c>
      <c r="J635" s="29">
        <v>268000000</v>
      </c>
      <c r="K635" s="29">
        <v>1212</v>
      </c>
      <c r="L635" s="29">
        <v>1461</v>
      </c>
      <c r="M635" s="29">
        <v>50</v>
      </c>
      <c r="N635" s="34">
        <v>50</v>
      </c>
      <c r="O635" s="29">
        <f t="shared" si="109"/>
        <v>1336.5</v>
      </c>
      <c r="P635" s="32" cm="1">
        <f t="array" ref="P635">WPNFACTOR(C635)</f>
        <v>4.5</v>
      </c>
      <c r="Q635" s="34" cm="1">
        <f t="array" ref="Q635">HPFACTOr(C635)</f>
        <v>2</v>
      </c>
      <c r="R635" s="33">
        <f t="shared" si="110"/>
        <v>297</v>
      </c>
      <c r="S635" s="34">
        <f t="shared" si="111"/>
        <v>134000000</v>
      </c>
      <c r="T635" s="33">
        <f t="shared" si="112"/>
        <v>334.125</v>
      </c>
      <c r="U635" s="42">
        <f t="shared" si="113"/>
        <v>164923076.92307693</v>
      </c>
      <c r="V635" s="44"/>
      <c r="W635" s="29">
        <f t="shared" si="108"/>
        <v>55104923076.92308</v>
      </c>
      <c r="X635" s="41">
        <f t="shared" si="114"/>
        <v>35.681462163883936</v>
      </c>
      <c r="Y635" s="33">
        <f t="shared" si="115"/>
        <v>484.50426020654527</v>
      </c>
      <c r="Z635" s="33">
        <v>0.8</v>
      </c>
      <c r="AA635" s="29">
        <f t="shared" si="116"/>
        <v>387.60340816523626</v>
      </c>
      <c r="AB635" s="33">
        <f t="shared" si="117"/>
        <v>3805.369212324787</v>
      </c>
      <c r="AD635" s="46">
        <f t="shared" si="118"/>
        <v>0</v>
      </c>
    </row>
    <row r="636" spans="1:30" x14ac:dyDescent="0.2">
      <c r="A636" s="30" t="s">
        <v>8860</v>
      </c>
      <c r="B636" s="29">
        <v>9</v>
      </c>
      <c r="C636" s="29">
        <v>2</v>
      </c>
      <c r="D636" s="29">
        <v>382</v>
      </c>
      <c r="E636" s="29">
        <v>13420</v>
      </c>
      <c r="F636" s="29">
        <v>13420</v>
      </c>
      <c r="G636" s="29">
        <v>26840</v>
      </c>
      <c r="H636" s="29">
        <v>96500</v>
      </c>
      <c r="I636" s="29">
        <v>13420</v>
      </c>
      <c r="J636" s="29">
        <v>274000000</v>
      </c>
      <c r="K636" s="29">
        <v>1230</v>
      </c>
      <c r="L636" s="29">
        <v>1474</v>
      </c>
      <c r="M636" s="29">
        <v>50</v>
      </c>
      <c r="N636" s="34">
        <v>50</v>
      </c>
      <c r="O636" s="29">
        <f t="shared" si="109"/>
        <v>1352</v>
      </c>
      <c r="P636" s="32" cm="1">
        <f t="array" ref="P636">WPNFACTOR(C636)</f>
        <v>4.5</v>
      </c>
      <c r="Q636" s="34" cm="1">
        <f t="array" ref="Q636">HPFACTOr(C636)</f>
        <v>2</v>
      </c>
      <c r="R636" s="33">
        <f t="shared" si="110"/>
        <v>300.44444444444446</v>
      </c>
      <c r="S636" s="34">
        <f t="shared" si="111"/>
        <v>137000000</v>
      </c>
      <c r="T636" s="33">
        <f t="shared" si="112"/>
        <v>338</v>
      </c>
      <c r="U636" s="42">
        <f t="shared" si="113"/>
        <v>168615384.61538461</v>
      </c>
      <c r="V636" s="44"/>
      <c r="W636" s="29">
        <f t="shared" si="108"/>
        <v>56992000000</v>
      </c>
      <c r="X636" s="41">
        <f t="shared" si="114"/>
        <v>35.730040370425797</v>
      </c>
      <c r="Y636" s="33">
        <f t="shared" si="115"/>
        <v>488.60001328492456</v>
      </c>
      <c r="Z636" s="33">
        <v>0.8</v>
      </c>
      <c r="AA636" s="29">
        <f t="shared" si="116"/>
        <v>390.88001062793967</v>
      </c>
      <c r="AB636" s="33">
        <f t="shared" si="117"/>
        <v>3848.3210760163543</v>
      </c>
      <c r="AD636" s="46">
        <f t="shared" si="118"/>
        <v>0</v>
      </c>
    </row>
    <row r="637" spans="1:30" x14ac:dyDescent="0.2">
      <c r="A637" s="30" t="s">
        <v>8860</v>
      </c>
      <c r="B637" s="29">
        <v>10</v>
      </c>
      <c r="C637" s="29">
        <v>3</v>
      </c>
      <c r="D637" s="29">
        <v>390</v>
      </c>
      <c r="E637" s="29">
        <v>13900</v>
      </c>
      <c r="F637" s="29">
        <v>27800</v>
      </c>
      <c r="G637" s="29">
        <v>13900</v>
      </c>
      <c r="H637" s="29">
        <v>100500</v>
      </c>
      <c r="I637" s="29">
        <v>13900</v>
      </c>
      <c r="J637" s="29">
        <v>286000000</v>
      </c>
      <c r="K637" s="29">
        <v>1276</v>
      </c>
      <c r="L637" s="29">
        <v>1510</v>
      </c>
      <c r="M637" s="29">
        <v>50</v>
      </c>
      <c r="N637" s="34">
        <v>50</v>
      </c>
      <c r="O637" s="29">
        <f t="shared" si="109"/>
        <v>1393</v>
      </c>
      <c r="P637" s="32" cm="1">
        <f t="array" ref="P637">WPNFACTOR(C637)</f>
        <v>2.5</v>
      </c>
      <c r="Q637" s="34" cm="1">
        <f t="array" ref="Q637">HPFACTOr(C637)</f>
        <v>4</v>
      </c>
      <c r="R637" s="33">
        <f t="shared" si="110"/>
        <v>557.20000000000005</v>
      </c>
      <c r="S637" s="34">
        <f t="shared" si="111"/>
        <v>71500000</v>
      </c>
      <c r="T637" s="33">
        <f t="shared" si="112"/>
        <v>626.85</v>
      </c>
      <c r="U637" s="42">
        <f t="shared" si="113"/>
        <v>88000000</v>
      </c>
      <c r="V637" s="44"/>
      <c r="W637" s="29">
        <f t="shared" si="108"/>
        <v>55162800000</v>
      </c>
      <c r="X637" s="41">
        <f t="shared" si="114"/>
        <v>35.682976637117676</v>
      </c>
      <c r="Y637" s="33">
        <f t="shared" si="115"/>
        <v>484.6314293250731</v>
      </c>
      <c r="Z637" s="33">
        <v>0.8</v>
      </c>
      <c r="AA637" s="29">
        <f t="shared" si="116"/>
        <v>387.70514346005848</v>
      </c>
      <c r="AB637" s="33">
        <f t="shared" si="117"/>
        <v>3806.7010110489659</v>
      </c>
      <c r="AD637" s="46">
        <f t="shared" si="118"/>
        <v>0</v>
      </c>
    </row>
    <row r="638" spans="1:30" x14ac:dyDescent="0.2">
      <c r="A638" s="30" t="s">
        <v>8861</v>
      </c>
      <c r="B638" s="29">
        <v>1</v>
      </c>
      <c r="C638" s="29">
        <v>2</v>
      </c>
      <c r="D638" s="29">
        <v>370</v>
      </c>
      <c r="E638" s="29">
        <v>12700</v>
      </c>
      <c r="F638" s="29">
        <v>12700</v>
      </c>
      <c r="G638" s="29">
        <v>25400</v>
      </c>
      <c r="H638" s="29">
        <v>90500</v>
      </c>
      <c r="I638" s="29">
        <v>12700</v>
      </c>
      <c r="J638" s="29">
        <v>256000000</v>
      </c>
      <c r="K638" s="29">
        <v>1181</v>
      </c>
      <c r="L638" s="29">
        <v>1427</v>
      </c>
      <c r="M638" s="29">
        <v>50</v>
      </c>
      <c r="N638" s="34">
        <v>50</v>
      </c>
      <c r="O638" s="29">
        <f t="shared" si="109"/>
        <v>1304</v>
      </c>
      <c r="P638" s="32" cm="1">
        <f t="array" ref="P638">WPNFACTOR(C638)</f>
        <v>4.5</v>
      </c>
      <c r="Q638" s="34" cm="1">
        <f t="array" ref="Q638">HPFACTOr(C638)</f>
        <v>2</v>
      </c>
      <c r="R638" s="33">
        <f t="shared" si="110"/>
        <v>289.77777777777777</v>
      </c>
      <c r="S638" s="34">
        <f t="shared" si="111"/>
        <v>128000000</v>
      </c>
      <c r="T638" s="33">
        <f t="shared" si="112"/>
        <v>326</v>
      </c>
      <c r="U638" s="42">
        <f t="shared" si="113"/>
        <v>157538461.53846154</v>
      </c>
      <c r="V638" s="44"/>
      <c r="W638" s="29">
        <f t="shared" si="108"/>
        <v>51357538461.53846</v>
      </c>
      <c r="X638" s="41">
        <f t="shared" si="114"/>
        <v>35.579857005414155</v>
      </c>
      <c r="Y638" s="33">
        <f t="shared" si="115"/>
        <v>476.04833443512024</v>
      </c>
      <c r="Z638" s="33">
        <v>0.8</v>
      </c>
      <c r="AA638" s="29">
        <f t="shared" si="116"/>
        <v>380.83866754809623</v>
      </c>
      <c r="AB638" s="33">
        <f t="shared" si="117"/>
        <v>3717.0756505626805</v>
      </c>
      <c r="AD638" s="46">
        <f t="shared" si="118"/>
        <v>0</v>
      </c>
    </row>
    <row r="639" spans="1:30" x14ac:dyDescent="0.2">
      <c r="A639" s="30" t="s">
        <v>8861</v>
      </c>
      <c r="B639" s="29">
        <v>2</v>
      </c>
      <c r="C639" s="29">
        <v>1</v>
      </c>
      <c r="D639" s="29">
        <v>376</v>
      </c>
      <c r="E639" s="29">
        <v>26120</v>
      </c>
      <c r="F639" s="29">
        <v>13060</v>
      </c>
      <c r="G639" s="29">
        <v>13060</v>
      </c>
      <c r="H639" s="29">
        <v>93500</v>
      </c>
      <c r="I639" s="29">
        <v>13060</v>
      </c>
      <c r="J639" s="29">
        <v>265000000</v>
      </c>
      <c r="K639" s="29">
        <v>1212</v>
      </c>
      <c r="L639" s="29">
        <v>1451</v>
      </c>
      <c r="M639" s="29">
        <v>50</v>
      </c>
      <c r="N639" s="34">
        <v>50</v>
      </c>
      <c r="O639" s="29">
        <f t="shared" si="109"/>
        <v>1331.5</v>
      </c>
      <c r="P639" s="32" cm="1">
        <f t="array" ref="P639">WPNFACTOR(C639)</f>
        <v>2</v>
      </c>
      <c r="Q639" s="34" cm="1">
        <f t="array" ref="Q639">HPFACTOr(C639)</f>
        <v>5</v>
      </c>
      <c r="R639" s="33">
        <f t="shared" si="110"/>
        <v>665.75</v>
      </c>
      <c r="S639" s="34">
        <f t="shared" si="111"/>
        <v>53000000</v>
      </c>
      <c r="T639" s="33">
        <f t="shared" si="112"/>
        <v>748.96875</v>
      </c>
      <c r="U639" s="42">
        <f t="shared" si="113"/>
        <v>65230769.230769232</v>
      </c>
      <c r="V639" s="44"/>
      <c r="W639" s="29">
        <f t="shared" si="108"/>
        <v>48855807692.307693</v>
      </c>
      <c r="X639" s="41">
        <f t="shared" si="114"/>
        <v>35.50781102039921</v>
      </c>
      <c r="Y639" s="33">
        <f t="shared" si="115"/>
        <v>470.14199879124533</v>
      </c>
      <c r="Z639" s="33">
        <v>0.8</v>
      </c>
      <c r="AA639" s="29">
        <f t="shared" si="116"/>
        <v>376.11359903299626</v>
      </c>
      <c r="AB639" s="33">
        <f t="shared" si="117"/>
        <v>3655.7127702376324</v>
      </c>
      <c r="AD639" s="46">
        <f t="shared" si="118"/>
        <v>0</v>
      </c>
    </row>
    <row r="640" spans="1:30" x14ac:dyDescent="0.2">
      <c r="A640" s="30" t="s">
        <v>8861</v>
      </c>
      <c r="B640" s="29">
        <v>3</v>
      </c>
      <c r="C640" s="29">
        <v>3</v>
      </c>
      <c r="D640" s="29">
        <v>382</v>
      </c>
      <c r="E640" s="29">
        <v>13420</v>
      </c>
      <c r="F640" s="29">
        <v>26840</v>
      </c>
      <c r="G640" s="29">
        <v>13420</v>
      </c>
      <c r="H640" s="29">
        <v>96500</v>
      </c>
      <c r="I640" s="29">
        <v>13420</v>
      </c>
      <c r="J640" s="29">
        <v>274000000</v>
      </c>
      <c r="K640" s="29">
        <v>1230</v>
      </c>
      <c r="L640" s="29">
        <v>1471</v>
      </c>
      <c r="M640" s="29">
        <v>50</v>
      </c>
      <c r="N640" s="34">
        <v>50</v>
      </c>
      <c r="O640" s="29">
        <f t="shared" si="109"/>
        <v>1350.5</v>
      </c>
      <c r="P640" s="32" cm="1">
        <f t="array" ref="P640">WPNFACTOR(C640)</f>
        <v>2.5</v>
      </c>
      <c r="Q640" s="34" cm="1">
        <f t="array" ref="Q640">HPFACTOr(C640)</f>
        <v>4</v>
      </c>
      <c r="R640" s="33">
        <f t="shared" si="110"/>
        <v>540.20000000000005</v>
      </c>
      <c r="S640" s="34">
        <f t="shared" si="111"/>
        <v>68500000</v>
      </c>
      <c r="T640" s="33">
        <f t="shared" si="112"/>
        <v>607.72500000000002</v>
      </c>
      <c r="U640" s="42">
        <f t="shared" si="113"/>
        <v>84307692.307692304</v>
      </c>
      <c r="V640" s="44"/>
      <c r="W640" s="29">
        <f t="shared" si="108"/>
        <v>51235892307.692307</v>
      </c>
      <c r="X640" s="41">
        <f t="shared" si="114"/>
        <v>35.576435765207528</v>
      </c>
      <c r="Y640" s="33">
        <f t="shared" si="115"/>
        <v>475.76619008610038</v>
      </c>
      <c r="Z640" s="33">
        <v>0.8</v>
      </c>
      <c r="AA640" s="29">
        <f t="shared" si="116"/>
        <v>380.6129520688803</v>
      </c>
      <c r="AB640" s="33">
        <f t="shared" si="117"/>
        <v>3714.1385586626488</v>
      </c>
      <c r="AD640" s="46">
        <f t="shared" si="118"/>
        <v>0</v>
      </c>
    </row>
    <row r="641" spans="1:30" x14ac:dyDescent="0.2">
      <c r="A641" s="30" t="s">
        <v>8861</v>
      </c>
      <c r="B641" s="29">
        <v>4</v>
      </c>
      <c r="C641" s="29">
        <v>1</v>
      </c>
      <c r="D641" s="29">
        <v>388</v>
      </c>
      <c r="E641" s="29">
        <v>27560</v>
      </c>
      <c r="F641" s="29">
        <v>13780</v>
      </c>
      <c r="G641" s="29">
        <v>13780</v>
      </c>
      <c r="H641" s="29">
        <v>99500</v>
      </c>
      <c r="I641" s="29">
        <v>13780</v>
      </c>
      <c r="J641" s="29">
        <v>283000000</v>
      </c>
      <c r="K641" s="29">
        <v>1254</v>
      </c>
      <c r="L641" s="29">
        <v>1500</v>
      </c>
      <c r="M641" s="29">
        <v>50</v>
      </c>
      <c r="N641" s="34">
        <v>50</v>
      </c>
      <c r="O641" s="29">
        <f t="shared" si="109"/>
        <v>1377</v>
      </c>
      <c r="P641" s="32" cm="1">
        <f t="array" ref="P641">WPNFACTOR(C641)</f>
        <v>2</v>
      </c>
      <c r="Q641" s="34" cm="1">
        <f t="array" ref="Q641">HPFACTOr(C641)</f>
        <v>5</v>
      </c>
      <c r="R641" s="33">
        <f t="shared" si="110"/>
        <v>688.5</v>
      </c>
      <c r="S641" s="34">
        <f t="shared" si="111"/>
        <v>56600000</v>
      </c>
      <c r="T641" s="33">
        <f t="shared" si="112"/>
        <v>774.5625</v>
      </c>
      <c r="U641" s="42">
        <f t="shared" si="113"/>
        <v>69661538.461538464</v>
      </c>
      <c r="V641" s="44"/>
      <c r="W641" s="29">
        <f t="shared" si="108"/>
        <v>53957215384.615387</v>
      </c>
      <c r="X641" s="41">
        <f t="shared" si="114"/>
        <v>35.651096844704874</v>
      </c>
      <c r="Y641" s="33">
        <f t="shared" si="115"/>
        <v>481.96153860631193</v>
      </c>
      <c r="Z641" s="33">
        <v>0.8</v>
      </c>
      <c r="AA641" s="29">
        <f t="shared" si="116"/>
        <v>385.56923088504959</v>
      </c>
      <c r="AB641" s="33">
        <f t="shared" si="117"/>
        <v>3778.7646407898769</v>
      </c>
      <c r="AD641" s="46">
        <f t="shared" si="118"/>
        <v>0</v>
      </c>
    </row>
    <row r="642" spans="1:30" x14ac:dyDescent="0.2">
      <c r="A642" s="30" t="s">
        <v>8861</v>
      </c>
      <c r="B642" s="29">
        <v>5</v>
      </c>
      <c r="C642" s="29">
        <v>3</v>
      </c>
      <c r="D642" s="29">
        <v>394</v>
      </c>
      <c r="E642" s="29">
        <v>14140</v>
      </c>
      <c r="F642" s="29">
        <v>28280</v>
      </c>
      <c r="G642" s="29">
        <v>14140</v>
      </c>
      <c r="H642" s="29">
        <v>102500</v>
      </c>
      <c r="I642" s="29">
        <v>14140</v>
      </c>
      <c r="J642" s="29">
        <v>292000000</v>
      </c>
      <c r="K642" s="29">
        <v>1282</v>
      </c>
      <c r="L642" s="29">
        <v>1526</v>
      </c>
      <c r="M642" s="29">
        <v>50</v>
      </c>
      <c r="N642" s="34">
        <v>50</v>
      </c>
      <c r="O642" s="29">
        <f t="shared" si="109"/>
        <v>1404</v>
      </c>
      <c r="P642" s="32" cm="1">
        <f t="array" ref="P642">WPNFACTOR(C642)</f>
        <v>2.5</v>
      </c>
      <c r="Q642" s="34" cm="1">
        <f t="array" ref="Q642">HPFACTOr(C642)</f>
        <v>4</v>
      </c>
      <c r="R642" s="33">
        <f t="shared" si="110"/>
        <v>561.6</v>
      </c>
      <c r="S642" s="34">
        <f t="shared" si="111"/>
        <v>73000000</v>
      </c>
      <c r="T642" s="33">
        <f t="shared" si="112"/>
        <v>631.80000000000007</v>
      </c>
      <c r="U642" s="42">
        <f t="shared" si="113"/>
        <v>89846153.84615384</v>
      </c>
      <c r="V642" s="44"/>
      <c r="W642" s="29">
        <f t="shared" si="108"/>
        <v>56764800000</v>
      </c>
      <c r="X642" s="41">
        <f t="shared" si="114"/>
        <v>35.724277536922614</v>
      </c>
      <c r="Y642" s="33">
        <f t="shared" si="115"/>
        <v>488.11232964549259</v>
      </c>
      <c r="Z642" s="33">
        <v>0.8</v>
      </c>
      <c r="AA642" s="29">
        <f t="shared" si="116"/>
        <v>390.4898637163941</v>
      </c>
      <c r="AB642" s="33">
        <f t="shared" si="117"/>
        <v>3843.2004568308353</v>
      </c>
      <c r="AD642" s="46">
        <f t="shared" si="118"/>
        <v>0</v>
      </c>
    </row>
    <row r="643" spans="1:30" x14ac:dyDescent="0.2">
      <c r="A643" s="30" t="s">
        <v>8861</v>
      </c>
      <c r="B643" s="29">
        <v>6</v>
      </c>
      <c r="C643" s="29">
        <v>1</v>
      </c>
      <c r="D643" s="29">
        <v>400</v>
      </c>
      <c r="E643" s="29">
        <v>30000</v>
      </c>
      <c r="F643" s="29">
        <v>15000</v>
      </c>
      <c r="G643" s="29">
        <v>15000</v>
      </c>
      <c r="H643" s="29">
        <v>110000</v>
      </c>
      <c r="I643" s="29">
        <v>15000</v>
      </c>
      <c r="J643" s="29">
        <v>300000000</v>
      </c>
      <c r="K643" s="29">
        <v>1505</v>
      </c>
      <c r="L643" s="29">
        <v>1747</v>
      </c>
      <c r="M643" s="29">
        <v>50</v>
      </c>
      <c r="N643" s="34">
        <v>50</v>
      </c>
      <c r="O643" s="29">
        <f t="shared" si="109"/>
        <v>1626</v>
      </c>
      <c r="P643" s="32" cm="1">
        <f t="array" ref="P643">WPNFACTOR(C643)</f>
        <v>2</v>
      </c>
      <c r="Q643" s="34" cm="1">
        <f t="array" ref="Q643">HPFACTOr(C643)</f>
        <v>5</v>
      </c>
      <c r="R643" s="33">
        <f t="shared" si="110"/>
        <v>813</v>
      </c>
      <c r="S643" s="34">
        <f t="shared" si="111"/>
        <v>60000000</v>
      </c>
      <c r="T643" s="33">
        <f t="shared" si="112"/>
        <v>914.625</v>
      </c>
      <c r="U643" s="42">
        <f t="shared" si="113"/>
        <v>73846153.84615384</v>
      </c>
      <c r="V643" s="44"/>
      <c r="W643" s="29">
        <f t="shared" si="108"/>
        <v>67541538461.53846</v>
      </c>
      <c r="X643" s="41">
        <f t="shared" si="114"/>
        <v>35.975055990308945</v>
      </c>
      <c r="Y643" s="33">
        <f t="shared" si="115"/>
        <v>509.79167279098624</v>
      </c>
      <c r="Z643" s="33">
        <v>0.8</v>
      </c>
      <c r="AA643" s="29">
        <f t="shared" si="116"/>
        <v>407.833338232789</v>
      </c>
      <c r="AB643" s="33">
        <f t="shared" si="117"/>
        <v>4072.4614590472088</v>
      </c>
      <c r="AD643" s="46">
        <f t="shared" si="118"/>
        <v>0</v>
      </c>
    </row>
    <row r="644" spans="1:30" x14ac:dyDescent="0.2">
      <c r="A644" s="30" t="s">
        <v>8861</v>
      </c>
      <c r="B644" s="29">
        <v>7</v>
      </c>
      <c r="C644" s="29">
        <v>3</v>
      </c>
      <c r="D644" s="29">
        <v>406</v>
      </c>
      <c r="E644" s="29">
        <v>16500</v>
      </c>
      <c r="F644" s="29">
        <v>32700</v>
      </c>
      <c r="G644" s="29">
        <v>16500</v>
      </c>
      <c r="H644" s="29">
        <v>114800</v>
      </c>
      <c r="I644" s="29">
        <v>16500</v>
      </c>
      <c r="J644" s="29">
        <v>318000000</v>
      </c>
      <c r="K644" s="29">
        <v>1532</v>
      </c>
      <c r="L644" s="29">
        <v>1779</v>
      </c>
      <c r="M644" s="29">
        <v>50</v>
      </c>
      <c r="N644" s="34">
        <v>50</v>
      </c>
      <c r="O644" s="29">
        <f t="shared" si="109"/>
        <v>1655.5</v>
      </c>
      <c r="P644" s="32" cm="1">
        <f t="array" ref="P644">WPNFACTOR(C644)</f>
        <v>2.5</v>
      </c>
      <c r="Q644" s="34" cm="1">
        <f t="array" ref="Q644">HPFACTOr(C644)</f>
        <v>4</v>
      </c>
      <c r="R644" s="33">
        <f t="shared" si="110"/>
        <v>662.2</v>
      </c>
      <c r="S644" s="34">
        <f t="shared" si="111"/>
        <v>79500000</v>
      </c>
      <c r="T644" s="33">
        <f t="shared" si="112"/>
        <v>744.97500000000002</v>
      </c>
      <c r="U644" s="42">
        <f t="shared" si="113"/>
        <v>97846153.84615384</v>
      </c>
      <c r="V644" s="44"/>
      <c r="W644" s="29">
        <f t="shared" si="108"/>
        <v>72892938461.538452</v>
      </c>
      <c r="X644" s="41">
        <f t="shared" si="114"/>
        <v>36.08506000841939</v>
      </c>
      <c r="Y644" s="33">
        <f t="shared" si="115"/>
        <v>519.60265853845476</v>
      </c>
      <c r="Z644" s="33">
        <v>0.8</v>
      </c>
      <c r="AA644" s="29">
        <f t="shared" si="116"/>
        <v>415.68212683076382</v>
      </c>
      <c r="AB644" s="33">
        <f t="shared" si="117"/>
        <v>4177.295062117968</v>
      </c>
      <c r="AD644" s="46">
        <f t="shared" si="118"/>
        <v>0</v>
      </c>
    </row>
    <row r="645" spans="1:30" x14ac:dyDescent="0.2">
      <c r="A645" s="30" t="s">
        <v>8861</v>
      </c>
      <c r="B645" s="29">
        <v>8</v>
      </c>
      <c r="C645" s="29">
        <v>2</v>
      </c>
      <c r="D645" s="29">
        <v>412</v>
      </c>
      <c r="E645" s="29">
        <v>18000</v>
      </c>
      <c r="F645" s="29">
        <v>18000</v>
      </c>
      <c r="G645" s="29">
        <v>35400</v>
      </c>
      <c r="H645" s="29">
        <v>119600</v>
      </c>
      <c r="I645" s="29">
        <v>18000</v>
      </c>
      <c r="J645" s="29">
        <v>336000000</v>
      </c>
      <c r="K645" s="29">
        <v>1563</v>
      </c>
      <c r="L645" s="29">
        <v>1809</v>
      </c>
      <c r="M645" s="29">
        <v>50</v>
      </c>
      <c r="N645" s="34">
        <v>50</v>
      </c>
      <c r="O645" s="29">
        <f t="shared" si="109"/>
        <v>1686</v>
      </c>
      <c r="P645" s="32" cm="1">
        <f t="array" ref="P645">WPNFACTOR(C645)</f>
        <v>4.5</v>
      </c>
      <c r="Q645" s="34" cm="1">
        <f t="array" ref="Q645">HPFACTOr(C645)</f>
        <v>2</v>
      </c>
      <c r="R645" s="33">
        <f t="shared" si="110"/>
        <v>374.66666666666669</v>
      </c>
      <c r="S645" s="34">
        <f t="shared" si="111"/>
        <v>168000000</v>
      </c>
      <c r="T645" s="33">
        <f t="shared" si="112"/>
        <v>421.5</v>
      </c>
      <c r="U645" s="42">
        <f t="shared" si="113"/>
        <v>206769230.76923075</v>
      </c>
      <c r="V645" s="44"/>
      <c r="W645" s="29">
        <f t="shared" si="108"/>
        <v>87153230769.230759</v>
      </c>
      <c r="X645" s="41">
        <f t="shared" si="114"/>
        <v>36.342835094903926</v>
      </c>
      <c r="Y645" s="33">
        <f t="shared" si="115"/>
        <v>543.33899205136174</v>
      </c>
      <c r="Z645" s="33">
        <v>0.8</v>
      </c>
      <c r="AA645" s="29">
        <f t="shared" si="116"/>
        <v>434.67119364108942</v>
      </c>
      <c r="AB645" s="33">
        <f t="shared" si="117"/>
        <v>4433.6475243996374</v>
      </c>
      <c r="AD645" s="46">
        <f t="shared" si="118"/>
        <v>0</v>
      </c>
    </row>
    <row r="646" spans="1:30" x14ac:dyDescent="0.2">
      <c r="A646" s="30" t="s">
        <v>8861</v>
      </c>
      <c r="B646" s="29">
        <v>9</v>
      </c>
      <c r="C646" s="29">
        <v>2</v>
      </c>
      <c r="D646" s="29">
        <v>418</v>
      </c>
      <c r="E646" s="29">
        <v>19500</v>
      </c>
      <c r="F646" s="29">
        <v>19500</v>
      </c>
      <c r="G646" s="29">
        <v>38100</v>
      </c>
      <c r="H646" s="29">
        <v>124400</v>
      </c>
      <c r="I646" s="29">
        <v>19500</v>
      </c>
      <c r="J646" s="29">
        <v>354000000</v>
      </c>
      <c r="K646" s="29">
        <v>1590</v>
      </c>
      <c r="L646" s="29">
        <v>1834</v>
      </c>
      <c r="M646" s="29">
        <v>50</v>
      </c>
      <c r="N646" s="34">
        <v>50</v>
      </c>
      <c r="O646" s="29">
        <f t="shared" si="109"/>
        <v>1712</v>
      </c>
      <c r="P646" s="32" cm="1">
        <f t="array" ref="P646">WPNFACTOR(C646)</f>
        <v>4.5</v>
      </c>
      <c r="Q646" s="34" cm="1">
        <f t="array" ref="Q646">HPFACTOr(C646)</f>
        <v>2</v>
      </c>
      <c r="R646" s="33">
        <f t="shared" si="110"/>
        <v>380.44444444444446</v>
      </c>
      <c r="S646" s="34">
        <f t="shared" si="111"/>
        <v>177000000</v>
      </c>
      <c r="T646" s="33">
        <f t="shared" si="112"/>
        <v>428</v>
      </c>
      <c r="U646" s="42">
        <f t="shared" si="113"/>
        <v>217846153.84615383</v>
      </c>
      <c r="V646" s="44"/>
      <c r="W646" s="29">
        <f t="shared" si="108"/>
        <v>93238153846.153839</v>
      </c>
      <c r="X646" s="41">
        <f t="shared" si="114"/>
        <v>36.44020138766723</v>
      </c>
      <c r="Y646" s="33">
        <f t="shared" si="115"/>
        <v>552.58414073756239</v>
      </c>
      <c r="Z646" s="33">
        <v>0.8</v>
      </c>
      <c r="AA646" s="29">
        <f t="shared" si="116"/>
        <v>442.06731259004994</v>
      </c>
      <c r="AB646" s="33">
        <f t="shared" si="117"/>
        <v>4534.5189576282501</v>
      </c>
      <c r="AD646" s="46">
        <f t="shared" si="118"/>
        <v>0</v>
      </c>
    </row>
    <row r="647" spans="1:30" x14ac:dyDescent="0.2">
      <c r="A647" s="30" t="s">
        <v>8861</v>
      </c>
      <c r="B647" s="29">
        <v>10</v>
      </c>
      <c r="C647" s="29">
        <v>3</v>
      </c>
      <c r="D647" s="29">
        <v>430</v>
      </c>
      <c r="E647" s="29">
        <v>22500</v>
      </c>
      <c r="F647" s="29">
        <v>43500</v>
      </c>
      <c r="G647" s="29">
        <v>22500</v>
      </c>
      <c r="H647" s="29">
        <v>134000</v>
      </c>
      <c r="I647" s="29">
        <v>22500</v>
      </c>
      <c r="J647" s="29">
        <v>390000000</v>
      </c>
      <c r="K647" s="29">
        <v>1660</v>
      </c>
      <c r="L647" s="29">
        <v>1899</v>
      </c>
      <c r="M647" s="29">
        <v>50</v>
      </c>
      <c r="N647" s="34">
        <v>50</v>
      </c>
      <c r="O647" s="29">
        <f t="shared" si="109"/>
        <v>1779.5</v>
      </c>
      <c r="P647" s="32" cm="1">
        <f t="array" ref="P647">WPNFACTOR(C647)</f>
        <v>2.5</v>
      </c>
      <c r="Q647" s="34" cm="1">
        <f t="array" ref="Q647">HPFACTOr(C647)</f>
        <v>4</v>
      </c>
      <c r="R647" s="33">
        <f t="shared" si="110"/>
        <v>711.8</v>
      </c>
      <c r="S647" s="34">
        <f t="shared" si="111"/>
        <v>97500000</v>
      </c>
      <c r="T647" s="33">
        <f t="shared" si="112"/>
        <v>800.77499999999998</v>
      </c>
      <c r="U647" s="42">
        <f t="shared" si="113"/>
        <v>120000000</v>
      </c>
      <c r="V647" s="44"/>
      <c r="W647" s="29">
        <f t="shared" si="108"/>
        <v>96093000000</v>
      </c>
      <c r="X647" s="41">
        <f t="shared" si="114"/>
        <v>36.483712288997424</v>
      </c>
      <c r="Y647" s="33">
        <f t="shared" si="115"/>
        <v>556.76629699705484</v>
      </c>
      <c r="Z647" s="33">
        <v>0.8</v>
      </c>
      <c r="AA647" s="29">
        <f t="shared" si="116"/>
        <v>445.41303759764389</v>
      </c>
      <c r="AB647" s="33">
        <f t="shared" si="117"/>
        <v>4580.335082238983</v>
      </c>
      <c r="AD647" s="46">
        <f t="shared" si="118"/>
        <v>0</v>
      </c>
    </row>
    <row r="648" spans="1:30" x14ac:dyDescent="0.2">
      <c r="A648" s="30" t="s">
        <v>8862</v>
      </c>
      <c r="B648" s="29">
        <v>1</v>
      </c>
      <c r="C648" s="29">
        <v>1</v>
      </c>
      <c r="D648" s="29">
        <v>500</v>
      </c>
      <c r="E648" s="29">
        <v>80000</v>
      </c>
      <c r="F648" s="29">
        <v>40000</v>
      </c>
      <c r="G648" s="29">
        <v>40000</v>
      </c>
      <c r="H648" s="29">
        <v>190000</v>
      </c>
      <c r="I648" s="29">
        <v>40000</v>
      </c>
      <c r="J648" s="29">
        <v>600000000</v>
      </c>
      <c r="K648" s="29">
        <v>2007</v>
      </c>
      <c r="L648" s="29">
        <v>2244</v>
      </c>
      <c r="M648" s="29">
        <v>50</v>
      </c>
      <c r="N648" s="34">
        <v>50</v>
      </c>
      <c r="O648" s="29">
        <f t="shared" si="109"/>
        <v>2125.5</v>
      </c>
      <c r="P648" s="32" cm="1">
        <f t="array" ref="P648">WPNFACTOR(C648)</f>
        <v>2</v>
      </c>
      <c r="Q648" s="34" cm="1">
        <f t="array" ref="Q648">HPFACTOr(C648)</f>
        <v>5</v>
      </c>
      <c r="R648" s="33">
        <f t="shared" si="110"/>
        <v>1062.75</v>
      </c>
      <c r="S648" s="34">
        <f t="shared" si="111"/>
        <v>120000000</v>
      </c>
      <c r="T648" s="33">
        <f t="shared" si="112"/>
        <v>1195.59375</v>
      </c>
      <c r="U648" s="42">
        <f t="shared" si="113"/>
        <v>147692307.69230768</v>
      </c>
      <c r="V648" s="44"/>
      <c r="W648" s="29">
        <f t="shared" si="108"/>
        <v>176580000000</v>
      </c>
      <c r="X648" s="41">
        <f t="shared" si="114"/>
        <v>37.361530991873089</v>
      </c>
      <c r="Y648" s="33">
        <f t="shared" si="115"/>
        <v>648.23933163410834</v>
      </c>
      <c r="Z648" s="33">
        <v>0.8</v>
      </c>
      <c r="AA648" s="29">
        <f t="shared" si="116"/>
        <v>518.59146530728674</v>
      </c>
      <c r="AB648" s="33">
        <f t="shared" si="117"/>
        <v>5610.2279068954358</v>
      </c>
      <c r="AD648" s="46">
        <f t="shared" si="118"/>
        <v>0</v>
      </c>
    </row>
    <row r="649" spans="1:30" x14ac:dyDescent="0.2">
      <c r="A649" s="30" t="s">
        <v>8862</v>
      </c>
      <c r="B649" s="29">
        <v>2</v>
      </c>
      <c r="C649" s="29">
        <v>1</v>
      </c>
      <c r="D649" s="29">
        <v>507</v>
      </c>
      <c r="E649" s="29">
        <v>83500</v>
      </c>
      <c r="F649" s="29">
        <v>41750</v>
      </c>
      <c r="G649" s="29">
        <v>41750</v>
      </c>
      <c r="H649" s="29">
        <v>195600</v>
      </c>
      <c r="I649" s="29">
        <v>41750</v>
      </c>
      <c r="J649" s="29">
        <v>621000000</v>
      </c>
      <c r="K649" s="29">
        <v>2038</v>
      </c>
      <c r="L649" s="29">
        <v>2283</v>
      </c>
      <c r="M649" s="29">
        <v>50</v>
      </c>
      <c r="N649" s="34">
        <v>50</v>
      </c>
      <c r="O649" s="29">
        <f t="shared" si="109"/>
        <v>2160.5</v>
      </c>
      <c r="P649" s="32" cm="1">
        <f t="array" ref="P649">WPNFACTOR(C649)</f>
        <v>2</v>
      </c>
      <c r="Q649" s="34" cm="1">
        <f t="array" ref="Q649">HPFACTOr(C649)</f>
        <v>5</v>
      </c>
      <c r="R649" s="33">
        <f t="shared" si="110"/>
        <v>1080.25</v>
      </c>
      <c r="S649" s="34">
        <f t="shared" si="111"/>
        <v>124200000</v>
      </c>
      <c r="T649" s="33">
        <f t="shared" si="112"/>
        <v>1215.28125</v>
      </c>
      <c r="U649" s="42">
        <f t="shared" si="113"/>
        <v>152861538.46153846</v>
      </c>
      <c r="V649" s="44"/>
      <c r="W649" s="29">
        <f t="shared" si="108"/>
        <v>185769761538.46155</v>
      </c>
      <c r="X649" s="41">
        <f t="shared" si="114"/>
        <v>37.434724731548251</v>
      </c>
      <c r="Y649" s="33">
        <f t="shared" si="115"/>
        <v>656.51364348191885</v>
      </c>
      <c r="Z649" s="33">
        <v>0.8</v>
      </c>
      <c r="AA649" s="29">
        <f t="shared" si="116"/>
        <v>525.21091478553512</v>
      </c>
      <c r="AB649" s="33">
        <f t="shared" si="117"/>
        <v>5705.9111913468769</v>
      </c>
      <c r="AD649" s="46">
        <f t="shared" si="118"/>
        <v>0</v>
      </c>
    </row>
    <row r="650" spans="1:30" x14ac:dyDescent="0.2">
      <c r="A650" s="30" t="s">
        <v>8862</v>
      </c>
      <c r="B650" s="29">
        <v>3</v>
      </c>
      <c r="C650" s="29">
        <v>2</v>
      </c>
      <c r="D650" s="29">
        <v>514</v>
      </c>
      <c r="E650" s="29">
        <v>43500</v>
      </c>
      <c r="F650" s="29">
        <v>43500</v>
      </c>
      <c r="G650" s="29">
        <v>87000</v>
      </c>
      <c r="H650" s="29">
        <v>201200</v>
      </c>
      <c r="I650" s="29">
        <v>43500</v>
      </c>
      <c r="J650" s="29">
        <v>642000000</v>
      </c>
      <c r="K650" s="29">
        <v>2071</v>
      </c>
      <c r="L650" s="29">
        <v>2310</v>
      </c>
      <c r="M650" s="29">
        <v>50</v>
      </c>
      <c r="N650" s="34">
        <v>50</v>
      </c>
      <c r="O650" s="29">
        <f t="shared" si="109"/>
        <v>2190.5</v>
      </c>
      <c r="P650" s="32" cm="1">
        <f t="array" ref="P650">WPNFACTOR(C650)</f>
        <v>4.5</v>
      </c>
      <c r="Q650" s="34" cm="1">
        <f t="array" ref="Q650">HPFACTOr(C650)</f>
        <v>2</v>
      </c>
      <c r="R650" s="33">
        <f t="shared" si="110"/>
        <v>486.77777777777777</v>
      </c>
      <c r="S650" s="34">
        <f t="shared" si="111"/>
        <v>321000000</v>
      </c>
      <c r="T650" s="33">
        <f t="shared" si="112"/>
        <v>547.625</v>
      </c>
      <c r="U650" s="42">
        <f t="shared" si="113"/>
        <v>395076923.07692307</v>
      </c>
      <c r="V650" s="44"/>
      <c r="W650" s="29">
        <f t="shared" si="108"/>
        <v>216354000000</v>
      </c>
      <c r="X650" s="41">
        <f t="shared" si="114"/>
        <v>37.654602837628339</v>
      </c>
      <c r="Y650" s="33">
        <f t="shared" si="115"/>
        <v>682.01076897290545</v>
      </c>
      <c r="Z650" s="33">
        <v>0.8</v>
      </c>
      <c r="AA650" s="29">
        <f t="shared" si="116"/>
        <v>545.60861517832438</v>
      </c>
      <c r="AB650" s="33">
        <f t="shared" si="117"/>
        <v>6003.2759887685052</v>
      </c>
      <c r="AD650" s="46">
        <f t="shared" si="118"/>
        <v>0</v>
      </c>
    </row>
    <row r="651" spans="1:30" x14ac:dyDescent="0.2">
      <c r="A651" s="30" t="s">
        <v>8862</v>
      </c>
      <c r="B651" s="29">
        <v>4</v>
      </c>
      <c r="C651" s="29">
        <v>3</v>
      </c>
      <c r="D651" s="29">
        <v>521</v>
      </c>
      <c r="E651" s="29">
        <v>45250</v>
      </c>
      <c r="F651" s="29">
        <v>90500</v>
      </c>
      <c r="G651" s="29">
        <v>45250</v>
      </c>
      <c r="H651" s="29">
        <v>206800</v>
      </c>
      <c r="I651" s="29">
        <v>45250</v>
      </c>
      <c r="J651" s="29">
        <v>663000000</v>
      </c>
      <c r="K651" s="29">
        <v>2115</v>
      </c>
      <c r="L651" s="29">
        <v>2341</v>
      </c>
      <c r="M651" s="29">
        <v>50</v>
      </c>
      <c r="N651" s="34">
        <v>50</v>
      </c>
      <c r="O651" s="29">
        <f t="shared" si="109"/>
        <v>2228</v>
      </c>
      <c r="P651" s="32" cm="1">
        <f t="array" ref="P651">WPNFACTOR(C651)</f>
        <v>2.5</v>
      </c>
      <c r="Q651" s="34" cm="1">
        <f t="array" ref="Q651">HPFACTOr(C651)</f>
        <v>4</v>
      </c>
      <c r="R651" s="33">
        <f t="shared" si="110"/>
        <v>891.2</v>
      </c>
      <c r="S651" s="34">
        <f t="shared" si="111"/>
        <v>165750000</v>
      </c>
      <c r="T651" s="33">
        <f t="shared" si="112"/>
        <v>1002.6</v>
      </c>
      <c r="U651" s="42">
        <f t="shared" si="113"/>
        <v>204000000</v>
      </c>
      <c r="V651" s="44"/>
      <c r="W651" s="29">
        <f t="shared" si="108"/>
        <v>204530400000</v>
      </c>
      <c r="X651" s="41">
        <f t="shared" si="114"/>
        <v>37.573524335190655</v>
      </c>
      <c r="Y651" s="33">
        <f t="shared" si="115"/>
        <v>672.49563056883483</v>
      </c>
      <c r="Z651" s="33">
        <v>0.8</v>
      </c>
      <c r="AA651" s="29">
        <f t="shared" si="116"/>
        <v>537.99650445506791</v>
      </c>
      <c r="AB651" s="33">
        <f t="shared" si="117"/>
        <v>5891.8627649188547</v>
      </c>
      <c r="AD651" s="46">
        <f t="shared" si="118"/>
        <v>0</v>
      </c>
    </row>
    <row r="652" spans="1:30" x14ac:dyDescent="0.2">
      <c r="A652" s="30" t="s">
        <v>8862</v>
      </c>
      <c r="B652" s="29">
        <v>5</v>
      </c>
      <c r="C652" s="29">
        <v>2</v>
      </c>
      <c r="D652" s="29">
        <v>528</v>
      </c>
      <c r="E652" s="29">
        <v>47000</v>
      </c>
      <c r="F652" s="29">
        <v>47000</v>
      </c>
      <c r="G652" s="29">
        <v>94000</v>
      </c>
      <c r="H652" s="29">
        <v>212400</v>
      </c>
      <c r="I652" s="29">
        <v>47000</v>
      </c>
      <c r="J652" s="29">
        <v>684000000</v>
      </c>
      <c r="K652" s="29">
        <v>2144</v>
      </c>
      <c r="L652" s="29">
        <v>2377</v>
      </c>
      <c r="M652" s="29">
        <v>50</v>
      </c>
      <c r="N652" s="34">
        <v>50</v>
      </c>
      <c r="O652" s="29">
        <f t="shared" si="109"/>
        <v>2260.5</v>
      </c>
      <c r="P652" s="32" cm="1">
        <f t="array" ref="P652">WPNFACTOR(C652)</f>
        <v>4.5</v>
      </c>
      <c r="Q652" s="34" cm="1">
        <f t="array" ref="Q652">HPFACTOr(C652)</f>
        <v>2</v>
      </c>
      <c r="R652" s="33">
        <f t="shared" si="110"/>
        <v>502.33333333333331</v>
      </c>
      <c r="S652" s="34">
        <f t="shared" si="111"/>
        <v>342000000</v>
      </c>
      <c r="T652" s="33">
        <f t="shared" si="112"/>
        <v>565.125</v>
      </c>
      <c r="U652" s="42">
        <f t="shared" si="113"/>
        <v>420923076.92307693</v>
      </c>
      <c r="V652" s="44"/>
      <c r="W652" s="29">
        <f t="shared" si="108"/>
        <v>237874153846.15384</v>
      </c>
      <c r="X652" s="41">
        <f t="shared" si="114"/>
        <v>37.79140756838796</v>
      </c>
      <c r="Y652" s="33">
        <f t="shared" si="115"/>
        <v>698.37199250737751</v>
      </c>
      <c r="Z652" s="33">
        <v>0.8</v>
      </c>
      <c r="AA652" s="29">
        <f t="shared" si="116"/>
        <v>558.69759400590203</v>
      </c>
      <c r="AB652" s="33">
        <f t="shared" si="117"/>
        <v>6196.0619619819381</v>
      </c>
      <c r="AD652" s="46">
        <f t="shared" si="118"/>
        <v>0</v>
      </c>
    </row>
    <row r="653" spans="1:30" x14ac:dyDescent="0.2">
      <c r="A653" s="30" t="s">
        <v>8862</v>
      </c>
      <c r="B653" s="29">
        <v>6</v>
      </c>
      <c r="C653" s="29">
        <v>3</v>
      </c>
      <c r="D653" s="29">
        <v>535</v>
      </c>
      <c r="E653" s="29">
        <v>48750</v>
      </c>
      <c r="F653" s="29">
        <v>97500</v>
      </c>
      <c r="G653" s="29">
        <v>48750</v>
      </c>
      <c r="H653" s="29">
        <v>218000</v>
      </c>
      <c r="I653" s="29">
        <v>48750</v>
      </c>
      <c r="J653" s="29">
        <v>705000000</v>
      </c>
      <c r="K653" s="29">
        <v>2179</v>
      </c>
      <c r="L653" s="29">
        <v>2419</v>
      </c>
      <c r="M653" s="29">
        <v>50</v>
      </c>
      <c r="N653" s="34">
        <v>50</v>
      </c>
      <c r="O653" s="29">
        <f t="shared" si="109"/>
        <v>2299</v>
      </c>
      <c r="P653" s="32" cm="1">
        <f t="array" ref="P653">WPNFACTOR(C653)</f>
        <v>2.5</v>
      </c>
      <c r="Q653" s="34" cm="1">
        <f t="array" ref="Q653">HPFACTOr(C653)</f>
        <v>4</v>
      </c>
      <c r="R653" s="33">
        <f t="shared" si="110"/>
        <v>919.6</v>
      </c>
      <c r="S653" s="34">
        <f t="shared" si="111"/>
        <v>176250000</v>
      </c>
      <c r="T653" s="33">
        <f t="shared" si="112"/>
        <v>1034.55</v>
      </c>
      <c r="U653" s="42">
        <f t="shared" si="113"/>
        <v>216923076.92307693</v>
      </c>
      <c r="V653" s="44"/>
      <c r="W653" s="29">
        <f t="shared" si="108"/>
        <v>224417769230.76923</v>
      </c>
      <c r="X653" s="41">
        <f t="shared" si="114"/>
        <v>37.707395955742371</v>
      </c>
      <c r="Y653" s="33">
        <f t="shared" si="115"/>
        <v>688.27866911562978</v>
      </c>
      <c r="Z653" s="33">
        <v>0.8</v>
      </c>
      <c r="AA653" s="29">
        <f t="shared" si="116"/>
        <v>550.62293529250383</v>
      </c>
      <c r="AB653" s="33">
        <f t="shared" si="117"/>
        <v>6076.9511746900216</v>
      </c>
      <c r="AD653" s="46">
        <f t="shared" si="118"/>
        <v>0</v>
      </c>
    </row>
    <row r="654" spans="1:30" x14ac:dyDescent="0.2">
      <c r="A654" s="30" t="s">
        <v>8862</v>
      </c>
      <c r="B654" s="29">
        <v>7</v>
      </c>
      <c r="C654" s="29">
        <v>2</v>
      </c>
      <c r="D654" s="29">
        <v>542</v>
      </c>
      <c r="E654" s="29">
        <v>50500</v>
      </c>
      <c r="F654" s="29">
        <v>50500</v>
      </c>
      <c r="G654" s="29">
        <v>101000</v>
      </c>
      <c r="H654" s="29">
        <v>223600</v>
      </c>
      <c r="I654" s="29">
        <v>50500</v>
      </c>
      <c r="J654" s="29">
        <v>726000000</v>
      </c>
      <c r="K654" s="29">
        <v>2222</v>
      </c>
      <c r="L654" s="29">
        <v>2459</v>
      </c>
      <c r="M654" s="29">
        <v>50</v>
      </c>
      <c r="N654" s="34">
        <v>50</v>
      </c>
      <c r="O654" s="29">
        <f t="shared" si="109"/>
        <v>2340.5</v>
      </c>
      <c r="P654" s="32" cm="1">
        <f t="array" ref="P654">WPNFACTOR(C654)</f>
        <v>4.5</v>
      </c>
      <c r="Q654" s="34" cm="1">
        <f t="array" ref="Q654">HPFACTOr(C654)</f>
        <v>2</v>
      </c>
      <c r="R654" s="33">
        <f t="shared" si="110"/>
        <v>520.11111111111109</v>
      </c>
      <c r="S654" s="34">
        <f t="shared" si="111"/>
        <v>363000000</v>
      </c>
      <c r="T654" s="33">
        <f t="shared" si="112"/>
        <v>585.125</v>
      </c>
      <c r="U654" s="42">
        <f t="shared" si="113"/>
        <v>446769230.76923078</v>
      </c>
      <c r="V654" s="44"/>
      <c r="W654" s="29">
        <f t="shared" si="108"/>
        <v>261415846153.84616</v>
      </c>
      <c r="X654" s="41">
        <f t="shared" si="114"/>
        <v>37.927555638890787</v>
      </c>
      <c r="Y654" s="33">
        <f t="shared" si="115"/>
        <v>715.04434672117873</v>
      </c>
      <c r="Z654" s="33">
        <v>0.8</v>
      </c>
      <c r="AA654" s="29">
        <f t="shared" si="116"/>
        <v>572.03547737694305</v>
      </c>
      <c r="AB654" s="33">
        <f t="shared" si="117"/>
        <v>6394.0687737399112</v>
      </c>
      <c r="AD654" s="46">
        <f t="shared" si="118"/>
        <v>0</v>
      </c>
    </row>
    <row r="655" spans="1:30" x14ac:dyDescent="0.2">
      <c r="A655" s="30" t="s">
        <v>8862</v>
      </c>
      <c r="B655" s="29">
        <v>8</v>
      </c>
      <c r="C655" s="29">
        <v>1</v>
      </c>
      <c r="D655" s="29">
        <v>549</v>
      </c>
      <c r="E655" s="29">
        <v>104500</v>
      </c>
      <c r="F655" s="29">
        <v>52250</v>
      </c>
      <c r="G655" s="29">
        <v>52250</v>
      </c>
      <c r="H655" s="29">
        <v>229200</v>
      </c>
      <c r="I655" s="29">
        <v>52250</v>
      </c>
      <c r="J655" s="29">
        <v>747000000</v>
      </c>
      <c r="K655" s="29">
        <v>2247</v>
      </c>
      <c r="L655" s="29">
        <v>2485</v>
      </c>
      <c r="M655" s="29">
        <v>50</v>
      </c>
      <c r="N655" s="34">
        <v>50</v>
      </c>
      <c r="O655" s="29">
        <f t="shared" si="109"/>
        <v>2366</v>
      </c>
      <c r="P655" s="32" cm="1">
        <f t="array" ref="P655">WPNFACTOR(C655)</f>
        <v>2</v>
      </c>
      <c r="Q655" s="34" cm="1">
        <f t="array" ref="Q655">HPFACTOr(C655)</f>
        <v>5</v>
      </c>
      <c r="R655" s="33">
        <f t="shared" si="110"/>
        <v>1183</v>
      </c>
      <c r="S655" s="34">
        <f t="shared" si="111"/>
        <v>149400000</v>
      </c>
      <c r="T655" s="33">
        <f t="shared" si="112"/>
        <v>1330.875</v>
      </c>
      <c r="U655" s="42">
        <f t="shared" si="113"/>
        <v>183876923.07692307</v>
      </c>
      <c r="V655" s="44"/>
      <c r="W655" s="29">
        <f t="shared" si="108"/>
        <v>244717200000</v>
      </c>
      <c r="X655" s="41">
        <f t="shared" si="114"/>
        <v>37.832324548867057</v>
      </c>
      <c r="Y655" s="33">
        <f t="shared" si="115"/>
        <v>703.34130634198004</v>
      </c>
      <c r="Z655" s="33">
        <v>0.8</v>
      </c>
      <c r="AA655" s="29">
        <f t="shared" si="116"/>
        <v>562.67304507358403</v>
      </c>
      <c r="AB655" s="33">
        <f t="shared" si="117"/>
        <v>6254.9162385484797</v>
      </c>
      <c r="AD655" s="46">
        <f t="shared" si="118"/>
        <v>0</v>
      </c>
    </row>
    <row r="656" spans="1:30" x14ac:dyDescent="0.2">
      <c r="A656" s="30" t="s">
        <v>8862</v>
      </c>
      <c r="B656" s="29">
        <v>9</v>
      </c>
      <c r="C656" s="29">
        <v>1</v>
      </c>
      <c r="D656" s="29">
        <v>556</v>
      </c>
      <c r="E656" s="29">
        <v>108000</v>
      </c>
      <c r="F656" s="29">
        <v>54000</v>
      </c>
      <c r="G656" s="29">
        <v>54000</v>
      </c>
      <c r="H656" s="29">
        <v>234800</v>
      </c>
      <c r="I656" s="29">
        <v>54000</v>
      </c>
      <c r="J656" s="29">
        <v>768000000</v>
      </c>
      <c r="K656" s="29">
        <v>2302</v>
      </c>
      <c r="L656" s="29">
        <v>2530</v>
      </c>
      <c r="M656" s="29">
        <v>50</v>
      </c>
      <c r="N656" s="34">
        <v>50</v>
      </c>
      <c r="O656" s="29">
        <f t="shared" si="109"/>
        <v>2416</v>
      </c>
      <c r="P656" s="32" cm="1">
        <f t="array" ref="P656">WPNFACTOR(C656)</f>
        <v>2</v>
      </c>
      <c r="Q656" s="34" cm="1">
        <f t="array" ref="Q656">HPFACTOr(C656)</f>
        <v>5</v>
      </c>
      <c r="R656" s="33">
        <f t="shared" si="110"/>
        <v>1208</v>
      </c>
      <c r="S656" s="34">
        <f t="shared" si="111"/>
        <v>153600000</v>
      </c>
      <c r="T656" s="33">
        <f t="shared" si="112"/>
        <v>1359</v>
      </c>
      <c r="U656" s="42">
        <f t="shared" si="113"/>
        <v>189046153.84615383</v>
      </c>
      <c r="V656" s="44"/>
      <c r="W656" s="29">
        <f t="shared" si="108"/>
        <v>256913723076.92303</v>
      </c>
      <c r="X656" s="41">
        <f t="shared" si="114"/>
        <v>37.902492997784265</v>
      </c>
      <c r="Y656" s="33">
        <f t="shared" si="115"/>
        <v>711.94562520514341</v>
      </c>
      <c r="Z656" s="33">
        <v>0.8</v>
      </c>
      <c r="AA656" s="29">
        <f t="shared" si="116"/>
        <v>569.55650016411471</v>
      </c>
      <c r="AB656" s="33">
        <f t="shared" si="117"/>
        <v>6357.149638756131</v>
      </c>
      <c r="AD656" s="46">
        <f t="shared" si="118"/>
        <v>0</v>
      </c>
    </row>
    <row r="657" spans="1:30" x14ac:dyDescent="0.2">
      <c r="A657" s="30" t="s">
        <v>8862</v>
      </c>
      <c r="B657" s="29">
        <v>10</v>
      </c>
      <c r="C657" s="29">
        <v>2</v>
      </c>
      <c r="D657" s="29">
        <v>570</v>
      </c>
      <c r="E657" s="29">
        <v>57500</v>
      </c>
      <c r="F657" s="29">
        <v>57500</v>
      </c>
      <c r="G657" s="29">
        <v>115000</v>
      </c>
      <c r="H657" s="29">
        <v>246000</v>
      </c>
      <c r="I657" s="29">
        <v>57500</v>
      </c>
      <c r="J657" s="29">
        <v>810000000</v>
      </c>
      <c r="K657" s="29">
        <v>2412</v>
      </c>
      <c r="L657" s="29">
        <v>2591</v>
      </c>
      <c r="M657" s="29">
        <v>50</v>
      </c>
      <c r="N657" s="34">
        <v>50</v>
      </c>
      <c r="O657" s="29">
        <f t="shared" si="109"/>
        <v>2501.5</v>
      </c>
      <c r="P657" s="32" cm="1">
        <f t="array" ref="P657">WPNFACTOR(C657)</f>
        <v>4.5</v>
      </c>
      <c r="Q657" s="34" cm="1">
        <f t="array" ref="Q657">HPFACTOr(C657)</f>
        <v>2</v>
      </c>
      <c r="R657" s="33">
        <f t="shared" si="110"/>
        <v>555.88888888888891</v>
      </c>
      <c r="S657" s="34">
        <f t="shared" si="111"/>
        <v>405000000</v>
      </c>
      <c r="T657" s="33">
        <f t="shared" si="112"/>
        <v>625.375</v>
      </c>
      <c r="U657" s="42">
        <f t="shared" si="113"/>
        <v>498461538.46153843</v>
      </c>
      <c r="V657" s="44"/>
      <c r="W657" s="29">
        <f t="shared" si="108"/>
        <v>311725384615.38458</v>
      </c>
      <c r="X657" s="41">
        <f t="shared" si="114"/>
        <v>38.181484685947773</v>
      </c>
      <c r="Y657" s="33">
        <f t="shared" si="115"/>
        <v>747.2106312370239</v>
      </c>
      <c r="Z657" s="33">
        <v>0.8</v>
      </c>
      <c r="AA657" s="29">
        <f t="shared" si="116"/>
        <v>597.76850498961915</v>
      </c>
      <c r="AB657" s="33">
        <f t="shared" si="117"/>
        <v>6780.4323898773655</v>
      </c>
      <c r="AD657" s="46">
        <f t="shared" si="118"/>
        <v>0</v>
      </c>
    </row>
    <row r="658" spans="1:30" x14ac:dyDescent="0.2">
      <c r="A658" s="30" t="s">
        <v>8863</v>
      </c>
      <c r="B658" s="29">
        <v>1</v>
      </c>
      <c r="C658" s="29">
        <v>1</v>
      </c>
      <c r="D658" s="29">
        <v>600</v>
      </c>
      <c r="E658" s="29">
        <v>280000</v>
      </c>
      <c r="F658" s="29">
        <v>140000</v>
      </c>
      <c r="G658" s="29">
        <v>140000</v>
      </c>
      <c r="H658" s="29">
        <v>430000</v>
      </c>
      <c r="I658" s="29">
        <v>115000</v>
      </c>
      <c r="J658" s="29">
        <v>15000000000</v>
      </c>
      <c r="K658" s="29">
        <v>3500</v>
      </c>
      <c r="L658" s="29">
        <v>3750</v>
      </c>
      <c r="M658" s="29">
        <v>50</v>
      </c>
      <c r="N658" s="34">
        <v>50</v>
      </c>
      <c r="O658" s="29">
        <f t="shared" si="109"/>
        <v>3625</v>
      </c>
      <c r="P658" s="32" cm="1">
        <f t="array" ref="P658">WPNFACTOR(C658)</f>
        <v>2</v>
      </c>
      <c r="Q658" s="34" cm="1">
        <f t="array" ref="Q658">HPFACTOr(C658)</f>
        <v>5</v>
      </c>
      <c r="R658" s="33">
        <f t="shared" si="110"/>
        <v>1812.5</v>
      </c>
      <c r="S658" s="34">
        <f t="shared" si="111"/>
        <v>3000000000</v>
      </c>
      <c r="T658" s="33">
        <f t="shared" si="112"/>
        <v>2039.0625</v>
      </c>
      <c r="U658" s="42">
        <f t="shared" si="113"/>
        <v>3692307692.3076921</v>
      </c>
      <c r="V658" s="44"/>
      <c r="W658" s="29">
        <f t="shared" si="108"/>
        <v>7528846153846.1533</v>
      </c>
      <c r="X658" s="41">
        <f t="shared" si="114"/>
        <v>42.775565917798303</v>
      </c>
      <c r="Y658" s="33">
        <f t="shared" si="115"/>
        <v>1656.464396324579</v>
      </c>
      <c r="Z658" s="33">
        <v>0.8</v>
      </c>
      <c r="AA658" s="29">
        <f t="shared" si="116"/>
        <v>1325.1715170596633</v>
      </c>
      <c r="AB658" s="33">
        <f t="shared" si="117"/>
        <v>19599.401406338922</v>
      </c>
      <c r="AD658" s="46">
        <f t="shared" si="118"/>
        <v>0</v>
      </c>
    </row>
    <row r="659" spans="1:30" x14ac:dyDescent="0.2">
      <c r="A659" s="30" t="s">
        <v>8863</v>
      </c>
      <c r="B659" s="29">
        <v>2</v>
      </c>
      <c r="C659" s="29">
        <v>2</v>
      </c>
      <c r="D659" s="29">
        <v>605</v>
      </c>
      <c r="E659" s="29">
        <v>142500</v>
      </c>
      <c r="F659" s="29">
        <v>142500</v>
      </c>
      <c r="G659" s="29">
        <v>285000</v>
      </c>
      <c r="H659" s="29">
        <v>434000</v>
      </c>
      <c r="I659" s="29">
        <v>116250</v>
      </c>
      <c r="J659" s="29">
        <v>15350000000</v>
      </c>
      <c r="K659" s="29">
        <v>3625</v>
      </c>
      <c r="L659" s="29">
        <v>3875</v>
      </c>
      <c r="M659" s="29">
        <v>50</v>
      </c>
      <c r="N659" s="34">
        <v>50</v>
      </c>
      <c r="O659" s="29">
        <f t="shared" si="109"/>
        <v>3750</v>
      </c>
      <c r="P659" s="32" cm="1">
        <f t="array" ref="P659">WPNFACTOR(C659)</f>
        <v>4.5</v>
      </c>
      <c r="Q659" s="34" cm="1">
        <f t="array" ref="Q659">HPFACTOr(C659)</f>
        <v>2</v>
      </c>
      <c r="R659" s="33">
        <f t="shared" si="110"/>
        <v>833.33333333333337</v>
      </c>
      <c r="S659" s="34">
        <f t="shared" si="111"/>
        <v>7675000000</v>
      </c>
      <c r="T659" s="33">
        <f t="shared" si="112"/>
        <v>937.5</v>
      </c>
      <c r="U659" s="42">
        <f t="shared" si="113"/>
        <v>9446153846.1538467</v>
      </c>
      <c r="V659" s="44"/>
      <c r="W659" s="29">
        <f t="shared" si="108"/>
        <v>8855769230769.2305</v>
      </c>
      <c r="X659" s="41">
        <f t="shared" si="114"/>
        <v>43.00975476659859</v>
      </c>
      <c r="Y659" s="33">
        <f t="shared" si="115"/>
        <v>1725.0694046928488</v>
      </c>
      <c r="Z659" s="33">
        <v>0.8</v>
      </c>
      <c r="AA659" s="29">
        <f t="shared" si="116"/>
        <v>1380.0555237542792</v>
      </c>
      <c r="AB659" s="33">
        <f t="shared" si="117"/>
        <v>20689.123733770615</v>
      </c>
      <c r="AD659" s="46">
        <f t="shared" si="118"/>
        <v>0</v>
      </c>
    </row>
    <row r="660" spans="1:30" x14ac:dyDescent="0.2">
      <c r="A660" s="30" t="s">
        <v>8863</v>
      </c>
      <c r="B660" s="29">
        <v>3</v>
      </c>
      <c r="C660" s="29">
        <v>3</v>
      </c>
      <c r="D660" s="29">
        <v>610</v>
      </c>
      <c r="E660" s="29">
        <v>157500</v>
      </c>
      <c r="F660" s="29">
        <v>315000</v>
      </c>
      <c r="G660" s="29">
        <v>157500</v>
      </c>
      <c r="H660" s="29">
        <v>458000</v>
      </c>
      <c r="I660" s="29">
        <v>123750</v>
      </c>
      <c r="J660" s="29">
        <v>17450000000</v>
      </c>
      <c r="K660" s="29">
        <v>4375</v>
      </c>
      <c r="L660" s="29">
        <v>4625</v>
      </c>
      <c r="M660" s="29">
        <v>50</v>
      </c>
      <c r="N660" s="34">
        <v>50</v>
      </c>
      <c r="O660" s="29">
        <f t="shared" si="109"/>
        <v>4500</v>
      </c>
      <c r="P660" s="32" cm="1">
        <f t="array" ref="P660">WPNFACTOR(C660)</f>
        <v>2.5</v>
      </c>
      <c r="Q660" s="34" cm="1">
        <f t="array" ref="Q660">HPFACTOr(C660)</f>
        <v>4</v>
      </c>
      <c r="R660" s="33">
        <f t="shared" si="110"/>
        <v>1800</v>
      </c>
      <c r="S660" s="34">
        <f t="shared" si="111"/>
        <v>4362500000</v>
      </c>
      <c r="T660" s="33">
        <f t="shared" si="112"/>
        <v>2025</v>
      </c>
      <c r="U660" s="42">
        <f t="shared" si="113"/>
        <v>5369230769.2307692</v>
      </c>
      <c r="V660" s="44"/>
      <c r="W660" s="29">
        <f t="shared" si="108"/>
        <v>10872692307692.307</v>
      </c>
      <c r="X660" s="41">
        <f t="shared" si="114"/>
        <v>43.305774459826807</v>
      </c>
      <c r="Y660" s="33">
        <f t="shared" si="115"/>
        <v>1815.8679961934604</v>
      </c>
      <c r="Z660" s="33">
        <v>0.8</v>
      </c>
      <c r="AA660" s="29">
        <f t="shared" si="116"/>
        <v>1452.6943969547683</v>
      </c>
      <c r="AB660" s="33">
        <f t="shared" si="117"/>
        <v>22153.670872010593</v>
      </c>
      <c r="AD660" s="46">
        <f t="shared" si="118"/>
        <v>0</v>
      </c>
    </row>
    <row r="661" spans="1:30" x14ac:dyDescent="0.2">
      <c r="A661" s="30" t="s">
        <v>8863</v>
      </c>
      <c r="B661" s="29">
        <v>4</v>
      </c>
      <c r="C661" s="29">
        <v>1</v>
      </c>
      <c r="D661" s="29">
        <v>615</v>
      </c>
      <c r="E661" s="29">
        <v>320000</v>
      </c>
      <c r="F661" s="29">
        <v>160000</v>
      </c>
      <c r="G661" s="29">
        <v>160000</v>
      </c>
      <c r="H661" s="29">
        <v>462000</v>
      </c>
      <c r="I661" s="29">
        <v>125000</v>
      </c>
      <c r="J661" s="29">
        <v>17800000000</v>
      </c>
      <c r="K661" s="29">
        <v>4500</v>
      </c>
      <c r="L661" s="29">
        <v>4750</v>
      </c>
      <c r="M661" s="29">
        <v>50</v>
      </c>
      <c r="N661" s="34">
        <v>50</v>
      </c>
      <c r="O661" s="29">
        <f t="shared" si="109"/>
        <v>4625</v>
      </c>
      <c r="P661" s="32" cm="1">
        <f t="array" ref="P661">WPNFACTOR(C661)</f>
        <v>2</v>
      </c>
      <c r="Q661" s="34" cm="1">
        <f t="array" ref="Q661">HPFACTOr(C661)</f>
        <v>5</v>
      </c>
      <c r="R661" s="33">
        <f t="shared" si="110"/>
        <v>2312.5</v>
      </c>
      <c r="S661" s="34">
        <f t="shared" si="111"/>
        <v>3560000000</v>
      </c>
      <c r="T661" s="33">
        <f t="shared" si="112"/>
        <v>2601.5625</v>
      </c>
      <c r="U661" s="42">
        <f t="shared" si="113"/>
        <v>4381538461.5384617</v>
      </c>
      <c r="V661" s="44"/>
      <c r="W661" s="29">
        <f t="shared" si="108"/>
        <v>11398846153846.154</v>
      </c>
      <c r="X661" s="41">
        <f t="shared" si="114"/>
        <v>43.373953028770195</v>
      </c>
      <c r="Y661" s="33">
        <f t="shared" si="115"/>
        <v>1837.4487010619901</v>
      </c>
      <c r="Z661" s="33">
        <v>0.8</v>
      </c>
      <c r="AA661" s="29">
        <f t="shared" si="116"/>
        <v>1469.9589608495921</v>
      </c>
      <c r="AB661" s="33">
        <f t="shared" si="117"/>
        <v>22505.411803636813</v>
      </c>
      <c r="AD661" s="46">
        <f t="shared" si="118"/>
        <v>0</v>
      </c>
    </row>
    <row r="662" spans="1:30" x14ac:dyDescent="0.2">
      <c r="A662" s="30" t="s">
        <v>8863</v>
      </c>
      <c r="B662" s="29">
        <v>5</v>
      </c>
      <c r="C662" s="29">
        <v>2</v>
      </c>
      <c r="D662" s="29">
        <v>620</v>
      </c>
      <c r="E662" s="29">
        <v>175000</v>
      </c>
      <c r="F662" s="29">
        <v>175000</v>
      </c>
      <c r="G662" s="29">
        <v>350000</v>
      </c>
      <c r="H662" s="29">
        <v>486000</v>
      </c>
      <c r="I662" s="29">
        <v>132500</v>
      </c>
      <c r="J662" s="29">
        <v>19900000000</v>
      </c>
      <c r="K662" s="29">
        <v>5250</v>
      </c>
      <c r="L662" s="29">
        <v>5500</v>
      </c>
      <c r="M662" s="29">
        <v>50</v>
      </c>
      <c r="N662" s="34">
        <v>50</v>
      </c>
      <c r="O662" s="29">
        <f t="shared" si="109"/>
        <v>5375</v>
      </c>
      <c r="P662" s="32" cm="1">
        <f t="array" ref="P662">WPNFACTOR(C662)</f>
        <v>4.5</v>
      </c>
      <c r="Q662" s="34" cm="1">
        <f t="array" ref="Q662">HPFACTOr(C662)</f>
        <v>2</v>
      </c>
      <c r="R662" s="33">
        <f t="shared" si="110"/>
        <v>1194.4444444444443</v>
      </c>
      <c r="S662" s="34">
        <f t="shared" si="111"/>
        <v>9950000000</v>
      </c>
      <c r="T662" s="33">
        <f t="shared" si="112"/>
        <v>1343.75</v>
      </c>
      <c r="U662" s="42">
        <f t="shared" si="113"/>
        <v>12246153846.153845</v>
      </c>
      <c r="V662" s="44"/>
      <c r="W662" s="29">
        <f t="shared" si="108"/>
        <v>16455769230769.229</v>
      </c>
      <c r="X662" s="41">
        <f t="shared" si="114"/>
        <v>43.903658700865641</v>
      </c>
      <c r="Y662" s="33">
        <f t="shared" si="115"/>
        <v>2014.0931253122928</v>
      </c>
      <c r="Z662" s="33">
        <v>0.8</v>
      </c>
      <c r="AA662" s="29">
        <f t="shared" si="116"/>
        <v>1611.2745002498343</v>
      </c>
      <c r="AB662" s="33">
        <f t="shared" si="117"/>
        <v>25435.448278873151</v>
      </c>
      <c r="AD662" s="46">
        <f t="shared" si="118"/>
        <v>0</v>
      </c>
    </row>
    <row r="663" spans="1:30" x14ac:dyDescent="0.2">
      <c r="A663" s="30" t="s">
        <v>8863</v>
      </c>
      <c r="B663" s="29">
        <v>6</v>
      </c>
      <c r="C663" s="29">
        <v>1</v>
      </c>
      <c r="D663" s="29">
        <v>625</v>
      </c>
      <c r="E663" s="29">
        <v>355000</v>
      </c>
      <c r="F663" s="29">
        <v>177500</v>
      </c>
      <c r="G663" s="29">
        <v>177500</v>
      </c>
      <c r="H663" s="29">
        <v>490000</v>
      </c>
      <c r="I663" s="29">
        <v>133750</v>
      </c>
      <c r="J663" s="29">
        <v>20250000000</v>
      </c>
      <c r="K663" s="29">
        <v>5375</v>
      </c>
      <c r="L663" s="29">
        <v>5625</v>
      </c>
      <c r="M663" s="29">
        <v>50</v>
      </c>
      <c r="N663" s="34">
        <v>50</v>
      </c>
      <c r="O663" s="29">
        <f t="shared" si="109"/>
        <v>5500</v>
      </c>
      <c r="P663" s="32" cm="1">
        <f t="array" ref="P663">WPNFACTOR(C663)</f>
        <v>2</v>
      </c>
      <c r="Q663" s="34" cm="1">
        <f t="array" ref="Q663">HPFACTOr(C663)</f>
        <v>5</v>
      </c>
      <c r="R663" s="33">
        <f t="shared" si="110"/>
        <v>2750</v>
      </c>
      <c r="S663" s="34">
        <f t="shared" si="111"/>
        <v>4050000000</v>
      </c>
      <c r="T663" s="33">
        <f t="shared" si="112"/>
        <v>3093.75</v>
      </c>
      <c r="U663" s="42">
        <f t="shared" si="113"/>
        <v>4984615384.6153841</v>
      </c>
      <c r="V663" s="44"/>
      <c r="W663" s="29">
        <f t="shared" si="108"/>
        <v>15421153846153.844</v>
      </c>
      <c r="X663" s="41">
        <f t="shared" si="114"/>
        <v>43.809975948584132</v>
      </c>
      <c r="Y663" s="33">
        <f t="shared" si="115"/>
        <v>1981.6603388846668</v>
      </c>
      <c r="Z663" s="33">
        <v>0.8</v>
      </c>
      <c r="AA663" s="29">
        <f t="shared" si="116"/>
        <v>1585.3282711077336</v>
      </c>
      <c r="AB663" s="33">
        <f t="shared" si="117"/>
        <v>24890.805810824222</v>
      </c>
      <c r="AD663" s="46">
        <f t="shared" si="118"/>
        <v>0</v>
      </c>
    </row>
    <row r="664" spans="1:30" x14ac:dyDescent="0.2">
      <c r="A664" s="30" t="s">
        <v>8863</v>
      </c>
      <c r="B664" s="29">
        <v>7</v>
      </c>
      <c r="C664" s="29">
        <v>3</v>
      </c>
      <c r="D664" s="29">
        <v>630</v>
      </c>
      <c r="E664" s="29">
        <v>203000</v>
      </c>
      <c r="F664" s="29">
        <v>406000</v>
      </c>
      <c r="G664" s="29">
        <v>203000</v>
      </c>
      <c r="H664" s="29">
        <v>514000</v>
      </c>
      <c r="I664" s="29">
        <v>141250</v>
      </c>
      <c r="J664" s="29">
        <v>22350000000</v>
      </c>
      <c r="K664" s="29">
        <v>6125</v>
      </c>
      <c r="L664" s="29">
        <v>6375</v>
      </c>
      <c r="M664" s="29">
        <v>50</v>
      </c>
      <c r="N664" s="34">
        <v>50</v>
      </c>
      <c r="O664" s="29">
        <f t="shared" si="109"/>
        <v>6250</v>
      </c>
      <c r="P664" s="32" cm="1">
        <f t="array" ref="P664">WPNFACTOR(C664)</f>
        <v>2.5</v>
      </c>
      <c r="Q664" s="34" cm="1">
        <f t="array" ref="Q664">HPFACTOr(C664)</f>
        <v>4</v>
      </c>
      <c r="R664" s="33">
        <f t="shared" si="110"/>
        <v>2500</v>
      </c>
      <c r="S664" s="34">
        <f t="shared" si="111"/>
        <v>5587500000</v>
      </c>
      <c r="T664" s="33">
        <f t="shared" si="112"/>
        <v>2812.5</v>
      </c>
      <c r="U664" s="42">
        <f t="shared" si="113"/>
        <v>6876923076.9230766</v>
      </c>
      <c r="V664" s="44"/>
      <c r="W664" s="29">
        <f t="shared" ref="W664:W707" si="119">T664*U664</f>
        <v>19341346153846.152</v>
      </c>
      <c r="X664" s="41">
        <f t="shared" si="114"/>
        <v>44.136753443132882</v>
      </c>
      <c r="Y664" s="33">
        <f t="shared" si="115"/>
        <v>2097.1122368389701</v>
      </c>
      <c r="Z664" s="33">
        <v>0.8</v>
      </c>
      <c r="AA664" s="29">
        <f t="shared" si="116"/>
        <v>1677.6897894711763</v>
      </c>
      <c r="AB664" s="33">
        <f t="shared" si="117"/>
        <v>26842.866977529615</v>
      </c>
      <c r="AD664" s="46">
        <f t="shared" si="118"/>
        <v>0</v>
      </c>
    </row>
    <row r="665" spans="1:30" x14ac:dyDescent="0.2">
      <c r="A665" s="30" t="s">
        <v>8863</v>
      </c>
      <c r="B665" s="29">
        <v>8</v>
      </c>
      <c r="C665" s="29">
        <v>3</v>
      </c>
      <c r="D665" s="29">
        <v>635</v>
      </c>
      <c r="E665" s="29">
        <v>206000</v>
      </c>
      <c r="F665" s="29">
        <v>412000</v>
      </c>
      <c r="G665" s="29">
        <v>206000</v>
      </c>
      <c r="H665" s="29">
        <v>518000</v>
      </c>
      <c r="I665" s="29">
        <v>142500</v>
      </c>
      <c r="J665" s="29">
        <v>22700000000</v>
      </c>
      <c r="K665" s="29">
        <v>6250</v>
      </c>
      <c r="L665" s="29">
        <v>6500</v>
      </c>
      <c r="M665" s="29">
        <v>50</v>
      </c>
      <c r="N665" s="34">
        <v>50</v>
      </c>
      <c r="O665" s="29">
        <f t="shared" si="109"/>
        <v>6375</v>
      </c>
      <c r="P665" s="32" cm="1">
        <f t="array" ref="P665">WPNFACTOR(C665)</f>
        <v>2.5</v>
      </c>
      <c r="Q665" s="34" cm="1">
        <f t="array" ref="Q665">HPFACTOr(C665)</f>
        <v>4</v>
      </c>
      <c r="R665" s="33">
        <f t="shared" si="110"/>
        <v>2550</v>
      </c>
      <c r="S665" s="34">
        <f t="shared" si="111"/>
        <v>5675000000</v>
      </c>
      <c r="T665" s="33">
        <f t="shared" si="112"/>
        <v>2868.75</v>
      </c>
      <c r="U665" s="42">
        <f t="shared" si="113"/>
        <v>6984615384.6153841</v>
      </c>
      <c r="V665" s="44"/>
      <c r="W665" s="29">
        <f t="shared" si="119"/>
        <v>20037115384615.383</v>
      </c>
      <c r="X665" s="41">
        <f t="shared" si="114"/>
        <v>44.18774006143726</v>
      </c>
      <c r="Y665" s="33">
        <f t="shared" si="115"/>
        <v>2115.7229633738166</v>
      </c>
      <c r="Z665" s="33">
        <v>0.8</v>
      </c>
      <c r="AA665" s="29">
        <f t="shared" si="116"/>
        <v>1692.5783706990533</v>
      </c>
      <c r="AB665" s="33">
        <f t="shared" si="117"/>
        <v>27160.956898811106</v>
      </c>
      <c r="AD665" s="46">
        <f t="shared" si="118"/>
        <v>0</v>
      </c>
    </row>
    <row r="666" spans="1:30" x14ac:dyDescent="0.2">
      <c r="A666" s="30" t="s">
        <v>8863</v>
      </c>
      <c r="B666" s="29">
        <v>9</v>
      </c>
      <c r="C666" s="29">
        <v>1</v>
      </c>
      <c r="D666" s="29">
        <v>640</v>
      </c>
      <c r="E666" s="29">
        <v>448000</v>
      </c>
      <c r="F666" s="29">
        <v>224000</v>
      </c>
      <c r="G666" s="29">
        <v>224000</v>
      </c>
      <c r="H666" s="29">
        <v>542000</v>
      </c>
      <c r="I666" s="29">
        <v>150000</v>
      </c>
      <c r="J666" s="29">
        <v>24800000000</v>
      </c>
      <c r="K666" s="29">
        <v>7000</v>
      </c>
      <c r="L666" s="29">
        <v>7250</v>
      </c>
      <c r="M666" s="29">
        <v>50</v>
      </c>
      <c r="N666" s="34">
        <v>50</v>
      </c>
      <c r="O666" s="29">
        <f t="shared" si="109"/>
        <v>7125</v>
      </c>
      <c r="P666" s="32" cm="1">
        <f t="array" ref="P666">WPNFACTOR(C666)</f>
        <v>2</v>
      </c>
      <c r="Q666" s="34" cm="1">
        <f t="array" ref="Q666">HPFACTOr(C666)</f>
        <v>5</v>
      </c>
      <c r="R666" s="33">
        <f t="shared" si="110"/>
        <v>3562.5</v>
      </c>
      <c r="S666" s="34">
        <f t="shared" si="111"/>
        <v>4960000000</v>
      </c>
      <c r="T666" s="33">
        <f t="shared" si="112"/>
        <v>4007.8125</v>
      </c>
      <c r="U666" s="42">
        <f t="shared" si="113"/>
        <v>6104615384.6153841</v>
      </c>
      <c r="V666" s="44"/>
      <c r="W666" s="29">
        <f t="shared" si="119"/>
        <v>24466153846153.844</v>
      </c>
      <c r="X666" s="41">
        <f t="shared" si="114"/>
        <v>44.475852556726458</v>
      </c>
      <c r="Y666" s="33">
        <f t="shared" si="115"/>
        <v>2224.0340170145159</v>
      </c>
      <c r="Z666" s="33">
        <v>0.8</v>
      </c>
      <c r="AA666" s="29">
        <f t="shared" si="116"/>
        <v>1779.2272136116128</v>
      </c>
      <c r="AB666" s="33">
        <f t="shared" si="117"/>
        <v>29030.54801066342</v>
      </c>
      <c r="AD666" s="46">
        <f t="shared" si="118"/>
        <v>0</v>
      </c>
    </row>
    <row r="667" spans="1:30" x14ac:dyDescent="0.2">
      <c r="A667" s="30" t="s">
        <v>8863</v>
      </c>
      <c r="B667" s="29">
        <v>10</v>
      </c>
      <c r="C667" s="29">
        <v>1</v>
      </c>
      <c r="D667" s="29">
        <v>650</v>
      </c>
      <c r="E667" s="29">
        <v>460000</v>
      </c>
      <c r="F667" s="29">
        <v>230000</v>
      </c>
      <c r="G667" s="29">
        <v>230000</v>
      </c>
      <c r="H667" s="29">
        <v>550000</v>
      </c>
      <c r="I667" s="29">
        <v>152500</v>
      </c>
      <c r="J667" s="29">
        <v>25500000000</v>
      </c>
      <c r="K667" s="29">
        <v>7250</v>
      </c>
      <c r="L667" s="29">
        <v>7500</v>
      </c>
      <c r="M667" s="29">
        <v>50</v>
      </c>
      <c r="N667" s="34">
        <v>50</v>
      </c>
      <c r="O667" s="29">
        <f t="shared" si="109"/>
        <v>7375</v>
      </c>
      <c r="P667" s="32" cm="1">
        <f t="array" ref="P667">WPNFACTOR(C667)</f>
        <v>2</v>
      </c>
      <c r="Q667" s="34" cm="1">
        <f t="array" ref="Q667">HPFACTOr(C667)</f>
        <v>5</v>
      </c>
      <c r="R667" s="33">
        <f t="shared" si="110"/>
        <v>3687.5</v>
      </c>
      <c r="S667" s="34">
        <f t="shared" si="111"/>
        <v>5100000000</v>
      </c>
      <c r="T667" s="33">
        <f t="shared" si="112"/>
        <v>4148.4375</v>
      </c>
      <c r="U667" s="42">
        <f t="shared" si="113"/>
        <v>6276923076.9230766</v>
      </c>
      <c r="V667" s="44"/>
      <c r="W667" s="29">
        <f t="shared" si="119"/>
        <v>26039423076923.074</v>
      </c>
      <c r="X667" s="41">
        <f t="shared" si="114"/>
        <v>44.56576271839554</v>
      </c>
      <c r="Y667" s="33">
        <f t="shared" si="115"/>
        <v>2258.9563519600833</v>
      </c>
      <c r="Z667" s="33">
        <v>0.8</v>
      </c>
      <c r="AA667" s="29">
        <f t="shared" si="116"/>
        <v>1807.1650815680669</v>
      </c>
      <c r="AB667" s="33">
        <f t="shared" si="117"/>
        <v>29639.92629064135</v>
      </c>
      <c r="AD667" s="46">
        <f t="shared" si="118"/>
        <v>0</v>
      </c>
    </row>
    <row r="668" spans="1:30" x14ac:dyDescent="0.2">
      <c r="A668" s="30" t="s">
        <v>8864</v>
      </c>
      <c r="B668" s="29">
        <v>1</v>
      </c>
      <c r="C668" s="29">
        <v>3</v>
      </c>
      <c r="D668" s="29">
        <v>504</v>
      </c>
      <c r="E668" s="29">
        <v>10719</v>
      </c>
      <c r="F668" s="29">
        <v>42680</v>
      </c>
      <c r="G668" s="29">
        <v>10670</v>
      </c>
      <c r="H668" s="29">
        <v>227166</v>
      </c>
      <c r="I668" s="29">
        <v>15287</v>
      </c>
      <c r="J668" s="29">
        <v>458875328</v>
      </c>
      <c r="K668" s="29">
        <v>7833</v>
      </c>
      <c r="L668" s="29">
        <v>12252</v>
      </c>
      <c r="N668" s="34"/>
      <c r="O668" s="29">
        <f t="shared" si="109"/>
        <v>10042.5</v>
      </c>
      <c r="P668" s="32" cm="1">
        <f t="array" ref="P668">WPNFACTOR(C668)</f>
        <v>2.5</v>
      </c>
      <c r="Q668" s="34" cm="1">
        <f t="array" ref="Q668">HPFACTOr(C668)</f>
        <v>4</v>
      </c>
      <c r="R668" s="33">
        <f t="shared" si="110"/>
        <v>4017</v>
      </c>
      <c r="S668" s="34">
        <f t="shared" si="111"/>
        <v>114718832</v>
      </c>
      <c r="T668" s="33">
        <f t="shared" si="112"/>
        <v>4017</v>
      </c>
      <c r="U668" s="42">
        <f t="shared" si="113"/>
        <v>114718832</v>
      </c>
      <c r="V668" s="44"/>
      <c r="W668" s="29">
        <f t="shared" si="119"/>
        <v>460825548144</v>
      </c>
      <c r="X668" s="41">
        <f t="shared" si="114"/>
        <v>38.745429745695134</v>
      </c>
      <c r="Y668" s="33">
        <f t="shared" si="115"/>
        <v>823.91827729668785</v>
      </c>
      <c r="Z668" s="33">
        <v>0.8</v>
      </c>
      <c r="AA668" s="29">
        <f t="shared" si="116"/>
        <v>659.13462183735032</v>
      </c>
      <c r="AB668" s="33">
        <f t="shared" si="117"/>
        <v>7724.057819935204</v>
      </c>
      <c r="AD668" s="46">
        <f t="shared" si="118"/>
        <v>0</v>
      </c>
    </row>
    <row r="669" spans="1:30" x14ac:dyDescent="0.2">
      <c r="A669" s="30" t="s">
        <v>8864</v>
      </c>
      <c r="B669" s="29">
        <v>2</v>
      </c>
      <c r="C669" s="29">
        <v>2</v>
      </c>
      <c r="D669" s="29">
        <v>508</v>
      </c>
      <c r="E669" s="29">
        <v>13425</v>
      </c>
      <c r="F669" s="29">
        <v>13546</v>
      </c>
      <c r="G669" s="29">
        <v>54428</v>
      </c>
      <c r="H669" s="29">
        <v>284718</v>
      </c>
      <c r="I669" s="29">
        <v>19279</v>
      </c>
      <c r="J669" s="29">
        <v>289842912</v>
      </c>
      <c r="K669" s="29">
        <v>12223</v>
      </c>
      <c r="L669" s="29">
        <v>24428</v>
      </c>
      <c r="N669" s="34"/>
      <c r="O669" s="29">
        <f t="shared" si="109"/>
        <v>18325.5</v>
      </c>
      <c r="P669" s="32" cm="1">
        <f t="array" ref="P669">WPNFACTOR(C669)</f>
        <v>4.5</v>
      </c>
      <c r="Q669" s="34" cm="1">
        <f t="array" ref="Q669">HPFACTOr(C669)</f>
        <v>2</v>
      </c>
      <c r="R669" s="33">
        <f t="shared" si="110"/>
        <v>4072.3333333333335</v>
      </c>
      <c r="S669" s="34">
        <f t="shared" si="111"/>
        <v>144921456</v>
      </c>
      <c r="T669" s="33">
        <f t="shared" si="112"/>
        <v>4072.3333333333335</v>
      </c>
      <c r="U669" s="42">
        <f t="shared" si="113"/>
        <v>144921456</v>
      </c>
      <c r="V669" s="44"/>
      <c r="W669" s="29">
        <f t="shared" si="119"/>
        <v>590168475984</v>
      </c>
      <c r="X669" s="41">
        <f t="shared" si="114"/>
        <v>39.102335904625484</v>
      </c>
      <c r="Y669" s="33">
        <f t="shared" si="115"/>
        <v>876.48401895491804</v>
      </c>
      <c r="Z669" s="33">
        <v>0.8</v>
      </c>
      <c r="AA669" s="29">
        <f t="shared" si="116"/>
        <v>701.18721516393452</v>
      </c>
      <c r="AB669" s="33">
        <f t="shared" si="117"/>
        <v>8388.004779857416</v>
      </c>
      <c r="AD669" s="46">
        <f t="shared" si="118"/>
        <v>0</v>
      </c>
    </row>
    <row r="670" spans="1:30" x14ac:dyDescent="0.2">
      <c r="A670" s="30" t="s">
        <v>8864</v>
      </c>
      <c r="B670" s="29">
        <v>3</v>
      </c>
      <c r="C670" s="29">
        <v>1</v>
      </c>
      <c r="D670" s="29">
        <v>512</v>
      </c>
      <c r="E670" s="29">
        <v>54533</v>
      </c>
      <c r="F670" s="29">
        <v>19122</v>
      </c>
      <c r="G670" s="29">
        <v>18973</v>
      </c>
      <c r="H670" s="29">
        <v>290763</v>
      </c>
      <c r="I670" s="29">
        <v>12109</v>
      </c>
      <c r="J670" s="29">
        <v>745807104</v>
      </c>
      <c r="K670" s="29">
        <v>5652</v>
      </c>
      <c r="L670" s="29">
        <v>10901</v>
      </c>
      <c r="N670" s="34"/>
      <c r="O670" s="29">
        <f t="shared" si="109"/>
        <v>8276.5</v>
      </c>
      <c r="P670" s="32" cm="1">
        <f t="array" ref="P670">WPNFACTOR(C670)</f>
        <v>2</v>
      </c>
      <c r="Q670" s="34" cm="1">
        <f t="array" ref="Q670">HPFACTOr(C670)</f>
        <v>5</v>
      </c>
      <c r="R670" s="33">
        <f t="shared" si="110"/>
        <v>4138.25</v>
      </c>
      <c r="S670" s="34">
        <f t="shared" si="111"/>
        <v>149161420.80000001</v>
      </c>
      <c r="T670" s="33">
        <f t="shared" si="112"/>
        <v>4138.25</v>
      </c>
      <c r="U670" s="42">
        <f t="shared" si="113"/>
        <v>149161420.80000001</v>
      </c>
      <c r="V670" s="44"/>
      <c r="W670" s="29">
        <f t="shared" si="119"/>
        <v>617267249625.6001</v>
      </c>
      <c r="X670" s="41">
        <f t="shared" si="114"/>
        <v>39.167104292021044</v>
      </c>
      <c r="Y670" s="33">
        <f t="shared" si="115"/>
        <v>886.37665402495281</v>
      </c>
      <c r="Z670" s="33">
        <v>0.8</v>
      </c>
      <c r="AA670" s="29">
        <f t="shared" si="116"/>
        <v>709.1013232199623</v>
      </c>
      <c r="AB670" s="33">
        <f t="shared" si="117"/>
        <v>8514.4724593599713</v>
      </c>
      <c r="AD670" s="46">
        <f t="shared" si="118"/>
        <v>0</v>
      </c>
    </row>
    <row r="671" spans="1:30" x14ac:dyDescent="0.2">
      <c r="A671" s="30" t="s">
        <v>8864</v>
      </c>
      <c r="B671" s="29">
        <v>4</v>
      </c>
      <c r="C671" s="29">
        <v>3</v>
      </c>
      <c r="D671" s="29">
        <v>516</v>
      </c>
      <c r="E671" s="29">
        <v>13838</v>
      </c>
      <c r="F671" s="29">
        <v>55118</v>
      </c>
      <c r="G671" s="29">
        <v>13779</v>
      </c>
      <c r="H671" s="29">
        <v>294118</v>
      </c>
      <c r="I671" s="29">
        <v>19707</v>
      </c>
      <c r="J671" s="29">
        <v>608236032</v>
      </c>
      <c r="K671" s="29">
        <v>6901</v>
      </c>
      <c r="L671" s="29">
        <v>13768</v>
      </c>
      <c r="N671" s="34"/>
      <c r="O671" s="29">
        <f t="shared" si="109"/>
        <v>10334.5</v>
      </c>
      <c r="P671" s="32" cm="1">
        <f t="array" ref="P671">WPNFACTOR(C671)</f>
        <v>2.5</v>
      </c>
      <c r="Q671" s="34" cm="1">
        <f t="array" ref="Q671">HPFACTOr(C671)</f>
        <v>4</v>
      </c>
      <c r="R671" s="33">
        <f t="shared" si="110"/>
        <v>4133.8</v>
      </c>
      <c r="S671" s="34">
        <f t="shared" si="111"/>
        <v>152059008</v>
      </c>
      <c r="T671" s="33">
        <f t="shared" si="112"/>
        <v>4133.8</v>
      </c>
      <c r="U671" s="42">
        <f t="shared" si="113"/>
        <v>152059008</v>
      </c>
      <c r="V671" s="44"/>
      <c r="W671" s="29">
        <f t="shared" si="119"/>
        <v>628581527270.40002</v>
      </c>
      <c r="X671" s="41">
        <f t="shared" si="114"/>
        <v>39.193308918654601</v>
      </c>
      <c r="Y671" s="33">
        <f t="shared" si="115"/>
        <v>890.41076810305447</v>
      </c>
      <c r="Z671" s="33">
        <v>0.8</v>
      </c>
      <c r="AA671" s="29">
        <f t="shared" si="116"/>
        <v>712.32861448244364</v>
      </c>
      <c r="AB671" s="33">
        <f t="shared" si="117"/>
        <v>8566.1801712992947</v>
      </c>
      <c r="AD671" s="46">
        <f t="shared" si="118"/>
        <v>0</v>
      </c>
    </row>
    <row r="672" spans="1:30" x14ac:dyDescent="0.2">
      <c r="A672" s="30" t="s">
        <v>8864</v>
      </c>
      <c r="B672" s="29">
        <v>5</v>
      </c>
      <c r="C672" s="29">
        <v>1</v>
      </c>
      <c r="D672" s="29">
        <v>520</v>
      </c>
      <c r="E672" s="29">
        <v>66837</v>
      </c>
      <c r="F672" s="29">
        <v>23434</v>
      </c>
      <c r="G672" s="29">
        <v>23261</v>
      </c>
      <c r="H672" s="29">
        <v>356928</v>
      </c>
      <c r="I672" s="29">
        <v>14768</v>
      </c>
      <c r="J672" s="29">
        <v>929797440</v>
      </c>
      <c r="K672" s="29">
        <v>5563</v>
      </c>
      <c r="L672" s="29">
        <v>11110</v>
      </c>
      <c r="N672" s="34"/>
      <c r="O672" s="29">
        <f t="shared" si="109"/>
        <v>8336.5</v>
      </c>
      <c r="P672" s="32" cm="1">
        <f t="array" ref="P672">WPNFACTOR(C672)</f>
        <v>2</v>
      </c>
      <c r="Q672" s="34" cm="1">
        <f t="array" ref="Q672">HPFACTOr(C672)</f>
        <v>5</v>
      </c>
      <c r="R672" s="33">
        <f t="shared" si="110"/>
        <v>4168.25</v>
      </c>
      <c r="S672" s="34">
        <f t="shared" si="111"/>
        <v>185959488</v>
      </c>
      <c r="T672" s="33">
        <f t="shared" si="112"/>
        <v>4168.25</v>
      </c>
      <c r="U672" s="42">
        <f t="shared" si="113"/>
        <v>185959488</v>
      </c>
      <c r="V672" s="44"/>
      <c r="W672" s="29">
        <f t="shared" si="119"/>
        <v>775125635856</v>
      </c>
      <c r="X672" s="41">
        <f t="shared" si="114"/>
        <v>39.49563921161414</v>
      </c>
      <c r="Y672" s="33">
        <f t="shared" si="115"/>
        <v>938.30282774938701</v>
      </c>
      <c r="Z672" s="33">
        <v>0.8</v>
      </c>
      <c r="AA672" s="29">
        <f t="shared" si="116"/>
        <v>750.64226219950967</v>
      </c>
      <c r="AB672" s="33">
        <f t="shared" si="117"/>
        <v>9185.9490768947053</v>
      </c>
      <c r="AD672" s="46">
        <f t="shared" si="118"/>
        <v>0</v>
      </c>
    </row>
    <row r="673" spans="1:30" x14ac:dyDescent="0.2">
      <c r="A673" s="30" t="s">
        <v>8864</v>
      </c>
      <c r="B673" s="29">
        <v>6</v>
      </c>
      <c r="C673" s="29">
        <v>1</v>
      </c>
      <c r="D673" s="29">
        <v>524</v>
      </c>
      <c r="E673" s="29">
        <v>67527</v>
      </c>
      <c r="F673" s="29">
        <v>23675</v>
      </c>
      <c r="G673" s="29">
        <v>23504</v>
      </c>
      <c r="H673" s="29">
        <v>360872</v>
      </c>
      <c r="I673" s="29">
        <v>14886</v>
      </c>
      <c r="J673" s="29">
        <v>947289024</v>
      </c>
      <c r="K673" s="29">
        <v>5860</v>
      </c>
      <c r="L673" s="29">
        <v>10685</v>
      </c>
      <c r="N673" s="34"/>
      <c r="O673" s="29">
        <f t="shared" si="109"/>
        <v>8272.5</v>
      </c>
      <c r="P673" s="32" cm="1">
        <f t="array" ref="P673">WPNFACTOR(C673)</f>
        <v>2</v>
      </c>
      <c r="Q673" s="34" cm="1">
        <f t="array" ref="Q673">HPFACTOr(C673)</f>
        <v>5</v>
      </c>
      <c r="R673" s="33">
        <f t="shared" si="110"/>
        <v>4136.25</v>
      </c>
      <c r="S673" s="34">
        <f t="shared" si="111"/>
        <v>189457804.80000001</v>
      </c>
      <c r="T673" s="33">
        <f t="shared" si="112"/>
        <v>4136.25</v>
      </c>
      <c r="U673" s="42">
        <f t="shared" si="113"/>
        <v>189457804.79999998</v>
      </c>
      <c r="V673" s="44"/>
      <c r="W673" s="29">
        <f t="shared" si="119"/>
        <v>783644845103.99988</v>
      </c>
      <c r="X673" s="41">
        <f t="shared" si="114"/>
        <v>39.511409003844676</v>
      </c>
      <c r="Y673" s="33">
        <f t="shared" si="115"/>
        <v>940.87043148597195</v>
      </c>
      <c r="Z673" s="33">
        <v>0.8</v>
      </c>
      <c r="AA673" s="29">
        <f t="shared" si="116"/>
        <v>752.69634518877763</v>
      </c>
      <c r="AB673" s="33">
        <f t="shared" si="117"/>
        <v>9219.4800107016254</v>
      </c>
      <c r="AD673" s="46">
        <f t="shared" si="118"/>
        <v>0</v>
      </c>
    </row>
    <row r="674" spans="1:30" x14ac:dyDescent="0.2">
      <c r="A674" s="30" t="s">
        <v>8864</v>
      </c>
      <c r="B674" s="29">
        <v>7</v>
      </c>
      <c r="C674" s="29">
        <v>2</v>
      </c>
      <c r="D674" s="29">
        <v>528</v>
      </c>
      <c r="E674" s="29">
        <v>16985</v>
      </c>
      <c r="F674" s="29">
        <v>17120</v>
      </c>
      <c r="G674" s="29">
        <v>68752</v>
      </c>
      <c r="H674" s="29">
        <v>361823</v>
      </c>
      <c r="I674" s="29">
        <v>24319</v>
      </c>
      <c r="J674" s="29">
        <v>382808736</v>
      </c>
      <c r="K674" s="29">
        <v>14601</v>
      </c>
      <c r="L674" s="29">
        <v>23926</v>
      </c>
      <c r="N674" s="34"/>
      <c r="O674" s="29">
        <f t="shared" si="109"/>
        <v>19263.5</v>
      </c>
      <c r="P674" s="32" cm="1">
        <f t="array" ref="P674">WPNFACTOR(C674)</f>
        <v>4.5</v>
      </c>
      <c r="Q674" s="34" cm="1">
        <f t="array" ref="Q674">HPFACTOr(C674)</f>
        <v>2</v>
      </c>
      <c r="R674" s="33">
        <f t="shared" si="110"/>
        <v>4280.7777777777774</v>
      </c>
      <c r="S674" s="34">
        <f t="shared" si="111"/>
        <v>191404368</v>
      </c>
      <c r="T674" s="33">
        <f t="shared" si="112"/>
        <v>4280.7777777777774</v>
      </c>
      <c r="U674" s="42">
        <f t="shared" si="113"/>
        <v>191404368</v>
      </c>
      <c r="V674" s="44"/>
      <c r="W674" s="29">
        <f t="shared" si="119"/>
        <v>819359565103.99988</v>
      </c>
      <c r="X674" s="41">
        <f t="shared" si="114"/>
        <v>39.575705742213422</v>
      </c>
      <c r="Y674" s="33">
        <f t="shared" si="115"/>
        <v>951.41201575661876</v>
      </c>
      <c r="Z674" s="33">
        <v>0.8</v>
      </c>
      <c r="AA674" s="29">
        <f t="shared" si="116"/>
        <v>761.12961260529505</v>
      </c>
      <c r="AB674" s="33">
        <f t="shared" si="117"/>
        <v>9357.4642374173745</v>
      </c>
      <c r="AD674" s="46">
        <f t="shared" si="118"/>
        <v>0</v>
      </c>
    </row>
    <row r="675" spans="1:30" x14ac:dyDescent="0.2">
      <c r="A675" s="30" t="s">
        <v>8864</v>
      </c>
      <c r="B675" s="29">
        <v>8</v>
      </c>
      <c r="C675" s="29">
        <v>2</v>
      </c>
      <c r="D675" s="29">
        <v>532</v>
      </c>
      <c r="E675" s="29">
        <v>20016</v>
      </c>
      <c r="F675" s="29">
        <v>20171</v>
      </c>
      <c r="G675" s="29">
        <v>80997</v>
      </c>
      <c r="H675" s="29">
        <v>426706</v>
      </c>
      <c r="I675" s="29">
        <v>28643</v>
      </c>
      <c r="J675" s="29">
        <v>454868608</v>
      </c>
      <c r="K675" s="29">
        <v>14576</v>
      </c>
      <c r="L675" s="29">
        <v>24519</v>
      </c>
      <c r="N675" s="34"/>
      <c r="O675" s="29">
        <f t="shared" si="109"/>
        <v>19547.5</v>
      </c>
      <c r="P675" s="32" cm="1">
        <f t="array" ref="P675">WPNFACTOR(C675)</f>
        <v>4.5</v>
      </c>
      <c r="Q675" s="34" cm="1">
        <f t="array" ref="Q675">HPFACTOr(C675)</f>
        <v>2</v>
      </c>
      <c r="R675" s="33">
        <f t="shared" si="110"/>
        <v>4343.8888888888887</v>
      </c>
      <c r="S675" s="34">
        <f t="shared" si="111"/>
        <v>227434304</v>
      </c>
      <c r="T675" s="33">
        <f t="shared" si="112"/>
        <v>4343.8888888888887</v>
      </c>
      <c r="U675" s="42">
        <f t="shared" si="113"/>
        <v>227434304</v>
      </c>
      <c r="V675" s="44"/>
      <c r="W675" s="29">
        <f t="shared" si="119"/>
        <v>987949346097.77771</v>
      </c>
      <c r="X675" s="41">
        <f t="shared" si="114"/>
        <v>39.84564611795259</v>
      </c>
      <c r="Y675" s="33">
        <f t="shared" si="115"/>
        <v>996.97362581075481</v>
      </c>
      <c r="Z675" s="33">
        <v>0.8</v>
      </c>
      <c r="AA675" s="29">
        <f t="shared" si="116"/>
        <v>797.57890064860385</v>
      </c>
      <c r="AB675" s="33">
        <f t="shared" si="117"/>
        <v>9959.6687110504063</v>
      </c>
      <c r="AD675" s="46">
        <f t="shared" si="118"/>
        <v>0</v>
      </c>
    </row>
    <row r="676" spans="1:30" x14ac:dyDescent="0.2">
      <c r="A676" s="30" t="s">
        <v>8864</v>
      </c>
      <c r="B676" s="29">
        <v>9</v>
      </c>
      <c r="C676" s="29">
        <v>1</v>
      </c>
      <c r="D676" s="29">
        <v>536</v>
      </c>
      <c r="E676" s="29">
        <v>81165</v>
      </c>
      <c r="F676" s="29">
        <v>28453</v>
      </c>
      <c r="G676" s="29">
        <v>28262</v>
      </c>
      <c r="H676" s="29">
        <v>434616</v>
      </c>
      <c r="I676" s="29">
        <v>17779</v>
      </c>
      <c r="J676" s="29">
        <v>1166944000</v>
      </c>
      <c r="K676" s="29">
        <v>6172</v>
      </c>
      <c r="L676" s="29">
        <v>11183</v>
      </c>
      <c r="N676" s="34"/>
      <c r="O676" s="29">
        <f t="shared" si="109"/>
        <v>8677.5</v>
      </c>
      <c r="P676" s="32" cm="1">
        <f t="array" ref="P676">WPNFACTOR(C676)</f>
        <v>2</v>
      </c>
      <c r="Q676" s="34" cm="1">
        <f t="array" ref="Q676">HPFACTOr(C676)</f>
        <v>5</v>
      </c>
      <c r="R676" s="33">
        <f t="shared" si="110"/>
        <v>4338.75</v>
      </c>
      <c r="S676" s="34">
        <f t="shared" si="111"/>
        <v>233388800</v>
      </c>
      <c r="T676" s="33">
        <f t="shared" si="112"/>
        <v>4338.75</v>
      </c>
      <c r="U676" s="42">
        <f t="shared" si="113"/>
        <v>233388800</v>
      </c>
      <c r="V676" s="44"/>
      <c r="W676" s="29">
        <f t="shared" si="119"/>
        <v>1012615656000</v>
      </c>
      <c r="X676" s="41">
        <f t="shared" si="114"/>
        <v>39.881223833617</v>
      </c>
      <c r="Y676" s="33">
        <f t="shared" si="115"/>
        <v>1003.1391021001397</v>
      </c>
      <c r="Z676" s="33">
        <v>0.8</v>
      </c>
      <c r="AA676" s="29">
        <f t="shared" si="116"/>
        <v>802.51128168011178</v>
      </c>
      <c r="AB676" s="33">
        <f t="shared" si="117"/>
        <v>10041.87657710643</v>
      </c>
      <c r="AD676" s="46">
        <f t="shared" si="118"/>
        <v>0</v>
      </c>
    </row>
    <row r="677" spans="1:30" x14ac:dyDescent="0.2">
      <c r="A677" s="30" t="s">
        <v>8864</v>
      </c>
      <c r="B677" s="29">
        <v>10</v>
      </c>
      <c r="C677" s="29">
        <v>3</v>
      </c>
      <c r="D677" s="29">
        <v>540</v>
      </c>
      <c r="E677" s="29">
        <v>20563</v>
      </c>
      <c r="F677" s="29">
        <v>81950</v>
      </c>
      <c r="G677" s="29">
        <v>20487</v>
      </c>
      <c r="H677" s="29">
        <v>439082</v>
      </c>
      <c r="I677" s="29">
        <v>29219</v>
      </c>
      <c r="J677" s="29">
        <v>950173440</v>
      </c>
      <c r="K677" s="29">
        <v>7214</v>
      </c>
      <c r="L677" s="29">
        <v>13561</v>
      </c>
      <c r="N677" s="34"/>
      <c r="O677" s="29">
        <f t="shared" si="109"/>
        <v>10387.5</v>
      </c>
      <c r="P677" s="32" cm="1">
        <f t="array" ref="P677">WPNFACTOR(C677)</f>
        <v>2.5</v>
      </c>
      <c r="Q677" s="34" cm="1">
        <f t="array" ref="Q677">HPFACTOr(C677)</f>
        <v>4</v>
      </c>
      <c r="R677" s="33">
        <f t="shared" si="110"/>
        <v>4155</v>
      </c>
      <c r="S677" s="34">
        <f t="shared" si="111"/>
        <v>237543360</v>
      </c>
      <c r="T677" s="33">
        <f t="shared" si="112"/>
        <v>4155</v>
      </c>
      <c r="U677" s="42">
        <f t="shared" si="113"/>
        <v>237543360</v>
      </c>
      <c r="V677" s="44"/>
      <c r="W677" s="29">
        <f t="shared" si="119"/>
        <v>986992660800</v>
      </c>
      <c r="X677" s="41">
        <f t="shared" si="114"/>
        <v>39.844248400715394</v>
      </c>
      <c r="Y677" s="33">
        <f t="shared" si="115"/>
        <v>996.73218211674509</v>
      </c>
      <c r="Z677" s="33">
        <v>0.8</v>
      </c>
      <c r="AA677" s="29">
        <f t="shared" si="116"/>
        <v>797.38574569339607</v>
      </c>
      <c r="AB677" s="33">
        <f t="shared" si="117"/>
        <v>9956.4528424430864</v>
      </c>
      <c r="AD677" s="46">
        <f t="shared" si="118"/>
        <v>0</v>
      </c>
    </row>
    <row r="678" spans="1:30" x14ac:dyDescent="0.2">
      <c r="A678" s="30" t="s">
        <v>8865</v>
      </c>
      <c r="B678" s="29">
        <v>1</v>
      </c>
      <c r="C678" s="29">
        <v>2</v>
      </c>
      <c r="D678" s="29">
        <v>510</v>
      </c>
      <c r="E678" s="29">
        <v>19326</v>
      </c>
      <c r="F678" s="29">
        <v>19326</v>
      </c>
      <c r="G678" s="29">
        <v>99462</v>
      </c>
      <c r="H678" s="29">
        <v>278055</v>
      </c>
      <c r="I678" s="29">
        <v>53784</v>
      </c>
      <c r="J678" s="29">
        <v>483444928</v>
      </c>
      <c r="K678" s="29">
        <v>2152</v>
      </c>
      <c r="L678" s="29">
        <v>6080</v>
      </c>
      <c r="N678" s="34"/>
      <c r="O678" s="29">
        <f t="shared" si="109"/>
        <v>4116</v>
      </c>
      <c r="P678" s="32" cm="1">
        <f t="array" ref="P678">WPNFACTOR(C678)</f>
        <v>4.5</v>
      </c>
      <c r="Q678" s="34" cm="1">
        <f t="array" ref="Q678">HPFACTOr(C678)</f>
        <v>2</v>
      </c>
      <c r="R678" s="33">
        <f t="shared" si="110"/>
        <v>914.66666666666663</v>
      </c>
      <c r="S678" s="34">
        <f t="shared" si="111"/>
        <v>241722464</v>
      </c>
      <c r="T678" s="33">
        <f t="shared" si="112"/>
        <v>914.66666666666663</v>
      </c>
      <c r="U678" s="42">
        <f t="shared" si="113"/>
        <v>241722464</v>
      </c>
      <c r="V678" s="44"/>
      <c r="W678" s="29">
        <f t="shared" si="119"/>
        <v>221095480405.33331</v>
      </c>
      <c r="X678" s="41">
        <f t="shared" si="114"/>
        <v>37.685878577899949</v>
      </c>
      <c r="Y678" s="33">
        <f t="shared" si="115"/>
        <v>685.71707860564993</v>
      </c>
      <c r="Z678" s="33">
        <v>0.8</v>
      </c>
      <c r="AA678" s="29">
        <f t="shared" si="116"/>
        <v>548.57366288451999</v>
      </c>
      <c r="AB678" s="33">
        <f t="shared" si="117"/>
        <v>6046.8141631784902</v>
      </c>
      <c r="AD678" s="46">
        <f t="shared" si="118"/>
        <v>0</v>
      </c>
    </row>
    <row r="679" spans="1:30" x14ac:dyDescent="0.2">
      <c r="A679" s="30" t="s">
        <v>8865</v>
      </c>
      <c r="B679" s="29">
        <v>2</v>
      </c>
      <c r="C679" s="29">
        <v>2</v>
      </c>
      <c r="D679" s="29">
        <v>520</v>
      </c>
      <c r="E679" s="29">
        <v>36768</v>
      </c>
      <c r="F679" s="29">
        <v>36342</v>
      </c>
      <c r="G679" s="29">
        <v>102168</v>
      </c>
      <c r="H679" s="29">
        <v>345127</v>
      </c>
      <c r="I679" s="29">
        <v>65430</v>
      </c>
      <c r="J679" s="29">
        <v>622523712</v>
      </c>
      <c r="K679" s="29">
        <v>3234</v>
      </c>
      <c r="L679" s="29">
        <v>5251</v>
      </c>
      <c r="N679" s="34"/>
      <c r="O679" s="29">
        <f t="shared" si="109"/>
        <v>4242.5</v>
      </c>
      <c r="P679" s="32" cm="1">
        <f t="array" ref="P679">WPNFACTOR(C679)</f>
        <v>4.5</v>
      </c>
      <c r="Q679" s="34" cm="1">
        <f t="array" ref="Q679">HPFACTOr(C679)</f>
        <v>2</v>
      </c>
      <c r="R679" s="33">
        <f t="shared" si="110"/>
        <v>942.77777777777783</v>
      </c>
      <c r="S679" s="34">
        <f t="shared" si="111"/>
        <v>311261856</v>
      </c>
      <c r="T679" s="33">
        <f t="shared" si="112"/>
        <v>942.77777777777783</v>
      </c>
      <c r="U679" s="42">
        <f t="shared" si="113"/>
        <v>311261856</v>
      </c>
      <c r="V679" s="44"/>
      <c r="W679" s="29">
        <f t="shared" si="119"/>
        <v>293450760906.66669</v>
      </c>
      <c r="X679" s="41">
        <f t="shared" si="114"/>
        <v>38.094327492734458</v>
      </c>
      <c r="Y679" s="33">
        <f t="shared" si="115"/>
        <v>736.01016091824761</v>
      </c>
      <c r="Z679" s="33">
        <v>0.8</v>
      </c>
      <c r="AA679" s="29">
        <f t="shared" si="116"/>
        <v>588.80812873459809</v>
      </c>
      <c r="AB679" s="33">
        <f t="shared" si="117"/>
        <v>6645.2564653440932</v>
      </c>
      <c r="AD679" s="46">
        <f t="shared" si="118"/>
        <v>0</v>
      </c>
    </row>
    <row r="680" spans="1:30" x14ac:dyDescent="0.2">
      <c r="A680" s="30" t="s">
        <v>8865</v>
      </c>
      <c r="B680" s="29">
        <v>3</v>
      </c>
      <c r="C680" s="29">
        <v>2</v>
      </c>
      <c r="D680" s="29">
        <v>530</v>
      </c>
      <c r="E680" s="29">
        <v>30906</v>
      </c>
      <c r="F680" s="29">
        <v>31422</v>
      </c>
      <c r="G680" s="29">
        <v>111318</v>
      </c>
      <c r="H680" s="29">
        <v>359460</v>
      </c>
      <c r="I680" s="29">
        <v>72780</v>
      </c>
      <c r="J680" s="29">
        <v>676144192</v>
      </c>
      <c r="K680" s="29">
        <v>2481</v>
      </c>
      <c r="L680" s="29">
        <v>6267</v>
      </c>
      <c r="N680" s="34"/>
      <c r="O680" s="29">
        <f t="shared" ref="O680:O707" si="120">AVERAGE(K680, L680)</f>
        <v>4374</v>
      </c>
      <c r="P680" s="32" cm="1">
        <f t="array" ref="P680">WPNFACTOR(C680)</f>
        <v>4.5</v>
      </c>
      <c r="Q680" s="34" cm="1">
        <f t="array" ref="Q680">HPFACTOr(C680)</f>
        <v>2</v>
      </c>
      <c r="R680" s="33">
        <f t="shared" ref="R680:R707" si="121">O680/P680</f>
        <v>972</v>
      </c>
      <c r="S680" s="34">
        <f t="shared" ref="S680:S707" si="122">J680/Q680</f>
        <v>338072096</v>
      </c>
      <c r="T680" s="33">
        <f t="shared" ref="T680:T707" si="123">R680*(1 + (N680/400))</f>
        <v>972</v>
      </c>
      <c r="U680" s="42">
        <f t="shared" ref="U680:U707" si="124">S680*1.6/(1 + (0.6*(1 - (M680/100))))</f>
        <v>338072096</v>
      </c>
      <c r="V680" s="44"/>
      <c r="W680" s="29">
        <f t="shared" si="119"/>
        <v>328606077312</v>
      </c>
      <c r="X680" s="41">
        <f t="shared" ref="X680:X707" si="125">LOG(W680, 2)</f>
        <v>38.257568205810408</v>
      </c>
      <c r="Y680" s="33">
        <f t="shared" si="115"/>
        <v>757.12728571325783</v>
      </c>
      <c r="Z680" s="33">
        <v>0.8</v>
      </c>
      <c r="AA680" s="29">
        <f t="shared" si="116"/>
        <v>605.70182857060627</v>
      </c>
      <c r="AB680" s="33">
        <f t="shared" si="117"/>
        <v>6900.6796033828214</v>
      </c>
      <c r="AD680" s="46">
        <f t="shared" si="118"/>
        <v>0</v>
      </c>
    </row>
    <row r="681" spans="1:30" x14ac:dyDescent="0.2">
      <c r="A681" s="30" t="s">
        <v>8865</v>
      </c>
      <c r="B681" s="29">
        <v>4</v>
      </c>
      <c r="C681" s="29">
        <v>3</v>
      </c>
      <c r="D681" s="29">
        <v>540</v>
      </c>
      <c r="E681" s="29">
        <v>35250</v>
      </c>
      <c r="F681" s="29">
        <v>121020</v>
      </c>
      <c r="G681" s="29">
        <v>35220</v>
      </c>
      <c r="H681" s="29">
        <v>325350</v>
      </c>
      <c r="I681" s="29">
        <v>55920</v>
      </c>
      <c r="J681" s="29">
        <v>1264800000</v>
      </c>
      <c r="K681" s="29">
        <v>1350</v>
      </c>
      <c r="L681" s="29">
        <v>3599</v>
      </c>
      <c r="N681" s="34"/>
      <c r="O681" s="29">
        <f t="shared" si="120"/>
        <v>2474.5</v>
      </c>
      <c r="P681" s="32" cm="1">
        <f t="array" ref="P681">WPNFACTOR(C681)</f>
        <v>2.5</v>
      </c>
      <c r="Q681" s="34" cm="1">
        <f t="array" ref="Q681">HPFACTOr(C681)</f>
        <v>4</v>
      </c>
      <c r="R681" s="33">
        <f t="shared" si="121"/>
        <v>989.8</v>
      </c>
      <c r="S681" s="34">
        <f t="shared" si="122"/>
        <v>316200000</v>
      </c>
      <c r="T681" s="33">
        <f t="shared" si="123"/>
        <v>989.8</v>
      </c>
      <c r="U681" s="42">
        <f t="shared" si="124"/>
        <v>316200000</v>
      </c>
      <c r="V681" s="44"/>
      <c r="W681" s="29">
        <f t="shared" si="119"/>
        <v>312974760000</v>
      </c>
      <c r="X681" s="41">
        <f t="shared" si="125"/>
        <v>38.187255358774827</v>
      </c>
      <c r="Y681" s="33">
        <f t="shared" ref="Y681:Y707" si="126">POWER(W681, 1/4)</f>
        <v>747.95820168612124</v>
      </c>
      <c r="Z681" s="33">
        <v>0.8</v>
      </c>
      <c r="AA681" s="29">
        <f t="shared" ref="AA681:AA707" si="127">Y681*Z681</f>
        <v>598.36656134889699</v>
      </c>
      <c r="AB681" s="33">
        <f t="shared" ref="AB681:AB707" si="128">POWER(W681, 1/$AB$1)</f>
        <v>6789.4788277487296</v>
      </c>
      <c r="AD681" s="46">
        <f t="shared" ref="AD681:AD707" si="129">IF(AC681 = "", ,AC681/AB681)</f>
        <v>0</v>
      </c>
    </row>
    <row r="682" spans="1:30" x14ac:dyDescent="0.2">
      <c r="A682" s="30" t="s">
        <v>8865</v>
      </c>
      <c r="B682" s="29">
        <v>5</v>
      </c>
      <c r="C682" s="29">
        <v>2</v>
      </c>
      <c r="D682" s="29">
        <v>550</v>
      </c>
      <c r="E682" s="29">
        <v>33900</v>
      </c>
      <c r="F682" s="29">
        <v>34464</v>
      </c>
      <c r="G682" s="29">
        <v>119256</v>
      </c>
      <c r="H682" s="29">
        <v>389340</v>
      </c>
      <c r="I682" s="29">
        <v>75114</v>
      </c>
      <c r="J682" s="29">
        <v>785428544</v>
      </c>
      <c r="K682" s="29">
        <v>3892</v>
      </c>
      <c r="L682" s="29">
        <v>5330</v>
      </c>
      <c r="N682" s="34"/>
      <c r="O682" s="29">
        <f t="shared" si="120"/>
        <v>4611</v>
      </c>
      <c r="P682" s="32" cm="1">
        <f t="array" ref="P682">WPNFACTOR(C682)</f>
        <v>4.5</v>
      </c>
      <c r="Q682" s="34" cm="1">
        <f t="array" ref="Q682">HPFACTOr(C682)</f>
        <v>2</v>
      </c>
      <c r="R682" s="33">
        <f t="shared" si="121"/>
        <v>1024.6666666666667</v>
      </c>
      <c r="S682" s="34">
        <f t="shared" si="122"/>
        <v>392714272</v>
      </c>
      <c r="T682" s="33">
        <f t="shared" si="123"/>
        <v>1024.6666666666667</v>
      </c>
      <c r="U682" s="42">
        <f t="shared" si="124"/>
        <v>392714272</v>
      </c>
      <c r="V682" s="44"/>
      <c r="W682" s="29">
        <f t="shared" si="119"/>
        <v>402401224042.66669</v>
      </c>
      <c r="X682" s="41">
        <f t="shared" si="125"/>
        <v>38.549843737367645</v>
      </c>
      <c r="Y682" s="33">
        <f t="shared" si="126"/>
        <v>796.46156585615381</v>
      </c>
      <c r="Z682" s="33">
        <v>0.8</v>
      </c>
      <c r="AA682" s="29">
        <f t="shared" si="127"/>
        <v>637.16925268492309</v>
      </c>
      <c r="AB682" s="33">
        <f t="shared" si="128"/>
        <v>7382.7772346383499</v>
      </c>
      <c r="AD682" s="46">
        <f t="shared" si="129"/>
        <v>0</v>
      </c>
    </row>
    <row r="683" spans="1:30" x14ac:dyDescent="0.2">
      <c r="A683" s="30" t="s">
        <v>8865</v>
      </c>
      <c r="B683" s="29">
        <v>6</v>
      </c>
      <c r="C683" s="29">
        <v>1</v>
      </c>
      <c r="D683" s="29">
        <v>560</v>
      </c>
      <c r="E683" s="29">
        <v>224978</v>
      </c>
      <c r="F683" s="29">
        <v>55368</v>
      </c>
      <c r="G683" s="29">
        <v>54462</v>
      </c>
      <c r="H683" s="29">
        <v>433845</v>
      </c>
      <c r="I683" s="29">
        <v>80154</v>
      </c>
      <c r="J683" s="29">
        <v>1196667008</v>
      </c>
      <c r="K683" s="29">
        <v>1226</v>
      </c>
      <c r="L683" s="29">
        <v>2952</v>
      </c>
      <c r="N683" s="34"/>
      <c r="O683" s="29">
        <f t="shared" si="120"/>
        <v>2089</v>
      </c>
      <c r="P683" s="32" cm="1">
        <f t="array" ref="P683">WPNFACTOR(C683)</f>
        <v>2</v>
      </c>
      <c r="Q683" s="34" cm="1">
        <f t="array" ref="Q683">HPFACTOr(C683)</f>
        <v>5</v>
      </c>
      <c r="R683" s="33">
        <f t="shared" si="121"/>
        <v>1044.5</v>
      </c>
      <c r="S683" s="34">
        <f t="shared" si="122"/>
        <v>239333401.59999999</v>
      </c>
      <c r="T683" s="33">
        <f t="shared" si="123"/>
        <v>1044.5</v>
      </c>
      <c r="U683" s="42">
        <f t="shared" si="124"/>
        <v>239333401.59999999</v>
      </c>
      <c r="V683" s="44"/>
      <c r="W683" s="29">
        <f t="shared" si="119"/>
        <v>249983737971.19998</v>
      </c>
      <c r="X683" s="41">
        <f t="shared" si="125"/>
        <v>37.863043291002789</v>
      </c>
      <c r="Y683" s="33">
        <f t="shared" si="126"/>
        <v>707.09528191520121</v>
      </c>
      <c r="Z683" s="33">
        <v>0.8</v>
      </c>
      <c r="AA683" s="29">
        <f t="shared" si="127"/>
        <v>565.67622553216097</v>
      </c>
      <c r="AB683" s="33">
        <f t="shared" si="128"/>
        <v>6299.4686540299035</v>
      </c>
      <c r="AD683" s="46">
        <f t="shared" si="129"/>
        <v>0</v>
      </c>
    </row>
    <row r="684" spans="1:30" x14ac:dyDescent="0.2">
      <c r="A684" s="30" t="s">
        <v>8865</v>
      </c>
      <c r="B684" s="29">
        <v>7</v>
      </c>
      <c r="C684" s="29">
        <v>2</v>
      </c>
      <c r="D684" s="29">
        <v>570</v>
      </c>
      <c r="E684" s="29">
        <v>46638</v>
      </c>
      <c r="F684" s="29">
        <v>46632</v>
      </c>
      <c r="G684" s="29">
        <v>116148</v>
      </c>
      <c r="H684" s="29">
        <v>410917</v>
      </c>
      <c r="I684" s="29">
        <v>79146</v>
      </c>
      <c r="J684" s="29">
        <v>876589696</v>
      </c>
      <c r="K684" s="29">
        <v>3627</v>
      </c>
      <c r="L684" s="29">
        <v>5890</v>
      </c>
      <c r="N684" s="34"/>
      <c r="O684" s="29">
        <f t="shared" si="120"/>
        <v>4758.5</v>
      </c>
      <c r="P684" s="32" cm="1">
        <f t="array" ref="P684">WPNFACTOR(C684)</f>
        <v>4.5</v>
      </c>
      <c r="Q684" s="34" cm="1">
        <f t="array" ref="Q684">HPFACTOr(C684)</f>
        <v>2</v>
      </c>
      <c r="R684" s="33">
        <f t="shared" si="121"/>
        <v>1057.4444444444443</v>
      </c>
      <c r="S684" s="34">
        <f t="shared" si="122"/>
        <v>438294848</v>
      </c>
      <c r="T684" s="33">
        <f t="shared" si="123"/>
        <v>1057.4444444444443</v>
      </c>
      <c r="U684" s="42">
        <f t="shared" si="124"/>
        <v>438294848</v>
      </c>
      <c r="V684" s="44"/>
      <c r="W684" s="29">
        <f t="shared" si="119"/>
        <v>463472452046.22217</v>
      </c>
      <c r="X684" s="41">
        <f t="shared" si="125"/>
        <v>38.753692634008964</v>
      </c>
      <c r="Y684" s="33">
        <f t="shared" si="126"/>
        <v>825.09884921502896</v>
      </c>
      <c r="Z684" s="33">
        <v>0.8</v>
      </c>
      <c r="AA684" s="29">
        <f t="shared" si="127"/>
        <v>660.07907937202322</v>
      </c>
      <c r="AB684" s="33">
        <f t="shared" si="128"/>
        <v>7738.8181555995861</v>
      </c>
      <c r="AD684" s="46">
        <f t="shared" si="129"/>
        <v>0</v>
      </c>
    </row>
    <row r="685" spans="1:30" x14ac:dyDescent="0.2">
      <c r="A685" s="30" t="s">
        <v>8865</v>
      </c>
      <c r="B685" s="29">
        <v>8</v>
      </c>
      <c r="C685" s="29">
        <v>2</v>
      </c>
      <c r="D685" s="29">
        <v>580</v>
      </c>
      <c r="E685" s="29">
        <v>34644</v>
      </c>
      <c r="F685" s="29">
        <v>34650</v>
      </c>
      <c r="G685" s="29">
        <v>147120</v>
      </c>
      <c r="H685" s="29">
        <v>433935</v>
      </c>
      <c r="I685" s="29">
        <v>82506</v>
      </c>
      <c r="J685" s="29">
        <v>943157696</v>
      </c>
      <c r="K685" s="29">
        <v>3980</v>
      </c>
      <c r="L685" s="29">
        <v>5964</v>
      </c>
      <c r="N685" s="34"/>
      <c r="O685" s="29">
        <f t="shared" si="120"/>
        <v>4972</v>
      </c>
      <c r="P685" s="32" cm="1">
        <f t="array" ref="P685">WPNFACTOR(C685)</f>
        <v>4.5</v>
      </c>
      <c r="Q685" s="34" cm="1">
        <f t="array" ref="Q685">HPFACTOr(C685)</f>
        <v>2</v>
      </c>
      <c r="R685" s="33">
        <f t="shared" si="121"/>
        <v>1104.8888888888889</v>
      </c>
      <c r="S685" s="34">
        <f t="shared" si="122"/>
        <v>471578848</v>
      </c>
      <c r="T685" s="33">
        <f t="shared" si="123"/>
        <v>1104.8888888888889</v>
      </c>
      <c r="U685" s="42">
        <f t="shared" si="124"/>
        <v>471578848</v>
      </c>
      <c r="V685" s="44"/>
      <c r="W685" s="29">
        <f t="shared" si="119"/>
        <v>521042229390.22223</v>
      </c>
      <c r="X685" s="41">
        <f t="shared" si="125"/>
        <v>38.922609348439245</v>
      </c>
      <c r="Y685" s="33">
        <f t="shared" si="126"/>
        <v>849.60729128916955</v>
      </c>
      <c r="Z685" s="33">
        <v>0.8</v>
      </c>
      <c r="AA685" s="29">
        <f t="shared" si="127"/>
        <v>679.68583303133573</v>
      </c>
      <c r="AB685" s="33">
        <f t="shared" si="128"/>
        <v>8046.820391538603</v>
      </c>
      <c r="AD685" s="46">
        <f t="shared" si="129"/>
        <v>0</v>
      </c>
    </row>
    <row r="686" spans="1:30" x14ac:dyDescent="0.2">
      <c r="A686" s="30" t="s">
        <v>8865</v>
      </c>
      <c r="B686" s="29">
        <v>9</v>
      </c>
      <c r="C686" s="29">
        <v>3</v>
      </c>
      <c r="D686" s="29">
        <v>590</v>
      </c>
      <c r="E686" s="29">
        <v>45021</v>
      </c>
      <c r="F686" s="29">
        <v>165800</v>
      </c>
      <c r="G686" s="29">
        <v>75600</v>
      </c>
      <c r="H686" s="29">
        <v>44342</v>
      </c>
      <c r="I686" s="29">
        <v>101840</v>
      </c>
      <c r="J686" s="29">
        <v>1545725056</v>
      </c>
      <c r="K686" s="29">
        <v>2120</v>
      </c>
      <c r="L686" s="29">
        <v>5229</v>
      </c>
      <c r="N686" s="34"/>
      <c r="O686" s="29">
        <f t="shared" si="120"/>
        <v>3674.5</v>
      </c>
      <c r="P686" s="32" cm="1">
        <f t="array" ref="P686">WPNFACTOR(C686)</f>
        <v>2.5</v>
      </c>
      <c r="Q686" s="34" cm="1">
        <f t="array" ref="Q686">HPFACTOr(C686)</f>
        <v>4</v>
      </c>
      <c r="R686" s="33">
        <f t="shared" si="121"/>
        <v>1469.8</v>
      </c>
      <c r="S686" s="34">
        <f t="shared" si="122"/>
        <v>386431264</v>
      </c>
      <c r="T686" s="33">
        <f t="shared" si="123"/>
        <v>1469.8</v>
      </c>
      <c r="U686" s="42">
        <f t="shared" si="124"/>
        <v>386431263.99999994</v>
      </c>
      <c r="V686" s="44"/>
      <c r="W686" s="29">
        <f t="shared" si="119"/>
        <v>567976671827.19995</v>
      </c>
      <c r="X686" s="41">
        <f t="shared" si="125"/>
        <v>39.047040719740316</v>
      </c>
      <c r="Y686" s="33">
        <f t="shared" si="126"/>
        <v>868.1257227280239</v>
      </c>
      <c r="Z686" s="33">
        <v>0.8</v>
      </c>
      <c r="AA686" s="29">
        <f t="shared" si="127"/>
        <v>694.50057818241919</v>
      </c>
      <c r="AB686" s="33">
        <f t="shared" si="128"/>
        <v>8281.5221196972561</v>
      </c>
      <c r="AD686" s="46">
        <f t="shared" si="129"/>
        <v>0</v>
      </c>
    </row>
    <row r="687" spans="1:30" x14ac:dyDescent="0.2">
      <c r="A687" s="30" t="s">
        <v>8865</v>
      </c>
      <c r="B687" s="29">
        <v>10</v>
      </c>
      <c r="C687" s="29">
        <v>2</v>
      </c>
      <c r="D687" s="29">
        <v>600</v>
      </c>
      <c r="E687" s="29">
        <v>50682</v>
      </c>
      <c r="F687" s="29">
        <v>50268</v>
      </c>
      <c r="G687" s="29">
        <v>183510</v>
      </c>
      <c r="H687" s="29">
        <v>569115</v>
      </c>
      <c r="I687" s="29">
        <v>110250</v>
      </c>
      <c r="J687" s="29">
        <v>1427435264</v>
      </c>
      <c r="K687" s="29">
        <v>4776</v>
      </c>
      <c r="L687" s="29">
        <v>7369</v>
      </c>
      <c r="N687" s="34"/>
      <c r="O687" s="29">
        <f t="shared" si="120"/>
        <v>6072.5</v>
      </c>
      <c r="P687" s="32" cm="1">
        <f t="array" ref="P687">WPNFACTOR(C687)</f>
        <v>4.5</v>
      </c>
      <c r="Q687" s="34" cm="1">
        <f t="array" ref="Q687">HPFACTOr(C687)</f>
        <v>2</v>
      </c>
      <c r="R687" s="33">
        <f t="shared" si="121"/>
        <v>1349.4444444444443</v>
      </c>
      <c r="S687" s="34">
        <f t="shared" si="122"/>
        <v>713717632</v>
      </c>
      <c r="T687" s="33">
        <f t="shared" si="123"/>
        <v>1349.4444444444443</v>
      </c>
      <c r="U687" s="42">
        <f t="shared" si="124"/>
        <v>713717632</v>
      </c>
      <c r="V687" s="44"/>
      <c r="W687" s="29">
        <f t="shared" si="119"/>
        <v>963122293404.44434</v>
      </c>
      <c r="X687" s="41">
        <f t="shared" si="125"/>
        <v>39.808928041088635</v>
      </c>
      <c r="Y687" s="33">
        <f t="shared" si="126"/>
        <v>990.65026238192445</v>
      </c>
      <c r="Z687" s="33">
        <v>0.8</v>
      </c>
      <c r="AA687" s="29">
        <f t="shared" si="127"/>
        <v>792.52020990553956</v>
      </c>
      <c r="AB687" s="33">
        <f t="shared" si="128"/>
        <v>9875.5314982787459</v>
      </c>
      <c r="AD687" s="46">
        <f t="shared" si="129"/>
        <v>0</v>
      </c>
    </row>
    <row r="688" spans="1:30" x14ac:dyDescent="0.2">
      <c r="A688" s="30" t="s">
        <v>8866</v>
      </c>
      <c r="B688" s="29">
        <v>1</v>
      </c>
      <c r="C688" s="29">
        <v>5</v>
      </c>
      <c r="D688" s="29">
        <v>546</v>
      </c>
      <c r="E688" s="29">
        <v>106424</v>
      </c>
      <c r="F688" s="29">
        <v>20679</v>
      </c>
      <c r="G688" s="29">
        <v>20679</v>
      </c>
      <c r="H688" s="29">
        <v>347519</v>
      </c>
      <c r="I688" s="29">
        <v>57549</v>
      </c>
      <c r="J688" s="29">
        <v>950464448</v>
      </c>
      <c r="K688" s="29">
        <v>1870</v>
      </c>
      <c r="L688" s="29">
        <v>3141</v>
      </c>
      <c r="N688" s="34"/>
      <c r="O688" s="29">
        <f t="shared" si="120"/>
        <v>2505.5</v>
      </c>
      <c r="P688" s="32" cm="1">
        <f t="array" ref="P688">WPNFACTOR(C688)</f>
        <v>2</v>
      </c>
      <c r="Q688" s="34" cm="1">
        <f t="array" ref="Q688">HPFACTOr(C688)</f>
        <v>5</v>
      </c>
      <c r="R688" s="33">
        <f t="shared" si="121"/>
        <v>1252.75</v>
      </c>
      <c r="S688" s="34">
        <f t="shared" si="122"/>
        <v>190092889.59999999</v>
      </c>
      <c r="T688" s="33">
        <f t="shared" si="123"/>
        <v>1252.75</v>
      </c>
      <c r="U688" s="42">
        <f t="shared" si="124"/>
        <v>190092889.59999999</v>
      </c>
      <c r="V688" s="44"/>
      <c r="W688" s="29">
        <f t="shared" si="119"/>
        <v>238138867446.39999</v>
      </c>
      <c r="X688" s="41">
        <f t="shared" si="125"/>
        <v>37.793012150702381</v>
      </c>
      <c r="Y688" s="33">
        <f t="shared" si="126"/>
        <v>698.56620388316162</v>
      </c>
      <c r="Z688" s="33">
        <v>0.8</v>
      </c>
      <c r="AA688" s="29">
        <f t="shared" si="127"/>
        <v>558.85296310652927</v>
      </c>
      <c r="AB688" s="33">
        <f t="shared" si="128"/>
        <v>6198.3594987310889</v>
      </c>
      <c r="AD688" s="46">
        <f t="shared" si="129"/>
        <v>0</v>
      </c>
    </row>
    <row r="689" spans="1:30" x14ac:dyDescent="0.2">
      <c r="A689" s="30" t="s">
        <v>8866</v>
      </c>
      <c r="B689" s="29">
        <v>2</v>
      </c>
      <c r="C689" s="29">
        <v>1</v>
      </c>
      <c r="D689" s="29">
        <v>567</v>
      </c>
      <c r="E689" s="29">
        <v>111363</v>
      </c>
      <c r="F689" s="29">
        <v>39613</v>
      </c>
      <c r="G689" s="29">
        <v>39613</v>
      </c>
      <c r="H689" s="29">
        <v>376189</v>
      </c>
      <c r="I689" s="29">
        <v>71319</v>
      </c>
      <c r="J689" s="29">
        <v>1068376768</v>
      </c>
      <c r="K689" s="29">
        <v>1935</v>
      </c>
      <c r="L689" s="29">
        <v>3264</v>
      </c>
      <c r="N689" s="34"/>
      <c r="O689" s="29">
        <f t="shared" si="120"/>
        <v>2599.5</v>
      </c>
      <c r="P689" s="32" cm="1">
        <f t="array" ref="P689">WPNFACTOR(C689)</f>
        <v>2</v>
      </c>
      <c r="Q689" s="34" cm="1">
        <f t="array" ref="Q689">HPFACTOr(C689)</f>
        <v>5</v>
      </c>
      <c r="R689" s="33">
        <f t="shared" si="121"/>
        <v>1299.75</v>
      </c>
      <c r="S689" s="34">
        <f t="shared" si="122"/>
        <v>213675353.59999999</v>
      </c>
      <c r="T689" s="33">
        <f t="shared" si="123"/>
        <v>1299.75</v>
      </c>
      <c r="U689" s="42">
        <f t="shared" si="124"/>
        <v>213675353.59999999</v>
      </c>
      <c r="V689" s="44"/>
      <c r="W689" s="29">
        <f t="shared" si="119"/>
        <v>277724540841.59998</v>
      </c>
      <c r="X689" s="41">
        <f t="shared" si="125"/>
        <v>38.014863708804562</v>
      </c>
      <c r="Y689" s="33">
        <f t="shared" si="126"/>
        <v>725.94474258200171</v>
      </c>
      <c r="Z689" s="33">
        <v>0.8</v>
      </c>
      <c r="AA689" s="29">
        <f t="shared" si="127"/>
        <v>580.75579406560144</v>
      </c>
      <c r="AB689" s="33">
        <f t="shared" si="128"/>
        <v>6524.3625441987733</v>
      </c>
      <c r="AD689" s="46">
        <f t="shared" si="129"/>
        <v>0</v>
      </c>
    </row>
    <row r="690" spans="1:30" x14ac:dyDescent="0.2">
      <c r="A690" s="30" t="s">
        <v>8866</v>
      </c>
      <c r="B690" s="29">
        <v>3</v>
      </c>
      <c r="C690" s="29">
        <v>4</v>
      </c>
      <c r="D690" s="29">
        <v>588</v>
      </c>
      <c r="E690" s="29">
        <v>34306</v>
      </c>
      <c r="F690" s="29">
        <v>123563</v>
      </c>
      <c r="G690" s="29">
        <v>34306</v>
      </c>
      <c r="H690" s="29">
        <v>399001</v>
      </c>
      <c r="I690" s="29">
        <v>80786</v>
      </c>
      <c r="J690" s="29">
        <v>940046336</v>
      </c>
      <c r="K690" s="29">
        <v>4030</v>
      </c>
      <c r="L690" s="29">
        <v>6764</v>
      </c>
      <c r="N690" s="34"/>
      <c r="O690" s="29">
        <f t="shared" si="120"/>
        <v>5397</v>
      </c>
      <c r="P690" s="32" cm="1">
        <f t="array" ref="P690">WPNFACTOR(C690)</f>
        <v>4</v>
      </c>
      <c r="Q690" s="34" cm="1">
        <f t="array" ref="Q690">HPFACTOr(C690)</f>
        <v>4</v>
      </c>
      <c r="R690" s="33">
        <f t="shared" si="121"/>
        <v>1349.25</v>
      </c>
      <c r="S690" s="34">
        <f t="shared" si="122"/>
        <v>235011584</v>
      </c>
      <c r="T690" s="33">
        <f t="shared" si="123"/>
        <v>1349.25</v>
      </c>
      <c r="U690" s="42">
        <f t="shared" si="124"/>
        <v>235011584</v>
      </c>
      <c r="V690" s="44"/>
      <c r="W690" s="29">
        <f t="shared" si="119"/>
        <v>317089379712</v>
      </c>
      <c r="X690" s="41">
        <f t="shared" si="125"/>
        <v>38.206098601765923</v>
      </c>
      <c r="Y690" s="33">
        <f t="shared" si="126"/>
        <v>750.404490264694</v>
      </c>
      <c r="Z690" s="33">
        <v>0.8</v>
      </c>
      <c r="AA690" s="29">
        <f t="shared" si="127"/>
        <v>600.32359221175523</v>
      </c>
      <c r="AB690" s="33">
        <f t="shared" si="128"/>
        <v>6819.1027141144168</v>
      </c>
      <c r="AD690" s="46">
        <f t="shared" si="129"/>
        <v>0</v>
      </c>
    </row>
    <row r="691" spans="1:30" x14ac:dyDescent="0.2">
      <c r="A691" s="30" t="s">
        <v>8866</v>
      </c>
      <c r="B691" s="29">
        <v>4</v>
      </c>
      <c r="C691" s="29">
        <v>2</v>
      </c>
      <c r="D691" s="29">
        <v>600</v>
      </c>
      <c r="E691" s="29">
        <v>39832</v>
      </c>
      <c r="F691" s="29">
        <v>39832</v>
      </c>
      <c r="G691" s="29">
        <v>136753</v>
      </c>
      <c r="H691" s="29">
        <v>417645</v>
      </c>
      <c r="I691" s="29">
        <v>63190</v>
      </c>
      <c r="J691" s="29">
        <v>502009280</v>
      </c>
      <c r="K691" s="29">
        <v>4609</v>
      </c>
      <c r="L691" s="29">
        <v>7769</v>
      </c>
      <c r="N691" s="34"/>
      <c r="O691" s="29">
        <f t="shared" si="120"/>
        <v>6189</v>
      </c>
      <c r="P691" s="32" cm="1">
        <f t="array" ref="P691">WPNFACTOR(C691)</f>
        <v>4.5</v>
      </c>
      <c r="Q691" s="34" cm="1">
        <f t="array" ref="Q691">HPFACTOr(C691)</f>
        <v>2</v>
      </c>
      <c r="R691" s="33">
        <f t="shared" si="121"/>
        <v>1375.3333333333333</v>
      </c>
      <c r="S691" s="34">
        <f t="shared" si="122"/>
        <v>251004640</v>
      </c>
      <c r="T691" s="33">
        <f t="shared" si="123"/>
        <v>1375.3333333333333</v>
      </c>
      <c r="U691" s="42">
        <f t="shared" si="124"/>
        <v>251004640</v>
      </c>
      <c r="V691" s="44"/>
      <c r="W691" s="29">
        <f t="shared" si="119"/>
        <v>345215048213.33331</v>
      </c>
      <c r="X691" s="41">
        <f t="shared" si="125"/>
        <v>38.328704397934764</v>
      </c>
      <c r="Y691" s="33">
        <f t="shared" si="126"/>
        <v>766.51812692307044</v>
      </c>
      <c r="Z691" s="33">
        <v>0.8</v>
      </c>
      <c r="AA691" s="29">
        <f t="shared" si="127"/>
        <v>613.21450153845637</v>
      </c>
      <c r="AB691" s="33">
        <f t="shared" si="128"/>
        <v>7015.036034591084</v>
      </c>
      <c r="AD691" s="46">
        <f t="shared" si="129"/>
        <v>0</v>
      </c>
    </row>
    <row r="692" spans="1:30" x14ac:dyDescent="0.2">
      <c r="A692" s="30" t="s">
        <v>8866</v>
      </c>
      <c r="B692" s="29">
        <v>5</v>
      </c>
      <c r="C692" s="29">
        <v>1</v>
      </c>
      <c r="D692" s="29">
        <v>612</v>
      </c>
      <c r="E692" s="29">
        <v>137144</v>
      </c>
      <c r="F692" s="29">
        <v>39634</v>
      </c>
      <c r="G692" s="29">
        <v>39634</v>
      </c>
      <c r="H692" s="29">
        <v>447741</v>
      </c>
      <c r="I692" s="29">
        <v>86381</v>
      </c>
      <c r="J692" s="29">
        <v>1372326144</v>
      </c>
      <c r="K692" s="29">
        <v>2084</v>
      </c>
      <c r="L692" s="29">
        <v>3520</v>
      </c>
      <c r="N692" s="34"/>
      <c r="O692" s="29">
        <f t="shared" si="120"/>
        <v>2802</v>
      </c>
      <c r="P692" s="32" cm="1">
        <f t="array" ref="P692">WPNFACTOR(C692)</f>
        <v>2</v>
      </c>
      <c r="Q692" s="34" cm="1">
        <f t="array" ref="Q692">HPFACTOr(C692)</f>
        <v>5</v>
      </c>
      <c r="R692" s="33">
        <f t="shared" si="121"/>
        <v>1401</v>
      </c>
      <c r="S692" s="34">
        <f t="shared" si="122"/>
        <v>274465228.80000001</v>
      </c>
      <c r="T692" s="33">
        <f t="shared" si="123"/>
        <v>1401</v>
      </c>
      <c r="U692" s="42">
        <f t="shared" si="124"/>
        <v>274465228.80000001</v>
      </c>
      <c r="V692" s="44"/>
      <c r="W692" s="29">
        <f t="shared" si="119"/>
        <v>384525785548.79999</v>
      </c>
      <c r="X692" s="41">
        <f t="shared" si="125"/>
        <v>38.484289389506088</v>
      </c>
      <c r="Y692" s="33">
        <f t="shared" si="126"/>
        <v>787.46519393661276</v>
      </c>
      <c r="Z692" s="33">
        <v>0.8</v>
      </c>
      <c r="AA692" s="29">
        <f t="shared" si="127"/>
        <v>629.9721551492903</v>
      </c>
      <c r="AB692" s="33">
        <f t="shared" si="128"/>
        <v>7271.7982741661208</v>
      </c>
      <c r="AD692" s="46">
        <f t="shared" si="129"/>
        <v>0</v>
      </c>
    </row>
    <row r="693" spans="1:30" x14ac:dyDescent="0.2">
      <c r="A693" s="30" t="s">
        <v>8866</v>
      </c>
      <c r="B693" s="29">
        <v>6</v>
      </c>
      <c r="C693" s="29">
        <v>1</v>
      </c>
      <c r="D693" s="29">
        <v>624</v>
      </c>
      <c r="E693" s="29">
        <v>163224</v>
      </c>
      <c r="F693" s="29">
        <v>64781</v>
      </c>
      <c r="G693" s="29">
        <v>63721</v>
      </c>
      <c r="H693" s="29">
        <v>507599</v>
      </c>
      <c r="I693" s="29">
        <v>93780</v>
      </c>
      <c r="J693" s="29">
        <v>1586246912</v>
      </c>
      <c r="K693" s="29">
        <v>2127</v>
      </c>
      <c r="L693" s="29">
        <v>3587</v>
      </c>
      <c r="N693" s="34"/>
      <c r="O693" s="29">
        <f t="shared" si="120"/>
        <v>2857</v>
      </c>
      <c r="P693" s="32" cm="1">
        <f t="array" ref="P693">WPNFACTOR(C693)</f>
        <v>2</v>
      </c>
      <c r="Q693" s="34" cm="1">
        <f t="array" ref="Q693">HPFACTOr(C693)</f>
        <v>5</v>
      </c>
      <c r="R693" s="33">
        <f t="shared" si="121"/>
        <v>1428.5</v>
      </c>
      <c r="S693" s="34">
        <f t="shared" si="122"/>
        <v>317249382.39999998</v>
      </c>
      <c r="T693" s="33">
        <f t="shared" si="123"/>
        <v>1428.5</v>
      </c>
      <c r="U693" s="42">
        <f t="shared" si="124"/>
        <v>317249382.39999998</v>
      </c>
      <c r="V693" s="44"/>
      <c r="W693" s="29">
        <f t="shared" si="119"/>
        <v>453190742758.39996</v>
      </c>
      <c r="X693" s="41">
        <f t="shared" si="125"/>
        <v>38.721327435561626</v>
      </c>
      <c r="Y693" s="33">
        <f t="shared" si="126"/>
        <v>820.48426652539251</v>
      </c>
      <c r="Z693" s="33">
        <v>0.8</v>
      </c>
      <c r="AA693" s="29">
        <f t="shared" si="127"/>
        <v>656.3874132203141</v>
      </c>
      <c r="AB693" s="33">
        <f t="shared" si="128"/>
        <v>7681.1635084724676</v>
      </c>
      <c r="AD693" s="46">
        <f t="shared" si="129"/>
        <v>0</v>
      </c>
    </row>
    <row r="694" spans="1:30" x14ac:dyDescent="0.2">
      <c r="A694" s="30" t="s">
        <v>8866</v>
      </c>
      <c r="B694" s="29">
        <v>7</v>
      </c>
      <c r="C694" s="29">
        <v>3</v>
      </c>
      <c r="D694" s="29">
        <v>636</v>
      </c>
      <c r="E694" s="29">
        <v>55499</v>
      </c>
      <c r="F694" s="29">
        <v>174216</v>
      </c>
      <c r="G694" s="29">
        <v>55499</v>
      </c>
      <c r="H694" s="29">
        <v>538992</v>
      </c>
      <c r="I694" s="29">
        <v>94184</v>
      </c>
      <c r="J694" s="29">
        <v>1373351680</v>
      </c>
      <c r="K694" s="29">
        <v>2722</v>
      </c>
      <c r="L694" s="29">
        <v>4531</v>
      </c>
      <c r="N694" s="34"/>
      <c r="O694" s="29">
        <f t="shared" si="120"/>
        <v>3626.5</v>
      </c>
      <c r="P694" s="32" cm="1">
        <f t="array" ref="P694">WPNFACTOR(C694)</f>
        <v>2.5</v>
      </c>
      <c r="Q694" s="34" cm="1">
        <f t="array" ref="Q694">HPFACTOr(C694)</f>
        <v>4</v>
      </c>
      <c r="R694" s="33">
        <f t="shared" si="121"/>
        <v>1450.6</v>
      </c>
      <c r="S694" s="34">
        <f t="shared" si="122"/>
        <v>343337920</v>
      </c>
      <c r="T694" s="33">
        <f t="shared" si="123"/>
        <v>1450.6</v>
      </c>
      <c r="U694" s="42">
        <f t="shared" si="124"/>
        <v>343337920</v>
      </c>
      <c r="V694" s="44"/>
      <c r="W694" s="29">
        <f t="shared" si="119"/>
        <v>498045986751.99994</v>
      </c>
      <c r="X694" s="41">
        <f t="shared" si="125"/>
        <v>38.857488002512191</v>
      </c>
      <c r="Y694" s="33">
        <f t="shared" si="126"/>
        <v>840.0736471274181</v>
      </c>
      <c r="Z694" s="33">
        <v>0.8</v>
      </c>
      <c r="AA694" s="29">
        <f t="shared" si="127"/>
        <v>672.05891770193455</v>
      </c>
      <c r="AB694" s="33">
        <f t="shared" si="128"/>
        <v>7926.652419429457</v>
      </c>
      <c r="AD694" s="46">
        <f t="shared" si="129"/>
        <v>0</v>
      </c>
    </row>
    <row r="695" spans="1:30" x14ac:dyDescent="0.2">
      <c r="A695" s="30" t="s">
        <v>8866</v>
      </c>
      <c r="B695" s="29">
        <v>8</v>
      </c>
      <c r="C695" s="29">
        <v>5</v>
      </c>
      <c r="D695" s="29">
        <v>648</v>
      </c>
      <c r="E695" s="29">
        <v>182015</v>
      </c>
      <c r="F695" s="29">
        <v>41927</v>
      </c>
      <c r="G695" s="29">
        <v>41927</v>
      </c>
      <c r="H695" s="29">
        <v>575061</v>
      </c>
      <c r="I695" s="29">
        <v>99832</v>
      </c>
      <c r="J695" s="29">
        <v>1866072960</v>
      </c>
      <c r="K695" s="29">
        <v>2212</v>
      </c>
      <c r="L695" s="29">
        <v>3727</v>
      </c>
      <c r="N695" s="34"/>
      <c r="O695" s="29">
        <f t="shared" si="120"/>
        <v>2969.5</v>
      </c>
      <c r="P695" s="32" cm="1">
        <f t="array" ref="P695">WPNFACTOR(C695)</f>
        <v>2</v>
      </c>
      <c r="Q695" s="34" cm="1">
        <f t="array" ref="Q695">HPFACTOr(C695)</f>
        <v>5</v>
      </c>
      <c r="R695" s="33">
        <f t="shared" si="121"/>
        <v>1484.75</v>
      </c>
      <c r="S695" s="34">
        <f t="shared" si="122"/>
        <v>373214592</v>
      </c>
      <c r="T695" s="33">
        <f t="shared" si="123"/>
        <v>1484.75</v>
      </c>
      <c r="U695" s="42">
        <f t="shared" si="124"/>
        <v>373214592</v>
      </c>
      <c r="V695" s="44"/>
      <c r="W695" s="29">
        <f t="shared" si="119"/>
        <v>554130365472</v>
      </c>
      <c r="X695" s="41">
        <f t="shared" si="125"/>
        <v>39.011434470386575</v>
      </c>
      <c r="Y695" s="33">
        <f t="shared" si="126"/>
        <v>862.78579728299417</v>
      </c>
      <c r="Z695" s="33">
        <v>0.8</v>
      </c>
      <c r="AA695" s="29">
        <f t="shared" si="127"/>
        <v>690.22863782639536</v>
      </c>
      <c r="AB695" s="33">
        <f t="shared" si="128"/>
        <v>8213.6712527229956</v>
      </c>
      <c r="AD695" s="46">
        <f t="shared" si="129"/>
        <v>0</v>
      </c>
    </row>
    <row r="696" spans="1:30" x14ac:dyDescent="0.2">
      <c r="A696" s="30" t="s">
        <v>8866</v>
      </c>
      <c r="B696" s="29">
        <v>9</v>
      </c>
      <c r="C696" s="29">
        <v>1</v>
      </c>
      <c r="D696" s="29">
        <v>660</v>
      </c>
      <c r="E696" s="29">
        <v>195334</v>
      </c>
      <c r="F696" s="29">
        <v>50000</v>
      </c>
      <c r="G696" s="29">
        <v>50000</v>
      </c>
      <c r="H696" s="29">
        <v>651487</v>
      </c>
      <c r="I696" s="29">
        <v>117563</v>
      </c>
      <c r="J696" s="29">
        <v>2153164544</v>
      </c>
      <c r="K696" s="29">
        <v>2251</v>
      </c>
      <c r="L696" s="29">
        <v>3798</v>
      </c>
      <c r="N696" s="34"/>
      <c r="O696" s="29">
        <f t="shared" si="120"/>
        <v>3024.5</v>
      </c>
      <c r="P696" s="32" cm="1">
        <f t="array" ref="P696">WPNFACTOR(C696)</f>
        <v>2</v>
      </c>
      <c r="Q696" s="34" cm="1">
        <f t="array" ref="Q696">HPFACTOr(C696)</f>
        <v>5</v>
      </c>
      <c r="R696" s="33">
        <f t="shared" si="121"/>
        <v>1512.25</v>
      </c>
      <c r="S696" s="34">
        <f t="shared" si="122"/>
        <v>430632908.80000001</v>
      </c>
      <c r="T696" s="33">
        <f t="shared" si="123"/>
        <v>1512.25</v>
      </c>
      <c r="U696" s="42">
        <f t="shared" si="124"/>
        <v>430632908.80000001</v>
      </c>
      <c r="V696" s="44"/>
      <c r="W696" s="29">
        <f t="shared" si="119"/>
        <v>651224616332.80005</v>
      </c>
      <c r="X696" s="41">
        <f t="shared" si="125"/>
        <v>39.244364278362127</v>
      </c>
      <c r="Y696" s="33">
        <f t="shared" si="126"/>
        <v>898.32337844347012</v>
      </c>
      <c r="Z696" s="33">
        <v>0.8</v>
      </c>
      <c r="AA696" s="29">
        <f t="shared" si="127"/>
        <v>718.65870275477619</v>
      </c>
      <c r="AB696" s="33">
        <f t="shared" si="128"/>
        <v>8667.8276947168106</v>
      </c>
      <c r="AD696" s="46">
        <f t="shared" si="129"/>
        <v>0</v>
      </c>
    </row>
    <row r="697" spans="1:30" x14ac:dyDescent="0.2">
      <c r="A697" s="30" t="s">
        <v>8866</v>
      </c>
      <c r="B697" s="29">
        <v>10</v>
      </c>
      <c r="C697" s="29">
        <v>1</v>
      </c>
      <c r="D697" s="29">
        <v>666</v>
      </c>
      <c r="E697" s="29">
        <v>229388</v>
      </c>
      <c r="F697" s="29">
        <v>62835</v>
      </c>
      <c r="G697" s="29">
        <v>62835</v>
      </c>
      <c r="H697" s="29">
        <v>711394</v>
      </c>
      <c r="I697" s="29">
        <v>137813</v>
      </c>
      <c r="J697" s="29">
        <v>2372498944</v>
      </c>
      <c r="K697" s="29">
        <v>2268</v>
      </c>
      <c r="L697" s="29">
        <v>3834</v>
      </c>
      <c r="N697" s="34"/>
      <c r="O697" s="29">
        <f t="shared" si="120"/>
        <v>3051</v>
      </c>
      <c r="P697" s="32" cm="1">
        <f t="array" ref="P697">WPNFACTOR(C697)</f>
        <v>2</v>
      </c>
      <c r="Q697" s="34" cm="1">
        <f t="array" ref="Q697">HPFACTOr(C697)</f>
        <v>5</v>
      </c>
      <c r="R697" s="33">
        <f t="shared" si="121"/>
        <v>1525.5</v>
      </c>
      <c r="S697" s="34">
        <f t="shared" si="122"/>
        <v>474499788.80000001</v>
      </c>
      <c r="T697" s="33">
        <f t="shared" si="123"/>
        <v>1525.5</v>
      </c>
      <c r="U697" s="42">
        <f t="shared" si="124"/>
        <v>474499788.80000001</v>
      </c>
      <c r="V697" s="44"/>
      <c r="W697" s="29">
        <f t="shared" si="119"/>
        <v>723849427814.40002</v>
      </c>
      <c r="X697" s="41">
        <f t="shared" si="125"/>
        <v>39.396898668780082</v>
      </c>
      <c r="Y697" s="33">
        <f t="shared" si="126"/>
        <v>922.38463277137885</v>
      </c>
      <c r="Z697" s="33">
        <v>0.8</v>
      </c>
      <c r="AA697" s="29">
        <f t="shared" si="127"/>
        <v>737.90770621710317</v>
      </c>
      <c r="AB697" s="33">
        <f t="shared" si="128"/>
        <v>8978.7541149732624</v>
      </c>
      <c r="AD697" s="46">
        <f t="shared" si="129"/>
        <v>0</v>
      </c>
    </row>
    <row r="698" spans="1:30" x14ac:dyDescent="0.2">
      <c r="A698" s="30" t="s">
        <v>8867</v>
      </c>
      <c r="B698" s="29">
        <v>1</v>
      </c>
      <c r="C698" s="29">
        <v>3</v>
      </c>
      <c r="D698" s="29">
        <v>468</v>
      </c>
      <c r="E698" s="29">
        <v>8140</v>
      </c>
      <c r="F698" s="29">
        <v>23230</v>
      </c>
      <c r="G698" s="29">
        <v>8100</v>
      </c>
      <c r="H698" s="29">
        <v>115210</v>
      </c>
      <c r="I698" s="29">
        <v>4920</v>
      </c>
      <c r="J698" s="29">
        <v>216133952</v>
      </c>
      <c r="K698" s="29">
        <v>7441</v>
      </c>
      <c r="L698" s="29">
        <v>14439</v>
      </c>
      <c r="N698" s="34"/>
      <c r="O698" s="29">
        <f t="shared" si="120"/>
        <v>10940</v>
      </c>
      <c r="P698" s="32" cm="1">
        <f t="array" ref="P698">WPNFACTOR(C698)</f>
        <v>2.5</v>
      </c>
      <c r="Q698" s="34" cm="1">
        <f t="array" ref="Q698">HPFACTOr(C698)</f>
        <v>4</v>
      </c>
      <c r="R698" s="33">
        <f t="shared" si="121"/>
        <v>4376</v>
      </c>
      <c r="S698" s="34">
        <f t="shared" si="122"/>
        <v>54033488</v>
      </c>
      <c r="T698" s="33">
        <f t="shared" si="123"/>
        <v>4376</v>
      </c>
      <c r="U698" s="42">
        <f t="shared" si="124"/>
        <v>54033488.000000007</v>
      </c>
      <c r="V698" s="44"/>
      <c r="W698" s="29">
        <f t="shared" si="119"/>
        <v>236450543488.00003</v>
      </c>
      <c r="X698" s="41">
        <f t="shared" si="125"/>
        <v>37.782747501634276</v>
      </c>
      <c r="Y698" s="33">
        <f t="shared" si="126"/>
        <v>697.32474895121652</v>
      </c>
      <c r="Z698" s="33">
        <v>0.8</v>
      </c>
      <c r="AA698" s="29">
        <f t="shared" si="127"/>
        <v>557.85979916097324</v>
      </c>
      <c r="AB698" s="33">
        <f t="shared" si="128"/>
        <v>6183.6766548532887</v>
      </c>
      <c r="AD698" s="46">
        <f t="shared" si="129"/>
        <v>0</v>
      </c>
    </row>
    <row r="699" spans="1:30" x14ac:dyDescent="0.2">
      <c r="A699" s="30" t="s">
        <v>8867</v>
      </c>
      <c r="B699" s="29">
        <v>2</v>
      </c>
      <c r="C699" s="29">
        <v>1</v>
      </c>
      <c r="D699" s="29">
        <v>476</v>
      </c>
      <c r="E699" s="29">
        <v>27870</v>
      </c>
      <c r="F699" s="29">
        <v>9760</v>
      </c>
      <c r="G699" s="29">
        <v>9720</v>
      </c>
      <c r="H699" s="29">
        <v>126730</v>
      </c>
      <c r="I699" s="29">
        <v>5900</v>
      </c>
      <c r="J699" s="29">
        <v>302251040</v>
      </c>
      <c r="K699" s="29">
        <v>7086</v>
      </c>
      <c r="L699" s="29">
        <v>14148</v>
      </c>
      <c r="N699" s="34"/>
      <c r="O699" s="29">
        <f t="shared" si="120"/>
        <v>10617</v>
      </c>
      <c r="P699" s="32" cm="1">
        <f t="array" ref="P699">WPNFACTOR(C699)</f>
        <v>2</v>
      </c>
      <c r="Q699" s="34" cm="1">
        <f t="array" ref="Q699">HPFACTOr(C699)</f>
        <v>5</v>
      </c>
      <c r="R699" s="33">
        <f t="shared" si="121"/>
        <v>5308.5</v>
      </c>
      <c r="S699" s="34">
        <f t="shared" si="122"/>
        <v>60450208</v>
      </c>
      <c r="T699" s="33">
        <f t="shared" si="123"/>
        <v>5308.5</v>
      </c>
      <c r="U699" s="42">
        <f t="shared" si="124"/>
        <v>60450208.000000007</v>
      </c>
      <c r="V699" s="44"/>
      <c r="W699" s="29">
        <f t="shared" si="119"/>
        <v>320899929168.00006</v>
      </c>
      <c r="X699" s="41">
        <f t="shared" si="125"/>
        <v>38.223332514935755</v>
      </c>
      <c r="Y699" s="33">
        <f t="shared" si="126"/>
        <v>752.64885505218194</v>
      </c>
      <c r="Z699" s="33">
        <v>0.8</v>
      </c>
      <c r="AA699" s="29">
        <f t="shared" si="127"/>
        <v>602.11908404174562</v>
      </c>
      <c r="AB699" s="33">
        <f t="shared" si="128"/>
        <v>6846.3096905213497</v>
      </c>
      <c r="AD699" s="46">
        <f t="shared" si="129"/>
        <v>0</v>
      </c>
    </row>
    <row r="700" spans="1:30" x14ac:dyDescent="0.2">
      <c r="A700" s="30" t="s">
        <v>8867</v>
      </c>
      <c r="B700" s="29">
        <v>3</v>
      </c>
      <c r="C700" s="29">
        <v>2</v>
      </c>
      <c r="D700" s="29">
        <v>484</v>
      </c>
      <c r="E700" s="29">
        <v>11660</v>
      </c>
      <c r="F700" s="29">
        <v>11710</v>
      </c>
      <c r="G700" s="29">
        <v>33440</v>
      </c>
      <c r="H700" s="29">
        <v>139400</v>
      </c>
      <c r="I700" s="29">
        <v>7080</v>
      </c>
      <c r="J700" s="29">
        <v>135218000</v>
      </c>
      <c r="K700" s="29">
        <v>19460</v>
      </c>
      <c r="L700" s="29">
        <v>34885</v>
      </c>
      <c r="N700" s="34"/>
      <c r="O700" s="29">
        <f t="shared" si="120"/>
        <v>27172.5</v>
      </c>
      <c r="P700" s="32" cm="1">
        <f t="array" ref="P700">WPNFACTOR(C700)</f>
        <v>4.5</v>
      </c>
      <c r="Q700" s="34" cm="1">
        <f t="array" ref="Q700">HPFACTOr(C700)</f>
        <v>2</v>
      </c>
      <c r="R700" s="33">
        <f t="shared" si="121"/>
        <v>6038.333333333333</v>
      </c>
      <c r="S700" s="34">
        <f t="shared" si="122"/>
        <v>67609000</v>
      </c>
      <c r="T700" s="33">
        <f t="shared" si="123"/>
        <v>6038.333333333333</v>
      </c>
      <c r="U700" s="42">
        <f t="shared" si="124"/>
        <v>67609000</v>
      </c>
      <c r="V700" s="44"/>
      <c r="W700" s="29">
        <f t="shared" si="119"/>
        <v>408245678333.33331</v>
      </c>
      <c r="X700" s="41">
        <f t="shared" si="125"/>
        <v>38.570646657337136</v>
      </c>
      <c r="Y700" s="33">
        <f t="shared" si="126"/>
        <v>799.33788859305071</v>
      </c>
      <c r="Z700" s="33">
        <v>0.8</v>
      </c>
      <c r="AA700" s="29">
        <f t="shared" si="127"/>
        <v>639.47031087444066</v>
      </c>
      <c r="AB700" s="33">
        <f t="shared" si="128"/>
        <v>7418.3479340163494</v>
      </c>
      <c r="AD700" s="46">
        <f t="shared" si="129"/>
        <v>0</v>
      </c>
    </row>
    <row r="701" spans="1:30" x14ac:dyDescent="0.2">
      <c r="A701" s="30" t="s">
        <v>8867</v>
      </c>
      <c r="B701" s="29">
        <v>4</v>
      </c>
      <c r="C701" s="29">
        <v>1</v>
      </c>
      <c r="D701" s="29">
        <v>492</v>
      </c>
      <c r="E701" s="29">
        <v>40120</v>
      </c>
      <c r="F701" s="29">
        <v>14050</v>
      </c>
      <c r="G701" s="29">
        <v>13990</v>
      </c>
      <c r="H701" s="29">
        <v>153340</v>
      </c>
      <c r="I701" s="29">
        <v>8490</v>
      </c>
      <c r="J701" s="29">
        <v>377983104</v>
      </c>
      <c r="K701" s="29">
        <v>10206</v>
      </c>
      <c r="L701" s="29">
        <v>20378</v>
      </c>
      <c r="N701" s="34"/>
      <c r="O701" s="29">
        <f t="shared" si="120"/>
        <v>15292</v>
      </c>
      <c r="P701" s="32" cm="1">
        <f t="array" ref="P701">WPNFACTOR(C701)</f>
        <v>2</v>
      </c>
      <c r="Q701" s="34" cm="1">
        <f t="array" ref="Q701">HPFACTOr(C701)</f>
        <v>5</v>
      </c>
      <c r="R701" s="33">
        <f t="shared" si="121"/>
        <v>7646</v>
      </c>
      <c r="S701" s="34">
        <f t="shared" si="122"/>
        <v>75596620.799999997</v>
      </c>
      <c r="T701" s="33">
        <f t="shared" si="123"/>
        <v>7646</v>
      </c>
      <c r="U701" s="42">
        <f t="shared" si="124"/>
        <v>75596620.799999997</v>
      </c>
      <c r="V701" s="44"/>
      <c r="W701" s="29">
        <f t="shared" si="119"/>
        <v>578011762636.79993</v>
      </c>
      <c r="X701" s="41">
        <f t="shared" si="125"/>
        <v>39.072307895872939</v>
      </c>
      <c r="Y701" s="33">
        <f t="shared" si="126"/>
        <v>871.93511697215263</v>
      </c>
      <c r="Z701" s="33">
        <v>0.8</v>
      </c>
      <c r="AA701" s="29">
        <f t="shared" si="127"/>
        <v>697.54809357772217</v>
      </c>
      <c r="AB701" s="33">
        <f t="shared" si="128"/>
        <v>8330.0106915944907</v>
      </c>
      <c r="AD701" s="46">
        <f t="shared" si="129"/>
        <v>0</v>
      </c>
    </row>
    <row r="702" spans="1:30" x14ac:dyDescent="0.2">
      <c r="A702" s="30" t="s">
        <v>8867</v>
      </c>
      <c r="B702" s="29">
        <v>5</v>
      </c>
      <c r="C702" s="29">
        <v>2</v>
      </c>
      <c r="D702" s="29">
        <v>500</v>
      </c>
      <c r="E702" s="29">
        <v>16780</v>
      </c>
      <c r="F702" s="29">
        <v>16860</v>
      </c>
      <c r="G702" s="29">
        <v>48140</v>
      </c>
      <c r="H702" s="29">
        <v>168670</v>
      </c>
      <c r="I702" s="29">
        <v>10180</v>
      </c>
      <c r="J702" s="29">
        <v>169007344</v>
      </c>
      <c r="K702" s="29">
        <v>28462</v>
      </c>
      <c r="L702" s="29">
        <v>52706</v>
      </c>
      <c r="N702" s="34"/>
      <c r="O702" s="29">
        <f t="shared" si="120"/>
        <v>40584</v>
      </c>
      <c r="P702" s="32" cm="1">
        <f t="array" ref="P702">WPNFACTOR(C702)</f>
        <v>4.5</v>
      </c>
      <c r="Q702" s="34" cm="1">
        <f t="array" ref="Q702">HPFACTOr(C702)</f>
        <v>2</v>
      </c>
      <c r="R702" s="33">
        <f t="shared" si="121"/>
        <v>9018.6666666666661</v>
      </c>
      <c r="S702" s="34">
        <f t="shared" si="122"/>
        <v>84503672</v>
      </c>
      <c r="T702" s="33">
        <f t="shared" si="123"/>
        <v>9018.6666666666661</v>
      </c>
      <c r="U702" s="42">
        <f t="shared" si="124"/>
        <v>84503672</v>
      </c>
      <c r="V702" s="44"/>
      <c r="W702" s="29">
        <f t="shared" si="119"/>
        <v>762110449877.33325</v>
      </c>
      <c r="X702" s="41">
        <f t="shared" si="125"/>
        <v>39.471209141142388</v>
      </c>
      <c r="Y702" s="33">
        <f t="shared" si="126"/>
        <v>934.33900463430086</v>
      </c>
      <c r="Z702" s="33">
        <v>0.8</v>
      </c>
      <c r="AA702" s="29">
        <f t="shared" si="127"/>
        <v>747.47120370744074</v>
      </c>
      <c r="AB702" s="33">
        <f t="shared" si="128"/>
        <v>9134.2446368839155</v>
      </c>
      <c r="AD702" s="46">
        <f t="shared" si="129"/>
        <v>0</v>
      </c>
    </row>
    <row r="703" spans="1:30" x14ac:dyDescent="0.2">
      <c r="A703" s="30" t="s">
        <v>8867</v>
      </c>
      <c r="B703" s="29">
        <v>6</v>
      </c>
      <c r="C703" s="29">
        <v>1</v>
      </c>
      <c r="D703" s="29">
        <v>508</v>
      </c>
      <c r="E703" s="29">
        <v>57760</v>
      </c>
      <c r="F703" s="29">
        <v>20230</v>
      </c>
      <c r="G703" s="29">
        <v>20130</v>
      </c>
      <c r="H703" s="29">
        <v>185530</v>
      </c>
      <c r="I703" s="29">
        <v>12210</v>
      </c>
      <c r="J703" s="29">
        <v>472173856</v>
      </c>
      <c r="K703" s="29">
        <v>14735</v>
      </c>
      <c r="L703" s="29">
        <v>29356</v>
      </c>
      <c r="N703" s="34"/>
      <c r="O703" s="29">
        <f t="shared" si="120"/>
        <v>22045.5</v>
      </c>
      <c r="P703" s="32" cm="1">
        <f t="array" ref="P703">WPNFACTOR(C703)</f>
        <v>2</v>
      </c>
      <c r="Q703" s="34" cm="1">
        <f t="array" ref="Q703">HPFACTOr(C703)</f>
        <v>5</v>
      </c>
      <c r="R703" s="33">
        <f t="shared" si="121"/>
        <v>11022.75</v>
      </c>
      <c r="S703" s="34">
        <f t="shared" si="122"/>
        <v>94434771.200000003</v>
      </c>
      <c r="T703" s="33">
        <f t="shared" si="123"/>
        <v>11022.75</v>
      </c>
      <c r="U703" s="42">
        <f t="shared" si="124"/>
        <v>94434771.200000003</v>
      </c>
      <c r="V703" s="44"/>
      <c r="W703" s="29">
        <f t="shared" si="119"/>
        <v>1040930874244.8</v>
      </c>
      <c r="X703" s="41">
        <f t="shared" si="125"/>
        <v>39.921011404504242</v>
      </c>
      <c r="Y703" s="33">
        <f t="shared" si="126"/>
        <v>1010.0793034632823</v>
      </c>
      <c r="Z703" s="33">
        <v>0.8</v>
      </c>
      <c r="AA703" s="29">
        <f t="shared" si="127"/>
        <v>808.0634427706259</v>
      </c>
      <c r="AB703" s="33">
        <f t="shared" si="128"/>
        <v>10134.615970083063</v>
      </c>
      <c r="AD703" s="46">
        <f t="shared" si="129"/>
        <v>0</v>
      </c>
    </row>
    <row r="704" spans="1:30" x14ac:dyDescent="0.2">
      <c r="A704" s="30" t="s">
        <v>8867</v>
      </c>
      <c r="B704" s="29">
        <v>7</v>
      </c>
      <c r="C704" s="29">
        <v>1</v>
      </c>
      <c r="D704" s="29">
        <v>516</v>
      </c>
      <c r="E704" s="29">
        <v>69310</v>
      </c>
      <c r="F704" s="29">
        <v>24270</v>
      </c>
      <c r="G704" s="29">
        <v>24150</v>
      </c>
      <c r="H704" s="29">
        <v>204080</v>
      </c>
      <c r="I704" s="29">
        <v>14650</v>
      </c>
      <c r="J704" s="29">
        <v>527546816</v>
      </c>
      <c r="K704" s="29">
        <v>17974</v>
      </c>
      <c r="L704" s="29">
        <v>35111</v>
      </c>
      <c r="N704" s="34"/>
      <c r="O704" s="29">
        <f t="shared" si="120"/>
        <v>26542.5</v>
      </c>
      <c r="P704" s="32" cm="1">
        <f t="array" ref="P704">WPNFACTOR(C704)</f>
        <v>2</v>
      </c>
      <c r="Q704" s="34" cm="1">
        <f t="array" ref="Q704">HPFACTOr(C704)</f>
        <v>5</v>
      </c>
      <c r="R704" s="33">
        <f t="shared" si="121"/>
        <v>13271.25</v>
      </c>
      <c r="S704" s="34">
        <f t="shared" si="122"/>
        <v>105509363.2</v>
      </c>
      <c r="T704" s="33">
        <f t="shared" si="123"/>
        <v>13271.25</v>
      </c>
      <c r="U704" s="42">
        <f t="shared" si="124"/>
        <v>105509363.2</v>
      </c>
      <c r="V704" s="44"/>
      <c r="W704" s="29">
        <f t="shared" si="119"/>
        <v>1400241136368</v>
      </c>
      <c r="X704" s="41">
        <f t="shared" si="125"/>
        <v>40.348812434594109</v>
      </c>
      <c r="Y704" s="33">
        <f t="shared" si="126"/>
        <v>1087.8041418133264</v>
      </c>
      <c r="Z704" s="33">
        <v>0.8</v>
      </c>
      <c r="AA704" s="29">
        <f t="shared" si="127"/>
        <v>870.24331345066116</v>
      </c>
      <c r="AB704" s="33">
        <f t="shared" si="128"/>
        <v>11187.531661533591</v>
      </c>
      <c r="AD704" s="46">
        <f t="shared" si="129"/>
        <v>0</v>
      </c>
    </row>
    <row r="705" spans="1:30" x14ac:dyDescent="0.2">
      <c r="A705" s="30" t="s">
        <v>8867</v>
      </c>
      <c r="B705" s="29">
        <v>8</v>
      </c>
      <c r="C705" s="29">
        <v>1</v>
      </c>
      <c r="D705" s="29">
        <v>524</v>
      </c>
      <c r="E705" s="29">
        <v>83170</v>
      </c>
      <c r="F705" s="29">
        <v>29120</v>
      </c>
      <c r="G705" s="29">
        <v>28980</v>
      </c>
      <c r="H705" s="29">
        <v>224480</v>
      </c>
      <c r="I705" s="29">
        <v>17580</v>
      </c>
      <c r="J705" s="29">
        <v>589260032</v>
      </c>
      <c r="K705" s="29">
        <v>21311</v>
      </c>
      <c r="L705" s="29">
        <v>41831</v>
      </c>
      <c r="N705" s="34"/>
      <c r="O705" s="29">
        <f t="shared" si="120"/>
        <v>31571</v>
      </c>
      <c r="P705" s="32" cm="1">
        <f t="array" ref="P705">WPNFACTOR(C705)</f>
        <v>2</v>
      </c>
      <c r="Q705" s="34" cm="1">
        <f t="array" ref="Q705">HPFACTOr(C705)</f>
        <v>5</v>
      </c>
      <c r="R705" s="33">
        <f t="shared" si="121"/>
        <v>15785.5</v>
      </c>
      <c r="S705" s="34">
        <f t="shared" si="122"/>
        <v>117852006.40000001</v>
      </c>
      <c r="T705" s="33">
        <f t="shared" si="123"/>
        <v>15785.5</v>
      </c>
      <c r="U705" s="42">
        <f t="shared" si="124"/>
        <v>117852006.40000001</v>
      </c>
      <c r="V705" s="44"/>
      <c r="W705" s="29">
        <f t="shared" si="119"/>
        <v>1860352847027.2002</v>
      </c>
      <c r="X705" s="41">
        <f t="shared" si="125"/>
        <v>40.758713417174292</v>
      </c>
      <c r="Y705" s="33">
        <f t="shared" si="126"/>
        <v>1167.8816393627565</v>
      </c>
      <c r="Z705" s="33">
        <v>0.8</v>
      </c>
      <c r="AA705" s="29">
        <f t="shared" si="127"/>
        <v>934.30531149020521</v>
      </c>
      <c r="AB705" s="33">
        <f t="shared" si="128"/>
        <v>12298.867075741653</v>
      </c>
      <c r="AD705" s="46">
        <f t="shared" si="129"/>
        <v>0</v>
      </c>
    </row>
    <row r="706" spans="1:30" x14ac:dyDescent="0.2">
      <c r="A706" s="30" t="s">
        <v>8867</v>
      </c>
      <c r="B706" s="29">
        <v>9</v>
      </c>
      <c r="C706" s="29">
        <v>3</v>
      </c>
      <c r="D706" s="29">
        <v>532</v>
      </c>
      <c r="E706" s="29">
        <v>34940</v>
      </c>
      <c r="F706" s="29">
        <v>99800</v>
      </c>
      <c r="G706" s="29">
        <v>34770</v>
      </c>
      <c r="H706" s="29">
        <v>246920</v>
      </c>
      <c r="I706" s="29">
        <v>21090</v>
      </c>
      <c r="J706" s="29">
        <v>526433440</v>
      </c>
      <c r="K706" s="29">
        <v>31926</v>
      </c>
      <c r="L706" s="29">
        <v>62970</v>
      </c>
      <c r="N706" s="34"/>
      <c r="O706" s="29">
        <f t="shared" si="120"/>
        <v>47448</v>
      </c>
      <c r="P706" s="32" cm="1">
        <f t="array" ref="P706">WPNFACTOR(C706)</f>
        <v>2.5</v>
      </c>
      <c r="Q706" s="34" cm="1">
        <f t="array" ref="Q706">HPFACTOr(C706)</f>
        <v>4</v>
      </c>
      <c r="R706" s="33">
        <f t="shared" si="121"/>
        <v>18979.2</v>
      </c>
      <c r="S706" s="34">
        <f t="shared" si="122"/>
        <v>131608360</v>
      </c>
      <c r="T706" s="33">
        <f t="shared" si="123"/>
        <v>18979.2</v>
      </c>
      <c r="U706" s="42">
        <f t="shared" si="124"/>
        <v>131608360</v>
      </c>
      <c r="V706" s="44"/>
      <c r="W706" s="29">
        <f t="shared" si="119"/>
        <v>2497821386112</v>
      </c>
      <c r="X706" s="41">
        <f t="shared" si="125"/>
        <v>41.183807455232532</v>
      </c>
      <c r="Y706" s="33">
        <f t="shared" si="126"/>
        <v>1257.159393920638</v>
      </c>
      <c r="Z706" s="33">
        <v>0.8</v>
      </c>
      <c r="AA706" s="29">
        <f t="shared" si="127"/>
        <v>1005.7275151365104</v>
      </c>
      <c r="AB706" s="33">
        <f t="shared" si="128"/>
        <v>13568.144491932737</v>
      </c>
      <c r="AD706" s="46">
        <f t="shared" si="129"/>
        <v>0</v>
      </c>
    </row>
    <row r="707" spans="1:30" x14ac:dyDescent="0.2">
      <c r="A707" s="30" t="s">
        <v>8867</v>
      </c>
      <c r="B707" s="29">
        <v>10</v>
      </c>
      <c r="C707" s="29">
        <v>2</v>
      </c>
      <c r="D707" s="29">
        <v>540</v>
      </c>
      <c r="E707" s="29">
        <v>41920</v>
      </c>
      <c r="F707" s="29">
        <v>41720</v>
      </c>
      <c r="G707" s="29">
        <v>119760</v>
      </c>
      <c r="H707" s="29">
        <v>271610</v>
      </c>
      <c r="I707" s="29">
        <v>25300</v>
      </c>
      <c r="J707" s="29">
        <v>293882016</v>
      </c>
      <c r="K707" s="29">
        <v>70776</v>
      </c>
      <c r="L707" s="29">
        <v>136537</v>
      </c>
      <c r="N707" s="34"/>
      <c r="O707" s="29">
        <f t="shared" si="120"/>
        <v>103656.5</v>
      </c>
      <c r="P707" s="32" cm="1">
        <f t="array" ref="P707">WPNFACTOR(C707)</f>
        <v>4.5</v>
      </c>
      <c r="Q707" s="34" cm="1">
        <f t="array" ref="Q707">HPFACTOr(C707)</f>
        <v>2</v>
      </c>
      <c r="R707" s="33">
        <f t="shared" si="121"/>
        <v>23034.777777777777</v>
      </c>
      <c r="S707" s="34">
        <f t="shared" si="122"/>
        <v>146941008</v>
      </c>
      <c r="T707" s="33">
        <f t="shared" si="123"/>
        <v>23034.777777777777</v>
      </c>
      <c r="U707" s="42">
        <f t="shared" si="124"/>
        <v>146941008</v>
      </c>
      <c r="V707" s="44"/>
      <c r="W707" s="29">
        <f t="shared" si="119"/>
        <v>3384753465722.6665</v>
      </c>
      <c r="X707" s="41">
        <f t="shared" si="125"/>
        <v>41.622187895127482</v>
      </c>
      <c r="Y707" s="33">
        <f t="shared" si="126"/>
        <v>1356.3811960987348</v>
      </c>
      <c r="Z707" s="33">
        <v>0.8</v>
      </c>
      <c r="AA707" s="29">
        <f t="shared" si="127"/>
        <v>1085.1049568789879</v>
      </c>
      <c r="AB707" s="33">
        <f t="shared" si="128"/>
        <v>15014.435681797808</v>
      </c>
      <c r="AD707" s="46">
        <f t="shared" si="129"/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tabColor rgb="FF4A86E8"/>
    <outlinePr summaryBelow="0" summaryRight="0"/>
  </sheetPr>
  <dimension ref="A1:W7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5703125" defaultRowHeight="15.75" customHeight="1" x14ac:dyDescent="0.2"/>
  <cols>
    <col min="2" max="2" width="12.5703125" hidden="1"/>
    <col min="3" max="23" width="8.85546875" customWidth="1"/>
  </cols>
  <sheetData>
    <row r="1" spans="1:23" x14ac:dyDescent="0.2">
      <c r="A1" s="28" t="s">
        <v>5</v>
      </c>
      <c r="B1" s="28"/>
      <c r="C1" s="28" t="s">
        <v>8812</v>
      </c>
      <c r="D1" s="28" t="s">
        <v>8813</v>
      </c>
      <c r="E1" s="28" t="s">
        <v>8814</v>
      </c>
      <c r="F1" s="28" t="s">
        <v>8815</v>
      </c>
      <c r="G1" s="28" t="s">
        <v>8816</v>
      </c>
      <c r="H1" s="28" t="s">
        <v>8817</v>
      </c>
      <c r="I1" s="28" t="s">
        <v>8818</v>
      </c>
      <c r="J1" s="28" t="s">
        <v>8819</v>
      </c>
      <c r="K1" s="28" t="s">
        <v>8820</v>
      </c>
      <c r="L1" s="28" t="s">
        <v>8821</v>
      </c>
      <c r="M1" s="28" t="s">
        <v>8822</v>
      </c>
      <c r="N1" s="28" t="s">
        <v>8823</v>
      </c>
      <c r="O1" s="28" t="s">
        <v>8824</v>
      </c>
      <c r="P1" s="28" t="s">
        <v>8825</v>
      </c>
      <c r="Q1" s="28" t="s">
        <v>8826</v>
      </c>
      <c r="R1" s="28" t="s">
        <v>8827</v>
      </c>
      <c r="S1" s="28" t="s">
        <v>8828</v>
      </c>
      <c r="T1" s="28" t="s">
        <v>8829</v>
      </c>
      <c r="U1" s="28" t="s">
        <v>8830</v>
      </c>
      <c r="V1" s="28" t="s">
        <v>8831</v>
      </c>
      <c r="W1" s="28" t="s">
        <v>8832</v>
      </c>
    </row>
    <row r="2" spans="1:23" x14ac:dyDescent="0.2">
      <c r="A2" s="28">
        <v>1</v>
      </c>
      <c r="B2" s="28">
        <v>26.666666666666668</v>
      </c>
      <c r="C2" s="28">
        <f t="shared" ref="C2:C256" si="0">B2*10</f>
        <v>266.66666666666669</v>
      </c>
      <c r="D2" s="28">
        <f t="shared" ref="D2:D256" si="1">C2*125%</f>
        <v>333.33333333333337</v>
      </c>
      <c r="E2" s="28">
        <f t="shared" ref="E2:E256" si="2">C2*150%</f>
        <v>400</v>
      </c>
      <c r="F2" s="28">
        <f t="shared" ref="F2:F256" si="3">C2*175%</f>
        <v>466.66666666666669</v>
      </c>
      <c r="G2" s="28">
        <f t="shared" ref="G2:G256" si="4">C2*200%</f>
        <v>533.33333333333337</v>
      </c>
      <c r="H2" s="28">
        <f t="shared" ref="H2:H256" si="5">C2*225%</f>
        <v>600</v>
      </c>
      <c r="I2" s="28">
        <f t="shared" ref="I2:I256" si="6">C2*250%</f>
        <v>666.66666666666674</v>
      </c>
      <c r="J2" s="28">
        <f t="shared" ref="J2:J256" si="7">C2*275%</f>
        <v>733.33333333333337</v>
      </c>
      <c r="K2" s="28">
        <f t="shared" ref="K2:K256" si="8">C2*300%</f>
        <v>800</v>
      </c>
      <c r="L2" s="28">
        <f t="shared" ref="L2:L256" si="9">C2*325%</f>
        <v>866.66666666666674</v>
      </c>
      <c r="M2" s="28">
        <f t="shared" ref="M2:M256" si="10">C2*350%</f>
        <v>933.33333333333337</v>
      </c>
      <c r="N2" s="28">
        <f t="shared" ref="N2:N256" si="11">C2*375%</f>
        <v>1000.0000000000001</v>
      </c>
      <c r="O2" s="28">
        <f t="shared" ref="O2:O256" si="12">C2*400%</f>
        <v>1066.6666666666667</v>
      </c>
      <c r="P2" s="28">
        <f t="shared" ref="P2:P256" si="13">C2*425%</f>
        <v>1133.3333333333335</v>
      </c>
      <c r="Q2" s="28">
        <f t="shared" ref="Q2:Q256" si="14">C2*450%</f>
        <v>1200</v>
      </c>
      <c r="R2" s="28">
        <f t="shared" ref="R2:R256" si="15">C2*475%</f>
        <v>1266.6666666666667</v>
      </c>
      <c r="S2" s="28">
        <f t="shared" ref="S2:S256" si="16">C2*500%</f>
        <v>1333.3333333333335</v>
      </c>
      <c r="T2" s="28">
        <f t="shared" ref="T2:T256" si="17">C2*525%</f>
        <v>1400</v>
      </c>
      <c r="U2" s="28">
        <f t="shared" ref="U2:U256" si="18">C2*550%</f>
        <v>1466.6666666666667</v>
      </c>
      <c r="V2" s="28">
        <f t="shared" ref="V2:V256" si="19">C2*575%</f>
        <v>1533.3333333333335</v>
      </c>
      <c r="W2" s="28">
        <f t="shared" ref="W2:W256" si="20">C2*600%</f>
        <v>1600</v>
      </c>
    </row>
    <row r="3" spans="1:23" x14ac:dyDescent="0.2">
      <c r="A3" s="28">
        <v>2</v>
      </c>
      <c r="B3" s="28">
        <v>40</v>
      </c>
      <c r="C3" s="28">
        <f t="shared" si="0"/>
        <v>400</v>
      </c>
      <c r="D3" s="28">
        <f t="shared" si="1"/>
        <v>500</v>
      </c>
      <c r="E3" s="28">
        <f t="shared" si="2"/>
        <v>600</v>
      </c>
      <c r="F3" s="28">
        <f t="shared" si="3"/>
        <v>700</v>
      </c>
      <c r="G3" s="28">
        <f t="shared" si="4"/>
        <v>800</v>
      </c>
      <c r="H3" s="28">
        <f t="shared" si="5"/>
        <v>900</v>
      </c>
      <c r="I3" s="28">
        <f t="shared" si="6"/>
        <v>1000</v>
      </c>
      <c r="J3" s="28">
        <f t="shared" si="7"/>
        <v>1100</v>
      </c>
      <c r="K3" s="28">
        <f t="shared" si="8"/>
        <v>1200</v>
      </c>
      <c r="L3" s="28">
        <f t="shared" si="9"/>
        <v>1300</v>
      </c>
      <c r="M3" s="28">
        <f t="shared" si="10"/>
        <v>1400</v>
      </c>
      <c r="N3" s="28">
        <f t="shared" si="11"/>
        <v>1500</v>
      </c>
      <c r="O3" s="28">
        <f t="shared" si="12"/>
        <v>1600</v>
      </c>
      <c r="P3" s="28">
        <f t="shared" si="13"/>
        <v>1700</v>
      </c>
      <c r="Q3" s="28">
        <f t="shared" si="14"/>
        <v>1800</v>
      </c>
      <c r="R3" s="28">
        <f t="shared" si="15"/>
        <v>1900</v>
      </c>
      <c r="S3" s="28">
        <f t="shared" si="16"/>
        <v>2000</v>
      </c>
      <c r="T3" s="28">
        <f t="shared" si="17"/>
        <v>2100</v>
      </c>
      <c r="U3" s="28">
        <f t="shared" si="18"/>
        <v>2200</v>
      </c>
      <c r="V3" s="28">
        <f t="shared" si="19"/>
        <v>2300</v>
      </c>
      <c r="W3" s="28">
        <f t="shared" si="20"/>
        <v>2400</v>
      </c>
    </row>
    <row r="4" spans="1:23" x14ac:dyDescent="0.2">
      <c r="A4" s="28">
        <v>3</v>
      </c>
      <c r="B4" s="28">
        <v>46.666666666666664</v>
      </c>
      <c r="C4" s="28">
        <f t="shared" si="0"/>
        <v>466.66666666666663</v>
      </c>
      <c r="D4" s="28">
        <f t="shared" si="1"/>
        <v>583.33333333333326</v>
      </c>
      <c r="E4" s="28">
        <f t="shared" si="2"/>
        <v>700</v>
      </c>
      <c r="F4" s="28">
        <f t="shared" si="3"/>
        <v>816.66666666666663</v>
      </c>
      <c r="G4" s="28">
        <f t="shared" si="4"/>
        <v>933.33333333333326</v>
      </c>
      <c r="H4" s="28">
        <f t="shared" si="5"/>
        <v>1050</v>
      </c>
      <c r="I4" s="28">
        <f t="shared" si="6"/>
        <v>1166.6666666666665</v>
      </c>
      <c r="J4" s="28">
        <f t="shared" si="7"/>
        <v>1283.3333333333333</v>
      </c>
      <c r="K4" s="28">
        <f t="shared" si="8"/>
        <v>1400</v>
      </c>
      <c r="L4" s="28">
        <f t="shared" si="9"/>
        <v>1516.6666666666665</v>
      </c>
      <c r="M4" s="28">
        <f t="shared" si="10"/>
        <v>1633.3333333333333</v>
      </c>
      <c r="N4" s="28">
        <f t="shared" si="11"/>
        <v>1749.9999999999998</v>
      </c>
      <c r="O4" s="28">
        <f t="shared" si="12"/>
        <v>1866.6666666666665</v>
      </c>
      <c r="P4" s="28">
        <f t="shared" si="13"/>
        <v>1983.3333333333333</v>
      </c>
      <c r="Q4" s="28">
        <f t="shared" si="14"/>
        <v>2100</v>
      </c>
      <c r="R4" s="28">
        <f t="shared" si="15"/>
        <v>2216.6666666666665</v>
      </c>
      <c r="S4" s="28">
        <f t="shared" si="16"/>
        <v>2333.333333333333</v>
      </c>
      <c r="T4" s="28">
        <f t="shared" si="17"/>
        <v>2450</v>
      </c>
      <c r="U4" s="28">
        <f t="shared" si="18"/>
        <v>2566.6666666666665</v>
      </c>
      <c r="V4" s="28">
        <f t="shared" si="19"/>
        <v>2683.333333333333</v>
      </c>
      <c r="W4" s="28">
        <f t="shared" si="20"/>
        <v>2800</v>
      </c>
    </row>
    <row r="5" spans="1:23" x14ac:dyDescent="0.2">
      <c r="A5" s="28">
        <v>4</v>
      </c>
      <c r="B5" s="28">
        <v>48</v>
      </c>
      <c r="C5" s="28">
        <f t="shared" si="0"/>
        <v>480</v>
      </c>
      <c r="D5" s="28">
        <f t="shared" si="1"/>
        <v>600</v>
      </c>
      <c r="E5" s="28">
        <f t="shared" si="2"/>
        <v>720</v>
      </c>
      <c r="F5" s="28">
        <f t="shared" si="3"/>
        <v>840</v>
      </c>
      <c r="G5" s="28">
        <f t="shared" si="4"/>
        <v>960</v>
      </c>
      <c r="H5" s="28">
        <f t="shared" si="5"/>
        <v>1080</v>
      </c>
      <c r="I5" s="28">
        <f t="shared" si="6"/>
        <v>1200</v>
      </c>
      <c r="J5" s="28">
        <f t="shared" si="7"/>
        <v>1320</v>
      </c>
      <c r="K5" s="28">
        <f t="shared" si="8"/>
        <v>1440</v>
      </c>
      <c r="L5" s="28">
        <f t="shared" si="9"/>
        <v>1560</v>
      </c>
      <c r="M5" s="28">
        <f t="shared" si="10"/>
        <v>1680</v>
      </c>
      <c r="N5" s="28">
        <f t="shared" si="11"/>
        <v>1800</v>
      </c>
      <c r="O5" s="28">
        <f t="shared" si="12"/>
        <v>1920</v>
      </c>
      <c r="P5" s="28">
        <f t="shared" si="13"/>
        <v>2040</v>
      </c>
      <c r="Q5" s="28">
        <f t="shared" si="14"/>
        <v>2160</v>
      </c>
      <c r="R5" s="28">
        <f t="shared" si="15"/>
        <v>2280</v>
      </c>
      <c r="S5" s="28">
        <f t="shared" si="16"/>
        <v>2400</v>
      </c>
      <c r="T5" s="28">
        <f t="shared" si="17"/>
        <v>2520</v>
      </c>
      <c r="U5" s="28">
        <f t="shared" si="18"/>
        <v>2640</v>
      </c>
      <c r="V5" s="28">
        <f t="shared" si="19"/>
        <v>2760</v>
      </c>
      <c r="W5" s="28">
        <f t="shared" si="20"/>
        <v>2880</v>
      </c>
    </row>
    <row r="6" spans="1:23" x14ac:dyDescent="0.2">
      <c r="A6" s="28">
        <v>5</v>
      </c>
      <c r="B6" s="28">
        <v>48.888888888888886</v>
      </c>
      <c r="C6" s="28">
        <f t="shared" si="0"/>
        <v>488.88888888888886</v>
      </c>
      <c r="D6" s="28">
        <f t="shared" si="1"/>
        <v>611.11111111111109</v>
      </c>
      <c r="E6" s="28">
        <f t="shared" si="2"/>
        <v>733.33333333333326</v>
      </c>
      <c r="F6" s="28">
        <f t="shared" si="3"/>
        <v>855.55555555555554</v>
      </c>
      <c r="G6" s="28">
        <f t="shared" si="4"/>
        <v>977.77777777777771</v>
      </c>
      <c r="H6" s="28">
        <f t="shared" si="5"/>
        <v>1100</v>
      </c>
      <c r="I6" s="28">
        <f t="shared" si="6"/>
        <v>1222.2222222222222</v>
      </c>
      <c r="J6" s="28">
        <f t="shared" si="7"/>
        <v>1344.4444444444443</v>
      </c>
      <c r="K6" s="28">
        <f t="shared" si="8"/>
        <v>1466.6666666666665</v>
      </c>
      <c r="L6" s="28">
        <f t="shared" si="9"/>
        <v>1588.8888888888887</v>
      </c>
      <c r="M6" s="28">
        <f t="shared" si="10"/>
        <v>1711.1111111111111</v>
      </c>
      <c r="N6" s="28">
        <f t="shared" si="11"/>
        <v>1833.3333333333333</v>
      </c>
      <c r="O6" s="28">
        <f t="shared" si="12"/>
        <v>1955.5555555555554</v>
      </c>
      <c r="P6" s="28">
        <f t="shared" si="13"/>
        <v>2077.7777777777778</v>
      </c>
      <c r="Q6" s="28">
        <f t="shared" si="14"/>
        <v>2200</v>
      </c>
      <c r="R6" s="28">
        <f t="shared" si="15"/>
        <v>2322.2222222222222</v>
      </c>
      <c r="S6" s="28">
        <f t="shared" si="16"/>
        <v>2444.4444444444443</v>
      </c>
      <c r="T6" s="28">
        <f t="shared" si="17"/>
        <v>2566.6666666666665</v>
      </c>
      <c r="U6" s="28">
        <f t="shared" si="18"/>
        <v>2688.8888888888887</v>
      </c>
      <c r="V6" s="28">
        <f t="shared" si="19"/>
        <v>2811.1111111111109</v>
      </c>
      <c r="W6" s="28">
        <f t="shared" si="20"/>
        <v>2933.333333333333</v>
      </c>
    </row>
    <row r="7" spans="1:23" x14ac:dyDescent="0.2">
      <c r="A7" s="28">
        <v>6</v>
      </c>
      <c r="B7" s="28">
        <v>55.047619047619044</v>
      </c>
      <c r="C7" s="28">
        <f t="shared" si="0"/>
        <v>550.47619047619048</v>
      </c>
      <c r="D7" s="28">
        <f t="shared" si="1"/>
        <v>688.09523809523807</v>
      </c>
      <c r="E7" s="28">
        <f t="shared" si="2"/>
        <v>825.71428571428578</v>
      </c>
      <c r="F7" s="28">
        <f t="shared" si="3"/>
        <v>963.33333333333337</v>
      </c>
      <c r="G7" s="28">
        <f t="shared" si="4"/>
        <v>1100.952380952381</v>
      </c>
      <c r="H7" s="28">
        <f t="shared" si="5"/>
        <v>1238.5714285714287</v>
      </c>
      <c r="I7" s="28">
        <f t="shared" si="6"/>
        <v>1376.1904761904761</v>
      </c>
      <c r="J7" s="28">
        <f t="shared" si="7"/>
        <v>1513.8095238095239</v>
      </c>
      <c r="K7" s="28">
        <f t="shared" si="8"/>
        <v>1651.4285714285716</v>
      </c>
      <c r="L7" s="28">
        <f t="shared" si="9"/>
        <v>1789.047619047619</v>
      </c>
      <c r="M7" s="28">
        <f t="shared" si="10"/>
        <v>1926.6666666666667</v>
      </c>
      <c r="N7" s="28">
        <f t="shared" si="11"/>
        <v>2064.2857142857142</v>
      </c>
      <c r="O7" s="28">
        <f t="shared" si="12"/>
        <v>2201.9047619047619</v>
      </c>
      <c r="P7" s="28">
        <f t="shared" si="13"/>
        <v>2339.5238095238096</v>
      </c>
      <c r="Q7" s="28">
        <f t="shared" si="14"/>
        <v>2477.1428571428573</v>
      </c>
      <c r="R7" s="28">
        <f t="shared" si="15"/>
        <v>2614.7619047619046</v>
      </c>
      <c r="S7" s="28">
        <f t="shared" si="16"/>
        <v>2752.3809523809523</v>
      </c>
      <c r="T7" s="28">
        <f t="shared" si="17"/>
        <v>2890</v>
      </c>
      <c r="U7" s="28">
        <f t="shared" si="18"/>
        <v>3027.6190476190477</v>
      </c>
      <c r="V7" s="28">
        <f t="shared" si="19"/>
        <v>3165.2380952380954</v>
      </c>
      <c r="W7" s="28">
        <f t="shared" si="20"/>
        <v>3302.8571428571431</v>
      </c>
    </row>
    <row r="8" spans="1:23" x14ac:dyDescent="0.2">
      <c r="A8" s="28">
        <v>7</v>
      </c>
      <c r="B8" s="28">
        <v>59.666666666666671</v>
      </c>
      <c r="C8" s="28">
        <f t="shared" si="0"/>
        <v>596.66666666666674</v>
      </c>
      <c r="D8" s="28">
        <f t="shared" si="1"/>
        <v>745.83333333333348</v>
      </c>
      <c r="E8" s="28">
        <f t="shared" si="2"/>
        <v>895.00000000000011</v>
      </c>
      <c r="F8" s="28">
        <f t="shared" si="3"/>
        <v>1044.1666666666667</v>
      </c>
      <c r="G8" s="28">
        <f t="shared" si="4"/>
        <v>1193.3333333333335</v>
      </c>
      <c r="H8" s="28">
        <f t="shared" si="5"/>
        <v>1342.5000000000002</v>
      </c>
      <c r="I8" s="28">
        <f t="shared" si="6"/>
        <v>1491.666666666667</v>
      </c>
      <c r="J8" s="28">
        <f t="shared" si="7"/>
        <v>1640.8333333333335</v>
      </c>
      <c r="K8" s="28">
        <f t="shared" si="8"/>
        <v>1790.0000000000002</v>
      </c>
      <c r="L8" s="28">
        <f t="shared" si="9"/>
        <v>1939.166666666667</v>
      </c>
      <c r="M8" s="28">
        <f t="shared" si="10"/>
        <v>2088.3333333333335</v>
      </c>
      <c r="N8" s="28">
        <f t="shared" si="11"/>
        <v>2237.5000000000005</v>
      </c>
      <c r="O8" s="28">
        <f t="shared" si="12"/>
        <v>2386.666666666667</v>
      </c>
      <c r="P8" s="28">
        <f t="shared" si="13"/>
        <v>2535.8333333333335</v>
      </c>
      <c r="Q8" s="28">
        <f t="shared" si="14"/>
        <v>2685.0000000000005</v>
      </c>
      <c r="R8" s="28">
        <f t="shared" si="15"/>
        <v>2834.166666666667</v>
      </c>
      <c r="S8" s="28">
        <f t="shared" si="16"/>
        <v>2983.3333333333339</v>
      </c>
      <c r="T8" s="28">
        <f t="shared" si="17"/>
        <v>3132.5000000000005</v>
      </c>
      <c r="U8" s="28">
        <f t="shared" si="18"/>
        <v>3281.666666666667</v>
      </c>
      <c r="V8" s="28">
        <f t="shared" si="19"/>
        <v>3430.8333333333339</v>
      </c>
      <c r="W8" s="28">
        <f t="shared" si="20"/>
        <v>3580.0000000000005</v>
      </c>
    </row>
    <row r="9" spans="1:23" x14ac:dyDescent="0.2">
      <c r="A9" s="28">
        <v>8</v>
      </c>
      <c r="B9" s="28">
        <v>65.259259259259267</v>
      </c>
      <c r="C9" s="28">
        <f t="shared" si="0"/>
        <v>652.59259259259261</v>
      </c>
      <c r="D9" s="28">
        <f t="shared" si="1"/>
        <v>815.74074074074076</v>
      </c>
      <c r="E9" s="28">
        <f t="shared" si="2"/>
        <v>978.88888888888891</v>
      </c>
      <c r="F9" s="28">
        <f t="shared" si="3"/>
        <v>1142.037037037037</v>
      </c>
      <c r="G9" s="28">
        <f t="shared" si="4"/>
        <v>1305.1851851851852</v>
      </c>
      <c r="H9" s="28">
        <f t="shared" si="5"/>
        <v>1468.3333333333335</v>
      </c>
      <c r="I9" s="28">
        <f t="shared" si="6"/>
        <v>1631.4814814814815</v>
      </c>
      <c r="J9" s="28">
        <f t="shared" si="7"/>
        <v>1794.6296296296296</v>
      </c>
      <c r="K9" s="28">
        <f t="shared" si="8"/>
        <v>1957.7777777777778</v>
      </c>
      <c r="L9" s="28">
        <f t="shared" si="9"/>
        <v>2120.9259259259261</v>
      </c>
      <c r="M9" s="28">
        <f t="shared" si="10"/>
        <v>2284.0740740740739</v>
      </c>
      <c r="N9" s="28">
        <f t="shared" si="11"/>
        <v>2447.2222222222222</v>
      </c>
      <c r="O9" s="28">
        <f t="shared" si="12"/>
        <v>2610.3703703703704</v>
      </c>
      <c r="P9" s="28">
        <f t="shared" si="13"/>
        <v>2773.5185185185187</v>
      </c>
      <c r="Q9" s="28">
        <f t="shared" si="14"/>
        <v>2936.666666666667</v>
      </c>
      <c r="R9" s="28">
        <f t="shared" si="15"/>
        <v>3099.8148148148148</v>
      </c>
      <c r="S9" s="28">
        <f t="shared" si="16"/>
        <v>3262.962962962963</v>
      </c>
      <c r="T9" s="28">
        <f t="shared" si="17"/>
        <v>3426.1111111111113</v>
      </c>
      <c r="U9" s="28">
        <f t="shared" si="18"/>
        <v>3589.2592592592591</v>
      </c>
      <c r="V9" s="28">
        <f t="shared" si="19"/>
        <v>3752.4074074074074</v>
      </c>
      <c r="W9" s="28">
        <f t="shared" si="20"/>
        <v>3915.5555555555557</v>
      </c>
    </row>
    <row r="10" spans="1:23" x14ac:dyDescent="0.2">
      <c r="A10" s="28">
        <v>9</v>
      </c>
      <c r="B10" s="28">
        <v>71.400000000000006</v>
      </c>
      <c r="C10" s="28">
        <f t="shared" si="0"/>
        <v>714</v>
      </c>
      <c r="D10" s="28">
        <f t="shared" si="1"/>
        <v>892.5</v>
      </c>
      <c r="E10" s="28">
        <f t="shared" si="2"/>
        <v>1071</v>
      </c>
      <c r="F10" s="28">
        <f t="shared" si="3"/>
        <v>1249.5</v>
      </c>
      <c r="G10" s="28">
        <f t="shared" si="4"/>
        <v>1428</v>
      </c>
      <c r="H10" s="28">
        <f t="shared" si="5"/>
        <v>1606.5</v>
      </c>
      <c r="I10" s="28">
        <f t="shared" si="6"/>
        <v>1785</v>
      </c>
      <c r="J10" s="28">
        <f t="shared" si="7"/>
        <v>1963.5</v>
      </c>
      <c r="K10" s="28">
        <f t="shared" si="8"/>
        <v>2142</v>
      </c>
      <c r="L10" s="28">
        <f t="shared" si="9"/>
        <v>2320.5</v>
      </c>
      <c r="M10" s="28">
        <f t="shared" si="10"/>
        <v>2499</v>
      </c>
      <c r="N10" s="28">
        <f t="shared" si="11"/>
        <v>2677.5</v>
      </c>
      <c r="O10" s="28">
        <f t="shared" si="12"/>
        <v>2856</v>
      </c>
      <c r="P10" s="28">
        <f t="shared" si="13"/>
        <v>3034.5</v>
      </c>
      <c r="Q10" s="28">
        <f t="shared" si="14"/>
        <v>3213</v>
      </c>
      <c r="R10" s="28">
        <f t="shared" si="15"/>
        <v>3391.5</v>
      </c>
      <c r="S10" s="28">
        <f t="shared" si="16"/>
        <v>3570</v>
      </c>
      <c r="T10" s="28">
        <f t="shared" si="17"/>
        <v>3748.5</v>
      </c>
      <c r="U10" s="28">
        <f t="shared" si="18"/>
        <v>3927</v>
      </c>
      <c r="V10" s="28">
        <f t="shared" si="19"/>
        <v>4105.5</v>
      </c>
      <c r="W10" s="28">
        <f t="shared" si="20"/>
        <v>4284</v>
      </c>
    </row>
    <row r="11" spans="1:23" x14ac:dyDescent="0.2">
      <c r="A11" s="28">
        <v>10</v>
      </c>
      <c r="B11" s="28">
        <v>78</v>
      </c>
      <c r="C11" s="28">
        <f t="shared" si="0"/>
        <v>780</v>
      </c>
      <c r="D11" s="28">
        <f t="shared" si="1"/>
        <v>975</v>
      </c>
      <c r="E11" s="28">
        <f t="shared" si="2"/>
        <v>1170</v>
      </c>
      <c r="F11" s="28">
        <f t="shared" si="3"/>
        <v>1365</v>
      </c>
      <c r="G11" s="28">
        <f t="shared" si="4"/>
        <v>1560</v>
      </c>
      <c r="H11" s="28">
        <f t="shared" si="5"/>
        <v>1755</v>
      </c>
      <c r="I11" s="28">
        <f t="shared" si="6"/>
        <v>1950</v>
      </c>
      <c r="J11" s="28">
        <f t="shared" si="7"/>
        <v>2145</v>
      </c>
      <c r="K11" s="28">
        <f t="shared" si="8"/>
        <v>2340</v>
      </c>
      <c r="L11" s="28">
        <f t="shared" si="9"/>
        <v>2535</v>
      </c>
      <c r="M11" s="28">
        <f t="shared" si="10"/>
        <v>2730</v>
      </c>
      <c r="N11" s="28">
        <f t="shared" si="11"/>
        <v>2925</v>
      </c>
      <c r="O11" s="28">
        <f t="shared" si="12"/>
        <v>3120</v>
      </c>
      <c r="P11" s="28">
        <f t="shared" si="13"/>
        <v>3315</v>
      </c>
      <c r="Q11" s="28">
        <f t="shared" si="14"/>
        <v>3510</v>
      </c>
      <c r="R11" s="28">
        <f t="shared" si="15"/>
        <v>3705</v>
      </c>
      <c r="S11" s="28">
        <f t="shared" si="16"/>
        <v>3900</v>
      </c>
      <c r="T11" s="28">
        <f t="shared" si="17"/>
        <v>4095</v>
      </c>
      <c r="U11" s="28">
        <f t="shared" si="18"/>
        <v>4290</v>
      </c>
      <c r="V11" s="28">
        <f t="shared" si="19"/>
        <v>4485</v>
      </c>
      <c r="W11" s="28">
        <f t="shared" si="20"/>
        <v>4680</v>
      </c>
    </row>
    <row r="12" spans="1:23" x14ac:dyDescent="0.2">
      <c r="A12" s="28">
        <v>11</v>
      </c>
      <c r="B12" s="28">
        <v>83.5</v>
      </c>
      <c r="C12" s="28">
        <f t="shared" si="0"/>
        <v>835</v>
      </c>
      <c r="D12" s="28">
        <f t="shared" si="1"/>
        <v>1043.75</v>
      </c>
      <c r="E12" s="28">
        <f t="shared" si="2"/>
        <v>1252.5</v>
      </c>
      <c r="F12" s="28">
        <f t="shared" si="3"/>
        <v>1461.25</v>
      </c>
      <c r="G12" s="28">
        <f t="shared" si="4"/>
        <v>1670</v>
      </c>
      <c r="H12" s="28">
        <f t="shared" si="5"/>
        <v>1878.75</v>
      </c>
      <c r="I12" s="28">
        <f t="shared" si="6"/>
        <v>2087.5</v>
      </c>
      <c r="J12" s="28">
        <f t="shared" si="7"/>
        <v>2296.25</v>
      </c>
      <c r="K12" s="28">
        <f t="shared" si="8"/>
        <v>2505</v>
      </c>
      <c r="L12" s="28">
        <f t="shared" si="9"/>
        <v>2713.75</v>
      </c>
      <c r="M12" s="28">
        <f t="shared" si="10"/>
        <v>2922.5</v>
      </c>
      <c r="N12" s="28">
        <f t="shared" si="11"/>
        <v>3131.25</v>
      </c>
      <c r="O12" s="28">
        <f t="shared" si="12"/>
        <v>3340</v>
      </c>
      <c r="P12" s="28">
        <f t="shared" si="13"/>
        <v>3548.75</v>
      </c>
      <c r="Q12" s="28">
        <f t="shared" si="14"/>
        <v>3757.5</v>
      </c>
      <c r="R12" s="28">
        <f t="shared" si="15"/>
        <v>3966.25</v>
      </c>
      <c r="S12" s="28">
        <f t="shared" si="16"/>
        <v>4175</v>
      </c>
      <c r="T12" s="28">
        <f t="shared" si="17"/>
        <v>4383.75</v>
      </c>
      <c r="U12" s="28">
        <f t="shared" si="18"/>
        <v>4592.5</v>
      </c>
      <c r="V12" s="28">
        <f t="shared" si="19"/>
        <v>4801.25</v>
      </c>
      <c r="W12" s="28">
        <f t="shared" si="20"/>
        <v>5010</v>
      </c>
    </row>
    <row r="13" spans="1:23" x14ac:dyDescent="0.2">
      <c r="A13" s="28">
        <v>12</v>
      </c>
      <c r="B13" s="28">
        <v>91.538461538461533</v>
      </c>
      <c r="C13" s="28">
        <f t="shared" si="0"/>
        <v>915.38461538461536</v>
      </c>
      <c r="D13" s="28">
        <f t="shared" si="1"/>
        <v>1144.2307692307693</v>
      </c>
      <c r="E13" s="28">
        <f t="shared" si="2"/>
        <v>1373.0769230769231</v>
      </c>
      <c r="F13" s="28">
        <f t="shared" si="3"/>
        <v>1601.9230769230769</v>
      </c>
      <c r="G13" s="28">
        <f t="shared" si="4"/>
        <v>1830.7692307692307</v>
      </c>
      <c r="H13" s="28">
        <f t="shared" si="5"/>
        <v>2059.6153846153848</v>
      </c>
      <c r="I13" s="28">
        <f t="shared" si="6"/>
        <v>2288.4615384615386</v>
      </c>
      <c r="J13" s="28">
        <f t="shared" si="7"/>
        <v>2517.3076923076924</v>
      </c>
      <c r="K13" s="28">
        <f t="shared" si="8"/>
        <v>2746.1538461538462</v>
      </c>
      <c r="L13" s="28">
        <f t="shared" si="9"/>
        <v>2975</v>
      </c>
      <c r="M13" s="28">
        <f t="shared" si="10"/>
        <v>3203.8461538461538</v>
      </c>
      <c r="N13" s="28">
        <f t="shared" si="11"/>
        <v>3432.6923076923076</v>
      </c>
      <c r="O13" s="28">
        <f t="shared" si="12"/>
        <v>3661.5384615384614</v>
      </c>
      <c r="P13" s="28">
        <f t="shared" si="13"/>
        <v>3890.3846153846152</v>
      </c>
      <c r="Q13" s="28">
        <f t="shared" si="14"/>
        <v>4119.2307692307695</v>
      </c>
      <c r="R13" s="28">
        <f t="shared" si="15"/>
        <v>4348.0769230769229</v>
      </c>
      <c r="S13" s="28">
        <f t="shared" si="16"/>
        <v>4576.9230769230771</v>
      </c>
      <c r="T13" s="28">
        <f t="shared" si="17"/>
        <v>4805.7692307692305</v>
      </c>
      <c r="U13" s="28">
        <f t="shared" si="18"/>
        <v>5034.6153846153848</v>
      </c>
      <c r="V13" s="28">
        <f t="shared" si="19"/>
        <v>5263.4615384615381</v>
      </c>
      <c r="W13" s="28">
        <f t="shared" si="20"/>
        <v>5492.3076923076924</v>
      </c>
    </row>
    <row r="14" spans="1:23" x14ac:dyDescent="0.2">
      <c r="A14" s="28">
        <v>13</v>
      </c>
      <c r="B14" s="28">
        <v>98.428571428571431</v>
      </c>
      <c r="C14" s="28">
        <f t="shared" si="0"/>
        <v>984.28571428571433</v>
      </c>
      <c r="D14" s="28">
        <f t="shared" si="1"/>
        <v>1230.3571428571429</v>
      </c>
      <c r="E14" s="28">
        <f t="shared" si="2"/>
        <v>1476.4285714285716</v>
      </c>
      <c r="F14" s="28">
        <f t="shared" si="3"/>
        <v>1722.5</v>
      </c>
      <c r="G14" s="28">
        <f t="shared" si="4"/>
        <v>1968.5714285714287</v>
      </c>
      <c r="H14" s="28">
        <f t="shared" si="5"/>
        <v>2214.6428571428573</v>
      </c>
      <c r="I14" s="28">
        <f t="shared" si="6"/>
        <v>2460.7142857142858</v>
      </c>
      <c r="J14" s="28">
        <f t="shared" si="7"/>
        <v>2706.7857142857142</v>
      </c>
      <c r="K14" s="28">
        <f t="shared" si="8"/>
        <v>2952.8571428571431</v>
      </c>
      <c r="L14" s="28">
        <f t="shared" si="9"/>
        <v>3198.9285714285716</v>
      </c>
      <c r="M14" s="28">
        <f t="shared" si="10"/>
        <v>3445</v>
      </c>
      <c r="N14" s="28">
        <f t="shared" si="11"/>
        <v>3691.0714285714289</v>
      </c>
      <c r="O14" s="28">
        <f t="shared" si="12"/>
        <v>3937.1428571428573</v>
      </c>
      <c r="P14" s="28">
        <f t="shared" si="13"/>
        <v>4183.2142857142862</v>
      </c>
      <c r="Q14" s="28">
        <f t="shared" si="14"/>
        <v>4429.2857142857147</v>
      </c>
      <c r="R14" s="28">
        <f t="shared" si="15"/>
        <v>4675.3571428571431</v>
      </c>
      <c r="S14" s="28">
        <f t="shared" si="16"/>
        <v>4921.4285714285716</v>
      </c>
      <c r="T14" s="28">
        <f t="shared" si="17"/>
        <v>5167.5</v>
      </c>
      <c r="U14" s="28">
        <f t="shared" si="18"/>
        <v>5413.5714285714284</v>
      </c>
      <c r="V14" s="28">
        <f t="shared" si="19"/>
        <v>5659.6428571428578</v>
      </c>
      <c r="W14" s="28">
        <f t="shared" si="20"/>
        <v>5905.7142857142862</v>
      </c>
    </row>
    <row r="15" spans="1:23" x14ac:dyDescent="0.2">
      <c r="A15" s="28">
        <v>14</v>
      </c>
      <c r="B15" s="28">
        <v>106.44444444444444</v>
      </c>
      <c r="C15" s="28">
        <f t="shared" si="0"/>
        <v>1064.4444444444443</v>
      </c>
      <c r="D15" s="28">
        <f t="shared" si="1"/>
        <v>1330.5555555555554</v>
      </c>
      <c r="E15" s="28">
        <f t="shared" si="2"/>
        <v>1596.6666666666665</v>
      </c>
      <c r="F15" s="28">
        <f t="shared" si="3"/>
        <v>1862.7777777777776</v>
      </c>
      <c r="G15" s="28">
        <f t="shared" si="4"/>
        <v>2128.8888888888887</v>
      </c>
      <c r="H15" s="28">
        <f t="shared" si="5"/>
        <v>2395</v>
      </c>
      <c r="I15" s="28">
        <f t="shared" si="6"/>
        <v>2661.1111111111109</v>
      </c>
      <c r="J15" s="28">
        <f t="shared" si="7"/>
        <v>2927.2222222222217</v>
      </c>
      <c r="K15" s="28">
        <f t="shared" si="8"/>
        <v>3193.333333333333</v>
      </c>
      <c r="L15" s="28">
        <f t="shared" si="9"/>
        <v>3459.4444444444443</v>
      </c>
      <c r="M15" s="28">
        <f t="shared" si="10"/>
        <v>3725.5555555555552</v>
      </c>
      <c r="N15" s="28">
        <f t="shared" si="11"/>
        <v>3991.6666666666661</v>
      </c>
      <c r="O15" s="28">
        <f t="shared" si="12"/>
        <v>4257.7777777777774</v>
      </c>
      <c r="P15" s="28">
        <f t="shared" si="13"/>
        <v>4523.8888888888887</v>
      </c>
      <c r="Q15" s="28">
        <f t="shared" si="14"/>
        <v>4790</v>
      </c>
      <c r="R15" s="28">
        <f t="shared" si="15"/>
        <v>5056.1111111111104</v>
      </c>
      <c r="S15" s="28">
        <f t="shared" si="16"/>
        <v>5322.2222222222217</v>
      </c>
      <c r="T15" s="28">
        <f t="shared" si="17"/>
        <v>5588.333333333333</v>
      </c>
      <c r="U15" s="28">
        <f t="shared" si="18"/>
        <v>5854.4444444444434</v>
      </c>
      <c r="V15" s="28">
        <f t="shared" si="19"/>
        <v>6120.5555555555547</v>
      </c>
      <c r="W15" s="28">
        <f t="shared" si="20"/>
        <v>6386.6666666666661</v>
      </c>
    </row>
    <row r="16" spans="1:23" x14ac:dyDescent="0.2">
      <c r="A16" s="28">
        <v>15</v>
      </c>
      <c r="B16" s="28">
        <v>114.29166666666667</v>
      </c>
      <c r="C16" s="28">
        <f t="shared" si="0"/>
        <v>1142.9166666666667</v>
      </c>
      <c r="D16" s="28">
        <f t="shared" si="1"/>
        <v>1428.6458333333335</v>
      </c>
      <c r="E16" s="28">
        <f t="shared" si="2"/>
        <v>1714.375</v>
      </c>
      <c r="F16" s="28">
        <f t="shared" si="3"/>
        <v>2000.1041666666667</v>
      </c>
      <c r="G16" s="28">
        <f t="shared" si="4"/>
        <v>2285.8333333333335</v>
      </c>
      <c r="H16" s="28">
        <f t="shared" si="5"/>
        <v>2571.5625</v>
      </c>
      <c r="I16" s="28">
        <f t="shared" si="6"/>
        <v>2857.291666666667</v>
      </c>
      <c r="J16" s="28">
        <f t="shared" si="7"/>
        <v>3143.0208333333335</v>
      </c>
      <c r="K16" s="28">
        <f t="shared" si="8"/>
        <v>3428.75</v>
      </c>
      <c r="L16" s="28">
        <f t="shared" si="9"/>
        <v>3714.479166666667</v>
      </c>
      <c r="M16" s="28">
        <f t="shared" si="10"/>
        <v>4000.2083333333335</v>
      </c>
      <c r="N16" s="28">
        <f t="shared" si="11"/>
        <v>4285.9375</v>
      </c>
      <c r="O16" s="28">
        <f t="shared" si="12"/>
        <v>4571.666666666667</v>
      </c>
      <c r="P16" s="28">
        <f t="shared" si="13"/>
        <v>4857.3958333333339</v>
      </c>
      <c r="Q16" s="28">
        <f t="shared" si="14"/>
        <v>5143.125</v>
      </c>
      <c r="R16" s="28">
        <f t="shared" si="15"/>
        <v>5428.854166666667</v>
      </c>
      <c r="S16" s="28">
        <f t="shared" si="16"/>
        <v>5714.5833333333339</v>
      </c>
      <c r="T16" s="28">
        <f t="shared" si="17"/>
        <v>6000.3125</v>
      </c>
      <c r="U16" s="28">
        <f t="shared" si="18"/>
        <v>6286.041666666667</v>
      </c>
      <c r="V16" s="28">
        <f t="shared" si="19"/>
        <v>6571.7708333333339</v>
      </c>
      <c r="W16" s="28">
        <f t="shared" si="20"/>
        <v>6857.5</v>
      </c>
    </row>
    <row r="17" spans="1:23" x14ac:dyDescent="0.2">
      <c r="A17" s="28">
        <v>16</v>
      </c>
      <c r="B17" s="28">
        <v>123.37254901960785</v>
      </c>
      <c r="C17" s="28">
        <f t="shared" si="0"/>
        <v>1233.7254901960785</v>
      </c>
      <c r="D17" s="28">
        <f t="shared" si="1"/>
        <v>1542.1568627450981</v>
      </c>
      <c r="E17" s="28">
        <f t="shared" si="2"/>
        <v>1850.5882352941176</v>
      </c>
      <c r="F17" s="28">
        <f t="shared" si="3"/>
        <v>2159.0196078431372</v>
      </c>
      <c r="G17" s="28">
        <f t="shared" si="4"/>
        <v>2467.4509803921569</v>
      </c>
      <c r="H17" s="28">
        <f t="shared" si="5"/>
        <v>2775.8823529411766</v>
      </c>
      <c r="I17" s="28">
        <f t="shared" si="6"/>
        <v>3084.3137254901962</v>
      </c>
      <c r="J17" s="28">
        <f t="shared" si="7"/>
        <v>3392.7450980392159</v>
      </c>
      <c r="K17" s="28">
        <f t="shared" si="8"/>
        <v>3701.1764705882351</v>
      </c>
      <c r="L17" s="28">
        <f t="shared" si="9"/>
        <v>4009.6078431372548</v>
      </c>
      <c r="M17" s="28">
        <f t="shared" si="10"/>
        <v>4318.0392156862745</v>
      </c>
      <c r="N17" s="28">
        <f t="shared" si="11"/>
        <v>4626.4705882352946</v>
      </c>
      <c r="O17" s="28">
        <f t="shared" si="12"/>
        <v>4934.9019607843138</v>
      </c>
      <c r="P17" s="28">
        <f t="shared" si="13"/>
        <v>5243.333333333333</v>
      </c>
      <c r="Q17" s="28">
        <f t="shared" si="14"/>
        <v>5551.7647058823532</v>
      </c>
      <c r="R17" s="28">
        <f t="shared" si="15"/>
        <v>5860.1960784313724</v>
      </c>
      <c r="S17" s="28">
        <f t="shared" si="16"/>
        <v>6168.6274509803925</v>
      </c>
      <c r="T17" s="28">
        <f t="shared" si="17"/>
        <v>6477.0588235294117</v>
      </c>
      <c r="U17" s="28">
        <f t="shared" si="18"/>
        <v>6785.4901960784318</v>
      </c>
      <c r="V17" s="28">
        <f t="shared" si="19"/>
        <v>7093.9215686274511</v>
      </c>
      <c r="W17" s="28">
        <f t="shared" si="20"/>
        <v>7402.3529411764703</v>
      </c>
    </row>
    <row r="18" spans="1:23" x14ac:dyDescent="0.2">
      <c r="A18" s="28">
        <v>17</v>
      </c>
      <c r="B18" s="28">
        <v>131.44444444444443</v>
      </c>
      <c r="C18" s="28">
        <f t="shared" si="0"/>
        <v>1314.4444444444443</v>
      </c>
      <c r="D18" s="28">
        <f t="shared" si="1"/>
        <v>1643.0555555555554</v>
      </c>
      <c r="E18" s="28">
        <f t="shared" si="2"/>
        <v>1971.6666666666665</v>
      </c>
      <c r="F18" s="28">
        <f t="shared" si="3"/>
        <v>2300.2777777777774</v>
      </c>
      <c r="G18" s="28">
        <f t="shared" si="4"/>
        <v>2628.8888888888887</v>
      </c>
      <c r="H18" s="28">
        <f t="shared" si="5"/>
        <v>2957.5</v>
      </c>
      <c r="I18" s="28">
        <f t="shared" si="6"/>
        <v>3286.1111111111109</v>
      </c>
      <c r="J18" s="28">
        <f t="shared" si="7"/>
        <v>3614.7222222222217</v>
      </c>
      <c r="K18" s="28">
        <f t="shared" si="8"/>
        <v>3943.333333333333</v>
      </c>
      <c r="L18" s="28">
        <f t="shared" si="9"/>
        <v>4271.9444444444443</v>
      </c>
      <c r="M18" s="28">
        <f t="shared" si="10"/>
        <v>4600.5555555555547</v>
      </c>
      <c r="N18" s="28">
        <f t="shared" si="11"/>
        <v>4929.1666666666661</v>
      </c>
      <c r="O18" s="28">
        <f t="shared" si="12"/>
        <v>5257.7777777777774</v>
      </c>
      <c r="P18" s="28">
        <f t="shared" si="13"/>
        <v>5586.3888888888887</v>
      </c>
      <c r="Q18" s="28">
        <f t="shared" si="14"/>
        <v>5915</v>
      </c>
      <c r="R18" s="28">
        <f t="shared" si="15"/>
        <v>6243.6111111111104</v>
      </c>
      <c r="S18" s="28">
        <f t="shared" si="16"/>
        <v>6572.2222222222217</v>
      </c>
      <c r="T18" s="28">
        <f t="shared" si="17"/>
        <v>6900.833333333333</v>
      </c>
      <c r="U18" s="28">
        <f t="shared" si="18"/>
        <v>7229.4444444444434</v>
      </c>
      <c r="V18" s="28">
        <f t="shared" si="19"/>
        <v>7558.0555555555547</v>
      </c>
      <c r="W18" s="28">
        <f t="shared" si="20"/>
        <v>7886.6666666666661</v>
      </c>
    </row>
    <row r="19" spans="1:23" x14ac:dyDescent="0.2">
      <c r="A19" s="28">
        <v>18</v>
      </c>
      <c r="B19" s="28">
        <v>142.10526315789474</v>
      </c>
      <c r="C19" s="28">
        <f t="shared" si="0"/>
        <v>1421.0526315789475</v>
      </c>
      <c r="D19" s="28">
        <f t="shared" si="1"/>
        <v>1776.3157894736844</v>
      </c>
      <c r="E19" s="28">
        <f t="shared" si="2"/>
        <v>2131.5789473684213</v>
      </c>
      <c r="F19" s="28">
        <f t="shared" si="3"/>
        <v>2486.8421052631584</v>
      </c>
      <c r="G19" s="28">
        <f t="shared" si="4"/>
        <v>2842.105263157895</v>
      </c>
      <c r="H19" s="28">
        <f t="shared" si="5"/>
        <v>3197.3684210526317</v>
      </c>
      <c r="I19" s="28">
        <f t="shared" si="6"/>
        <v>3552.6315789473688</v>
      </c>
      <c r="J19" s="28">
        <f t="shared" si="7"/>
        <v>3907.8947368421059</v>
      </c>
      <c r="K19" s="28">
        <f t="shared" si="8"/>
        <v>4263.1578947368425</v>
      </c>
      <c r="L19" s="28">
        <f t="shared" si="9"/>
        <v>4618.4210526315792</v>
      </c>
      <c r="M19" s="28">
        <f t="shared" si="10"/>
        <v>4973.6842105263167</v>
      </c>
      <c r="N19" s="28">
        <f t="shared" si="11"/>
        <v>5328.9473684210534</v>
      </c>
      <c r="O19" s="28">
        <f t="shared" si="12"/>
        <v>5684.21052631579</v>
      </c>
      <c r="P19" s="28">
        <f t="shared" si="13"/>
        <v>6039.4736842105267</v>
      </c>
      <c r="Q19" s="28">
        <f t="shared" si="14"/>
        <v>6394.7368421052633</v>
      </c>
      <c r="R19" s="28">
        <f t="shared" si="15"/>
        <v>6750.0000000000009</v>
      </c>
      <c r="S19" s="28">
        <f t="shared" si="16"/>
        <v>7105.2631578947376</v>
      </c>
      <c r="T19" s="28">
        <f t="shared" si="17"/>
        <v>7460.5263157894742</v>
      </c>
      <c r="U19" s="28">
        <f t="shared" si="18"/>
        <v>7815.7894736842118</v>
      </c>
      <c r="V19" s="28">
        <f t="shared" si="19"/>
        <v>8171.0526315789484</v>
      </c>
      <c r="W19" s="28">
        <f t="shared" si="20"/>
        <v>8526.3157894736851</v>
      </c>
    </row>
    <row r="20" spans="1:23" x14ac:dyDescent="0.2">
      <c r="A20" s="28">
        <v>19</v>
      </c>
      <c r="B20" s="28">
        <v>151.69999999999999</v>
      </c>
      <c r="C20" s="28">
        <f t="shared" si="0"/>
        <v>1517</v>
      </c>
      <c r="D20" s="28">
        <f t="shared" si="1"/>
        <v>1896.25</v>
      </c>
      <c r="E20" s="28">
        <f t="shared" si="2"/>
        <v>2275.5</v>
      </c>
      <c r="F20" s="28">
        <f t="shared" si="3"/>
        <v>2654.75</v>
      </c>
      <c r="G20" s="28">
        <f t="shared" si="4"/>
        <v>3034</v>
      </c>
      <c r="H20" s="28">
        <f t="shared" si="5"/>
        <v>3413.25</v>
      </c>
      <c r="I20" s="28">
        <f t="shared" si="6"/>
        <v>3792.5</v>
      </c>
      <c r="J20" s="28">
        <f t="shared" si="7"/>
        <v>4171.75</v>
      </c>
      <c r="K20" s="28">
        <f t="shared" si="8"/>
        <v>4551</v>
      </c>
      <c r="L20" s="28">
        <f t="shared" si="9"/>
        <v>4930.25</v>
      </c>
      <c r="M20" s="28">
        <f t="shared" si="10"/>
        <v>5309.5</v>
      </c>
      <c r="N20" s="28">
        <f t="shared" si="11"/>
        <v>5688.75</v>
      </c>
      <c r="O20" s="28">
        <f t="shared" si="12"/>
        <v>6068</v>
      </c>
      <c r="P20" s="28">
        <f t="shared" si="13"/>
        <v>6447.25</v>
      </c>
      <c r="Q20" s="28">
        <f t="shared" si="14"/>
        <v>6826.5</v>
      </c>
      <c r="R20" s="28">
        <f t="shared" si="15"/>
        <v>7205.75</v>
      </c>
      <c r="S20" s="28">
        <f t="shared" si="16"/>
        <v>7585</v>
      </c>
      <c r="T20" s="28">
        <f t="shared" si="17"/>
        <v>7964.25</v>
      </c>
      <c r="U20" s="28">
        <f t="shared" si="18"/>
        <v>8343.5</v>
      </c>
      <c r="V20" s="28">
        <f t="shared" si="19"/>
        <v>8722.75</v>
      </c>
      <c r="W20" s="28">
        <f t="shared" si="20"/>
        <v>9102</v>
      </c>
    </row>
    <row r="21" spans="1:23" x14ac:dyDescent="0.2">
      <c r="A21" s="28">
        <v>20</v>
      </c>
      <c r="B21" s="28">
        <v>162.66666666666666</v>
      </c>
      <c r="C21" s="28">
        <f t="shared" si="0"/>
        <v>1626.6666666666665</v>
      </c>
      <c r="D21" s="28">
        <f t="shared" si="1"/>
        <v>2033.333333333333</v>
      </c>
      <c r="E21" s="28">
        <f t="shared" si="2"/>
        <v>2440</v>
      </c>
      <c r="F21" s="28">
        <f t="shared" si="3"/>
        <v>2846.6666666666665</v>
      </c>
      <c r="G21" s="28">
        <f t="shared" si="4"/>
        <v>3253.333333333333</v>
      </c>
      <c r="H21" s="28">
        <f t="shared" si="5"/>
        <v>3659.9999999999995</v>
      </c>
      <c r="I21" s="28">
        <f t="shared" si="6"/>
        <v>4066.6666666666661</v>
      </c>
      <c r="J21" s="28">
        <f t="shared" si="7"/>
        <v>4473.333333333333</v>
      </c>
      <c r="K21" s="28">
        <f t="shared" si="8"/>
        <v>4880</v>
      </c>
      <c r="L21" s="28">
        <f t="shared" si="9"/>
        <v>5286.6666666666661</v>
      </c>
      <c r="M21" s="28">
        <f t="shared" si="10"/>
        <v>5693.333333333333</v>
      </c>
      <c r="N21" s="28">
        <f t="shared" si="11"/>
        <v>6099.9999999999991</v>
      </c>
      <c r="O21" s="28">
        <f t="shared" si="12"/>
        <v>6506.6666666666661</v>
      </c>
      <c r="P21" s="28">
        <f t="shared" si="13"/>
        <v>6913.333333333333</v>
      </c>
      <c r="Q21" s="28">
        <f t="shared" si="14"/>
        <v>7319.9999999999991</v>
      </c>
      <c r="R21" s="28">
        <f t="shared" si="15"/>
        <v>7726.6666666666661</v>
      </c>
      <c r="S21" s="28">
        <f t="shared" si="16"/>
        <v>8133.3333333333321</v>
      </c>
      <c r="T21" s="28">
        <f t="shared" si="17"/>
        <v>8540</v>
      </c>
      <c r="U21" s="28">
        <f t="shared" si="18"/>
        <v>8946.6666666666661</v>
      </c>
      <c r="V21" s="28">
        <f t="shared" si="19"/>
        <v>9353.3333333333321</v>
      </c>
      <c r="W21" s="28">
        <f t="shared" si="20"/>
        <v>9760</v>
      </c>
    </row>
    <row r="22" spans="1:23" x14ac:dyDescent="0.2">
      <c r="A22" s="28">
        <v>21</v>
      </c>
      <c r="B22" s="28">
        <v>173.69696969696972</v>
      </c>
      <c r="C22" s="28">
        <f t="shared" si="0"/>
        <v>1736.9696969696972</v>
      </c>
      <c r="D22" s="28">
        <f t="shared" si="1"/>
        <v>2171.2121212121215</v>
      </c>
      <c r="E22" s="28">
        <f t="shared" si="2"/>
        <v>2605.454545454546</v>
      </c>
      <c r="F22" s="28">
        <f t="shared" si="3"/>
        <v>3039.69696969697</v>
      </c>
      <c r="G22" s="28">
        <f t="shared" si="4"/>
        <v>3473.9393939393944</v>
      </c>
      <c r="H22" s="28">
        <f t="shared" si="5"/>
        <v>3908.1818181818189</v>
      </c>
      <c r="I22" s="28">
        <f t="shared" si="6"/>
        <v>4342.4242424242429</v>
      </c>
      <c r="J22" s="28">
        <f t="shared" si="7"/>
        <v>4776.666666666667</v>
      </c>
      <c r="K22" s="28">
        <f t="shared" si="8"/>
        <v>5210.9090909090919</v>
      </c>
      <c r="L22" s="28">
        <f t="shared" si="9"/>
        <v>5645.1515151515159</v>
      </c>
      <c r="M22" s="28">
        <f t="shared" si="10"/>
        <v>6079.3939393939399</v>
      </c>
      <c r="N22" s="28">
        <f t="shared" si="11"/>
        <v>6513.6363636363649</v>
      </c>
      <c r="O22" s="28">
        <f t="shared" si="12"/>
        <v>6947.8787878787889</v>
      </c>
      <c r="P22" s="28">
        <f t="shared" si="13"/>
        <v>7382.1212121212129</v>
      </c>
      <c r="Q22" s="28">
        <f t="shared" si="14"/>
        <v>7816.3636363636379</v>
      </c>
      <c r="R22" s="28">
        <f t="shared" si="15"/>
        <v>8250.6060606060619</v>
      </c>
      <c r="S22" s="28">
        <f t="shared" si="16"/>
        <v>8684.8484848484859</v>
      </c>
      <c r="T22" s="28">
        <f t="shared" si="17"/>
        <v>9119.0909090909099</v>
      </c>
      <c r="U22" s="28">
        <f t="shared" si="18"/>
        <v>9553.3333333333339</v>
      </c>
      <c r="V22" s="28">
        <f t="shared" si="19"/>
        <v>9987.5757575757598</v>
      </c>
      <c r="W22" s="28">
        <f t="shared" si="20"/>
        <v>10421.818181818184</v>
      </c>
    </row>
    <row r="23" spans="1:23" x14ac:dyDescent="0.2">
      <c r="A23" s="28">
        <v>22</v>
      </c>
      <c r="B23" s="28">
        <v>185.8550724637681</v>
      </c>
      <c r="C23" s="28">
        <f t="shared" si="0"/>
        <v>1858.550724637681</v>
      </c>
      <c r="D23" s="28">
        <f t="shared" si="1"/>
        <v>2323.188405797101</v>
      </c>
      <c r="E23" s="28">
        <f t="shared" si="2"/>
        <v>2787.8260869565215</v>
      </c>
      <c r="F23" s="28">
        <f t="shared" si="3"/>
        <v>3252.463768115942</v>
      </c>
      <c r="G23" s="28">
        <f t="shared" si="4"/>
        <v>3717.101449275362</v>
      </c>
      <c r="H23" s="28">
        <f t="shared" si="5"/>
        <v>4181.7391304347821</v>
      </c>
      <c r="I23" s="28">
        <f t="shared" si="6"/>
        <v>4646.3768115942021</v>
      </c>
      <c r="J23" s="28">
        <f t="shared" si="7"/>
        <v>5111.014492753623</v>
      </c>
      <c r="K23" s="28">
        <f t="shared" si="8"/>
        <v>5575.652173913043</v>
      </c>
      <c r="L23" s="28">
        <f t="shared" si="9"/>
        <v>6040.2898550724631</v>
      </c>
      <c r="M23" s="28">
        <f t="shared" si="10"/>
        <v>6504.927536231884</v>
      </c>
      <c r="N23" s="28">
        <f t="shared" si="11"/>
        <v>6969.565217391304</v>
      </c>
      <c r="O23" s="28">
        <f t="shared" si="12"/>
        <v>7434.2028985507241</v>
      </c>
      <c r="P23" s="28">
        <f t="shared" si="13"/>
        <v>7898.8405797101441</v>
      </c>
      <c r="Q23" s="28">
        <f t="shared" si="14"/>
        <v>8363.4782608695641</v>
      </c>
      <c r="R23" s="28">
        <f t="shared" si="15"/>
        <v>8828.1159420289841</v>
      </c>
      <c r="S23" s="28">
        <f t="shared" si="16"/>
        <v>9292.7536231884042</v>
      </c>
      <c r="T23" s="28">
        <f t="shared" si="17"/>
        <v>9757.391304347826</v>
      </c>
      <c r="U23" s="28">
        <f t="shared" si="18"/>
        <v>10222.028985507246</v>
      </c>
      <c r="V23" s="28">
        <f t="shared" si="19"/>
        <v>10686.666666666666</v>
      </c>
      <c r="W23" s="28">
        <f t="shared" si="20"/>
        <v>11151.304347826086</v>
      </c>
    </row>
    <row r="24" spans="1:23" x14ac:dyDescent="0.2">
      <c r="A24" s="28">
        <v>23</v>
      </c>
      <c r="B24" s="28">
        <v>197</v>
      </c>
      <c r="C24" s="28">
        <f t="shared" si="0"/>
        <v>1970</v>
      </c>
      <c r="D24" s="28">
        <f t="shared" si="1"/>
        <v>2462.5</v>
      </c>
      <c r="E24" s="28">
        <f t="shared" si="2"/>
        <v>2955</v>
      </c>
      <c r="F24" s="28">
        <f t="shared" si="3"/>
        <v>3447.5</v>
      </c>
      <c r="G24" s="28">
        <f t="shared" si="4"/>
        <v>3940</v>
      </c>
      <c r="H24" s="28">
        <f t="shared" si="5"/>
        <v>4432.5</v>
      </c>
      <c r="I24" s="28">
        <f t="shared" si="6"/>
        <v>4925</v>
      </c>
      <c r="J24" s="28">
        <f t="shared" si="7"/>
        <v>5417.5</v>
      </c>
      <c r="K24" s="28">
        <f t="shared" si="8"/>
        <v>5910</v>
      </c>
      <c r="L24" s="28">
        <f t="shared" si="9"/>
        <v>6402.5</v>
      </c>
      <c r="M24" s="28">
        <f t="shared" si="10"/>
        <v>6895</v>
      </c>
      <c r="N24" s="28">
        <f t="shared" si="11"/>
        <v>7387.5</v>
      </c>
      <c r="O24" s="28">
        <f t="shared" si="12"/>
        <v>7880</v>
      </c>
      <c r="P24" s="28">
        <f t="shared" si="13"/>
        <v>8372.5</v>
      </c>
      <c r="Q24" s="28">
        <f t="shared" si="14"/>
        <v>8865</v>
      </c>
      <c r="R24" s="28">
        <f t="shared" si="15"/>
        <v>9357.5</v>
      </c>
      <c r="S24" s="28">
        <f t="shared" si="16"/>
        <v>9850</v>
      </c>
      <c r="T24" s="28">
        <f t="shared" si="17"/>
        <v>10342.5</v>
      </c>
      <c r="U24" s="28">
        <f t="shared" si="18"/>
        <v>10835</v>
      </c>
      <c r="V24" s="28">
        <f t="shared" si="19"/>
        <v>11327.5</v>
      </c>
      <c r="W24" s="28">
        <f t="shared" si="20"/>
        <v>11820</v>
      </c>
    </row>
    <row r="25" spans="1:23" x14ac:dyDescent="0.2">
      <c r="A25" s="28">
        <v>24</v>
      </c>
      <c r="B25" s="28">
        <v>210.85333333333335</v>
      </c>
      <c r="C25" s="28">
        <f t="shared" si="0"/>
        <v>2108.5333333333338</v>
      </c>
      <c r="D25" s="28">
        <f t="shared" si="1"/>
        <v>2635.666666666667</v>
      </c>
      <c r="E25" s="28">
        <f t="shared" si="2"/>
        <v>3162.8000000000006</v>
      </c>
      <c r="F25" s="28">
        <f t="shared" si="3"/>
        <v>3689.9333333333343</v>
      </c>
      <c r="G25" s="28">
        <f t="shared" si="4"/>
        <v>4217.0666666666675</v>
      </c>
      <c r="H25" s="28">
        <f t="shared" si="5"/>
        <v>4744.2000000000007</v>
      </c>
      <c r="I25" s="28">
        <f t="shared" si="6"/>
        <v>5271.3333333333339</v>
      </c>
      <c r="J25" s="28">
        <f t="shared" si="7"/>
        <v>5798.4666666666681</v>
      </c>
      <c r="K25" s="28">
        <f t="shared" si="8"/>
        <v>6325.6000000000013</v>
      </c>
      <c r="L25" s="28">
        <f t="shared" si="9"/>
        <v>6852.7333333333345</v>
      </c>
      <c r="M25" s="28">
        <f t="shared" si="10"/>
        <v>7379.8666666666686</v>
      </c>
      <c r="N25" s="28">
        <f t="shared" si="11"/>
        <v>7907.0000000000018</v>
      </c>
      <c r="O25" s="28">
        <f t="shared" si="12"/>
        <v>8434.133333333335</v>
      </c>
      <c r="P25" s="28">
        <f t="shared" si="13"/>
        <v>8961.2666666666682</v>
      </c>
      <c r="Q25" s="28">
        <f t="shared" si="14"/>
        <v>9488.4000000000015</v>
      </c>
      <c r="R25" s="28">
        <f t="shared" si="15"/>
        <v>10015.533333333335</v>
      </c>
      <c r="S25" s="28">
        <f t="shared" si="16"/>
        <v>10542.666666666668</v>
      </c>
      <c r="T25" s="28">
        <f t="shared" si="17"/>
        <v>11069.800000000003</v>
      </c>
      <c r="U25" s="28">
        <f t="shared" si="18"/>
        <v>11596.933333333336</v>
      </c>
      <c r="V25" s="28">
        <f t="shared" si="19"/>
        <v>12124.066666666669</v>
      </c>
      <c r="W25" s="28">
        <f t="shared" si="20"/>
        <v>12651.200000000003</v>
      </c>
    </row>
    <row r="26" spans="1:23" x14ac:dyDescent="0.2">
      <c r="A26" s="28">
        <v>25</v>
      </c>
      <c r="B26" s="28">
        <v>223.64102564102566</v>
      </c>
      <c r="C26" s="28">
        <f t="shared" si="0"/>
        <v>2236.4102564102568</v>
      </c>
      <c r="D26" s="28">
        <f t="shared" si="1"/>
        <v>2795.5128205128212</v>
      </c>
      <c r="E26" s="28">
        <f t="shared" si="2"/>
        <v>3354.6153846153852</v>
      </c>
      <c r="F26" s="28">
        <f t="shared" si="3"/>
        <v>3913.7179487179492</v>
      </c>
      <c r="G26" s="28">
        <f t="shared" si="4"/>
        <v>4472.8205128205136</v>
      </c>
      <c r="H26" s="28">
        <f t="shared" si="5"/>
        <v>5031.923076923078</v>
      </c>
      <c r="I26" s="28">
        <f t="shared" si="6"/>
        <v>5591.0256410256425</v>
      </c>
      <c r="J26" s="28">
        <f t="shared" si="7"/>
        <v>6150.128205128206</v>
      </c>
      <c r="K26" s="28">
        <f t="shared" si="8"/>
        <v>6709.2307692307704</v>
      </c>
      <c r="L26" s="28">
        <f t="shared" si="9"/>
        <v>7268.3333333333348</v>
      </c>
      <c r="M26" s="28">
        <f t="shared" si="10"/>
        <v>7827.4358974358984</v>
      </c>
      <c r="N26" s="28">
        <f t="shared" si="11"/>
        <v>8386.5384615384628</v>
      </c>
      <c r="O26" s="28">
        <f t="shared" si="12"/>
        <v>8945.6410256410272</v>
      </c>
      <c r="P26" s="28">
        <f t="shared" si="13"/>
        <v>9504.7435897435917</v>
      </c>
      <c r="Q26" s="28">
        <f t="shared" si="14"/>
        <v>10063.846153846156</v>
      </c>
      <c r="R26" s="28">
        <f t="shared" si="15"/>
        <v>10622.948717948721</v>
      </c>
      <c r="S26" s="28">
        <f t="shared" si="16"/>
        <v>11182.051282051285</v>
      </c>
      <c r="T26" s="28">
        <f t="shared" si="17"/>
        <v>11741.153846153848</v>
      </c>
      <c r="U26" s="28">
        <f t="shared" si="18"/>
        <v>12300.256410256412</v>
      </c>
      <c r="V26" s="28">
        <f t="shared" si="19"/>
        <v>12859.358974358976</v>
      </c>
      <c r="W26" s="28">
        <f t="shared" si="20"/>
        <v>13418.461538461541</v>
      </c>
    </row>
    <row r="27" spans="1:23" x14ac:dyDescent="0.2">
      <c r="A27" s="28">
        <v>26</v>
      </c>
      <c r="B27" s="28">
        <v>237.80246913580248</v>
      </c>
      <c r="C27" s="28">
        <f t="shared" si="0"/>
        <v>2378.0246913580249</v>
      </c>
      <c r="D27" s="28">
        <f t="shared" si="1"/>
        <v>2972.5308641975312</v>
      </c>
      <c r="E27" s="28">
        <f t="shared" si="2"/>
        <v>3567.0370370370374</v>
      </c>
      <c r="F27" s="28">
        <f t="shared" si="3"/>
        <v>4161.5432098765432</v>
      </c>
      <c r="G27" s="28">
        <f t="shared" si="4"/>
        <v>4756.0493827160499</v>
      </c>
      <c r="H27" s="28">
        <f t="shared" si="5"/>
        <v>5350.5555555555566</v>
      </c>
      <c r="I27" s="28">
        <f t="shared" si="6"/>
        <v>5945.0617283950623</v>
      </c>
      <c r="J27" s="28">
        <f t="shared" si="7"/>
        <v>6539.5679012345681</v>
      </c>
      <c r="K27" s="28">
        <f t="shared" si="8"/>
        <v>7134.0740740740748</v>
      </c>
      <c r="L27" s="28">
        <f t="shared" si="9"/>
        <v>7728.5802469135815</v>
      </c>
      <c r="M27" s="28">
        <f t="shared" si="10"/>
        <v>8323.0864197530864</v>
      </c>
      <c r="N27" s="28">
        <f t="shared" si="11"/>
        <v>8917.5925925925931</v>
      </c>
      <c r="O27" s="28">
        <f t="shared" si="12"/>
        <v>9512.0987654320998</v>
      </c>
      <c r="P27" s="28">
        <f t="shared" si="13"/>
        <v>10106.604938271606</v>
      </c>
      <c r="Q27" s="28">
        <f t="shared" si="14"/>
        <v>10701.111111111113</v>
      </c>
      <c r="R27" s="28">
        <f t="shared" si="15"/>
        <v>11295.617283950618</v>
      </c>
      <c r="S27" s="28">
        <f t="shared" si="16"/>
        <v>11890.123456790125</v>
      </c>
      <c r="T27" s="28">
        <f t="shared" si="17"/>
        <v>12484.629629629631</v>
      </c>
      <c r="U27" s="28">
        <f t="shared" si="18"/>
        <v>13079.135802469136</v>
      </c>
      <c r="V27" s="28">
        <f t="shared" si="19"/>
        <v>13673.641975308643</v>
      </c>
      <c r="W27" s="28">
        <f t="shared" si="20"/>
        <v>14268.14814814815</v>
      </c>
    </row>
    <row r="28" spans="1:23" x14ac:dyDescent="0.2">
      <c r="A28" s="28">
        <v>27</v>
      </c>
      <c r="B28" s="28">
        <v>252.07142857142856</v>
      </c>
      <c r="C28" s="28">
        <f t="shared" si="0"/>
        <v>2520.7142857142853</v>
      </c>
      <c r="D28" s="28">
        <f t="shared" si="1"/>
        <v>3150.8928571428569</v>
      </c>
      <c r="E28" s="28">
        <f t="shared" si="2"/>
        <v>3781.071428571428</v>
      </c>
      <c r="F28" s="28">
        <f t="shared" si="3"/>
        <v>4411.2499999999991</v>
      </c>
      <c r="G28" s="28">
        <f t="shared" si="4"/>
        <v>5041.4285714285706</v>
      </c>
      <c r="H28" s="28">
        <f t="shared" si="5"/>
        <v>5671.6071428571422</v>
      </c>
      <c r="I28" s="28">
        <f t="shared" si="6"/>
        <v>6301.7857142857138</v>
      </c>
      <c r="J28" s="28">
        <f t="shared" si="7"/>
        <v>6931.9642857142844</v>
      </c>
      <c r="K28" s="28">
        <f t="shared" si="8"/>
        <v>7562.142857142856</v>
      </c>
      <c r="L28" s="28">
        <f t="shared" si="9"/>
        <v>8192.3214285714275</v>
      </c>
      <c r="M28" s="28">
        <f t="shared" si="10"/>
        <v>8822.4999999999982</v>
      </c>
      <c r="N28" s="28">
        <f t="shared" si="11"/>
        <v>9452.6785714285706</v>
      </c>
      <c r="O28" s="28">
        <f t="shared" si="12"/>
        <v>10082.857142857141</v>
      </c>
      <c r="P28" s="28">
        <f t="shared" si="13"/>
        <v>10713.035714285712</v>
      </c>
      <c r="Q28" s="28">
        <f t="shared" si="14"/>
        <v>11343.214285714284</v>
      </c>
      <c r="R28" s="28">
        <f t="shared" si="15"/>
        <v>11973.392857142855</v>
      </c>
      <c r="S28" s="28">
        <f t="shared" si="16"/>
        <v>12603.571428571428</v>
      </c>
      <c r="T28" s="28">
        <f t="shared" si="17"/>
        <v>13233.749999999998</v>
      </c>
      <c r="U28" s="28">
        <f t="shared" si="18"/>
        <v>13863.928571428569</v>
      </c>
      <c r="V28" s="28">
        <f t="shared" si="19"/>
        <v>14494.107142857141</v>
      </c>
      <c r="W28" s="28">
        <f t="shared" si="20"/>
        <v>15124.285714285712</v>
      </c>
    </row>
    <row r="29" spans="1:23" x14ac:dyDescent="0.2">
      <c r="A29" s="28">
        <v>28</v>
      </c>
      <c r="B29" s="28">
        <v>267.86206896551721</v>
      </c>
      <c r="C29" s="28">
        <f t="shared" si="0"/>
        <v>2678.6206896551721</v>
      </c>
      <c r="D29" s="28">
        <f t="shared" si="1"/>
        <v>3348.2758620689651</v>
      </c>
      <c r="E29" s="28">
        <f t="shared" si="2"/>
        <v>4017.9310344827582</v>
      </c>
      <c r="F29" s="28">
        <f t="shared" si="3"/>
        <v>4687.5862068965507</v>
      </c>
      <c r="G29" s="28">
        <f t="shared" si="4"/>
        <v>5357.2413793103442</v>
      </c>
      <c r="H29" s="28">
        <f t="shared" si="5"/>
        <v>6026.8965517241377</v>
      </c>
      <c r="I29" s="28">
        <f t="shared" si="6"/>
        <v>6696.5517241379303</v>
      </c>
      <c r="J29" s="28">
        <f t="shared" si="7"/>
        <v>7366.2068965517228</v>
      </c>
      <c r="K29" s="28">
        <f t="shared" si="8"/>
        <v>8035.8620689655163</v>
      </c>
      <c r="L29" s="28">
        <f t="shared" si="9"/>
        <v>8705.5172413793098</v>
      </c>
      <c r="M29" s="28">
        <f t="shared" si="10"/>
        <v>9375.1724137931014</v>
      </c>
      <c r="N29" s="28">
        <f t="shared" si="11"/>
        <v>10044.827586206895</v>
      </c>
      <c r="O29" s="28">
        <f t="shared" si="12"/>
        <v>10714.482758620688</v>
      </c>
      <c r="P29" s="28">
        <f t="shared" si="13"/>
        <v>11384.137931034482</v>
      </c>
      <c r="Q29" s="28">
        <f t="shared" si="14"/>
        <v>12053.793103448275</v>
      </c>
      <c r="R29" s="28">
        <f t="shared" si="15"/>
        <v>12723.448275862067</v>
      </c>
      <c r="S29" s="28">
        <f t="shared" si="16"/>
        <v>13393.103448275861</v>
      </c>
      <c r="T29" s="28">
        <f t="shared" si="17"/>
        <v>14062.758620689654</v>
      </c>
      <c r="U29" s="28">
        <f t="shared" si="18"/>
        <v>14732.413793103446</v>
      </c>
      <c r="V29" s="28">
        <f t="shared" si="19"/>
        <v>15402.068965517239</v>
      </c>
      <c r="W29" s="28">
        <f t="shared" si="20"/>
        <v>16071.724137931033</v>
      </c>
    </row>
    <row r="30" spans="1:23" x14ac:dyDescent="0.2">
      <c r="A30" s="28">
        <v>29</v>
      </c>
      <c r="B30" s="28">
        <v>282.60000000000002</v>
      </c>
      <c r="C30" s="28">
        <f t="shared" si="0"/>
        <v>2826</v>
      </c>
      <c r="D30" s="28">
        <f t="shared" si="1"/>
        <v>3532.5</v>
      </c>
      <c r="E30" s="28">
        <f t="shared" si="2"/>
        <v>4239</v>
      </c>
      <c r="F30" s="28">
        <f t="shared" si="3"/>
        <v>4945.5</v>
      </c>
      <c r="G30" s="28">
        <f t="shared" si="4"/>
        <v>5652</v>
      </c>
      <c r="H30" s="28">
        <f t="shared" si="5"/>
        <v>6358.5</v>
      </c>
      <c r="I30" s="28">
        <f t="shared" si="6"/>
        <v>7065</v>
      </c>
      <c r="J30" s="28">
        <f t="shared" si="7"/>
        <v>7771.5</v>
      </c>
      <c r="K30" s="28">
        <f t="shared" si="8"/>
        <v>8478</v>
      </c>
      <c r="L30" s="28">
        <f t="shared" si="9"/>
        <v>9184.5</v>
      </c>
      <c r="M30" s="28">
        <f t="shared" si="10"/>
        <v>9891</v>
      </c>
      <c r="N30" s="28">
        <f t="shared" si="11"/>
        <v>10597.5</v>
      </c>
      <c r="O30" s="28">
        <f t="shared" si="12"/>
        <v>11304</v>
      </c>
      <c r="P30" s="28">
        <f t="shared" si="13"/>
        <v>12010.5</v>
      </c>
      <c r="Q30" s="28">
        <f t="shared" si="14"/>
        <v>12717</v>
      </c>
      <c r="R30" s="28">
        <f t="shared" si="15"/>
        <v>13423.5</v>
      </c>
      <c r="S30" s="28">
        <f t="shared" si="16"/>
        <v>14130</v>
      </c>
      <c r="T30" s="28">
        <f t="shared" si="17"/>
        <v>14836.5</v>
      </c>
      <c r="U30" s="28">
        <f t="shared" si="18"/>
        <v>15543</v>
      </c>
      <c r="V30" s="28">
        <f t="shared" si="19"/>
        <v>16249.5</v>
      </c>
      <c r="W30" s="28">
        <f t="shared" si="20"/>
        <v>16956</v>
      </c>
    </row>
    <row r="31" spans="1:23" x14ac:dyDescent="0.2">
      <c r="A31" s="28">
        <v>30</v>
      </c>
      <c r="B31" s="28">
        <v>300.04301075268819</v>
      </c>
      <c r="C31" s="28">
        <f t="shared" si="0"/>
        <v>3000.4301075268818</v>
      </c>
      <c r="D31" s="28">
        <f t="shared" si="1"/>
        <v>3750.5376344086021</v>
      </c>
      <c r="E31" s="28">
        <f t="shared" si="2"/>
        <v>4500.6451612903229</v>
      </c>
      <c r="F31" s="28">
        <f t="shared" si="3"/>
        <v>5250.7526881720432</v>
      </c>
      <c r="G31" s="28">
        <f t="shared" si="4"/>
        <v>6000.8602150537636</v>
      </c>
      <c r="H31" s="28">
        <f t="shared" si="5"/>
        <v>6750.9677419354839</v>
      </c>
      <c r="I31" s="28">
        <f t="shared" si="6"/>
        <v>7501.0752688172042</v>
      </c>
      <c r="J31" s="28">
        <f t="shared" si="7"/>
        <v>8251.1827956989255</v>
      </c>
      <c r="K31" s="28">
        <f t="shared" si="8"/>
        <v>9001.2903225806458</v>
      </c>
      <c r="L31" s="28">
        <f t="shared" si="9"/>
        <v>9751.3978494623661</v>
      </c>
      <c r="M31" s="28">
        <f t="shared" si="10"/>
        <v>10501.505376344086</v>
      </c>
      <c r="N31" s="28">
        <f t="shared" si="11"/>
        <v>11251.612903225807</v>
      </c>
      <c r="O31" s="28">
        <f t="shared" si="12"/>
        <v>12001.720430107527</v>
      </c>
      <c r="P31" s="28">
        <f t="shared" si="13"/>
        <v>12751.827956989247</v>
      </c>
      <c r="Q31" s="28">
        <f t="shared" si="14"/>
        <v>13501.935483870968</v>
      </c>
      <c r="R31" s="28">
        <f t="shared" si="15"/>
        <v>14252.043010752688</v>
      </c>
      <c r="S31" s="28">
        <f t="shared" si="16"/>
        <v>15002.150537634408</v>
      </c>
      <c r="T31" s="28">
        <f t="shared" si="17"/>
        <v>15752.258064516129</v>
      </c>
      <c r="U31" s="28">
        <f t="shared" si="18"/>
        <v>16502.365591397851</v>
      </c>
      <c r="V31" s="28">
        <f t="shared" si="19"/>
        <v>17252.473118279569</v>
      </c>
      <c r="W31" s="28">
        <f t="shared" si="20"/>
        <v>18002.580645161292</v>
      </c>
    </row>
    <row r="32" spans="1:23" x14ac:dyDescent="0.2">
      <c r="A32" s="28">
        <v>31</v>
      </c>
      <c r="B32" s="28">
        <v>316.39583333333331</v>
      </c>
      <c r="C32" s="28">
        <f t="shared" si="0"/>
        <v>3163.958333333333</v>
      </c>
      <c r="D32" s="28">
        <f t="shared" si="1"/>
        <v>3954.9479166666661</v>
      </c>
      <c r="E32" s="28">
        <f t="shared" si="2"/>
        <v>4745.9375</v>
      </c>
      <c r="F32" s="28">
        <f t="shared" si="3"/>
        <v>5536.927083333333</v>
      </c>
      <c r="G32" s="28">
        <f t="shared" si="4"/>
        <v>6327.9166666666661</v>
      </c>
      <c r="H32" s="28">
        <f t="shared" si="5"/>
        <v>7118.9062499999991</v>
      </c>
      <c r="I32" s="28">
        <f t="shared" si="6"/>
        <v>7909.8958333333321</v>
      </c>
      <c r="J32" s="28">
        <f t="shared" si="7"/>
        <v>8700.8854166666661</v>
      </c>
      <c r="K32" s="28">
        <f t="shared" si="8"/>
        <v>9491.875</v>
      </c>
      <c r="L32" s="28">
        <f t="shared" si="9"/>
        <v>10282.864583333332</v>
      </c>
      <c r="M32" s="28">
        <f t="shared" si="10"/>
        <v>11073.854166666666</v>
      </c>
      <c r="N32" s="28">
        <f t="shared" si="11"/>
        <v>11864.843749999998</v>
      </c>
      <c r="O32" s="28">
        <f t="shared" si="12"/>
        <v>12655.833333333332</v>
      </c>
      <c r="P32" s="28">
        <f t="shared" si="13"/>
        <v>13446.822916666666</v>
      </c>
      <c r="Q32" s="28">
        <f t="shared" si="14"/>
        <v>14237.812499999998</v>
      </c>
      <c r="R32" s="28">
        <f t="shared" si="15"/>
        <v>15028.802083333332</v>
      </c>
      <c r="S32" s="28">
        <f t="shared" si="16"/>
        <v>15819.791666666664</v>
      </c>
      <c r="T32" s="28">
        <f t="shared" si="17"/>
        <v>16610.78125</v>
      </c>
      <c r="U32" s="28">
        <f t="shared" si="18"/>
        <v>17401.770833333332</v>
      </c>
      <c r="V32" s="28">
        <f t="shared" si="19"/>
        <v>18192.760416666664</v>
      </c>
      <c r="W32" s="28">
        <f t="shared" si="20"/>
        <v>18983.75</v>
      </c>
    </row>
    <row r="33" spans="1:23" x14ac:dyDescent="0.2">
      <c r="A33" s="28">
        <v>32</v>
      </c>
      <c r="B33" s="28">
        <v>334.4848484848485</v>
      </c>
      <c r="C33" s="28">
        <f t="shared" si="0"/>
        <v>3344.848484848485</v>
      </c>
      <c r="D33" s="28">
        <f t="shared" si="1"/>
        <v>4181.060606060606</v>
      </c>
      <c r="E33" s="28">
        <f t="shared" si="2"/>
        <v>5017.2727272727279</v>
      </c>
      <c r="F33" s="28">
        <f t="shared" si="3"/>
        <v>5853.484848484849</v>
      </c>
      <c r="G33" s="28">
        <f t="shared" si="4"/>
        <v>6689.69696969697</v>
      </c>
      <c r="H33" s="28">
        <f t="shared" si="5"/>
        <v>7525.909090909091</v>
      </c>
      <c r="I33" s="28">
        <f t="shared" si="6"/>
        <v>8362.121212121212</v>
      </c>
      <c r="J33" s="28">
        <f t="shared" si="7"/>
        <v>9198.3333333333339</v>
      </c>
      <c r="K33" s="28">
        <f t="shared" si="8"/>
        <v>10034.545454545456</v>
      </c>
      <c r="L33" s="28">
        <f t="shared" si="9"/>
        <v>10870.757575757576</v>
      </c>
      <c r="M33" s="28">
        <f t="shared" si="10"/>
        <v>11706.969696969698</v>
      </c>
      <c r="N33" s="28">
        <f t="shared" si="11"/>
        <v>12543.181818181818</v>
      </c>
      <c r="O33" s="28">
        <f t="shared" si="12"/>
        <v>13379.39393939394</v>
      </c>
      <c r="P33" s="28">
        <f t="shared" si="13"/>
        <v>14215.606060606062</v>
      </c>
      <c r="Q33" s="28">
        <f t="shared" si="14"/>
        <v>15051.818181818182</v>
      </c>
      <c r="R33" s="28">
        <f t="shared" si="15"/>
        <v>15888.030303030304</v>
      </c>
      <c r="S33" s="28">
        <f t="shared" si="16"/>
        <v>16724.242424242424</v>
      </c>
      <c r="T33" s="28">
        <f t="shared" si="17"/>
        <v>17560.454545454548</v>
      </c>
      <c r="U33" s="28">
        <f t="shared" si="18"/>
        <v>18396.666666666668</v>
      </c>
      <c r="V33" s="28">
        <f t="shared" si="19"/>
        <v>19232.878787878788</v>
      </c>
      <c r="W33" s="28">
        <f t="shared" si="20"/>
        <v>20069.090909090912</v>
      </c>
    </row>
    <row r="34" spans="1:23" x14ac:dyDescent="0.2">
      <c r="A34" s="28">
        <v>33</v>
      </c>
      <c r="B34" s="28">
        <v>352.56862745098039</v>
      </c>
      <c r="C34" s="28">
        <f t="shared" si="0"/>
        <v>3525.6862745098038</v>
      </c>
      <c r="D34" s="28">
        <f t="shared" si="1"/>
        <v>4407.1078431372543</v>
      </c>
      <c r="E34" s="28">
        <f t="shared" si="2"/>
        <v>5288.5294117647054</v>
      </c>
      <c r="F34" s="28">
        <f t="shared" si="3"/>
        <v>6169.9509803921565</v>
      </c>
      <c r="G34" s="28">
        <f t="shared" si="4"/>
        <v>7051.3725490196075</v>
      </c>
      <c r="H34" s="28">
        <f t="shared" si="5"/>
        <v>7932.7941176470586</v>
      </c>
      <c r="I34" s="28">
        <f t="shared" si="6"/>
        <v>8814.2156862745087</v>
      </c>
      <c r="J34" s="28">
        <f t="shared" si="7"/>
        <v>9695.6372549019597</v>
      </c>
      <c r="K34" s="28">
        <f t="shared" si="8"/>
        <v>10577.058823529411</v>
      </c>
      <c r="L34" s="28">
        <f t="shared" si="9"/>
        <v>11458.480392156862</v>
      </c>
      <c r="M34" s="28">
        <f t="shared" si="10"/>
        <v>12339.901960784313</v>
      </c>
      <c r="N34" s="28">
        <f t="shared" si="11"/>
        <v>13221.323529411764</v>
      </c>
      <c r="O34" s="28">
        <f t="shared" si="12"/>
        <v>14102.745098039215</v>
      </c>
      <c r="P34" s="28">
        <f t="shared" si="13"/>
        <v>14984.166666666666</v>
      </c>
      <c r="Q34" s="28">
        <f t="shared" si="14"/>
        <v>15865.588235294117</v>
      </c>
      <c r="R34" s="28">
        <f t="shared" si="15"/>
        <v>16747.009803921566</v>
      </c>
      <c r="S34" s="28">
        <f t="shared" si="16"/>
        <v>17628.431372549017</v>
      </c>
      <c r="T34" s="28">
        <f t="shared" si="17"/>
        <v>18509.852941176468</v>
      </c>
      <c r="U34" s="28">
        <f t="shared" si="18"/>
        <v>19391.274509803919</v>
      </c>
      <c r="V34" s="28">
        <f t="shared" si="19"/>
        <v>20272.696078431371</v>
      </c>
      <c r="W34" s="28">
        <f t="shared" si="20"/>
        <v>21154.117647058822</v>
      </c>
    </row>
    <row r="35" spans="1:23" x14ac:dyDescent="0.2">
      <c r="A35" s="28">
        <v>34</v>
      </c>
      <c r="B35" s="28">
        <v>372.17142857142858</v>
      </c>
      <c r="C35" s="28">
        <f t="shared" si="0"/>
        <v>3721.7142857142858</v>
      </c>
      <c r="D35" s="28">
        <f t="shared" si="1"/>
        <v>4652.1428571428569</v>
      </c>
      <c r="E35" s="28">
        <f t="shared" si="2"/>
        <v>5582.5714285714284</v>
      </c>
      <c r="F35" s="28">
        <f t="shared" si="3"/>
        <v>6513</v>
      </c>
      <c r="G35" s="28">
        <f t="shared" si="4"/>
        <v>7443.4285714285716</v>
      </c>
      <c r="H35" s="28">
        <f t="shared" si="5"/>
        <v>8373.8571428571431</v>
      </c>
      <c r="I35" s="28">
        <f t="shared" si="6"/>
        <v>9304.2857142857138</v>
      </c>
      <c r="J35" s="28">
        <f t="shared" si="7"/>
        <v>10234.714285714286</v>
      </c>
      <c r="K35" s="28">
        <f t="shared" si="8"/>
        <v>11165.142857142857</v>
      </c>
      <c r="L35" s="28">
        <f t="shared" si="9"/>
        <v>12095.571428571429</v>
      </c>
      <c r="M35" s="28">
        <f t="shared" si="10"/>
        <v>13026</v>
      </c>
      <c r="N35" s="28">
        <f t="shared" si="11"/>
        <v>13956.428571428572</v>
      </c>
      <c r="O35" s="28">
        <f t="shared" si="12"/>
        <v>14886.857142857143</v>
      </c>
      <c r="P35" s="28">
        <f t="shared" si="13"/>
        <v>15817.285714285714</v>
      </c>
      <c r="Q35" s="28">
        <f t="shared" si="14"/>
        <v>16747.714285714286</v>
      </c>
      <c r="R35" s="28">
        <f t="shared" si="15"/>
        <v>17678.142857142859</v>
      </c>
      <c r="S35" s="28">
        <f t="shared" si="16"/>
        <v>18608.571428571428</v>
      </c>
      <c r="T35" s="28">
        <f t="shared" si="17"/>
        <v>19539</v>
      </c>
      <c r="U35" s="28">
        <f t="shared" si="18"/>
        <v>20469.428571428572</v>
      </c>
      <c r="V35" s="28">
        <f t="shared" si="19"/>
        <v>21399.857142857145</v>
      </c>
      <c r="W35" s="28">
        <f t="shared" si="20"/>
        <v>22330.285714285714</v>
      </c>
    </row>
    <row r="36" spans="1:23" x14ac:dyDescent="0.2">
      <c r="A36" s="28">
        <v>35</v>
      </c>
      <c r="B36" s="28">
        <v>390.68518518518516</v>
      </c>
      <c r="C36" s="28">
        <f t="shared" si="0"/>
        <v>3906.8518518518517</v>
      </c>
      <c r="D36" s="28">
        <f t="shared" si="1"/>
        <v>4883.5648148148148</v>
      </c>
      <c r="E36" s="28">
        <f t="shared" si="2"/>
        <v>5860.2777777777774</v>
      </c>
      <c r="F36" s="28">
        <f t="shared" si="3"/>
        <v>6836.9907407407409</v>
      </c>
      <c r="G36" s="28">
        <f t="shared" si="4"/>
        <v>7813.7037037037035</v>
      </c>
      <c r="H36" s="28">
        <f t="shared" si="5"/>
        <v>8790.4166666666661</v>
      </c>
      <c r="I36" s="28">
        <f t="shared" si="6"/>
        <v>9767.1296296296296</v>
      </c>
      <c r="J36" s="28">
        <f t="shared" si="7"/>
        <v>10743.842592592593</v>
      </c>
      <c r="K36" s="28">
        <f t="shared" si="8"/>
        <v>11720.555555555555</v>
      </c>
      <c r="L36" s="28">
        <f t="shared" si="9"/>
        <v>12697.268518518518</v>
      </c>
      <c r="M36" s="28">
        <f t="shared" si="10"/>
        <v>13673.981481481482</v>
      </c>
      <c r="N36" s="28">
        <f t="shared" si="11"/>
        <v>14650.694444444443</v>
      </c>
      <c r="O36" s="28">
        <f t="shared" si="12"/>
        <v>15627.407407407407</v>
      </c>
      <c r="P36" s="28">
        <f t="shared" si="13"/>
        <v>16604.120370370369</v>
      </c>
      <c r="Q36" s="28">
        <f t="shared" si="14"/>
        <v>17580.833333333332</v>
      </c>
      <c r="R36" s="28">
        <f t="shared" si="15"/>
        <v>18557.546296296296</v>
      </c>
      <c r="S36" s="28">
        <f t="shared" si="16"/>
        <v>19534.259259259259</v>
      </c>
      <c r="T36" s="28">
        <f t="shared" si="17"/>
        <v>20510.972222222223</v>
      </c>
      <c r="U36" s="28">
        <f t="shared" si="18"/>
        <v>21487.685185185186</v>
      </c>
      <c r="V36" s="28">
        <f t="shared" si="19"/>
        <v>22464.398148148146</v>
      </c>
      <c r="W36" s="28">
        <f t="shared" si="20"/>
        <v>23441.111111111109</v>
      </c>
    </row>
    <row r="37" spans="1:23" x14ac:dyDescent="0.2">
      <c r="A37" s="28">
        <v>36</v>
      </c>
      <c r="B37" s="28">
        <v>412.48648648648651</v>
      </c>
      <c r="C37" s="28">
        <f t="shared" si="0"/>
        <v>4124.864864864865</v>
      </c>
      <c r="D37" s="28">
        <f t="shared" si="1"/>
        <v>5156.0810810810817</v>
      </c>
      <c r="E37" s="28">
        <f t="shared" si="2"/>
        <v>6187.2972972972975</v>
      </c>
      <c r="F37" s="28">
        <f t="shared" si="3"/>
        <v>7218.5135135135133</v>
      </c>
      <c r="G37" s="28">
        <f t="shared" si="4"/>
        <v>8249.72972972973</v>
      </c>
      <c r="H37" s="28">
        <f t="shared" si="5"/>
        <v>9280.9459459459467</v>
      </c>
      <c r="I37" s="28">
        <f t="shared" si="6"/>
        <v>10312.162162162163</v>
      </c>
      <c r="J37" s="28">
        <f t="shared" si="7"/>
        <v>11343.378378378378</v>
      </c>
      <c r="K37" s="28">
        <f t="shared" si="8"/>
        <v>12374.594594594595</v>
      </c>
      <c r="L37" s="28">
        <f t="shared" si="9"/>
        <v>13405.810810810812</v>
      </c>
      <c r="M37" s="28">
        <f t="shared" si="10"/>
        <v>14437.027027027027</v>
      </c>
      <c r="N37" s="28">
        <f t="shared" si="11"/>
        <v>15468.243243243243</v>
      </c>
      <c r="O37" s="28">
        <f t="shared" si="12"/>
        <v>16499.45945945946</v>
      </c>
      <c r="P37" s="28">
        <f t="shared" si="13"/>
        <v>17530.675675675677</v>
      </c>
      <c r="Q37" s="28">
        <f t="shared" si="14"/>
        <v>18561.891891891893</v>
      </c>
      <c r="R37" s="28">
        <f t="shared" si="15"/>
        <v>19593.10810810811</v>
      </c>
      <c r="S37" s="28">
        <f t="shared" si="16"/>
        <v>20624.324324324327</v>
      </c>
      <c r="T37" s="28">
        <f t="shared" si="17"/>
        <v>21655.54054054054</v>
      </c>
      <c r="U37" s="28">
        <f t="shared" si="18"/>
        <v>22686.756756756757</v>
      </c>
      <c r="V37" s="28">
        <f t="shared" si="19"/>
        <v>23717.972972972973</v>
      </c>
      <c r="W37" s="28">
        <f t="shared" si="20"/>
        <v>24749.18918918919</v>
      </c>
    </row>
    <row r="38" spans="1:23" x14ac:dyDescent="0.2">
      <c r="A38" s="28">
        <v>37</v>
      </c>
      <c r="B38" s="28">
        <v>433.14035087719299</v>
      </c>
      <c r="C38" s="28">
        <f t="shared" si="0"/>
        <v>4331.4035087719294</v>
      </c>
      <c r="D38" s="28">
        <f t="shared" si="1"/>
        <v>5414.2543859649122</v>
      </c>
      <c r="E38" s="28">
        <f t="shared" si="2"/>
        <v>6497.1052631578941</v>
      </c>
      <c r="F38" s="28">
        <f t="shared" si="3"/>
        <v>7579.956140350876</v>
      </c>
      <c r="G38" s="28">
        <f t="shared" si="4"/>
        <v>8662.8070175438588</v>
      </c>
      <c r="H38" s="28">
        <f t="shared" si="5"/>
        <v>9745.6578947368416</v>
      </c>
      <c r="I38" s="28">
        <f t="shared" si="6"/>
        <v>10828.508771929824</v>
      </c>
      <c r="J38" s="28">
        <f t="shared" si="7"/>
        <v>11911.359649122805</v>
      </c>
      <c r="K38" s="28">
        <f t="shared" si="8"/>
        <v>12994.210526315788</v>
      </c>
      <c r="L38" s="28">
        <f t="shared" si="9"/>
        <v>14077.061403508771</v>
      </c>
      <c r="M38" s="28">
        <f t="shared" si="10"/>
        <v>15159.912280701752</v>
      </c>
      <c r="N38" s="28">
        <f t="shared" si="11"/>
        <v>16242.763157894735</v>
      </c>
      <c r="O38" s="28">
        <f t="shared" si="12"/>
        <v>17325.614035087718</v>
      </c>
      <c r="P38" s="28">
        <f t="shared" si="13"/>
        <v>18408.464912280699</v>
      </c>
      <c r="Q38" s="28">
        <f t="shared" si="14"/>
        <v>19491.315789473683</v>
      </c>
      <c r="R38" s="28">
        <f t="shared" si="15"/>
        <v>20574.166666666664</v>
      </c>
      <c r="S38" s="28">
        <f t="shared" si="16"/>
        <v>21657.017543859649</v>
      </c>
      <c r="T38" s="28">
        <f t="shared" si="17"/>
        <v>22739.86842105263</v>
      </c>
      <c r="U38" s="28">
        <f t="shared" si="18"/>
        <v>23822.719298245611</v>
      </c>
      <c r="V38" s="28">
        <f t="shared" si="19"/>
        <v>24905.570175438595</v>
      </c>
      <c r="W38" s="28">
        <f t="shared" si="20"/>
        <v>25988.421052631576</v>
      </c>
    </row>
    <row r="39" spans="1:23" x14ac:dyDescent="0.2">
      <c r="A39" s="28">
        <v>38</v>
      </c>
      <c r="B39" s="28">
        <v>455.58974358974359</v>
      </c>
      <c r="C39" s="28">
        <f t="shared" si="0"/>
        <v>4555.8974358974356</v>
      </c>
      <c r="D39" s="28">
        <f t="shared" si="1"/>
        <v>5694.8717948717949</v>
      </c>
      <c r="E39" s="28">
        <f t="shared" si="2"/>
        <v>6833.8461538461534</v>
      </c>
      <c r="F39" s="28">
        <f t="shared" si="3"/>
        <v>7972.8205128205118</v>
      </c>
      <c r="G39" s="28">
        <f t="shared" si="4"/>
        <v>9111.7948717948711</v>
      </c>
      <c r="H39" s="28">
        <f t="shared" si="5"/>
        <v>10250.76923076923</v>
      </c>
      <c r="I39" s="28">
        <f t="shared" si="6"/>
        <v>11389.74358974359</v>
      </c>
      <c r="J39" s="28">
        <f t="shared" si="7"/>
        <v>12528.717948717947</v>
      </c>
      <c r="K39" s="28">
        <f t="shared" si="8"/>
        <v>13667.692307692307</v>
      </c>
      <c r="L39" s="28">
        <f t="shared" si="9"/>
        <v>14806.666666666666</v>
      </c>
      <c r="M39" s="28">
        <f t="shared" si="10"/>
        <v>15945.641025641024</v>
      </c>
      <c r="N39" s="28">
        <f t="shared" si="11"/>
        <v>17084.615384615383</v>
      </c>
      <c r="O39" s="28">
        <f t="shared" si="12"/>
        <v>18223.589743589742</v>
      </c>
      <c r="P39" s="28">
        <f t="shared" si="13"/>
        <v>19362.564102564102</v>
      </c>
      <c r="Q39" s="28">
        <f t="shared" si="14"/>
        <v>20501.538461538461</v>
      </c>
      <c r="R39" s="28">
        <f t="shared" si="15"/>
        <v>21640.51282051282</v>
      </c>
      <c r="S39" s="28">
        <f t="shared" si="16"/>
        <v>22779.48717948718</v>
      </c>
      <c r="T39" s="28">
        <f t="shared" si="17"/>
        <v>23918.461538461535</v>
      </c>
      <c r="U39" s="28">
        <f t="shared" si="18"/>
        <v>25057.435897435895</v>
      </c>
      <c r="V39" s="28">
        <f t="shared" si="19"/>
        <v>26196.410256410254</v>
      </c>
      <c r="W39" s="28">
        <f t="shared" si="20"/>
        <v>27335.384615384613</v>
      </c>
    </row>
    <row r="40" spans="1:23" x14ac:dyDescent="0.2">
      <c r="A40" s="28">
        <v>39</v>
      </c>
      <c r="B40" s="28">
        <v>478.08333333333331</v>
      </c>
      <c r="C40" s="28">
        <f t="shared" si="0"/>
        <v>4780.833333333333</v>
      </c>
      <c r="D40" s="28">
        <f t="shared" si="1"/>
        <v>5976.0416666666661</v>
      </c>
      <c r="E40" s="28">
        <f t="shared" si="2"/>
        <v>7171.25</v>
      </c>
      <c r="F40" s="28">
        <f t="shared" si="3"/>
        <v>8366.4583333333321</v>
      </c>
      <c r="G40" s="28">
        <f t="shared" si="4"/>
        <v>9561.6666666666661</v>
      </c>
      <c r="H40" s="28">
        <f t="shared" si="5"/>
        <v>10756.875</v>
      </c>
      <c r="I40" s="28">
        <f t="shared" si="6"/>
        <v>11952.083333333332</v>
      </c>
      <c r="J40" s="28">
        <f t="shared" si="7"/>
        <v>13147.291666666666</v>
      </c>
      <c r="K40" s="28">
        <f t="shared" si="8"/>
        <v>14342.5</v>
      </c>
      <c r="L40" s="28">
        <f t="shared" si="9"/>
        <v>15537.708333333332</v>
      </c>
      <c r="M40" s="28">
        <f t="shared" si="10"/>
        <v>16732.916666666664</v>
      </c>
      <c r="N40" s="28">
        <f t="shared" si="11"/>
        <v>17928.125</v>
      </c>
      <c r="O40" s="28">
        <f t="shared" si="12"/>
        <v>19123.333333333332</v>
      </c>
      <c r="P40" s="28">
        <f t="shared" si="13"/>
        <v>20318.541666666664</v>
      </c>
      <c r="Q40" s="28">
        <f t="shared" si="14"/>
        <v>21513.75</v>
      </c>
      <c r="R40" s="28">
        <f t="shared" si="15"/>
        <v>22708.958333333332</v>
      </c>
      <c r="S40" s="28">
        <f t="shared" si="16"/>
        <v>23904.166666666664</v>
      </c>
      <c r="T40" s="28">
        <f t="shared" si="17"/>
        <v>25099.375</v>
      </c>
      <c r="U40" s="28">
        <f t="shared" si="18"/>
        <v>26294.583333333332</v>
      </c>
      <c r="V40" s="28">
        <f t="shared" si="19"/>
        <v>27489.791666666664</v>
      </c>
      <c r="W40" s="28">
        <f t="shared" si="20"/>
        <v>28685</v>
      </c>
    </row>
    <row r="41" spans="1:23" x14ac:dyDescent="0.2">
      <c r="A41" s="28">
        <v>40</v>
      </c>
      <c r="B41" s="28">
        <v>502.58536585365852</v>
      </c>
      <c r="C41" s="28">
        <f t="shared" si="0"/>
        <v>5025.8536585365855</v>
      </c>
      <c r="D41" s="28">
        <f t="shared" si="1"/>
        <v>6282.3170731707323</v>
      </c>
      <c r="E41" s="28">
        <f t="shared" si="2"/>
        <v>7538.7804878048782</v>
      </c>
      <c r="F41" s="28">
        <f t="shared" si="3"/>
        <v>8795.2439024390242</v>
      </c>
      <c r="G41" s="28">
        <f t="shared" si="4"/>
        <v>10051.707317073171</v>
      </c>
      <c r="H41" s="28">
        <f t="shared" si="5"/>
        <v>11308.170731707318</v>
      </c>
      <c r="I41" s="28">
        <f t="shared" si="6"/>
        <v>12564.634146341465</v>
      </c>
      <c r="J41" s="28">
        <f t="shared" si="7"/>
        <v>13821.09756097561</v>
      </c>
      <c r="K41" s="28">
        <f t="shared" si="8"/>
        <v>15077.560975609756</v>
      </c>
      <c r="L41" s="28">
        <f t="shared" si="9"/>
        <v>16334.024390243903</v>
      </c>
      <c r="M41" s="28">
        <f t="shared" si="10"/>
        <v>17590.487804878048</v>
      </c>
      <c r="N41" s="28">
        <f t="shared" si="11"/>
        <v>18846.951219512197</v>
      </c>
      <c r="O41" s="28">
        <f t="shared" si="12"/>
        <v>20103.414634146342</v>
      </c>
      <c r="P41" s="28">
        <f t="shared" si="13"/>
        <v>21359.878048780487</v>
      </c>
      <c r="Q41" s="28">
        <f t="shared" si="14"/>
        <v>22616.341463414636</v>
      </c>
      <c r="R41" s="28">
        <f t="shared" si="15"/>
        <v>23872.804878048781</v>
      </c>
      <c r="S41" s="28">
        <f t="shared" si="16"/>
        <v>25129.268292682929</v>
      </c>
      <c r="T41" s="28">
        <f t="shared" si="17"/>
        <v>26385.731707317074</v>
      </c>
      <c r="U41" s="28">
        <f t="shared" si="18"/>
        <v>27642.195121951219</v>
      </c>
      <c r="V41" s="28">
        <f t="shared" si="19"/>
        <v>28898.658536585368</v>
      </c>
      <c r="W41" s="28">
        <f t="shared" si="20"/>
        <v>30155.121951219513</v>
      </c>
    </row>
    <row r="42" spans="1:23" x14ac:dyDescent="0.2">
      <c r="A42" s="28">
        <v>41</v>
      </c>
      <c r="B42" s="28">
        <v>525.92063492063494</v>
      </c>
      <c r="C42" s="28">
        <f t="shared" si="0"/>
        <v>5259.2063492063498</v>
      </c>
      <c r="D42" s="28">
        <f t="shared" si="1"/>
        <v>6574.0079365079373</v>
      </c>
      <c r="E42" s="28">
        <f t="shared" si="2"/>
        <v>7888.8095238095248</v>
      </c>
      <c r="F42" s="28">
        <f t="shared" si="3"/>
        <v>9203.6111111111131</v>
      </c>
      <c r="G42" s="28">
        <f t="shared" si="4"/>
        <v>10518.4126984127</v>
      </c>
      <c r="H42" s="28">
        <f t="shared" si="5"/>
        <v>11833.214285714286</v>
      </c>
      <c r="I42" s="28">
        <f t="shared" si="6"/>
        <v>13148.015873015875</v>
      </c>
      <c r="J42" s="28">
        <f t="shared" si="7"/>
        <v>14462.817460317463</v>
      </c>
      <c r="K42" s="28">
        <f t="shared" si="8"/>
        <v>15777.61904761905</v>
      </c>
      <c r="L42" s="28">
        <f t="shared" si="9"/>
        <v>17092.420634920636</v>
      </c>
      <c r="M42" s="28">
        <f t="shared" si="10"/>
        <v>18407.222222222226</v>
      </c>
      <c r="N42" s="28">
        <f t="shared" si="11"/>
        <v>19722.023809523813</v>
      </c>
      <c r="O42" s="28">
        <f t="shared" si="12"/>
        <v>21036.825396825399</v>
      </c>
      <c r="P42" s="28">
        <f t="shared" si="13"/>
        <v>22351.626984126986</v>
      </c>
      <c r="Q42" s="28">
        <f t="shared" si="14"/>
        <v>23666.428571428572</v>
      </c>
      <c r="R42" s="28">
        <f t="shared" si="15"/>
        <v>24981.230158730163</v>
      </c>
      <c r="S42" s="28">
        <f t="shared" si="16"/>
        <v>26296.031746031749</v>
      </c>
      <c r="T42" s="28">
        <f t="shared" si="17"/>
        <v>27610.833333333336</v>
      </c>
      <c r="U42" s="28">
        <f t="shared" si="18"/>
        <v>28925.634920634926</v>
      </c>
      <c r="V42" s="28">
        <f t="shared" si="19"/>
        <v>30240.436507936512</v>
      </c>
      <c r="W42" s="28">
        <f t="shared" si="20"/>
        <v>31555.238095238099</v>
      </c>
    </row>
    <row r="43" spans="1:23" x14ac:dyDescent="0.2">
      <c r="A43" s="28">
        <v>42</v>
      </c>
      <c r="B43" s="28">
        <v>552.58914728682169</v>
      </c>
      <c r="C43" s="28">
        <f t="shared" si="0"/>
        <v>5525.8914728682166</v>
      </c>
      <c r="D43" s="28">
        <f t="shared" si="1"/>
        <v>6907.364341085271</v>
      </c>
      <c r="E43" s="28">
        <f t="shared" si="2"/>
        <v>8288.8372093023245</v>
      </c>
      <c r="F43" s="28">
        <f t="shared" si="3"/>
        <v>9670.3100775193798</v>
      </c>
      <c r="G43" s="28">
        <f t="shared" si="4"/>
        <v>11051.782945736433</v>
      </c>
      <c r="H43" s="28">
        <f t="shared" si="5"/>
        <v>12433.255813953487</v>
      </c>
      <c r="I43" s="28">
        <f t="shared" si="6"/>
        <v>13814.728682170542</v>
      </c>
      <c r="J43" s="28">
        <f t="shared" si="7"/>
        <v>15196.201550387595</v>
      </c>
      <c r="K43" s="28">
        <f t="shared" si="8"/>
        <v>16577.674418604649</v>
      </c>
      <c r="L43" s="28">
        <f t="shared" si="9"/>
        <v>17959.147286821702</v>
      </c>
      <c r="M43" s="28">
        <f t="shared" si="10"/>
        <v>19340.62015503876</v>
      </c>
      <c r="N43" s="28">
        <f t="shared" si="11"/>
        <v>20722.093023255813</v>
      </c>
      <c r="O43" s="28">
        <f t="shared" si="12"/>
        <v>22103.565891472866</v>
      </c>
      <c r="P43" s="28">
        <f t="shared" si="13"/>
        <v>23485.03875968992</v>
      </c>
      <c r="Q43" s="28">
        <f t="shared" si="14"/>
        <v>24866.511627906973</v>
      </c>
      <c r="R43" s="28">
        <f t="shared" si="15"/>
        <v>26247.984496124031</v>
      </c>
      <c r="S43" s="28">
        <f t="shared" si="16"/>
        <v>27629.457364341084</v>
      </c>
      <c r="T43" s="28">
        <f t="shared" si="17"/>
        <v>29010.930232558138</v>
      </c>
      <c r="U43" s="28">
        <f t="shared" si="18"/>
        <v>30392.403100775191</v>
      </c>
      <c r="V43" s="28">
        <f t="shared" si="19"/>
        <v>31773.875968992244</v>
      </c>
      <c r="W43" s="28">
        <f t="shared" si="20"/>
        <v>33155.348837209298</v>
      </c>
    </row>
    <row r="44" spans="1:23" x14ac:dyDescent="0.2">
      <c r="A44" s="28">
        <v>43</v>
      </c>
      <c r="B44" s="28">
        <v>578.0454545454545</v>
      </c>
      <c r="C44" s="28">
        <f t="shared" si="0"/>
        <v>5780.454545454545</v>
      </c>
      <c r="D44" s="28">
        <f t="shared" si="1"/>
        <v>7225.5681818181811</v>
      </c>
      <c r="E44" s="28">
        <f t="shared" si="2"/>
        <v>8670.681818181818</v>
      </c>
      <c r="F44" s="28">
        <f t="shared" si="3"/>
        <v>10115.795454545454</v>
      </c>
      <c r="G44" s="28">
        <f t="shared" si="4"/>
        <v>11560.90909090909</v>
      </c>
      <c r="H44" s="28">
        <f t="shared" si="5"/>
        <v>13006.022727272726</v>
      </c>
      <c r="I44" s="28">
        <f t="shared" si="6"/>
        <v>14451.136363636362</v>
      </c>
      <c r="J44" s="28">
        <f t="shared" si="7"/>
        <v>15896.249999999998</v>
      </c>
      <c r="K44" s="28">
        <f t="shared" si="8"/>
        <v>17341.363636363636</v>
      </c>
      <c r="L44" s="28">
        <f t="shared" si="9"/>
        <v>18786.477272727272</v>
      </c>
      <c r="M44" s="28">
        <f t="shared" si="10"/>
        <v>20231.590909090908</v>
      </c>
      <c r="N44" s="28">
        <f t="shared" si="11"/>
        <v>21676.704545454544</v>
      </c>
      <c r="O44" s="28">
        <f t="shared" si="12"/>
        <v>23121.81818181818</v>
      </c>
      <c r="P44" s="28">
        <f t="shared" si="13"/>
        <v>24566.931818181816</v>
      </c>
      <c r="Q44" s="28">
        <f t="shared" si="14"/>
        <v>26012.045454545452</v>
      </c>
      <c r="R44" s="28">
        <f t="shared" si="15"/>
        <v>27457.159090909088</v>
      </c>
      <c r="S44" s="28">
        <f t="shared" si="16"/>
        <v>28902.272727272724</v>
      </c>
      <c r="T44" s="28">
        <f t="shared" si="17"/>
        <v>30347.38636363636</v>
      </c>
      <c r="U44" s="28">
        <f t="shared" si="18"/>
        <v>31792.499999999996</v>
      </c>
      <c r="V44" s="28">
        <f t="shared" si="19"/>
        <v>33237.613636363632</v>
      </c>
      <c r="W44" s="28">
        <f t="shared" si="20"/>
        <v>34682.727272727272</v>
      </c>
    </row>
    <row r="45" spans="1:23" x14ac:dyDescent="0.2">
      <c r="A45" s="28">
        <v>44</v>
      </c>
      <c r="B45" s="28">
        <v>605.71851851851852</v>
      </c>
      <c r="C45" s="28">
        <f t="shared" si="0"/>
        <v>6057.1851851851852</v>
      </c>
      <c r="D45" s="28">
        <f t="shared" si="1"/>
        <v>7571.4814814814818</v>
      </c>
      <c r="E45" s="28">
        <f t="shared" si="2"/>
        <v>9085.7777777777774</v>
      </c>
      <c r="F45" s="28">
        <f t="shared" si="3"/>
        <v>10600.074074074075</v>
      </c>
      <c r="G45" s="28">
        <f t="shared" si="4"/>
        <v>12114.37037037037</v>
      </c>
      <c r="H45" s="28">
        <f t="shared" si="5"/>
        <v>13628.666666666666</v>
      </c>
      <c r="I45" s="28">
        <f t="shared" si="6"/>
        <v>15142.962962962964</v>
      </c>
      <c r="J45" s="28">
        <f t="shared" si="7"/>
        <v>16657.259259259259</v>
      </c>
      <c r="K45" s="28">
        <f t="shared" si="8"/>
        <v>18171.555555555555</v>
      </c>
      <c r="L45" s="28">
        <f t="shared" si="9"/>
        <v>19685.85185185185</v>
      </c>
      <c r="M45" s="28">
        <f t="shared" si="10"/>
        <v>21200.14814814815</v>
      </c>
      <c r="N45" s="28">
        <f t="shared" si="11"/>
        <v>22714.444444444445</v>
      </c>
      <c r="O45" s="28">
        <f t="shared" si="12"/>
        <v>24228.740740740741</v>
      </c>
      <c r="P45" s="28">
        <f t="shared" si="13"/>
        <v>25743.037037037036</v>
      </c>
      <c r="Q45" s="28">
        <f t="shared" si="14"/>
        <v>27257.333333333332</v>
      </c>
      <c r="R45" s="28">
        <f t="shared" si="15"/>
        <v>28771.629629629631</v>
      </c>
      <c r="S45" s="28">
        <f t="shared" si="16"/>
        <v>30285.925925925927</v>
      </c>
      <c r="T45" s="28">
        <f t="shared" si="17"/>
        <v>31800.222222222223</v>
      </c>
      <c r="U45" s="28">
        <f t="shared" si="18"/>
        <v>33314.518518518518</v>
      </c>
      <c r="V45" s="28">
        <f t="shared" si="19"/>
        <v>34828.814814814818</v>
      </c>
      <c r="W45" s="28">
        <f t="shared" si="20"/>
        <v>36343.111111111109</v>
      </c>
    </row>
    <row r="46" spans="1:23" x14ac:dyDescent="0.2">
      <c r="A46" s="28">
        <v>45</v>
      </c>
      <c r="B46" s="28">
        <v>633.44927536231876</v>
      </c>
      <c r="C46" s="28">
        <f t="shared" si="0"/>
        <v>6334.492753623188</v>
      </c>
      <c r="D46" s="28">
        <f t="shared" si="1"/>
        <v>7918.115942028985</v>
      </c>
      <c r="E46" s="28">
        <f t="shared" si="2"/>
        <v>9501.7391304347821</v>
      </c>
      <c r="F46" s="28">
        <f t="shared" si="3"/>
        <v>11085.36231884058</v>
      </c>
      <c r="G46" s="28">
        <f t="shared" si="4"/>
        <v>12668.985507246376</v>
      </c>
      <c r="H46" s="28">
        <f t="shared" si="5"/>
        <v>14252.608695652172</v>
      </c>
      <c r="I46" s="28">
        <f t="shared" si="6"/>
        <v>15836.23188405797</v>
      </c>
      <c r="J46" s="28">
        <f t="shared" si="7"/>
        <v>17419.855072463768</v>
      </c>
      <c r="K46" s="28">
        <f t="shared" si="8"/>
        <v>19003.478260869564</v>
      </c>
      <c r="L46" s="28">
        <f t="shared" si="9"/>
        <v>20587.10144927536</v>
      </c>
      <c r="M46" s="28">
        <f t="shared" si="10"/>
        <v>22170.72463768116</v>
      </c>
      <c r="N46" s="28">
        <f t="shared" si="11"/>
        <v>23754.347826086956</v>
      </c>
      <c r="O46" s="28">
        <f t="shared" si="12"/>
        <v>25337.971014492752</v>
      </c>
      <c r="P46" s="28">
        <f t="shared" si="13"/>
        <v>26921.594202898548</v>
      </c>
      <c r="Q46" s="28">
        <f t="shared" si="14"/>
        <v>28505.217391304344</v>
      </c>
      <c r="R46" s="28">
        <f t="shared" si="15"/>
        <v>30088.840579710144</v>
      </c>
      <c r="S46" s="28">
        <f t="shared" si="16"/>
        <v>31672.46376811594</v>
      </c>
      <c r="T46" s="28">
        <f t="shared" si="17"/>
        <v>33256.086956521736</v>
      </c>
      <c r="U46" s="28">
        <f t="shared" si="18"/>
        <v>34839.710144927536</v>
      </c>
      <c r="V46" s="28">
        <f t="shared" si="19"/>
        <v>36423.333333333328</v>
      </c>
      <c r="W46" s="28">
        <f t="shared" si="20"/>
        <v>38006.956521739128</v>
      </c>
    </row>
    <row r="47" spans="1:23" x14ac:dyDescent="0.2">
      <c r="A47" s="28">
        <v>46</v>
      </c>
      <c r="B47" s="28">
        <v>663.21985815602829</v>
      </c>
      <c r="C47" s="28">
        <f t="shared" si="0"/>
        <v>6632.1985815602829</v>
      </c>
      <c r="D47" s="28">
        <f t="shared" si="1"/>
        <v>8290.2482269503544</v>
      </c>
      <c r="E47" s="28">
        <f t="shared" si="2"/>
        <v>9948.2978723404249</v>
      </c>
      <c r="F47" s="28">
        <f t="shared" si="3"/>
        <v>11606.347517730495</v>
      </c>
      <c r="G47" s="28">
        <f t="shared" si="4"/>
        <v>13264.397163120566</v>
      </c>
      <c r="H47" s="28">
        <f t="shared" si="5"/>
        <v>14922.446808510636</v>
      </c>
      <c r="I47" s="28">
        <f t="shared" si="6"/>
        <v>16580.496453900709</v>
      </c>
      <c r="J47" s="28">
        <f t="shared" si="7"/>
        <v>18238.546099290779</v>
      </c>
      <c r="K47" s="28">
        <f t="shared" si="8"/>
        <v>19896.59574468085</v>
      </c>
      <c r="L47" s="28">
        <f t="shared" si="9"/>
        <v>21554.64539007092</v>
      </c>
      <c r="M47" s="28">
        <f t="shared" si="10"/>
        <v>23212.695035460991</v>
      </c>
      <c r="N47" s="28">
        <f t="shared" si="11"/>
        <v>24870.744680851061</v>
      </c>
      <c r="O47" s="28">
        <f t="shared" si="12"/>
        <v>26528.794326241132</v>
      </c>
      <c r="P47" s="28">
        <f t="shared" si="13"/>
        <v>28186.843971631202</v>
      </c>
      <c r="Q47" s="28">
        <f t="shared" si="14"/>
        <v>29844.893617021273</v>
      </c>
      <c r="R47" s="28">
        <f t="shared" si="15"/>
        <v>31502.943262411343</v>
      </c>
      <c r="S47" s="28">
        <f t="shared" si="16"/>
        <v>33160.992907801417</v>
      </c>
      <c r="T47" s="28">
        <f t="shared" si="17"/>
        <v>34819.042553191488</v>
      </c>
      <c r="U47" s="28">
        <f t="shared" si="18"/>
        <v>36477.092198581558</v>
      </c>
      <c r="V47" s="28">
        <f t="shared" si="19"/>
        <v>38135.141843971629</v>
      </c>
      <c r="W47" s="28">
        <f t="shared" si="20"/>
        <v>39793.191489361699</v>
      </c>
    </row>
    <row r="48" spans="1:23" x14ac:dyDescent="0.2">
      <c r="A48" s="28">
        <v>47</v>
      </c>
      <c r="B48" s="28">
        <v>691.75</v>
      </c>
      <c r="C48" s="28">
        <f t="shared" si="0"/>
        <v>6917.5</v>
      </c>
      <c r="D48" s="28">
        <f t="shared" si="1"/>
        <v>8646.875</v>
      </c>
      <c r="E48" s="28">
        <f t="shared" si="2"/>
        <v>10376.25</v>
      </c>
      <c r="F48" s="28">
        <f t="shared" si="3"/>
        <v>12105.625</v>
      </c>
      <c r="G48" s="28">
        <f t="shared" si="4"/>
        <v>13835</v>
      </c>
      <c r="H48" s="28">
        <f t="shared" si="5"/>
        <v>15564.375</v>
      </c>
      <c r="I48" s="28">
        <f t="shared" si="6"/>
        <v>17293.75</v>
      </c>
      <c r="J48" s="28">
        <f t="shared" si="7"/>
        <v>19023.125</v>
      </c>
      <c r="K48" s="28">
        <f t="shared" si="8"/>
        <v>20752.5</v>
      </c>
      <c r="L48" s="28">
        <f t="shared" si="9"/>
        <v>22481.875</v>
      </c>
      <c r="M48" s="28">
        <f t="shared" si="10"/>
        <v>24211.25</v>
      </c>
      <c r="N48" s="28">
        <f t="shared" si="11"/>
        <v>25940.625</v>
      </c>
      <c r="O48" s="28">
        <f t="shared" si="12"/>
        <v>27670</v>
      </c>
      <c r="P48" s="28">
        <f t="shared" si="13"/>
        <v>29399.375</v>
      </c>
      <c r="Q48" s="28">
        <f t="shared" si="14"/>
        <v>31128.75</v>
      </c>
      <c r="R48" s="28">
        <f t="shared" si="15"/>
        <v>32858.125</v>
      </c>
      <c r="S48" s="28">
        <f t="shared" si="16"/>
        <v>34587.5</v>
      </c>
      <c r="T48" s="28">
        <f t="shared" si="17"/>
        <v>36316.875</v>
      </c>
      <c r="U48" s="28">
        <f t="shared" si="18"/>
        <v>38046.25</v>
      </c>
      <c r="V48" s="28">
        <f t="shared" si="19"/>
        <v>39775.625</v>
      </c>
      <c r="W48" s="28">
        <f t="shared" si="20"/>
        <v>41505</v>
      </c>
    </row>
    <row r="49" spans="1:23" x14ac:dyDescent="0.2">
      <c r="A49" s="28">
        <v>48</v>
      </c>
      <c r="B49" s="28">
        <v>724.19047619047626</v>
      </c>
      <c r="C49" s="28">
        <f t="shared" si="0"/>
        <v>7241.9047619047624</v>
      </c>
      <c r="D49" s="28">
        <f t="shared" si="1"/>
        <v>9052.3809523809523</v>
      </c>
      <c r="E49" s="28">
        <f t="shared" si="2"/>
        <v>10862.857142857143</v>
      </c>
      <c r="F49" s="28">
        <f t="shared" si="3"/>
        <v>12673.333333333334</v>
      </c>
      <c r="G49" s="28">
        <f t="shared" si="4"/>
        <v>14483.809523809525</v>
      </c>
      <c r="H49" s="28">
        <f t="shared" si="5"/>
        <v>16294.285714285716</v>
      </c>
      <c r="I49" s="28">
        <f t="shared" si="6"/>
        <v>18104.761904761905</v>
      </c>
      <c r="J49" s="28">
        <f t="shared" si="7"/>
        <v>19915.238095238095</v>
      </c>
      <c r="K49" s="28">
        <f t="shared" si="8"/>
        <v>21725.714285714286</v>
      </c>
      <c r="L49" s="28">
        <f t="shared" si="9"/>
        <v>23536.190476190477</v>
      </c>
      <c r="M49" s="28">
        <f t="shared" si="10"/>
        <v>25346.666666666668</v>
      </c>
      <c r="N49" s="28">
        <f t="shared" si="11"/>
        <v>27157.142857142859</v>
      </c>
      <c r="O49" s="28">
        <f t="shared" si="12"/>
        <v>28967.61904761905</v>
      </c>
      <c r="P49" s="28">
        <f t="shared" si="13"/>
        <v>30778.09523809524</v>
      </c>
      <c r="Q49" s="28">
        <f t="shared" si="14"/>
        <v>32588.571428571431</v>
      </c>
      <c r="R49" s="28">
        <f t="shared" si="15"/>
        <v>34399.047619047618</v>
      </c>
      <c r="S49" s="28">
        <f t="shared" si="16"/>
        <v>36209.523809523809</v>
      </c>
      <c r="T49" s="28">
        <f t="shared" si="17"/>
        <v>38020</v>
      </c>
      <c r="U49" s="28">
        <f t="shared" si="18"/>
        <v>39830.476190476191</v>
      </c>
      <c r="V49" s="28">
        <f t="shared" si="19"/>
        <v>41640.952380952382</v>
      </c>
      <c r="W49" s="28">
        <f t="shared" si="20"/>
        <v>43451.428571428572</v>
      </c>
    </row>
    <row r="50" spans="1:23" x14ac:dyDescent="0.2">
      <c r="A50" s="28">
        <v>49</v>
      </c>
      <c r="B50" s="28">
        <v>755.33333333333326</v>
      </c>
      <c r="C50" s="28">
        <f t="shared" si="0"/>
        <v>7553.3333333333321</v>
      </c>
      <c r="D50" s="28">
        <f t="shared" si="1"/>
        <v>9441.6666666666642</v>
      </c>
      <c r="E50" s="28">
        <f t="shared" si="2"/>
        <v>11329.999999999998</v>
      </c>
      <c r="F50" s="28">
        <f t="shared" si="3"/>
        <v>13218.333333333332</v>
      </c>
      <c r="G50" s="28">
        <f t="shared" si="4"/>
        <v>15106.666666666664</v>
      </c>
      <c r="H50" s="28">
        <f t="shared" si="5"/>
        <v>16994.999999999996</v>
      </c>
      <c r="I50" s="28">
        <f t="shared" si="6"/>
        <v>18883.333333333328</v>
      </c>
      <c r="J50" s="28">
        <f t="shared" si="7"/>
        <v>20771.666666666664</v>
      </c>
      <c r="K50" s="28">
        <f t="shared" si="8"/>
        <v>22659.999999999996</v>
      </c>
      <c r="L50" s="28">
        <f t="shared" si="9"/>
        <v>24548.333333333328</v>
      </c>
      <c r="M50" s="28">
        <f t="shared" si="10"/>
        <v>26436.666666666664</v>
      </c>
      <c r="N50" s="28">
        <f t="shared" si="11"/>
        <v>28324.999999999996</v>
      </c>
      <c r="O50" s="28">
        <f t="shared" si="12"/>
        <v>30213.333333333328</v>
      </c>
      <c r="P50" s="28">
        <f t="shared" si="13"/>
        <v>32101.666666666661</v>
      </c>
      <c r="Q50" s="28">
        <f t="shared" si="14"/>
        <v>33989.999999999993</v>
      </c>
      <c r="R50" s="28">
        <f t="shared" si="15"/>
        <v>35878.333333333328</v>
      </c>
      <c r="S50" s="28">
        <f t="shared" si="16"/>
        <v>37766.666666666657</v>
      </c>
      <c r="T50" s="28">
        <f t="shared" si="17"/>
        <v>39654.999999999993</v>
      </c>
      <c r="U50" s="28">
        <f t="shared" si="18"/>
        <v>41543.333333333328</v>
      </c>
      <c r="V50" s="28">
        <f t="shared" si="19"/>
        <v>43431.666666666657</v>
      </c>
      <c r="W50" s="28">
        <f t="shared" si="20"/>
        <v>45319.999999999993</v>
      </c>
    </row>
    <row r="51" spans="1:23" x14ac:dyDescent="0.2">
      <c r="A51" s="28">
        <v>50</v>
      </c>
      <c r="B51" s="28">
        <v>788.79738562091495</v>
      </c>
      <c r="C51" s="28">
        <f t="shared" si="0"/>
        <v>7887.9738562091497</v>
      </c>
      <c r="D51" s="28">
        <f t="shared" si="1"/>
        <v>9859.9673202614376</v>
      </c>
      <c r="E51" s="28">
        <f t="shared" si="2"/>
        <v>11831.960784313724</v>
      </c>
      <c r="F51" s="28">
        <f t="shared" si="3"/>
        <v>13803.954248366012</v>
      </c>
      <c r="G51" s="28">
        <f t="shared" si="4"/>
        <v>15775.947712418299</v>
      </c>
      <c r="H51" s="28">
        <f t="shared" si="5"/>
        <v>17747.941176470587</v>
      </c>
      <c r="I51" s="28">
        <f t="shared" si="6"/>
        <v>19719.934640522875</v>
      </c>
      <c r="J51" s="28">
        <f t="shared" si="7"/>
        <v>21691.928104575163</v>
      </c>
      <c r="K51" s="28">
        <f t="shared" si="8"/>
        <v>23663.921568627447</v>
      </c>
      <c r="L51" s="28">
        <f t="shared" si="9"/>
        <v>25635.915032679735</v>
      </c>
      <c r="M51" s="28">
        <f t="shared" si="10"/>
        <v>27607.908496732023</v>
      </c>
      <c r="N51" s="28">
        <f t="shared" si="11"/>
        <v>29579.901960784311</v>
      </c>
      <c r="O51" s="28">
        <f t="shared" si="12"/>
        <v>31551.895424836599</v>
      </c>
      <c r="P51" s="28">
        <f t="shared" si="13"/>
        <v>33523.888888888883</v>
      </c>
      <c r="Q51" s="28">
        <f t="shared" si="14"/>
        <v>35495.882352941175</v>
      </c>
      <c r="R51" s="28">
        <f t="shared" si="15"/>
        <v>37467.875816993459</v>
      </c>
      <c r="S51" s="28">
        <f t="shared" si="16"/>
        <v>39439.869281045751</v>
      </c>
      <c r="T51" s="28">
        <f t="shared" si="17"/>
        <v>41411.862745098035</v>
      </c>
      <c r="U51" s="28">
        <f t="shared" si="18"/>
        <v>43383.856209150326</v>
      </c>
      <c r="V51" s="28">
        <f t="shared" si="19"/>
        <v>45355.849673202611</v>
      </c>
      <c r="W51" s="28">
        <f t="shared" si="20"/>
        <v>47327.843137254895</v>
      </c>
    </row>
    <row r="52" spans="1:23" x14ac:dyDescent="0.2">
      <c r="A52" s="28">
        <v>51</v>
      </c>
      <c r="B52" s="28">
        <v>822.26923076923072</v>
      </c>
      <c r="C52" s="28">
        <f t="shared" si="0"/>
        <v>8222.6923076923067</v>
      </c>
      <c r="D52" s="28">
        <f t="shared" si="1"/>
        <v>10278.365384615383</v>
      </c>
      <c r="E52" s="28">
        <f t="shared" si="2"/>
        <v>12334.038461538461</v>
      </c>
      <c r="F52" s="28">
        <f t="shared" si="3"/>
        <v>14389.711538461537</v>
      </c>
      <c r="G52" s="28">
        <f t="shared" si="4"/>
        <v>16445.384615384613</v>
      </c>
      <c r="H52" s="28">
        <f t="shared" si="5"/>
        <v>18501.057692307691</v>
      </c>
      <c r="I52" s="28">
        <f t="shared" si="6"/>
        <v>20556.730769230766</v>
      </c>
      <c r="J52" s="28">
        <f t="shared" si="7"/>
        <v>22612.403846153844</v>
      </c>
      <c r="K52" s="28">
        <f t="shared" si="8"/>
        <v>24668.076923076922</v>
      </c>
      <c r="L52" s="28">
        <f t="shared" si="9"/>
        <v>26723.749999999996</v>
      </c>
      <c r="M52" s="28">
        <f t="shared" si="10"/>
        <v>28779.423076923074</v>
      </c>
      <c r="N52" s="28">
        <f t="shared" si="11"/>
        <v>30835.096153846149</v>
      </c>
      <c r="O52" s="28">
        <f t="shared" si="12"/>
        <v>32890.769230769227</v>
      </c>
      <c r="P52" s="28">
        <f t="shared" si="13"/>
        <v>34946.442307692305</v>
      </c>
      <c r="Q52" s="28">
        <f t="shared" si="14"/>
        <v>37002.115384615383</v>
      </c>
      <c r="R52" s="28">
        <f t="shared" si="15"/>
        <v>39057.788461538454</v>
      </c>
      <c r="S52" s="28">
        <f t="shared" si="16"/>
        <v>41113.461538461532</v>
      </c>
      <c r="T52" s="28">
        <f t="shared" si="17"/>
        <v>43169.13461538461</v>
      </c>
      <c r="U52" s="28">
        <f t="shared" si="18"/>
        <v>45224.807692307688</v>
      </c>
      <c r="V52" s="28">
        <f t="shared" si="19"/>
        <v>47280.480769230766</v>
      </c>
      <c r="W52" s="28">
        <f t="shared" si="20"/>
        <v>49336.153846153844</v>
      </c>
    </row>
    <row r="53" spans="1:23" x14ac:dyDescent="0.2">
      <c r="A53" s="28">
        <v>52</v>
      </c>
      <c r="B53" s="28">
        <v>858.28930817610069</v>
      </c>
      <c r="C53" s="28">
        <f t="shared" si="0"/>
        <v>8582.8930817610071</v>
      </c>
      <c r="D53" s="28">
        <f t="shared" si="1"/>
        <v>10728.616352201259</v>
      </c>
      <c r="E53" s="28">
        <f t="shared" si="2"/>
        <v>12874.33962264151</v>
      </c>
      <c r="F53" s="28">
        <f t="shared" si="3"/>
        <v>15020.062893081762</v>
      </c>
      <c r="G53" s="28">
        <f t="shared" si="4"/>
        <v>17165.786163522014</v>
      </c>
      <c r="H53" s="28">
        <f t="shared" si="5"/>
        <v>19311.509433962266</v>
      </c>
      <c r="I53" s="28">
        <f t="shared" si="6"/>
        <v>21457.232704402519</v>
      </c>
      <c r="J53" s="28">
        <f t="shared" si="7"/>
        <v>23602.955974842771</v>
      </c>
      <c r="K53" s="28">
        <f t="shared" si="8"/>
        <v>25748.67924528302</v>
      </c>
      <c r="L53" s="28">
        <f t="shared" si="9"/>
        <v>27894.402515723272</v>
      </c>
      <c r="M53" s="28">
        <f t="shared" si="10"/>
        <v>30040.125786163524</v>
      </c>
      <c r="N53" s="28">
        <f t="shared" si="11"/>
        <v>32185.849056603776</v>
      </c>
      <c r="O53" s="28">
        <f t="shared" si="12"/>
        <v>34331.572327044028</v>
      </c>
      <c r="P53" s="28">
        <f t="shared" si="13"/>
        <v>36477.295597484277</v>
      </c>
      <c r="Q53" s="28">
        <f t="shared" si="14"/>
        <v>38623.018867924533</v>
      </c>
      <c r="R53" s="28">
        <f t="shared" si="15"/>
        <v>40768.742138364782</v>
      </c>
      <c r="S53" s="28">
        <f t="shared" si="16"/>
        <v>42914.465408805037</v>
      </c>
      <c r="T53" s="28">
        <f t="shared" si="17"/>
        <v>45060.188679245286</v>
      </c>
      <c r="U53" s="28">
        <f t="shared" si="18"/>
        <v>47205.911949685542</v>
      </c>
      <c r="V53" s="28">
        <f t="shared" si="19"/>
        <v>49351.635220125791</v>
      </c>
      <c r="W53" s="28">
        <f t="shared" si="20"/>
        <v>51497.358490566039</v>
      </c>
    </row>
    <row r="54" spans="1:23" x14ac:dyDescent="0.2">
      <c r="A54" s="28">
        <v>53</v>
      </c>
      <c r="B54" s="28">
        <v>892.97530864197529</v>
      </c>
      <c r="C54" s="28">
        <f t="shared" si="0"/>
        <v>8929.7530864197524</v>
      </c>
      <c r="D54" s="28">
        <f t="shared" si="1"/>
        <v>11162.191358024691</v>
      </c>
      <c r="E54" s="28">
        <f t="shared" si="2"/>
        <v>13394.629629629628</v>
      </c>
      <c r="F54" s="28">
        <f t="shared" si="3"/>
        <v>15627.067901234566</v>
      </c>
      <c r="G54" s="28">
        <f t="shared" si="4"/>
        <v>17859.506172839505</v>
      </c>
      <c r="H54" s="28">
        <f t="shared" si="5"/>
        <v>20091.944444444442</v>
      </c>
      <c r="I54" s="28">
        <f t="shared" si="6"/>
        <v>22324.382716049382</v>
      </c>
      <c r="J54" s="28">
        <f t="shared" si="7"/>
        <v>24556.820987654319</v>
      </c>
      <c r="K54" s="28">
        <f t="shared" si="8"/>
        <v>26789.259259259255</v>
      </c>
      <c r="L54" s="28">
        <f t="shared" si="9"/>
        <v>29021.697530864196</v>
      </c>
      <c r="M54" s="28">
        <f t="shared" si="10"/>
        <v>31254.135802469133</v>
      </c>
      <c r="N54" s="28">
        <f t="shared" si="11"/>
        <v>33486.574074074073</v>
      </c>
      <c r="O54" s="28">
        <f t="shared" si="12"/>
        <v>35719.01234567901</v>
      </c>
      <c r="P54" s="28">
        <f t="shared" si="13"/>
        <v>37951.450617283946</v>
      </c>
      <c r="Q54" s="28">
        <f t="shared" si="14"/>
        <v>40183.888888888883</v>
      </c>
      <c r="R54" s="28">
        <f t="shared" si="15"/>
        <v>42416.327160493827</v>
      </c>
      <c r="S54" s="28">
        <f t="shared" si="16"/>
        <v>44648.765432098764</v>
      </c>
      <c r="T54" s="28">
        <f t="shared" si="17"/>
        <v>46881.203703703701</v>
      </c>
      <c r="U54" s="28">
        <f t="shared" si="18"/>
        <v>49113.641975308637</v>
      </c>
      <c r="V54" s="28">
        <f t="shared" si="19"/>
        <v>51346.080246913574</v>
      </c>
      <c r="W54" s="28">
        <f t="shared" si="20"/>
        <v>53578.518518518511</v>
      </c>
    </row>
    <row r="55" spans="1:23" x14ac:dyDescent="0.2">
      <c r="A55" s="28">
        <v>54</v>
      </c>
      <c r="B55" s="28">
        <v>931.78181818181815</v>
      </c>
      <c r="C55" s="28">
        <f t="shared" si="0"/>
        <v>9317.818181818182</v>
      </c>
      <c r="D55" s="28">
        <f t="shared" si="1"/>
        <v>11647.272727272728</v>
      </c>
      <c r="E55" s="28">
        <f t="shared" si="2"/>
        <v>13976.727272727272</v>
      </c>
      <c r="F55" s="28">
        <f t="shared" si="3"/>
        <v>16306.181818181818</v>
      </c>
      <c r="G55" s="28">
        <f t="shared" si="4"/>
        <v>18635.636363636364</v>
      </c>
      <c r="H55" s="28">
        <f t="shared" si="5"/>
        <v>20965.090909090908</v>
      </c>
      <c r="I55" s="28">
        <f t="shared" si="6"/>
        <v>23294.545454545456</v>
      </c>
      <c r="J55" s="28">
        <f t="shared" si="7"/>
        <v>25624</v>
      </c>
      <c r="K55" s="28">
        <f t="shared" si="8"/>
        <v>27953.454545454544</v>
      </c>
      <c r="L55" s="28">
        <f t="shared" si="9"/>
        <v>30282.909090909092</v>
      </c>
      <c r="M55" s="28">
        <f t="shared" si="10"/>
        <v>32612.363636363636</v>
      </c>
      <c r="N55" s="28">
        <f t="shared" si="11"/>
        <v>34941.818181818184</v>
      </c>
      <c r="O55" s="28">
        <f t="shared" si="12"/>
        <v>37271.272727272728</v>
      </c>
      <c r="P55" s="28">
        <f t="shared" si="13"/>
        <v>39600.727272727272</v>
      </c>
      <c r="Q55" s="28">
        <f t="shared" si="14"/>
        <v>41930.181818181816</v>
      </c>
      <c r="R55" s="28">
        <f t="shared" si="15"/>
        <v>44259.636363636368</v>
      </c>
      <c r="S55" s="28">
        <f t="shared" si="16"/>
        <v>46589.090909090912</v>
      </c>
      <c r="T55" s="28">
        <f t="shared" si="17"/>
        <v>48918.545454545456</v>
      </c>
      <c r="U55" s="28">
        <f t="shared" si="18"/>
        <v>51248</v>
      </c>
      <c r="V55" s="28">
        <f t="shared" si="19"/>
        <v>53577.454545454544</v>
      </c>
      <c r="W55" s="28">
        <f t="shared" si="20"/>
        <v>55906.909090909088</v>
      </c>
    </row>
    <row r="56" spans="1:23" x14ac:dyDescent="0.2">
      <c r="A56" s="28">
        <v>55</v>
      </c>
      <c r="B56" s="28">
        <v>969.20238095238085</v>
      </c>
      <c r="C56" s="28">
        <f t="shared" si="0"/>
        <v>9692.0238095238092</v>
      </c>
      <c r="D56" s="28">
        <f t="shared" si="1"/>
        <v>12115.029761904761</v>
      </c>
      <c r="E56" s="28">
        <f t="shared" si="2"/>
        <v>14538.035714285714</v>
      </c>
      <c r="F56" s="28">
        <f t="shared" si="3"/>
        <v>16961.041666666664</v>
      </c>
      <c r="G56" s="28">
        <f t="shared" si="4"/>
        <v>19384.047619047618</v>
      </c>
      <c r="H56" s="28">
        <f t="shared" si="5"/>
        <v>21807.053571428572</v>
      </c>
      <c r="I56" s="28">
        <f t="shared" si="6"/>
        <v>24230.059523809523</v>
      </c>
      <c r="J56" s="28">
        <f t="shared" si="7"/>
        <v>26653.065476190473</v>
      </c>
      <c r="K56" s="28">
        <f t="shared" si="8"/>
        <v>29076.071428571428</v>
      </c>
      <c r="L56" s="28">
        <f t="shared" si="9"/>
        <v>31499.077380952382</v>
      </c>
      <c r="M56" s="28">
        <f t="shared" si="10"/>
        <v>33922.083333333328</v>
      </c>
      <c r="N56" s="28">
        <f t="shared" si="11"/>
        <v>36345.089285714283</v>
      </c>
      <c r="O56" s="28">
        <f t="shared" si="12"/>
        <v>38768.095238095237</v>
      </c>
      <c r="P56" s="28">
        <f t="shared" si="13"/>
        <v>41191.101190476191</v>
      </c>
      <c r="Q56" s="28">
        <f t="shared" si="14"/>
        <v>43614.107142857145</v>
      </c>
      <c r="R56" s="28">
        <f t="shared" si="15"/>
        <v>46037.113095238092</v>
      </c>
      <c r="S56" s="28">
        <f t="shared" si="16"/>
        <v>48460.119047619046</v>
      </c>
      <c r="T56" s="28">
        <f t="shared" si="17"/>
        <v>50883.125</v>
      </c>
      <c r="U56" s="28">
        <f t="shared" si="18"/>
        <v>53306.130952380947</v>
      </c>
      <c r="V56" s="28">
        <f t="shared" si="19"/>
        <v>55729.136904761901</v>
      </c>
      <c r="W56" s="28">
        <f t="shared" si="20"/>
        <v>58152.142857142855</v>
      </c>
    </row>
    <row r="57" spans="1:23" x14ac:dyDescent="0.2">
      <c r="A57" s="28">
        <v>56</v>
      </c>
      <c r="B57" s="28">
        <v>1009.4619883040936</v>
      </c>
      <c r="C57" s="28">
        <f t="shared" si="0"/>
        <v>10094.619883040936</v>
      </c>
      <c r="D57" s="28">
        <f t="shared" si="1"/>
        <v>12618.274853801169</v>
      </c>
      <c r="E57" s="28">
        <f t="shared" si="2"/>
        <v>15141.929824561405</v>
      </c>
      <c r="F57" s="28">
        <f t="shared" si="3"/>
        <v>17665.584795321636</v>
      </c>
      <c r="G57" s="28">
        <f t="shared" si="4"/>
        <v>20189.239766081871</v>
      </c>
      <c r="H57" s="28">
        <f t="shared" si="5"/>
        <v>22712.894736842107</v>
      </c>
      <c r="I57" s="28">
        <f t="shared" si="6"/>
        <v>25236.549707602338</v>
      </c>
      <c r="J57" s="28">
        <f t="shared" si="7"/>
        <v>27760.204678362574</v>
      </c>
      <c r="K57" s="28">
        <f t="shared" si="8"/>
        <v>30283.859649122809</v>
      </c>
      <c r="L57" s="28">
        <f t="shared" si="9"/>
        <v>32807.514619883041</v>
      </c>
      <c r="M57" s="28">
        <f t="shared" si="10"/>
        <v>35331.169590643272</v>
      </c>
      <c r="N57" s="28">
        <f t="shared" si="11"/>
        <v>37854.824561403511</v>
      </c>
      <c r="O57" s="28">
        <f t="shared" si="12"/>
        <v>40378.479532163743</v>
      </c>
      <c r="P57" s="28">
        <f t="shared" si="13"/>
        <v>42902.134502923975</v>
      </c>
      <c r="Q57" s="28">
        <f t="shared" si="14"/>
        <v>45425.789473684214</v>
      </c>
      <c r="R57" s="28">
        <f t="shared" si="15"/>
        <v>47949.444444444445</v>
      </c>
      <c r="S57" s="28">
        <f t="shared" si="16"/>
        <v>50473.099415204677</v>
      </c>
      <c r="T57" s="28">
        <f t="shared" si="17"/>
        <v>52996.754385964916</v>
      </c>
      <c r="U57" s="28">
        <f t="shared" si="18"/>
        <v>55520.409356725148</v>
      </c>
      <c r="V57" s="28">
        <f t="shared" si="19"/>
        <v>58044.064327485379</v>
      </c>
      <c r="W57" s="28">
        <f t="shared" si="20"/>
        <v>60567.719298245618</v>
      </c>
    </row>
    <row r="58" spans="1:23" x14ac:dyDescent="0.2">
      <c r="A58" s="28">
        <v>57</v>
      </c>
      <c r="B58" s="28">
        <v>1049.7701149425288</v>
      </c>
      <c r="C58" s="28">
        <f t="shared" si="0"/>
        <v>10497.701149425287</v>
      </c>
      <c r="D58" s="28">
        <f t="shared" si="1"/>
        <v>13122.126436781609</v>
      </c>
      <c r="E58" s="28">
        <f t="shared" si="2"/>
        <v>15746.551724137931</v>
      </c>
      <c r="F58" s="28">
        <f t="shared" si="3"/>
        <v>18370.977011494251</v>
      </c>
      <c r="G58" s="28">
        <f t="shared" si="4"/>
        <v>20995.402298850575</v>
      </c>
      <c r="H58" s="28">
        <f t="shared" si="5"/>
        <v>23619.827586206899</v>
      </c>
      <c r="I58" s="28">
        <f t="shared" si="6"/>
        <v>26244.252873563219</v>
      </c>
      <c r="J58" s="28">
        <f t="shared" si="7"/>
        <v>28868.678160919539</v>
      </c>
      <c r="K58" s="28">
        <f t="shared" si="8"/>
        <v>31493.103448275862</v>
      </c>
      <c r="L58" s="28">
        <f t="shared" si="9"/>
        <v>34117.528735632186</v>
      </c>
      <c r="M58" s="28">
        <f t="shared" si="10"/>
        <v>36741.954022988502</v>
      </c>
      <c r="N58" s="28">
        <f t="shared" si="11"/>
        <v>39366.379310344826</v>
      </c>
      <c r="O58" s="28">
        <f t="shared" si="12"/>
        <v>41990.80459770115</v>
      </c>
      <c r="P58" s="28">
        <f t="shared" si="13"/>
        <v>44615.229885057473</v>
      </c>
      <c r="Q58" s="28">
        <f t="shared" si="14"/>
        <v>47239.655172413797</v>
      </c>
      <c r="R58" s="28">
        <f t="shared" si="15"/>
        <v>49864.080459770114</v>
      </c>
      <c r="S58" s="28">
        <f t="shared" si="16"/>
        <v>52488.505747126437</v>
      </c>
      <c r="T58" s="28">
        <f t="shared" si="17"/>
        <v>55112.931034482761</v>
      </c>
      <c r="U58" s="28">
        <f t="shared" si="18"/>
        <v>57737.356321839077</v>
      </c>
      <c r="V58" s="28">
        <f t="shared" si="19"/>
        <v>60361.781609195401</v>
      </c>
      <c r="W58" s="28">
        <f t="shared" si="20"/>
        <v>62986.206896551725</v>
      </c>
    </row>
    <row r="59" spans="1:23" x14ac:dyDescent="0.2">
      <c r="A59" s="28">
        <v>58</v>
      </c>
      <c r="B59" s="28">
        <v>1092.7231638418079</v>
      </c>
      <c r="C59" s="28">
        <f t="shared" si="0"/>
        <v>10927.231638418079</v>
      </c>
      <c r="D59" s="28">
        <f t="shared" si="1"/>
        <v>13659.0395480226</v>
      </c>
      <c r="E59" s="28">
        <f t="shared" si="2"/>
        <v>16390.847457627118</v>
      </c>
      <c r="F59" s="28">
        <f t="shared" si="3"/>
        <v>19122.65536723164</v>
      </c>
      <c r="G59" s="28">
        <f t="shared" si="4"/>
        <v>21854.463276836159</v>
      </c>
      <c r="H59" s="28">
        <f t="shared" si="5"/>
        <v>24586.271186440677</v>
      </c>
      <c r="I59" s="28">
        <f t="shared" si="6"/>
        <v>27318.0790960452</v>
      </c>
      <c r="J59" s="28">
        <f t="shared" si="7"/>
        <v>30049.887005649718</v>
      </c>
      <c r="K59" s="28">
        <f t="shared" si="8"/>
        <v>32781.694915254237</v>
      </c>
      <c r="L59" s="28">
        <f t="shared" si="9"/>
        <v>35513.502824858755</v>
      </c>
      <c r="M59" s="28">
        <f t="shared" si="10"/>
        <v>38245.310734463281</v>
      </c>
      <c r="N59" s="28">
        <f t="shared" si="11"/>
        <v>40977.118644067799</v>
      </c>
      <c r="O59" s="28">
        <f t="shared" si="12"/>
        <v>43708.926553672318</v>
      </c>
      <c r="P59" s="28">
        <f t="shared" si="13"/>
        <v>46440.734463276836</v>
      </c>
      <c r="Q59" s="28">
        <f t="shared" si="14"/>
        <v>49172.542372881355</v>
      </c>
      <c r="R59" s="28">
        <f t="shared" si="15"/>
        <v>51904.350282485881</v>
      </c>
      <c r="S59" s="28">
        <f t="shared" si="16"/>
        <v>54636.158192090399</v>
      </c>
      <c r="T59" s="28">
        <f t="shared" si="17"/>
        <v>57367.966101694918</v>
      </c>
      <c r="U59" s="28">
        <f t="shared" si="18"/>
        <v>60099.774011299436</v>
      </c>
      <c r="V59" s="28">
        <f t="shared" si="19"/>
        <v>62831.581920903955</v>
      </c>
      <c r="W59" s="28">
        <f t="shared" si="20"/>
        <v>65563.389830508473</v>
      </c>
    </row>
    <row r="60" spans="1:23" x14ac:dyDescent="0.2">
      <c r="A60" s="28">
        <v>59</v>
      </c>
      <c r="B60" s="28">
        <v>1134.2444444444445</v>
      </c>
      <c r="C60" s="28">
        <f t="shared" si="0"/>
        <v>11342.444444444445</v>
      </c>
      <c r="D60" s="28">
        <f t="shared" si="1"/>
        <v>14178.055555555557</v>
      </c>
      <c r="E60" s="28">
        <f t="shared" si="2"/>
        <v>17013.666666666668</v>
      </c>
      <c r="F60" s="28">
        <f t="shared" si="3"/>
        <v>19849.277777777781</v>
      </c>
      <c r="G60" s="28">
        <f t="shared" si="4"/>
        <v>22684.888888888891</v>
      </c>
      <c r="H60" s="28">
        <f t="shared" si="5"/>
        <v>25520.5</v>
      </c>
      <c r="I60" s="28">
        <f t="shared" si="6"/>
        <v>28356.111111111113</v>
      </c>
      <c r="J60" s="28">
        <f t="shared" si="7"/>
        <v>31191.722222222226</v>
      </c>
      <c r="K60" s="28">
        <f t="shared" si="8"/>
        <v>34027.333333333336</v>
      </c>
      <c r="L60" s="28">
        <f t="shared" si="9"/>
        <v>36862.944444444445</v>
      </c>
      <c r="M60" s="28">
        <f t="shared" si="10"/>
        <v>39698.555555555562</v>
      </c>
      <c r="N60" s="28">
        <f t="shared" si="11"/>
        <v>42534.166666666672</v>
      </c>
      <c r="O60" s="28">
        <f t="shared" si="12"/>
        <v>45369.777777777781</v>
      </c>
      <c r="P60" s="28">
        <f t="shared" si="13"/>
        <v>48205.388888888891</v>
      </c>
      <c r="Q60" s="28">
        <f t="shared" si="14"/>
        <v>51041</v>
      </c>
      <c r="R60" s="28">
        <f t="shared" si="15"/>
        <v>53876.611111111117</v>
      </c>
      <c r="S60" s="28">
        <f t="shared" si="16"/>
        <v>56712.222222222226</v>
      </c>
      <c r="T60" s="28">
        <f t="shared" si="17"/>
        <v>59547.833333333336</v>
      </c>
      <c r="U60" s="28">
        <f t="shared" si="18"/>
        <v>62383.444444444453</v>
      </c>
      <c r="V60" s="28">
        <f t="shared" si="19"/>
        <v>65219.055555555562</v>
      </c>
      <c r="W60" s="28">
        <f t="shared" si="20"/>
        <v>68054.666666666672</v>
      </c>
    </row>
    <row r="61" spans="1:23" x14ac:dyDescent="0.2">
      <c r="A61" s="28">
        <v>60</v>
      </c>
      <c r="B61" s="28">
        <v>1180.4699453551912</v>
      </c>
      <c r="C61" s="28">
        <f t="shared" si="0"/>
        <v>11804.699453551912</v>
      </c>
      <c r="D61" s="28">
        <f t="shared" si="1"/>
        <v>14755.874316939889</v>
      </c>
      <c r="E61" s="28">
        <f t="shared" si="2"/>
        <v>17707.049180327867</v>
      </c>
      <c r="F61" s="28">
        <f t="shared" si="3"/>
        <v>20658.224043715847</v>
      </c>
      <c r="G61" s="28">
        <f t="shared" si="4"/>
        <v>23609.398907103823</v>
      </c>
      <c r="H61" s="28">
        <f t="shared" si="5"/>
        <v>26560.573770491799</v>
      </c>
      <c r="I61" s="28">
        <f t="shared" si="6"/>
        <v>29511.748633879779</v>
      </c>
      <c r="J61" s="28">
        <f t="shared" si="7"/>
        <v>32462.923497267759</v>
      </c>
      <c r="K61" s="28">
        <f t="shared" si="8"/>
        <v>35414.098360655735</v>
      </c>
      <c r="L61" s="28">
        <f t="shared" si="9"/>
        <v>38365.273224043711</v>
      </c>
      <c r="M61" s="28">
        <f t="shared" si="10"/>
        <v>41316.448087431694</v>
      </c>
      <c r="N61" s="28">
        <f t="shared" si="11"/>
        <v>44267.62295081967</v>
      </c>
      <c r="O61" s="28">
        <f t="shared" si="12"/>
        <v>47218.797814207646</v>
      </c>
      <c r="P61" s="28">
        <f t="shared" si="13"/>
        <v>50169.972677595622</v>
      </c>
      <c r="Q61" s="28">
        <f t="shared" si="14"/>
        <v>53121.147540983598</v>
      </c>
      <c r="R61" s="28">
        <f t="shared" si="15"/>
        <v>56072.322404371582</v>
      </c>
      <c r="S61" s="28">
        <f t="shared" si="16"/>
        <v>59023.497267759558</v>
      </c>
      <c r="T61" s="28">
        <f t="shared" si="17"/>
        <v>61974.672131147534</v>
      </c>
      <c r="U61" s="28">
        <f t="shared" si="18"/>
        <v>64925.846994535517</v>
      </c>
      <c r="V61" s="28">
        <f t="shared" si="19"/>
        <v>67877.021857923493</v>
      </c>
      <c r="W61" s="28">
        <f t="shared" si="20"/>
        <v>70828.196721311469</v>
      </c>
    </row>
    <row r="62" spans="1:23" x14ac:dyDescent="0.2">
      <c r="A62" s="28">
        <v>61</v>
      </c>
      <c r="B62" s="28">
        <v>1225.2043010752689</v>
      </c>
      <c r="C62" s="28">
        <f t="shared" si="0"/>
        <v>12252.043010752688</v>
      </c>
      <c r="D62" s="28">
        <f t="shared" si="1"/>
        <v>15315.053763440861</v>
      </c>
      <c r="E62" s="28">
        <f t="shared" si="2"/>
        <v>18378.06451612903</v>
      </c>
      <c r="F62" s="28">
        <f t="shared" si="3"/>
        <v>21441.075268817203</v>
      </c>
      <c r="G62" s="28">
        <f t="shared" si="4"/>
        <v>24504.086021505376</v>
      </c>
      <c r="H62" s="28">
        <f t="shared" si="5"/>
        <v>27567.096774193549</v>
      </c>
      <c r="I62" s="28">
        <f t="shared" si="6"/>
        <v>30630.107526881722</v>
      </c>
      <c r="J62" s="28">
        <f t="shared" si="7"/>
        <v>33693.118279569891</v>
      </c>
      <c r="K62" s="28">
        <f t="shared" si="8"/>
        <v>36756.129032258061</v>
      </c>
      <c r="L62" s="28">
        <f t="shared" si="9"/>
        <v>39819.139784946237</v>
      </c>
      <c r="M62" s="28">
        <f t="shared" si="10"/>
        <v>42882.150537634407</v>
      </c>
      <c r="N62" s="28">
        <f t="shared" si="11"/>
        <v>45945.161290322583</v>
      </c>
      <c r="O62" s="28">
        <f t="shared" si="12"/>
        <v>49008.172043010753</v>
      </c>
      <c r="P62" s="28">
        <f t="shared" si="13"/>
        <v>52071.182795698922</v>
      </c>
      <c r="Q62" s="28">
        <f t="shared" si="14"/>
        <v>55134.193548387098</v>
      </c>
      <c r="R62" s="28">
        <f t="shared" si="15"/>
        <v>58197.204301075268</v>
      </c>
      <c r="S62" s="28">
        <f t="shared" si="16"/>
        <v>61260.215053763444</v>
      </c>
      <c r="T62" s="28">
        <f t="shared" si="17"/>
        <v>64323.225806451614</v>
      </c>
      <c r="U62" s="28">
        <f t="shared" si="18"/>
        <v>67386.236559139783</v>
      </c>
      <c r="V62" s="28">
        <f t="shared" si="19"/>
        <v>70449.247311827959</v>
      </c>
      <c r="W62" s="28">
        <f t="shared" si="20"/>
        <v>73512.258064516122</v>
      </c>
    </row>
    <row r="63" spans="1:23" x14ac:dyDescent="0.2">
      <c r="A63" s="28">
        <v>62</v>
      </c>
      <c r="B63" s="28">
        <v>1272.8783068783068</v>
      </c>
      <c r="C63" s="28">
        <f t="shared" si="0"/>
        <v>12728.783068783068</v>
      </c>
      <c r="D63" s="28">
        <f t="shared" si="1"/>
        <v>15910.978835978836</v>
      </c>
      <c r="E63" s="28">
        <f t="shared" si="2"/>
        <v>19093.174603174601</v>
      </c>
      <c r="F63" s="28">
        <f t="shared" si="3"/>
        <v>22275.370370370369</v>
      </c>
      <c r="G63" s="28">
        <f t="shared" si="4"/>
        <v>25457.566137566137</v>
      </c>
      <c r="H63" s="28">
        <f t="shared" si="5"/>
        <v>28639.761904761905</v>
      </c>
      <c r="I63" s="28">
        <f t="shared" si="6"/>
        <v>31821.957671957673</v>
      </c>
      <c r="J63" s="28">
        <f t="shared" si="7"/>
        <v>35004.153439153437</v>
      </c>
      <c r="K63" s="28">
        <f t="shared" si="8"/>
        <v>38186.349206349201</v>
      </c>
      <c r="L63" s="28">
        <f t="shared" si="9"/>
        <v>41368.544973544973</v>
      </c>
      <c r="M63" s="28">
        <f t="shared" si="10"/>
        <v>44550.740740740737</v>
      </c>
      <c r="N63" s="28">
        <f t="shared" si="11"/>
        <v>47732.936507936509</v>
      </c>
      <c r="O63" s="28">
        <f t="shared" si="12"/>
        <v>50915.132275132273</v>
      </c>
      <c r="P63" s="28">
        <f t="shared" si="13"/>
        <v>54097.328042328038</v>
      </c>
      <c r="Q63" s="28">
        <f t="shared" si="14"/>
        <v>57279.523809523809</v>
      </c>
      <c r="R63" s="28">
        <f t="shared" si="15"/>
        <v>60461.719576719574</v>
      </c>
      <c r="S63" s="28">
        <f t="shared" si="16"/>
        <v>63643.915343915345</v>
      </c>
      <c r="T63" s="28">
        <f t="shared" si="17"/>
        <v>66826.111111111109</v>
      </c>
      <c r="U63" s="28">
        <f t="shared" si="18"/>
        <v>70008.306878306874</v>
      </c>
      <c r="V63" s="28">
        <f t="shared" si="19"/>
        <v>73190.502645502638</v>
      </c>
      <c r="W63" s="28">
        <f t="shared" si="20"/>
        <v>76372.698412698403</v>
      </c>
    </row>
    <row r="64" spans="1:23" x14ac:dyDescent="0.2">
      <c r="A64" s="28">
        <v>63</v>
      </c>
      <c r="B64" s="28">
        <v>1320.6458333333333</v>
      </c>
      <c r="C64" s="28">
        <f t="shared" si="0"/>
        <v>13206.458333333332</v>
      </c>
      <c r="D64" s="28">
        <f t="shared" si="1"/>
        <v>16508.072916666664</v>
      </c>
      <c r="E64" s="28">
        <f t="shared" si="2"/>
        <v>19809.6875</v>
      </c>
      <c r="F64" s="28">
        <f t="shared" si="3"/>
        <v>23111.302083333332</v>
      </c>
      <c r="G64" s="28">
        <f t="shared" si="4"/>
        <v>26412.916666666664</v>
      </c>
      <c r="H64" s="28">
        <f t="shared" si="5"/>
        <v>29714.531249999996</v>
      </c>
      <c r="I64" s="28">
        <f t="shared" si="6"/>
        <v>33016.145833333328</v>
      </c>
      <c r="J64" s="28">
        <f t="shared" si="7"/>
        <v>36317.760416666664</v>
      </c>
      <c r="K64" s="28">
        <f t="shared" si="8"/>
        <v>39619.375</v>
      </c>
      <c r="L64" s="28">
        <f t="shared" si="9"/>
        <v>42920.989583333328</v>
      </c>
      <c r="M64" s="28">
        <f t="shared" si="10"/>
        <v>46222.604166666664</v>
      </c>
      <c r="N64" s="28">
        <f t="shared" si="11"/>
        <v>49524.218749999993</v>
      </c>
      <c r="O64" s="28">
        <f t="shared" si="12"/>
        <v>52825.833333333328</v>
      </c>
      <c r="P64" s="28">
        <f t="shared" si="13"/>
        <v>56127.447916666664</v>
      </c>
      <c r="Q64" s="28">
        <f t="shared" si="14"/>
        <v>59429.062499999993</v>
      </c>
      <c r="R64" s="28">
        <f t="shared" si="15"/>
        <v>62730.677083333328</v>
      </c>
      <c r="S64" s="28">
        <f t="shared" si="16"/>
        <v>66032.291666666657</v>
      </c>
      <c r="T64" s="28">
        <f t="shared" si="17"/>
        <v>69333.90625</v>
      </c>
      <c r="U64" s="28">
        <f t="shared" si="18"/>
        <v>72635.520833333328</v>
      </c>
      <c r="V64" s="28">
        <f t="shared" si="19"/>
        <v>75937.135416666657</v>
      </c>
      <c r="W64" s="28">
        <f t="shared" si="20"/>
        <v>79238.75</v>
      </c>
    </row>
    <row r="65" spans="1:23" x14ac:dyDescent="0.2">
      <c r="A65" s="28">
        <v>64</v>
      </c>
      <c r="B65" s="28">
        <v>1371.6307692307691</v>
      </c>
      <c r="C65" s="28">
        <f t="shared" si="0"/>
        <v>13716.307692307691</v>
      </c>
      <c r="D65" s="28">
        <f t="shared" si="1"/>
        <v>17145.384615384613</v>
      </c>
      <c r="E65" s="28">
        <f t="shared" si="2"/>
        <v>20574.461538461539</v>
      </c>
      <c r="F65" s="28">
        <f t="shared" si="3"/>
        <v>24003.538461538461</v>
      </c>
      <c r="G65" s="28">
        <f t="shared" si="4"/>
        <v>27432.615384615383</v>
      </c>
      <c r="H65" s="28">
        <f t="shared" si="5"/>
        <v>30861.692307692305</v>
      </c>
      <c r="I65" s="28">
        <f t="shared" si="6"/>
        <v>34290.769230769227</v>
      </c>
      <c r="J65" s="28">
        <f t="shared" si="7"/>
        <v>37719.846153846149</v>
      </c>
      <c r="K65" s="28">
        <f t="shared" si="8"/>
        <v>41148.923076923078</v>
      </c>
      <c r="L65" s="28">
        <f t="shared" si="9"/>
        <v>44578</v>
      </c>
      <c r="M65" s="28">
        <f t="shared" si="10"/>
        <v>48007.076923076922</v>
      </c>
      <c r="N65" s="28">
        <f t="shared" si="11"/>
        <v>51436.153846153844</v>
      </c>
      <c r="O65" s="28">
        <f t="shared" si="12"/>
        <v>54865.230769230766</v>
      </c>
      <c r="P65" s="28">
        <f t="shared" si="13"/>
        <v>58294.307692307688</v>
      </c>
      <c r="Q65" s="28">
        <f t="shared" si="14"/>
        <v>61723.38461538461</v>
      </c>
      <c r="R65" s="28">
        <f t="shared" si="15"/>
        <v>65152.461538461532</v>
      </c>
      <c r="S65" s="28">
        <f t="shared" si="16"/>
        <v>68581.538461538454</v>
      </c>
      <c r="T65" s="28">
        <f t="shared" si="17"/>
        <v>72010.615384615376</v>
      </c>
      <c r="U65" s="28">
        <f t="shared" si="18"/>
        <v>75439.692307692298</v>
      </c>
      <c r="V65" s="28">
        <f t="shared" si="19"/>
        <v>78868.76923076922</v>
      </c>
      <c r="W65" s="28">
        <f t="shared" si="20"/>
        <v>82297.846153846156</v>
      </c>
    </row>
    <row r="66" spans="1:23" x14ac:dyDescent="0.2">
      <c r="A66" s="28">
        <v>65</v>
      </c>
      <c r="B66" s="28">
        <v>1421.0707070707072</v>
      </c>
      <c r="C66" s="28">
        <f t="shared" si="0"/>
        <v>14210.707070707071</v>
      </c>
      <c r="D66" s="28">
        <f t="shared" si="1"/>
        <v>17763.383838383837</v>
      </c>
      <c r="E66" s="28">
        <f t="shared" si="2"/>
        <v>21316.060606060608</v>
      </c>
      <c r="F66" s="28">
        <f t="shared" si="3"/>
        <v>24868.737373737375</v>
      </c>
      <c r="G66" s="28">
        <f t="shared" si="4"/>
        <v>28421.414141414141</v>
      </c>
      <c r="H66" s="28">
        <f t="shared" si="5"/>
        <v>31974.090909090908</v>
      </c>
      <c r="I66" s="28">
        <f t="shared" si="6"/>
        <v>35526.767676767675</v>
      </c>
      <c r="J66" s="28">
        <f t="shared" si="7"/>
        <v>39079.444444444445</v>
      </c>
      <c r="K66" s="28">
        <f t="shared" si="8"/>
        <v>42632.121212121216</v>
      </c>
      <c r="L66" s="28">
        <f t="shared" si="9"/>
        <v>46184.797979797979</v>
      </c>
      <c r="M66" s="28">
        <f t="shared" si="10"/>
        <v>49737.474747474749</v>
      </c>
      <c r="N66" s="28">
        <f t="shared" si="11"/>
        <v>53290.151515151512</v>
      </c>
      <c r="O66" s="28">
        <f t="shared" si="12"/>
        <v>56842.828282828283</v>
      </c>
      <c r="P66" s="28">
        <f t="shared" si="13"/>
        <v>60395.505050505053</v>
      </c>
      <c r="Q66" s="28">
        <f t="shared" si="14"/>
        <v>63948.181818181816</v>
      </c>
      <c r="R66" s="28">
        <f t="shared" si="15"/>
        <v>67500.858585858587</v>
      </c>
      <c r="S66" s="28">
        <f t="shared" si="16"/>
        <v>71053.53535353535</v>
      </c>
      <c r="T66" s="28">
        <f t="shared" si="17"/>
        <v>74606.212121212127</v>
      </c>
      <c r="U66" s="28">
        <f t="shared" si="18"/>
        <v>78158.888888888891</v>
      </c>
      <c r="V66" s="28">
        <f t="shared" si="19"/>
        <v>81711.565656565654</v>
      </c>
      <c r="W66" s="28">
        <f t="shared" si="20"/>
        <v>85264.242424242431</v>
      </c>
    </row>
    <row r="67" spans="1:23" x14ac:dyDescent="0.2">
      <c r="A67" s="28">
        <v>66</v>
      </c>
      <c r="B67" s="28">
        <v>1475.4427860696517</v>
      </c>
      <c r="C67" s="28">
        <f t="shared" si="0"/>
        <v>14754.427860696516</v>
      </c>
      <c r="D67" s="28">
        <f t="shared" si="1"/>
        <v>18443.034825870644</v>
      </c>
      <c r="E67" s="28">
        <f t="shared" si="2"/>
        <v>22131.641791044774</v>
      </c>
      <c r="F67" s="28">
        <f t="shared" si="3"/>
        <v>25820.248756218905</v>
      </c>
      <c r="G67" s="28">
        <f t="shared" si="4"/>
        <v>29508.855721393033</v>
      </c>
      <c r="H67" s="28">
        <f t="shared" si="5"/>
        <v>33197.46268656716</v>
      </c>
      <c r="I67" s="28">
        <f t="shared" si="6"/>
        <v>36886.069651741287</v>
      </c>
      <c r="J67" s="28">
        <f t="shared" si="7"/>
        <v>40574.676616915422</v>
      </c>
      <c r="K67" s="28">
        <f t="shared" si="8"/>
        <v>44263.283582089549</v>
      </c>
      <c r="L67" s="28">
        <f t="shared" si="9"/>
        <v>47951.890547263676</v>
      </c>
      <c r="M67" s="28">
        <f t="shared" si="10"/>
        <v>51640.497512437811</v>
      </c>
      <c r="N67" s="28">
        <f t="shared" si="11"/>
        <v>55329.104477611938</v>
      </c>
      <c r="O67" s="28">
        <f t="shared" si="12"/>
        <v>59017.711442786065</v>
      </c>
      <c r="P67" s="28">
        <f t="shared" si="13"/>
        <v>62706.318407960192</v>
      </c>
      <c r="Q67" s="28">
        <f t="shared" si="14"/>
        <v>66394.92537313432</v>
      </c>
      <c r="R67" s="28">
        <f t="shared" si="15"/>
        <v>70083.532338308447</v>
      </c>
      <c r="S67" s="28">
        <f t="shared" si="16"/>
        <v>73772.139303482574</v>
      </c>
      <c r="T67" s="28">
        <f t="shared" si="17"/>
        <v>77460.746268656716</v>
      </c>
      <c r="U67" s="28">
        <f t="shared" si="18"/>
        <v>81149.353233830843</v>
      </c>
      <c r="V67" s="28">
        <f t="shared" si="19"/>
        <v>84837.96019900497</v>
      </c>
      <c r="W67" s="28">
        <f t="shared" si="20"/>
        <v>88526.567164179098</v>
      </c>
    </row>
    <row r="68" spans="1:23" x14ac:dyDescent="0.2">
      <c r="A68" s="28">
        <v>67</v>
      </c>
      <c r="B68" s="28">
        <v>1528.2156862745098</v>
      </c>
      <c r="C68" s="28">
        <f t="shared" si="0"/>
        <v>15282.156862745098</v>
      </c>
      <c r="D68" s="28">
        <f t="shared" si="1"/>
        <v>19102.696078431371</v>
      </c>
      <c r="E68" s="28">
        <f t="shared" si="2"/>
        <v>22923.235294117647</v>
      </c>
      <c r="F68" s="28">
        <f t="shared" si="3"/>
        <v>26743.774509803923</v>
      </c>
      <c r="G68" s="28">
        <f t="shared" si="4"/>
        <v>30564.313725490196</v>
      </c>
      <c r="H68" s="28">
        <f t="shared" si="5"/>
        <v>34384.852941176468</v>
      </c>
      <c r="I68" s="28">
        <f t="shared" si="6"/>
        <v>38205.392156862741</v>
      </c>
      <c r="J68" s="28">
        <f t="shared" si="7"/>
        <v>42025.931372549021</v>
      </c>
      <c r="K68" s="28">
        <f t="shared" si="8"/>
        <v>45846.470588235294</v>
      </c>
      <c r="L68" s="28">
        <f t="shared" si="9"/>
        <v>49667.009803921566</v>
      </c>
      <c r="M68" s="28">
        <f t="shared" si="10"/>
        <v>53487.549019607846</v>
      </c>
      <c r="N68" s="28">
        <f t="shared" si="11"/>
        <v>57308.088235294119</v>
      </c>
      <c r="O68" s="28">
        <f t="shared" si="12"/>
        <v>61128.627450980392</v>
      </c>
      <c r="P68" s="28">
        <f t="shared" si="13"/>
        <v>64949.166666666664</v>
      </c>
      <c r="Q68" s="28">
        <f t="shared" si="14"/>
        <v>68769.705882352937</v>
      </c>
      <c r="R68" s="28">
        <f t="shared" si="15"/>
        <v>72590.245098039217</v>
      </c>
      <c r="S68" s="28">
        <f t="shared" si="16"/>
        <v>76410.784313725482</v>
      </c>
      <c r="T68" s="28">
        <f t="shared" si="17"/>
        <v>80231.323529411762</v>
      </c>
      <c r="U68" s="28">
        <f t="shared" si="18"/>
        <v>84051.862745098042</v>
      </c>
      <c r="V68" s="28">
        <f t="shared" si="19"/>
        <v>87872.401960784307</v>
      </c>
      <c r="W68" s="28">
        <f t="shared" si="20"/>
        <v>91692.941176470587</v>
      </c>
    </row>
    <row r="69" spans="1:23" x14ac:dyDescent="0.2">
      <c r="A69" s="28">
        <v>68</v>
      </c>
      <c r="B69" s="28">
        <v>1584.4830917874397</v>
      </c>
      <c r="C69" s="28">
        <f t="shared" si="0"/>
        <v>15844.830917874397</v>
      </c>
      <c r="D69" s="28">
        <f t="shared" si="1"/>
        <v>19806.038647342997</v>
      </c>
      <c r="E69" s="28">
        <f t="shared" si="2"/>
        <v>23767.246376811596</v>
      </c>
      <c r="F69" s="28">
        <f t="shared" si="3"/>
        <v>27728.454106280195</v>
      </c>
      <c r="G69" s="28">
        <f t="shared" si="4"/>
        <v>31689.661835748793</v>
      </c>
      <c r="H69" s="28">
        <f t="shared" si="5"/>
        <v>35650.869565217392</v>
      </c>
      <c r="I69" s="28">
        <f t="shared" si="6"/>
        <v>39612.077294685994</v>
      </c>
      <c r="J69" s="28">
        <f t="shared" si="7"/>
        <v>43573.285024154589</v>
      </c>
      <c r="K69" s="28">
        <f t="shared" si="8"/>
        <v>47534.492753623192</v>
      </c>
      <c r="L69" s="28">
        <f t="shared" si="9"/>
        <v>51495.700483091787</v>
      </c>
      <c r="M69" s="28">
        <f t="shared" si="10"/>
        <v>55456.908212560389</v>
      </c>
      <c r="N69" s="28">
        <f t="shared" si="11"/>
        <v>59418.115942028984</v>
      </c>
      <c r="O69" s="28">
        <f t="shared" si="12"/>
        <v>63379.323671497586</v>
      </c>
      <c r="P69" s="28">
        <f t="shared" si="13"/>
        <v>67340.531400966182</v>
      </c>
      <c r="Q69" s="28">
        <f t="shared" si="14"/>
        <v>71301.739130434784</v>
      </c>
      <c r="R69" s="28">
        <f t="shared" si="15"/>
        <v>75262.946859903386</v>
      </c>
      <c r="S69" s="28">
        <f t="shared" si="16"/>
        <v>79224.154589371989</v>
      </c>
      <c r="T69" s="28">
        <f t="shared" si="17"/>
        <v>83185.362318840576</v>
      </c>
      <c r="U69" s="28">
        <f t="shared" si="18"/>
        <v>87146.570048309179</v>
      </c>
      <c r="V69" s="28">
        <f t="shared" si="19"/>
        <v>91107.777777777781</v>
      </c>
      <c r="W69" s="28">
        <f t="shared" si="20"/>
        <v>95068.985507246383</v>
      </c>
    </row>
    <row r="70" spans="1:23" x14ac:dyDescent="0.2">
      <c r="A70" s="28">
        <v>69</v>
      </c>
      <c r="B70" s="28">
        <v>1640.7619047619048</v>
      </c>
      <c r="C70" s="28">
        <f t="shared" si="0"/>
        <v>16407.61904761905</v>
      </c>
      <c r="D70" s="28">
        <f t="shared" si="1"/>
        <v>20509.523809523813</v>
      </c>
      <c r="E70" s="28">
        <f t="shared" si="2"/>
        <v>24611.428571428572</v>
      </c>
      <c r="F70" s="28">
        <f t="shared" si="3"/>
        <v>28713.333333333336</v>
      </c>
      <c r="G70" s="28">
        <f t="shared" si="4"/>
        <v>32815.238095238099</v>
      </c>
      <c r="H70" s="28">
        <f t="shared" si="5"/>
        <v>36917.142857142862</v>
      </c>
      <c r="I70" s="28">
        <f t="shared" si="6"/>
        <v>41019.047619047626</v>
      </c>
      <c r="J70" s="28">
        <f t="shared" si="7"/>
        <v>45120.952380952389</v>
      </c>
      <c r="K70" s="28">
        <f t="shared" si="8"/>
        <v>49222.857142857145</v>
      </c>
      <c r="L70" s="28">
        <f t="shared" si="9"/>
        <v>53324.761904761908</v>
      </c>
      <c r="M70" s="28">
        <f t="shared" si="10"/>
        <v>57426.666666666672</v>
      </c>
      <c r="N70" s="28">
        <f t="shared" si="11"/>
        <v>61528.571428571435</v>
      </c>
      <c r="O70" s="28">
        <f t="shared" si="12"/>
        <v>65630.476190476198</v>
      </c>
      <c r="P70" s="28">
        <f t="shared" si="13"/>
        <v>69732.380952380961</v>
      </c>
      <c r="Q70" s="28">
        <f t="shared" si="14"/>
        <v>73834.285714285725</v>
      </c>
      <c r="R70" s="28">
        <f t="shared" si="15"/>
        <v>77936.190476190488</v>
      </c>
      <c r="S70" s="28">
        <f t="shared" si="16"/>
        <v>82038.095238095251</v>
      </c>
      <c r="T70" s="28">
        <f t="shared" si="17"/>
        <v>86140.000000000015</v>
      </c>
      <c r="U70" s="28">
        <f t="shared" si="18"/>
        <v>90241.904761904778</v>
      </c>
      <c r="V70" s="28">
        <f t="shared" si="19"/>
        <v>94343.809523809541</v>
      </c>
      <c r="W70" s="28">
        <f t="shared" si="20"/>
        <v>98445.71428571429</v>
      </c>
    </row>
    <row r="71" spans="1:23" x14ac:dyDescent="0.2">
      <c r="A71" s="28">
        <v>70</v>
      </c>
      <c r="B71" s="28">
        <v>1700.3286384976525</v>
      </c>
      <c r="C71" s="28">
        <f t="shared" si="0"/>
        <v>17003.286384976524</v>
      </c>
      <c r="D71" s="28">
        <f t="shared" si="1"/>
        <v>21254.107981220655</v>
      </c>
      <c r="E71" s="28">
        <f t="shared" si="2"/>
        <v>25504.929577464784</v>
      </c>
      <c r="F71" s="28">
        <f t="shared" si="3"/>
        <v>29755.751173708915</v>
      </c>
      <c r="G71" s="28">
        <f t="shared" si="4"/>
        <v>34006.572769953047</v>
      </c>
      <c r="H71" s="28">
        <f t="shared" si="5"/>
        <v>38257.394366197179</v>
      </c>
      <c r="I71" s="28">
        <f t="shared" si="6"/>
        <v>42508.215962441311</v>
      </c>
      <c r="J71" s="28">
        <f t="shared" si="7"/>
        <v>46759.037558685442</v>
      </c>
      <c r="K71" s="28">
        <f t="shared" si="8"/>
        <v>51009.859154929567</v>
      </c>
      <c r="L71" s="28">
        <f t="shared" si="9"/>
        <v>55260.680751173699</v>
      </c>
      <c r="M71" s="28">
        <f t="shared" si="10"/>
        <v>59511.502347417831</v>
      </c>
      <c r="N71" s="28">
        <f t="shared" si="11"/>
        <v>63762.323943661962</v>
      </c>
      <c r="O71" s="28">
        <f t="shared" si="12"/>
        <v>68013.145539906094</v>
      </c>
      <c r="P71" s="28">
        <f t="shared" si="13"/>
        <v>72263.967136150226</v>
      </c>
      <c r="Q71" s="28">
        <f t="shared" si="14"/>
        <v>76514.788732394358</v>
      </c>
      <c r="R71" s="28">
        <f t="shared" si="15"/>
        <v>80765.61032863849</v>
      </c>
      <c r="S71" s="28">
        <f t="shared" si="16"/>
        <v>85016.431924882621</v>
      </c>
      <c r="T71" s="28">
        <f t="shared" si="17"/>
        <v>89267.253521126753</v>
      </c>
      <c r="U71" s="28">
        <f t="shared" si="18"/>
        <v>93518.075117370885</v>
      </c>
      <c r="V71" s="28">
        <f t="shared" si="19"/>
        <v>97768.896713615017</v>
      </c>
      <c r="W71" s="28">
        <f t="shared" si="20"/>
        <v>102019.71830985913</v>
      </c>
    </row>
    <row r="72" spans="1:23" x14ac:dyDescent="0.2">
      <c r="A72" s="28">
        <v>71</v>
      </c>
      <c r="B72" s="28">
        <v>1758.2407407407406</v>
      </c>
      <c r="C72" s="28">
        <f t="shared" si="0"/>
        <v>17582.407407407405</v>
      </c>
      <c r="D72" s="28">
        <f t="shared" si="1"/>
        <v>21978.009259259255</v>
      </c>
      <c r="E72" s="28">
        <f t="shared" si="2"/>
        <v>26373.611111111109</v>
      </c>
      <c r="F72" s="28">
        <f t="shared" si="3"/>
        <v>30769.21296296296</v>
      </c>
      <c r="G72" s="28">
        <f t="shared" si="4"/>
        <v>35164.81481481481</v>
      </c>
      <c r="H72" s="28">
        <f t="shared" si="5"/>
        <v>39560.416666666664</v>
      </c>
      <c r="I72" s="28">
        <f t="shared" si="6"/>
        <v>43956.018518518511</v>
      </c>
      <c r="J72" s="28">
        <f t="shared" si="7"/>
        <v>48351.620370370365</v>
      </c>
      <c r="K72" s="28">
        <f t="shared" si="8"/>
        <v>52747.222222222219</v>
      </c>
      <c r="L72" s="28">
        <f t="shared" si="9"/>
        <v>57142.824074074066</v>
      </c>
      <c r="M72" s="28">
        <f t="shared" si="10"/>
        <v>61538.42592592592</v>
      </c>
      <c r="N72" s="28">
        <f t="shared" si="11"/>
        <v>65934.027777777766</v>
      </c>
      <c r="O72" s="28">
        <f t="shared" si="12"/>
        <v>70329.62962962962</v>
      </c>
      <c r="P72" s="28">
        <f t="shared" si="13"/>
        <v>74725.231481481474</v>
      </c>
      <c r="Q72" s="28">
        <f t="shared" si="14"/>
        <v>79120.833333333328</v>
      </c>
      <c r="R72" s="28">
        <f t="shared" si="15"/>
        <v>83516.435185185168</v>
      </c>
      <c r="S72" s="28">
        <f t="shared" si="16"/>
        <v>87912.037037037022</v>
      </c>
      <c r="T72" s="28">
        <f t="shared" si="17"/>
        <v>92307.638888888876</v>
      </c>
      <c r="U72" s="28">
        <f t="shared" si="18"/>
        <v>96703.24074074073</v>
      </c>
      <c r="V72" s="28">
        <f t="shared" si="19"/>
        <v>101098.84259259258</v>
      </c>
      <c r="W72" s="28">
        <f t="shared" si="20"/>
        <v>105494.44444444444</v>
      </c>
    </row>
    <row r="73" spans="1:23" x14ac:dyDescent="0.2">
      <c r="A73" s="28">
        <v>72</v>
      </c>
      <c r="B73" s="28">
        <v>1821.8904109589041</v>
      </c>
      <c r="C73" s="28">
        <f t="shared" si="0"/>
        <v>18218.904109589042</v>
      </c>
      <c r="D73" s="28">
        <f t="shared" si="1"/>
        <v>22773.630136986303</v>
      </c>
      <c r="E73" s="28">
        <f t="shared" si="2"/>
        <v>27328.356164383564</v>
      </c>
      <c r="F73" s="28">
        <f t="shared" si="3"/>
        <v>31883.082191780824</v>
      </c>
      <c r="G73" s="28">
        <f t="shared" si="4"/>
        <v>36437.808219178085</v>
      </c>
      <c r="H73" s="28">
        <f t="shared" si="5"/>
        <v>40992.534246575349</v>
      </c>
      <c r="I73" s="28">
        <f t="shared" si="6"/>
        <v>45547.260273972606</v>
      </c>
      <c r="J73" s="28">
        <f t="shared" si="7"/>
        <v>50101.986301369863</v>
      </c>
      <c r="K73" s="28">
        <f t="shared" si="8"/>
        <v>54656.712328767127</v>
      </c>
      <c r="L73" s="28">
        <f t="shared" si="9"/>
        <v>59211.438356164392</v>
      </c>
      <c r="M73" s="28">
        <f t="shared" si="10"/>
        <v>63766.164383561649</v>
      </c>
      <c r="N73" s="28">
        <f t="shared" si="11"/>
        <v>68320.890410958906</v>
      </c>
      <c r="O73" s="28">
        <f t="shared" si="12"/>
        <v>72875.61643835617</v>
      </c>
      <c r="P73" s="28">
        <f t="shared" si="13"/>
        <v>77430.342465753434</v>
      </c>
      <c r="Q73" s="28">
        <f t="shared" si="14"/>
        <v>81985.068493150698</v>
      </c>
      <c r="R73" s="28">
        <f t="shared" si="15"/>
        <v>86539.794520547948</v>
      </c>
      <c r="S73" s="28">
        <f t="shared" si="16"/>
        <v>91094.520547945212</v>
      </c>
      <c r="T73" s="28">
        <f t="shared" si="17"/>
        <v>95649.246575342477</v>
      </c>
      <c r="U73" s="28">
        <f t="shared" si="18"/>
        <v>100203.97260273973</v>
      </c>
      <c r="V73" s="28">
        <f t="shared" si="19"/>
        <v>104758.69863013699</v>
      </c>
      <c r="W73" s="28">
        <f t="shared" si="20"/>
        <v>109313.42465753425</v>
      </c>
    </row>
    <row r="74" spans="1:23" x14ac:dyDescent="0.2">
      <c r="A74" s="28">
        <v>73</v>
      </c>
      <c r="B74" s="28">
        <v>1883.8198198198197</v>
      </c>
      <c r="C74" s="28">
        <f t="shared" si="0"/>
        <v>18838.198198198195</v>
      </c>
      <c r="D74" s="28">
        <f t="shared" si="1"/>
        <v>23547.747747747744</v>
      </c>
      <c r="E74" s="28">
        <f t="shared" si="2"/>
        <v>28257.297297297293</v>
      </c>
      <c r="F74" s="28">
        <f t="shared" si="3"/>
        <v>32966.846846846842</v>
      </c>
      <c r="G74" s="28">
        <f t="shared" si="4"/>
        <v>37676.396396396391</v>
      </c>
      <c r="H74" s="28">
        <f t="shared" si="5"/>
        <v>42385.945945945939</v>
      </c>
      <c r="I74" s="28">
        <f t="shared" si="6"/>
        <v>47095.495495495488</v>
      </c>
      <c r="J74" s="28">
        <f t="shared" si="7"/>
        <v>51805.045045045037</v>
      </c>
      <c r="K74" s="28">
        <f t="shared" si="8"/>
        <v>56514.594594594586</v>
      </c>
      <c r="L74" s="28">
        <f t="shared" si="9"/>
        <v>61224.144144144135</v>
      </c>
      <c r="M74" s="28">
        <f t="shared" si="10"/>
        <v>65933.693693693684</v>
      </c>
      <c r="N74" s="28">
        <f t="shared" si="11"/>
        <v>70643.243243243225</v>
      </c>
      <c r="O74" s="28">
        <f t="shared" si="12"/>
        <v>75352.792792792781</v>
      </c>
      <c r="P74" s="28">
        <f t="shared" si="13"/>
        <v>80062.342342342337</v>
      </c>
      <c r="Q74" s="28">
        <f t="shared" si="14"/>
        <v>84771.891891891879</v>
      </c>
      <c r="R74" s="28">
        <f t="shared" si="15"/>
        <v>89481.44144144142</v>
      </c>
      <c r="S74" s="28">
        <f t="shared" si="16"/>
        <v>94190.990990990977</v>
      </c>
      <c r="T74" s="28">
        <f t="shared" si="17"/>
        <v>98900.540540540533</v>
      </c>
      <c r="U74" s="28">
        <f t="shared" si="18"/>
        <v>103610.09009009007</v>
      </c>
      <c r="V74" s="28">
        <f t="shared" si="19"/>
        <v>108319.63963963962</v>
      </c>
      <c r="W74" s="28">
        <f t="shared" si="20"/>
        <v>113029.18918918917</v>
      </c>
    </row>
    <row r="75" spans="1:23" x14ac:dyDescent="0.2">
      <c r="A75" s="28">
        <v>74</v>
      </c>
      <c r="B75" s="28">
        <v>1949.4222222222222</v>
      </c>
      <c r="C75" s="28">
        <f t="shared" si="0"/>
        <v>19494.222222222223</v>
      </c>
      <c r="D75" s="28">
        <f t="shared" si="1"/>
        <v>24367.777777777777</v>
      </c>
      <c r="E75" s="28">
        <f t="shared" si="2"/>
        <v>29241.333333333336</v>
      </c>
      <c r="F75" s="28">
        <f t="shared" si="3"/>
        <v>34114.888888888891</v>
      </c>
      <c r="G75" s="28">
        <f t="shared" si="4"/>
        <v>38988.444444444445</v>
      </c>
      <c r="H75" s="28">
        <f t="shared" si="5"/>
        <v>43862</v>
      </c>
      <c r="I75" s="28">
        <f t="shared" si="6"/>
        <v>48735.555555555555</v>
      </c>
      <c r="J75" s="28">
        <f t="shared" si="7"/>
        <v>53609.111111111109</v>
      </c>
      <c r="K75" s="28">
        <f t="shared" si="8"/>
        <v>58482.666666666672</v>
      </c>
      <c r="L75" s="28">
        <f t="shared" si="9"/>
        <v>63356.222222222226</v>
      </c>
      <c r="M75" s="28">
        <f t="shared" si="10"/>
        <v>68229.777777777781</v>
      </c>
      <c r="N75" s="28">
        <f t="shared" si="11"/>
        <v>73103.333333333328</v>
      </c>
      <c r="O75" s="28">
        <f t="shared" si="12"/>
        <v>77976.888888888891</v>
      </c>
      <c r="P75" s="28">
        <f t="shared" si="13"/>
        <v>82850.444444444453</v>
      </c>
      <c r="Q75" s="28">
        <f t="shared" si="14"/>
        <v>87724</v>
      </c>
      <c r="R75" s="28">
        <f t="shared" si="15"/>
        <v>92597.555555555562</v>
      </c>
      <c r="S75" s="28">
        <f t="shared" si="16"/>
        <v>97471.111111111109</v>
      </c>
      <c r="T75" s="28">
        <f t="shared" si="17"/>
        <v>102344.66666666667</v>
      </c>
      <c r="U75" s="28">
        <f t="shared" si="18"/>
        <v>107218.22222222222</v>
      </c>
      <c r="V75" s="28">
        <f t="shared" si="19"/>
        <v>112091.77777777778</v>
      </c>
      <c r="W75" s="28">
        <f t="shared" si="20"/>
        <v>116965.33333333334</v>
      </c>
    </row>
    <row r="76" spans="1:23" x14ac:dyDescent="0.2">
      <c r="A76" s="28">
        <v>75</v>
      </c>
      <c r="B76" s="28">
        <v>2015.0877192982457</v>
      </c>
      <c r="C76" s="28">
        <f t="shared" si="0"/>
        <v>20150.877192982458</v>
      </c>
      <c r="D76" s="28">
        <f t="shared" si="1"/>
        <v>25188.596491228072</v>
      </c>
      <c r="E76" s="28">
        <f t="shared" si="2"/>
        <v>30226.315789473687</v>
      </c>
      <c r="F76" s="28">
        <f t="shared" si="3"/>
        <v>35264.035087719298</v>
      </c>
      <c r="G76" s="28">
        <f t="shared" si="4"/>
        <v>40301.754385964916</v>
      </c>
      <c r="H76" s="28">
        <f t="shared" si="5"/>
        <v>45339.473684210534</v>
      </c>
      <c r="I76" s="28">
        <f t="shared" si="6"/>
        <v>50377.192982456145</v>
      </c>
      <c r="J76" s="28">
        <f t="shared" si="7"/>
        <v>55414.912280701756</v>
      </c>
      <c r="K76" s="28">
        <f t="shared" si="8"/>
        <v>60452.631578947374</v>
      </c>
      <c r="L76" s="28">
        <f t="shared" si="9"/>
        <v>65490.350877192992</v>
      </c>
      <c r="M76" s="28">
        <f t="shared" si="10"/>
        <v>70528.070175438595</v>
      </c>
      <c r="N76" s="28">
        <f t="shared" si="11"/>
        <v>75565.789473684214</v>
      </c>
      <c r="O76" s="28">
        <f t="shared" si="12"/>
        <v>80603.508771929832</v>
      </c>
      <c r="P76" s="28">
        <f t="shared" si="13"/>
        <v>85641.22807017545</v>
      </c>
      <c r="Q76" s="28">
        <f t="shared" si="14"/>
        <v>90678.947368421068</v>
      </c>
      <c r="R76" s="28">
        <f t="shared" si="15"/>
        <v>95716.666666666672</v>
      </c>
      <c r="S76" s="28">
        <f t="shared" si="16"/>
        <v>100754.38596491229</v>
      </c>
      <c r="T76" s="28">
        <f t="shared" si="17"/>
        <v>105792.10526315791</v>
      </c>
      <c r="U76" s="28">
        <f t="shared" si="18"/>
        <v>110829.82456140351</v>
      </c>
      <c r="V76" s="28">
        <f t="shared" si="19"/>
        <v>115867.54385964913</v>
      </c>
      <c r="W76" s="28">
        <f t="shared" si="20"/>
        <v>120905.26315789475</v>
      </c>
    </row>
    <row r="77" spans="1:23" x14ac:dyDescent="0.2">
      <c r="A77" s="28">
        <v>76</v>
      </c>
      <c r="B77" s="28">
        <v>2084.7099567099567</v>
      </c>
      <c r="C77" s="28">
        <f t="shared" si="0"/>
        <v>20847.099567099569</v>
      </c>
      <c r="D77" s="28">
        <f t="shared" si="1"/>
        <v>26058.874458874459</v>
      </c>
      <c r="E77" s="28">
        <f t="shared" si="2"/>
        <v>31270.649350649353</v>
      </c>
      <c r="F77" s="28">
        <f t="shared" si="3"/>
        <v>36482.424242424247</v>
      </c>
      <c r="G77" s="28">
        <f t="shared" si="4"/>
        <v>41694.199134199138</v>
      </c>
      <c r="H77" s="28">
        <f t="shared" si="5"/>
        <v>46905.974025974028</v>
      </c>
      <c r="I77" s="28">
        <f t="shared" si="6"/>
        <v>52117.748917748919</v>
      </c>
      <c r="J77" s="28">
        <f t="shared" si="7"/>
        <v>57329.523809523816</v>
      </c>
      <c r="K77" s="28">
        <f t="shared" si="8"/>
        <v>62541.298701298707</v>
      </c>
      <c r="L77" s="28">
        <f t="shared" si="9"/>
        <v>67753.073593073597</v>
      </c>
      <c r="M77" s="28">
        <f t="shared" si="10"/>
        <v>72964.848484848495</v>
      </c>
      <c r="N77" s="28">
        <f t="shared" si="11"/>
        <v>78176.623376623378</v>
      </c>
      <c r="O77" s="28">
        <f t="shared" si="12"/>
        <v>83388.398268398276</v>
      </c>
      <c r="P77" s="28">
        <f t="shared" si="13"/>
        <v>88600.173160173174</v>
      </c>
      <c r="Q77" s="28">
        <f t="shared" si="14"/>
        <v>93811.948051948057</v>
      </c>
      <c r="R77" s="28">
        <f t="shared" si="15"/>
        <v>99023.722943722954</v>
      </c>
      <c r="S77" s="28">
        <f t="shared" si="16"/>
        <v>104235.49783549784</v>
      </c>
      <c r="T77" s="28">
        <f t="shared" si="17"/>
        <v>109447.27272727274</v>
      </c>
      <c r="U77" s="28">
        <f t="shared" si="18"/>
        <v>114659.04761904763</v>
      </c>
      <c r="V77" s="28">
        <f t="shared" si="19"/>
        <v>119870.82251082252</v>
      </c>
      <c r="W77" s="28">
        <f t="shared" si="20"/>
        <v>125082.59740259741</v>
      </c>
    </row>
    <row r="78" spans="1:23" x14ac:dyDescent="0.2">
      <c r="A78" s="28">
        <v>77</v>
      </c>
      <c r="B78" s="28">
        <v>2152.5470085470083</v>
      </c>
      <c r="C78" s="28">
        <f t="shared" si="0"/>
        <v>21525.470085470082</v>
      </c>
      <c r="D78" s="28">
        <f t="shared" si="1"/>
        <v>26906.837606837602</v>
      </c>
      <c r="E78" s="28">
        <f t="shared" si="2"/>
        <v>32288.205128205125</v>
      </c>
      <c r="F78" s="28">
        <f t="shared" si="3"/>
        <v>37669.572649572641</v>
      </c>
      <c r="G78" s="28">
        <f t="shared" si="4"/>
        <v>43050.940170940165</v>
      </c>
      <c r="H78" s="28">
        <f t="shared" si="5"/>
        <v>48432.307692307688</v>
      </c>
      <c r="I78" s="28">
        <f t="shared" si="6"/>
        <v>53813.675213675204</v>
      </c>
      <c r="J78" s="28">
        <f t="shared" si="7"/>
        <v>59195.042735042727</v>
      </c>
      <c r="K78" s="28">
        <f t="shared" si="8"/>
        <v>64576.41025641025</v>
      </c>
      <c r="L78" s="28">
        <f t="shared" si="9"/>
        <v>69957.777777777766</v>
      </c>
      <c r="M78" s="28">
        <f t="shared" si="10"/>
        <v>75339.145299145282</v>
      </c>
      <c r="N78" s="28">
        <f t="shared" si="11"/>
        <v>80720.512820512813</v>
      </c>
      <c r="O78" s="28">
        <f t="shared" si="12"/>
        <v>86101.880341880329</v>
      </c>
      <c r="P78" s="28">
        <f t="shared" si="13"/>
        <v>91483.247863247845</v>
      </c>
      <c r="Q78" s="28">
        <f t="shared" si="14"/>
        <v>96864.615384615376</v>
      </c>
      <c r="R78" s="28">
        <f t="shared" si="15"/>
        <v>102245.98290598289</v>
      </c>
      <c r="S78" s="28">
        <f t="shared" si="16"/>
        <v>107627.35042735041</v>
      </c>
      <c r="T78" s="28">
        <f t="shared" si="17"/>
        <v>113008.71794871794</v>
      </c>
      <c r="U78" s="28">
        <f t="shared" si="18"/>
        <v>118390.08547008545</v>
      </c>
      <c r="V78" s="28">
        <f t="shared" si="19"/>
        <v>123771.45299145297</v>
      </c>
      <c r="W78" s="28">
        <f t="shared" si="20"/>
        <v>129152.8205128205</v>
      </c>
    </row>
    <row r="79" spans="1:23" x14ac:dyDescent="0.2">
      <c r="A79" s="28">
        <v>78</v>
      </c>
      <c r="B79" s="28">
        <v>2226.3037974683543</v>
      </c>
      <c r="C79" s="28">
        <f t="shared" si="0"/>
        <v>22263.037974683542</v>
      </c>
      <c r="D79" s="28">
        <f t="shared" si="1"/>
        <v>27828.797468354427</v>
      </c>
      <c r="E79" s="28">
        <f t="shared" si="2"/>
        <v>33394.556962025315</v>
      </c>
      <c r="F79" s="28">
        <f t="shared" si="3"/>
        <v>38960.3164556962</v>
      </c>
      <c r="G79" s="28">
        <f t="shared" si="4"/>
        <v>44526.075949367085</v>
      </c>
      <c r="H79" s="28">
        <f t="shared" si="5"/>
        <v>50091.83544303797</v>
      </c>
      <c r="I79" s="28">
        <f t="shared" si="6"/>
        <v>55657.594936708854</v>
      </c>
      <c r="J79" s="28">
        <f t="shared" si="7"/>
        <v>61223.354430379739</v>
      </c>
      <c r="K79" s="28">
        <f t="shared" si="8"/>
        <v>66789.113924050631</v>
      </c>
      <c r="L79" s="28">
        <f t="shared" si="9"/>
        <v>72354.873417721508</v>
      </c>
      <c r="M79" s="28">
        <f t="shared" si="10"/>
        <v>77920.6329113924</v>
      </c>
      <c r="N79" s="28">
        <f t="shared" si="11"/>
        <v>83486.392405063278</v>
      </c>
      <c r="O79" s="28">
        <f t="shared" si="12"/>
        <v>89052.15189873417</v>
      </c>
      <c r="P79" s="28">
        <f t="shared" si="13"/>
        <v>94617.911392405062</v>
      </c>
      <c r="Q79" s="28">
        <f t="shared" si="14"/>
        <v>100183.67088607594</v>
      </c>
      <c r="R79" s="28">
        <f t="shared" si="15"/>
        <v>105749.43037974683</v>
      </c>
      <c r="S79" s="28">
        <f t="shared" si="16"/>
        <v>111315.18987341771</v>
      </c>
      <c r="T79" s="28">
        <f t="shared" si="17"/>
        <v>116880.9493670886</v>
      </c>
      <c r="U79" s="28">
        <f t="shared" si="18"/>
        <v>122446.70886075948</v>
      </c>
      <c r="V79" s="28">
        <f t="shared" si="19"/>
        <v>128012.46835443037</v>
      </c>
      <c r="W79" s="28">
        <f t="shared" si="20"/>
        <v>133578.22784810126</v>
      </c>
    </row>
    <row r="80" spans="1:23" x14ac:dyDescent="0.2">
      <c r="A80" s="28">
        <v>79</v>
      </c>
      <c r="B80" s="28">
        <v>2298.2166666666667</v>
      </c>
      <c r="C80" s="28">
        <f t="shared" si="0"/>
        <v>22982.166666666668</v>
      </c>
      <c r="D80" s="28">
        <f t="shared" si="1"/>
        <v>28727.708333333336</v>
      </c>
      <c r="E80" s="28">
        <f t="shared" si="2"/>
        <v>34473.25</v>
      </c>
      <c r="F80" s="28">
        <f t="shared" si="3"/>
        <v>40218.791666666672</v>
      </c>
      <c r="G80" s="28">
        <f t="shared" si="4"/>
        <v>45964.333333333336</v>
      </c>
      <c r="H80" s="28">
        <f t="shared" si="5"/>
        <v>51709.875</v>
      </c>
      <c r="I80" s="28">
        <f t="shared" si="6"/>
        <v>57455.416666666672</v>
      </c>
      <c r="J80" s="28">
        <f t="shared" si="7"/>
        <v>63200.958333333336</v>
      </c>
      <c r="K80" s="28">
        <f t="shared" si="8"/>
        <v>68946.5</v>
      </c>
      <c r="L80" s="28">
        <f t="shared" si="9"/>
        <v>74692.041666666672</v>
      </c>
      <c r="M80" s="28">
        <f t="shared" si="10"/>
        <v>80437.583333333343</v>
      </c>
      <c r="N80" s="28">
        <f t="shared" si="11"/>
        <v>86183.125</v>
      </c>
      <c r="O80" s="28">
        <f t="shared" si="12"/>
        <v>91928.666666666672</v>
      </c>
      <c r="P80" s="28">
        <f t="shared" si="13"/>
        <v>97674.208333333343</v>
      </c>
      <c r="Q80" s="28">
        <f t="shared" si="14"/>
        <v>103419.75</v>
      </c>
      <c r="R80" s="28">
        <f t="shared" si="15"/>
        <v>109165.29166666667</v>
      </c>
      <c r="S80" s="28">
        <f t="shared" si="16"/>
        <v>114910.83333333334</v>
      </c>
      <c r="T80" s="28">
        <f t="shared" si="17"/>
        <v>120656.375</v>
      </c>
      <c r="U80" s="28">
        <f t="shared" si="18"/>
        <v>126401.91666666667</v>
      </c>
      <c r="V80" s="28">
        <f t="shared" si="19"/>
        <v>132147.45833333334</v>
      </c>
      <c r="W80" s="28">
        <f t="shared" si="20"/>
        <v>137893</v>
      </c>
    </row>
    <row r="81" spans="1:23" x14ac:dyDescent="0.2">
      <c r="A81" s="28">
        <v>80</v>
      </c>
      <c r="B81" s="28">
        <v>2374.4526748971193</v>
      </c>
      <c r="C81" s="28">
        <f t="shared" si="0"/>
        <v>23744.526748971191</v>
      </c>
      <c r="D81" s="28">
        <f t="shared" si="1"/>
        <v>29680.658436213991</v>
      </c>
      <c r="E81" s="28">
        <f t="shared" si="2"/>
        <v>35616.790123456783</v>
      </c>
      <c r="F81" s="28">
        <f t="shared" si="3"/>
        <v>41552.921810699583</v>
      </c>
      <c r="G81" s="28">
        <f t="shared" si="4"/>
        <v>47489.053497942383</v>
      </c>
      <c r="H81" s="28">
        <f t="shared" si="5"/>
        <v>53425.185185185182</v>
      </c>
      <c r="I81" s="28">
        <f t="shared" si="6"/>
        <v>59361.316872427982</v>
      </c>
      <c r="J81" s="28">
        <f t="shared" si="7"/>
        <v>65297.448559670775</v>
      </c>
      <c r="K81" s="28">
        <f t="shared" si="8"/>
        <v>71233.580246913567</v>
      </c>
      <c r="L81" s="28">
        <f t="shared" si="9"/>
        <v>77169.711934156367</v>
      </c>
      <c r="M81" s="28">
        <f t="shared" si="10"/>
        <v>83105.843621399166</v>
      </c>
      <c r="N81" s="28">
        <f t="shared" si="11"/>
        <v>89041.975308641966</v>
      </c>
      <c r="O81" s="28">
        <f t="shared" si="12"/>
        <v>94978.106995884766</v>
      </c>
      <c r="P81" s="28">
        <f t="shared" si="13"/>
        <v>100914.23868312757</v>
      </c>
      <c r="Q81" s="28">
        <f t="shared" si="14"/>
        <v>106850.37037037036</v>
      </c>
      <c r="R81" s="28">
        <f t="shared" si="15"/>
        <v>112786.50205761316</v>
      </c>
      <c r="S81" s="28">
        <f t="shared" si="16"/>
        <v>118722.63374485596</v>
      </c>
      <c r="T81" s="28">
        <f t="shared" si="17"/>
        <v>124658.76543209875</v>
      </c>
      <c r="U81" s="28">
        <f t="shared" si="18"/>
        <v>130594.89711934155</v>
      </c>
      <c r="V81" s="28">
        <f t="shared" si="19"/>
        <v>136531.02880658436</v>
      </c>
      <c r="W81" s="28">
        <f t="shared" si="20"/>
        <v>142467.16049382713</v>
      </c>
    </row>
    <row r="82" spans="1:23" x14ac:dyDescent="0.2">
      <c r="A82" s="28">
        <v>81</v>
      </c>
      <c r="B82" s="28">
        <v>2450.7723577235774</v>
      </c>
      <c r="C82" s="28">
        <f t="shared" si="0"/>
        <v>24507.723577235774</v>
      </c>
      <c r="D82" s="28">
        <f t="shared" si="1"/>
        <v>30634.654471544716</v>
      </c>
      <c r="E82" s="28">
        <f t="shared" si="2"/>
        <v>36761.585365853665</v>
      </c>
      <c r="F82" s="28">
        <f t="shared" si="3"/>
        <v>42888.516260162607</v>
      </c>
      <c r="G82" s="28">
        <f t="shared" si="4"/>
        <v>49015.447154471549</v>
      </c>
      <c r="H82" s="28">
        <f t="shared" si="5"/>
        <v>55142.378048780491</v>
      </c>
      <c r="I82" s="28">
        <f t="shared" si="6"/>
        <v>61269.308943089432</v>
      </c>
      <c r="J82" s="28">
        <f t="shared" si="7"/>
        <v>67396.239837398374</v>
      </c>
      <c r="K82" s="28">
        <f t="shared" si="8"/>
        <v>73523.170731707331</v>
      </c>
      <c r="L82" s="28">
        <f t="shared" si="9"/>
        <v>79650.101626016272</v>
      </c>
      <c r="M82" s="28">
        <f t="shared" si="10"/>
        <v>85777.032520325214</v>
      </c>
      <c r="N82" s="28">
        <f t="shared" si="11"/>
        <v>91903.963414634156</v>
      </c>
      <c r="O82" s="28">
        <f t="shared" si="12"/>
        <v>98030.894308943098</v>
      </c>
      <c r="P82" s="28">
        <f t="shared" si="13"/>
        <v>104157.82520325204</v>
      </c>
      <c r="Q82" s="28">
        <f t="shared" si="14"/>
        <v>110284.75609756098</v>
      </c>
      <c r="R82" s="28">
        <f t="shared" si="15"/>
        <v>116411.68699186992</v>
      </c>
      <c r="S82" s="28">
        <f t="shared" si="16"/>
        <v>122538.61788617886</v>
      </c>
      <c r="T82" s="28">
        <f t="shared" si="17"/>
        <v>128665.54878048782</v>
      </c>
      <c r="U82" s="28">
        <f t="shared" si="18"/>
        <v>134792.47967479675</v>
      </c>
      <c r="V82" s="28">
        <f t="shared" si="19"/>
        <v>140919.4105691057</v>
      </c>
      <c r="W82" s="28">
        <f t="shared" si="20"/>
        <v>147046.34146341466</v>
      </c>
    </row>
    <row r="83" spans="1:23" x14ac:dyDescent="0.2">
      <c r="A83" s="28">
        <v>82</v>
      </c>
      <c r="B83" s="28">
        <v>2531.2048192771085</v>
      </c>
      <c r="C83" s="28">
        <f t="shared" si="0"/>
        <v>25312.048192771086</v>
      </c>
      <c r="D83" s="28">
        <f t="shared" si="1"/>
        <v>31640.06024096386</v>
      </c>
      <c r="E83" s="28">
        <f t="shared" si="2"/>
        <v>37968.072289156626</v>
      </c>
      <c r="F83" s="28">
        <f t="shared" si="3"/>
        <v>44296.084337349399</v>
      </c>
      <c r="G83" s="28">
        <f t="shared" si="4"/>
        <v>50624.096385542172</v>
      </c>
      <c r="H83" s="28">
        <f t="shared" si="5"/>
        <v>56952.108433734946</v>
      </c>
      <c r="I83" s="28">
        <f t="shared" si="6"/>
        <v>63280.120481927719</v>
      </c>
      <c r="J83" s="28">
        <f t="shared" si="7"/>
        <v>69608.132530120492</v>
      </c>
      <c r="K83" s="28">
        <f t="shared" si="8"/>
        <v>75936.144578313251</v>
      </c>
      <c r="L83" s="28">
        <f t="shared" si="9"/>
        <v>82264.156626506025</v>
      </c>
      <c r="M83" s="28">
        <f t="shared" si="10"/>
        <v>88592.168674698798</v>
      </c>
      <c r="N83" s="28">
        <f t="shared" si="11"/>
        <v>94920.180722891571</v>
      </c>
      <c r="O83" s="28">
        <f t="shared" si="12"/>
        <v>101248.19277108434</v>
      </c>
      <c r="P83" s="28">
        <f t="shared" si="13"/>
        <v>107576.20481927712</v>
      </c>
      <c r="Q83" s="28">
        <f t="shared" si="14"/>
        <v>113904.21686746989</v>
      </c>
      <c r="R83" s="28">
        <f t="shared" si="15"/>
        <v>120232.22891566266</v>
      </c>
      <c r="S83" s="28">
        <f t="shared" si="16"/>
        <v>126560.24096385544</v>
      </c>
      <c r="T83" s="28">
        <f t="shared" si="17"/>
        <v>132888.2530120482</v>
      </c>
      <c r="U83" s="28">
        <f t="shared" si="18"/>
        <v>139216.26506024098</v>
      </c>
      <c r="V83" s="28">
        <f t="shared" si="19"/>
        <v>145544.27710843374</v>
      </c>
      <c r="W83" s="28">
        <f t="shared" si="20"/>
        <v>151872.2891566265</v>
      </c>
    </row>
    <row r="84" spans="1:23" x14ac:dyDescent="0.2">
      <c r="A84" s="28">
        <v>83</v>
      </c>
      <c r="B84" s="28">
        <v>2609.7222222222222</v>
      </c>
      <c r="C84" s="28">
        <f t="shared" si="0"/>
        <v>26097.222222222223</v>
      </c>
      <c r="D84" s="28">
        <f t="shared" si="1"/>
        <v>32621.527777777777</v>
      </c>
      <c r="E84" s="28">
        <f t="shared" si="2"/>
        <v>39145.833333333336</v>
      </c>
      <c r="F84" s="28">
        <f t="shared" si="3"/>
        <v>45670.138888888891</v>
      </c>
      <c r="G84" s="28">
        <f t="shared" si="4"/>
        <v>52194.444444444445</v>
      </c>
      <c r="H84" s="28">
        <f t="shared" si="5"/>
        <v>58718.75</v>
      </c>
      <c r="I84" s="28">
        <f t="shared" si="6"/>
        <v>65243.055555555555</v>
      </c>
      <c r="J84" s="28">
        <f t="shared" si="7"/>
        <v>71767.361111111109</v>
      </c>
      <c r="K84" s="28">
        <f t="shared" si="8"/>
        <v>78291.666666666672</v>
      </c>
      <c r="L84" s="28">
        <f t="shared" si="9"/>
        <v>84815.972222222219</v>
      </c>
      <c r="M84" s="28">
        <f t="shared" si="10"/>
        <v>91340.277777777781</v>
      </c>
      <c r="N84" s="28">
        <f t="shared" si="11"/>
        <v>97864.583333333328</v>
      </c>
      <c r="O84" s="28">
        <f t="shared" si="12"/>
        <v>104388.88888888889</v>
      </c>
      <c r="P84" s="28">
        <f t="shared" si="13"/>
        <v>110913.19444444445</v>
      </c>
      <c r="Q84" s="28">
        <f t="shared" si="14"/>
        <v>117437.5</v>
      </c>
      <c r="R84" s="28">
        <f t="shared" si="15"/>
        <v>123961.80555555556</v>
      </c>
      <c r="S84" s="28">
        <f t="shared" si="16"/>
        <v>130486.11111111111</v>
      </c>
      <c r="T84" s="28">
        <f t="shared" si="17"/>
        <v>137010.41666666666</v>
      </c>
      <c r="U84" s="28">
        <f t="shared" si="18"/>
        <v>143534.72222222222</v>
      </c>
      <c r="V84" s="28">
        <f t="shared" si="19"/>
        <v>150059.02777777778</v>
      </c>
      <c r="W84" s="28">
        <f t="shared" si="20"/>
        <v>156583.33333333334</v>
      </c>
    </row>
    <row r="85" spans="1:23" x14ac:dyDescent="0.2">
      <c r="A85" s="28">
        <v>84</v>
      </c>
      <c r="B85" s="28">
        <v>2695.0431372549019</v>
      </c>
      <c r="C85" s="28">
        <f t="shared" si="0"/>
        <v>26950.431372549021</v>
      </c>
      <c r="D85" s="28">
        <f t="shared" si="1"/>
        <v>33688.03921568628</v>
      </c>
      <c r="E85" s="28">
        <f t="shared" si="2"/>
        <v>40425.647058823532</v>
      </c>
      <c r="F85" s="28">
        <f t="shared" si="3"/>
        <v>47163.254901960783</v>
      </c>
      <c r="G85" s="28">
        <f t="shared" si="4"/>
        <v>53900.862745098042</v>
      </c>
      <c r="H85" s="28">
        <f t="shared" si="5"/>
        <v>60638.470588235301</v>
      </c>
      <c r="I85" s="28">
        <f t="shared" si="6"/>
        <v>67376.07843137256</v>
      </c>
      <c r="J85" s="28">
        <f t="shared" si="7"/>
        <v>74113.686274509804</v>
      </c>
      <c r="K85" s="28">
        <f t="shared" si="8"/>
        <v>80851.294117647063</v>
      </c>
      <c r="L85" s="28">
        <f t="shared" si="9"/>
        <v>87588.901960784322</v>
      </c>
      <c r="M85" s="28">
        <f t="shared" si="10"/>
        <v>94326.509803921566</v>
      </c>
      <c r="N85" s="28">
        <f t="shared" si="11"/>
        <v>101064.11764705883</v>
      </c>
      <c r="O85" s="28">
        <f t="shared" si="12"/>
        <v>107801.72549019608</v>
      </c>
      <c r="P85" s="28">
        <f t="shared" si="13"/>
        <v>114539.33333333334</v>
      </c>
      <c r="Q85" s="28">
        <f t="shared" si="14"/>
        <v>121276.9411764706</v>
      </c>
      <c r="R85" s="28">
        <f t="shared" si="15"/>
        <v>128014.54901960785</v>
      </c>
      <c r="S85" s="28">
        <f t="shared" si="16"/>
        <v>134752.15686274512</v>
      </c>
      <c r="T85" s="28">
        <f t="shared" si="17"/>
        <v>141489.76470588235</v>
      </c>
      <c r="U85" s="28">
        <f t="shared" si="18"/>
        <v>148227.37254901961</v>
      </c>
      <c r="V85" s="28">
        <f t="shared" si="19"/>
        <v>154964.98039215687</v>
      </c>
      <c r="W85" s="28">
        <f t="shared" si="20"/>
        <v>161702.58823529413</v>
      </c>
    </row>
    <row r="86" spans="1:23" x14ac:dyDescent="0.2">
      <c r="A86" s="28">
        <v>85</v>
      </c>
      <c r="B86" s="28">
        <v>2778.3798449612405</v>
      </c>
      <c r="C86" s="28">
        <f t="shared" si="0"/>
        <v>27783.798449612405</v>
      </c>
      <c r="D86" s="28">
        <f t="shared" si="1"/>
        <v>34729.748062015504</v>
      </c>
      <c r="E86" s="28">
        <f t="shared" si="2"/>
        <v>41675.69767441861</v>
      </c>
      <c r="F86" s="28">
        <f t="shared" si="3"/>
        <v>48621.64728682171</v>
      </c>
      <c r="G86" s="28">
        <f t="shared" si="4"/>
        <v>55567.596899224809</v>
      </c>
      <c r="H86" s="28">
        <f t="shared" si="5"/>
        <v>62513.546511627908</v>
      </c>
      <c r="I86" s="28">
        <f t="shared" si="6"/>
        <v>69459.496124031008</v>
      </c>
      <c r="J86" s="28">
        <f t="shared" si="7"/>
        <v>76405.445736434107</v>
      </c>
      <c r="K86" s="28">
        <f t="shared" si="8"/>
        <v>83351.395348837221</v>
      </c>
      <c r="L86" s="28">
        <f t="shared" si="9"/>
        <v>90297.34496124032</v>
      </c>
      <c r="M86" s="28">
        <f t="shared" si="10"/>
        <v>97243.294573643419</v>
      </c>
      <c r="N86" s="28">
        <f t="shared" si="11"/>
        <v>104189.24418604652</v>
      </c>
      <c r="O86" s="28">
        <f t="shared" si="12"/>
        <v>111135.19379844962</v>
      </c>
      <c r="P86" s="28">
        <f t="shared" si="13"/>
        <v>118081.14341085272</v>
      </c>
      <c r="Q86" s="28">
        <f t="shared" si="14"/>
        <v>125027.09302325582</v>
      </c>
      <c r="R86" s="28">
        <f t="shared" si="15"/>
        <v>131973.04263565893</v>
      </c>
      <c r="S86" s="28">
        <f t="shared" si="16"/>
        <v>138918.99224806202</v>
      </c>
      <c r="T86" s="28">
        <f t="shared" si="17"/>
        <v>145864.94186046513</v>
      </c>
      <c r="U86" s="28">
        <f t="shared" si="18"/>
        <v>152810.89147286821</v>
      </c>
      <c r="V86" s="28">
        <f t="shared" si="19"/>
        <v>159756.84108527133</v>
      </c>
      <c r="W86" s="28">
        <f t="shared" si="20"/>
        <v>166702.79069767444</v>
      </c>
    </row>
    <row r="87" spans="1:23" x14ac:dyDescent="0.2">
      <c r="A87" s="28">
        <v>86</v>
      </c>
      <c r="B87" s="28">
        <v>2866.2145593869732</v>
      </c>
      <c r="C87" s="28">
        <f t="shared" si="0"/>
        <v>28662.145593869733</v>
      </c>
      <c r="D87" s="28">
        <f t="shared" si="1"/>
        <v>35827.681992337166</v>
      </c>
      <c r="E87" s="28">
        <f t="shared" si="2"/>
        <v>42993.218390804599</v>
      </c>
      <c r="F87" s="28">
        <f t="shared" si="3"/>
        <v>50158.754789272032</v>
      </c>
      <c r="G87" s="28">
        <f t="shared" si="4"/>
        <v>57324.291187739465</v>
      </c>
      <c r="H87" s="28">
        <f t="shared" si="5"/>
        <v>64489.827586206899</v>
      </c>
      <c r="I87" s="28">
        <f t="shared" si="6"/>
        <v>71655.363984674332</v>
      </c>
      <c r="J87" s="28">
        <f t="shared" si="7"/>
        <v>78820.900383141765</v>
      </c>
      <c r="K87" s="28">
        <f t="shared" si="8"/>
        <v>85986.436781609198</v>
      </c>
      <c r="L87" s="28">
        <f t="shared" si="9"/>
        <v>93151.973180076631</v>
      </c>
      <c r="M87" s="28">
        <f t="shared" si="10"/>
        <v>100317.50957854406</v>
      </c>
      <c r="N87" s="28">
        <f t="shared" si="11"/>
        <v>107483.0459770115</v>
      </c>
      <c r="O87" s="28">
        <f t="shared" si="12"/>
        <v>114648.58237547893</v>
      </c>
      <c r="P87" s="28">
        <f t="shared" si="13"/>
        <v>121814.11877394636</v>
      </c>
      <c r="Q87" s="28">
        <f t="shared" si="14"/>
        <v>128979.6551724138</v>
      </c>
      <c r="R87" s="28">
        <f t="shared" si="15"/>
        <v>136145.19157088123</v>
      </c>
      <c r="S87" s="28">
        <f t="shared" si="16"/>
        <v>143310.72796934866</v>
      </c>
      <c r="T87" s="28">
        <f t="shared" si="17"/>
        <v>150476.2643678161</v>
      </c>
      <c r="U87" s="28">
        <f t="shared" si="18"/>
        <v>157641.80076628353</v>
      </c>
      <c r="V87" s="28">
        <f t="shared" si="19"/>
        <v>164807.33716475096</v>
      </c>
      <c r="W87" s="28">
        <f t="shared" si="20"/>
        <v>171972.8735632184</v>
      </c>
    </row>
    <row r="88" spans="1:23" x14ac:dyDescent="0.2">
      <c r="A88" s="28">
        <v>87</v>
      </c>
      <c r="B88" s="28">
        <v>2954.068181818182</v>
      </c>
      <c r="C88" s="28">
        <f t="shared" si="0"/>
        <v>29540.68181818182</v>
      </c>
      <c r="D88" s="28">
        <f t="shared" si="1"/>
        <v>36925.852272727272</v>
      </c>
      <c r="E88" s="28">
        <f t="shared" si="2"/>
        <v>44311.022727272728</v>
      </c>
      <c r="F88" s="28">
        <f t="shared" si="3"/>
        <v>51696.193181818184</v>
      </c>
      <c r="G88" s="28">
        <f t="shared" si="4"/>
        <v>59081.36363636364</v>
      </c>
      <c r="H88" s="28">
        <f t="shared" si="5"/>
        <v>66466.534090909088</v>
      </c>
      <c r="I88" s="28">
        <f t="shared" si="6"/>
        <v>73851.704545454544</v>
      </c>
      <c r="J88" s="28">
        <f t="shared" si="7"/>
        <v>81236.875</v>
      </c>
      <c r="K88" s="28">
        <f t="shared" si="8"/>
        <v>88622.045454545456</v>
      </c>
      <c r="L88" s="28">
        <f t="shared" si="9"/>
        <v>96007.215909090912</v>
      </c>
      <c r="M88" s="28">
        <f t="shared" si="10"/>
        <v>103392.38636363637</v>
      </c>
      <c r="N88" s="28">
        <f t="shared" si="11"/>
        <v>110777.55681818182</v>
      </c>
      <c r="O88" s="28">
        <f t="shared" si="12"/>
        <v>118162.72727272728</v>
      </c>
      <c r="P88" s="28">
        <f t="shared" si="13"/>
        <v>125547.89772727274</v>
      </c>
      <c r="Q88" s="28">
        <f t="shared" si="14"/>
        <v>132933.06818181818</v>
      </c>
      <c r="R88" s="28">
        <f t="shared" si="15"/>
        <v>140318.23863636365</v>
      </c>
      <c r="S88" s="28">
        <f t="shared" si="16"/>
        <v>147703.40909090909</v>
      </c>
      <c r="T88" s="28">
        <f t="shared" si="17"/>
        <v>155088.57954545456</v>
      </c>
      <c r="U88" s="28">
        <f t="shared" si="18"/>
        <v>162473.75</v>
      </c>
      <c r="V88" s="28">
        <f t="shared" si="19"/>
        <v>169858.92045454547</v>
      </c>
      <c r="W88" s="28">
        <f t="shared" si="20"/>
        <v>177244.09090909091</v>
      </c>
    </row>
    <row r="89" spans="1:23" x14ac:dyDescent="0.2">
      <c r="A89" s="28">
        <v>88</v>
      </c>
      <c r="B89" s="28">
        <v>3046.7715355805244</v>
      </c>
      <c r="C89" s="28">
        <f t="shared" si="0"/>
        <v>30467.715355805245</v>
      </c>
      <c r="D89" s="28">
        <f t="shared" si="1"/>
        <v>38084.644194756554</v>
      </c>
      <c r="E89" s="28">
        <f t="shared" si="2"/>
        <v>45701.573033707871</v>
      </c>
      <c r="F89" s="28">
        <f t="shared" si="3"/>
        <v>53318.501872659181</v>
      </c>
      <c r="G89" s="28">
        <f t="shared" si="4"/>
        <v>60935.43071161049</v>
      </c>
      <c r="H89" s="28">
        <f t="shared" si="5"/>
        <v>68552.3595505618</v>
      </c>
      <c r="I89" s="28">
        <f t="shared" si="6"/>
        <v>76169.288389513109</v>
      </c>
      <c r="J89" s="28">
        <f t="shared" si="7"/>
        <v>83786.217228464418</v>
      </c>
      <c r="K89" s="28">
        <f t="shared" si="8"/>
        <v>91403.146067415742</v>
      </c>
      <c r="L89" s="28">
        <f t="shared" si="9"/>
        <v>99020.074906367052</v>
      </c>
      <c r="M89" s="28">
        <f t="shared" si="10"/>
        <v>106637.00374531836</v>
      </c>
      <c r="N89" s="28">
        <f t="shared" si="11"/>
        <v>114253.93258426967</v>
      </c>
      <c r="O89" s="28">
        <f t="shared" si="12"/>
        <v>121870.86142322098</v>
      </c>
      <c r="P89" s="28">
        <f t="shared" si="13"/>
        <v>129487.79026217229</v>
      </c>
      <c r="Q89" s="28">
        <f t="shared" si="14"/>
        <v>137104.7191011236</v>
      </c>
      <c r="R89" s="28">
        <f t="shared" si="15"/>
        <v>144721.64794007491</v>
      </c>
      <c r="S89" s="28">
        <f t="shared" si="16"/>
        <v>152338.57677902622</v>
      </c>
      <c r="T89" s="28">
        <f t="shared" si="17"/>
        <v>159955.50561797753</v>
      </c>
      <c r="U89" s="28">
        <f t="shared" si="18"/>
        <v>167572.43445692884</v>
      </c>
      <c r="V89" s="28">
        <f t="shared" si="19"/>
        <v>175189.36329588015</v>
      </c>
      <c r="W89" s="28">
        <f t="shared" si="20"/>
        <v>182806.29213483148</v>
      </c>
    </row>
    <row r="90" spans="1:23" x14ac:dyDescent="0.2">
      <c r="A90" s="28">
        <v>89</v>
      </c>
      <c r="B90" s="28">
        <v>3137.4148148148147</v>
      </c>
      <c r="C90" s="28">
        <f t="shared" si="0"/>
        <v>31374.148148148146</v>
      </c>
      <c r="D90" s="28">
        <f t="shared" si="1"/>
        <v>39217.685185185182</v>
      </c>
      <c r="E90" s="28">
        <f t="shared" si="2"/>
        <v>47061.222222222219</v>
      </c>
      <c r="F90" s="28">
        <f t="shared" si="3"/>
        <v>54904.759259259255</v>
      </c>
      <c r="G90" s="28">
        <f t="shared" si="4"/>
        <v>62748.296296296292</v>
      </c>
      <c r="H90" s="28">
        <f t="shared" si="5"/>
        <v>70591.833333333328</v>
      </c>
      <c r="I90" s="28">
        <f t="shared" si="6"/>
        <v>78435.370370370365</v>
      </c>
      <c r="J90" s="28">
        <f t="shared" si="7"/>
        <v>86278.907407407401</v>
      </c>
      <c r="K90" s="28">
        <f t="shared" si="8"/>
        <v>94122.444444444438</v>
      </c>
      <c r="L90" s="28">
        <f t="shared" si="9"/>
        <v>101965.98148148147</v>
      </c>
      <c r="M90" s="28">
        <f t="shared" si="10"/>
        <v>109809.51851851851</v>
      </c>
      <c r="N90" s="28">
        <f t="shared" si="11"/>
        <v>117653.05555555555</v>
      </c>
      <c r="O90" s="28">
        <f t="shared" si="12"/>
        <v>125496.59259259258</v>
      </c>
      <c r="P90" s="28">
        <f t="shared" si="13"/>
        <v>133340.12962962961</v>
      </c>
      <c r="Q90" s="28">
        <f t="shared" si="14"/>
        <v>141183.66666666666</v>
      </c>
      <c r="R90" s="28">
        <f t="shared" si="15"/>
        <v>149027.20370370371</v>
      </c>
      <c r="S90" s="28">
        <f t="shared" si="16"/>
        <v>156870.74074074073</v>
      </c>
      <c r="T90" s="28">
        <f t="shared" si="17"/>
        <v>164714.27777777775</v>
      </c>
      <c r="U90" s="28">
        <f t="shared" si="18"/>
        <v>172557.8148148148</v>
      </c>
      <c r="V90" s="28">
        <f t="shared" si="19"/>
        <v>180401.35185185185</v>
      </c>
      <c r="W90" s="28">
        <f t="shared" si="20"/>
        <v>188244.88888888888</v>
      </c>
    </row>
    <row r="91" spans="1:23" x14ac:dyDescent="0.2">
      <c r="A91" s="28">
        <v>90</v>
      </c>
      <c r="B91" s="28">
        <v>3235.2234432234436</v>
      </c>
      <c r="C91" s="28">
        <f t="shared" si="0"/>
        <v>32352.234432234436</v>
      </c>
      <c r="D91" s="28">
        <f t="shared" si="1"/>
        <v>40440.293040293043</v>
      </c>
      <c r="E91" s="28">
        <f t="shared" si="2"/>
        <v>48528.351648351658</v>
      </c>
      <c r="F91" s="28">
        <f t="shared" si="3"/>
        <v>56616.410256410265</v>
      </c>
      <c r="G91" s="28">
        <f t="shared" si="4"/>
        <v>64704.468864468872</v>
      </c>
      <c r="H91" s="28">
        <f t="shared" si="5"/>
        <v>72792.527472527479</v>
      </c>
      <c r="I91" s="28">
        <f t="shared" si="6"/>
        <v>80880.586080586087</v>
      </c>
      <c r="J91" s="28">
        <f t="shared" si="7"/>
        <v>88968.644688644694</v>
      </c>
      <c r="K91" s="28">
        <f t="shared" si="8"/>
        <v>97056.703296703316</v>
      </c>
      <c r="L91" s="28">
        <f t="shared" si="9"/>
        <v>105144.76190476192</v>
      </c>
      <c r="M91" s="28">
        <f t="shared" si="10"/>
        <v>113232.82051282053</v>
      </c>
      <c r="N91" s="28">
        <f t="shared" si="11"/>
        <v>121320.87912087914</v>
      </c>
      <c r="O91" s="28">
        <f t="shared" si="12"/>
        <v>129408.93772893774</v>
      </c>
      <c r="P91" s="28">
        <f t="shared" si="13"/>
        <v>137496.99633699635</v>
      </c>
      <c r="Q91" s="28">
        <f t="shared" si="14"/>
        <v>145585.05494505496</v>
      </c>
      <c r="R91" s="28">
        <f t="shared" si="15"/>
        <v>153673.11355311357</v>
      </c>
      <c r="S91" s="28">
        <f t="shared" si="16"/>
        <v>161761.17216117217</v>
      </c>
      <c r="T91" s="28">
        <f t="shared" si="17"/>
        <v>169849.23076923078</v>
      </c>
      <c r="U91" s="28">
        <f t="shared" si="18"/>
        <v>177937.28937728939</v>
      </c>
      <c r="V91" s="28">
        <f t="shared" si="19"/>
        <v>186025.34798534799</v>
      </c>
      <c r="W91" s="28">
        <f t="shared" si="20"/>
        <v>194113.40659340663</v>
      </c>
    </row>
    <row r="92" spans="1:23" x14ac:dyDescent="0.2">
      <c r="A92" s="28">
        <v>91</v>
      </c>
      <c r="B92" s="28">
        <v>3330.9057971014495</v>
      </c>
      <c r="C92" s="28">
        <f t="shared" si="0"/>
        <v>33309.057971014496</v>
      </c>
      <c r="D92" s="28">
        <f t="shared" si="1"/>
        <v>41636.32246376812</v>
      </c>
      <c r="E92" s="28">
        <f t="shared" si="2"/>
        <v>49963.586956521744</v>
      </c>
      <c r="F92" s="28">
        <f t="shared" si="3"/>
        <v>58290.851449275367</v>
      </c>
      <c r="G92" s="28">
        <f t="shared" si="4"/>
        <v>66618.115942028991</v>
      </c>
      <c r="H92" s="28">
        <f t="shared" si="5"/>
        <v>74945.380434782623</v>
      </c>
      <c r="I92" s="28">
        <f t="shared" si="6"/>
        <v>83272.644927536239</v>
      </c>
      <c r="J92" s="28">
        <f t="shared" si="7"/>
        <v>91599.909420289856</v>
      </c>
      <c r="K92" s="28">
        <f t="shared" si="8"/>
        <v>99927.173913043487</v>
      </c>
      <c r="L92" s="28">
        <f t="shared" si="9"/>
        <v>108254.43840579712</v>
      </c>
      <c r="M92" s="28">
        <f t="shared" si="10"/>
        <v>116581.70289855073</v>
      </c>
      <c r="N92" s="28">
        <f t="shared" si="11"/>
        <v>124908.96739130435</v>
      </c>
      <c r="O92" s="28">
        <f t="shared" si="12"/>
        <v>133236.23188405798</v>
      </c>
      <c r="P92" s="28">
        <f t="shared" si="13"/>
        <v>141563.49637681161</v>
      </c>
      <c r="Q92" s="28">
        <f t="shared" si="14"/>
        <v>149890.76086956525</v>
      </c>
      <c r="R92" s="28">
        <f t="shared" si="15"/>
        <v>158218.02536231885</v>
      </c>
      <c r="S92" s="28">
        <f t="shared" si="16"/>
        <v>166545.28985507248</v>
      </c>
      <c r="T92" s="28">
        <f t="shared" si="17"/>
        <v>174872.55434782611</v>
      </c>
      <c r="U92" s="28">
        <f t="shared" si="18"/>
        <v>183199.81884057971</v>
      </c>
      <c r="V92" s="28">
        <f t="shared" si="19"/>
        <v>191527.08333333334</v>
      </c>
      <c r="W92" s="28">
        <f t="shared" si="20"/>
        <v>199854.34782608697</v>
      </c>
    </row>
    <row r="93" spans="1:23" x14ac:dyDescent="0.2">
      <c r="A93" s="28">
        <v>92</v>
      </c>
      <c r="B93" s="28">
        <v>3431.8136200716845</v>
      </c>
      <c r="C93" s="28">
        <f t="shared" si="0"/>
        <v>34318.136200716843</v>
      </c>
      <c r="D93" s="28">
        <f t="shared" si="1"/>
        <v>42897.670250896052</v>
      </c>
      <c r="E93" s="28">
        <f t="shared" si="2"/>
        <v>51477.204301075268</v>
      </c>
      <c r="F93" s="28">
        <f t="shared" si="3"/>
        <v>60056.738351254477</v>
      </c>
      <c r="G93" s="28">
        <f t="shared" si="4"/>
        <v>68636.272401433685</v>
      </c>
      <c r="H93" s="28">
        <f t="shared" si="5"/>
        <v>77215.806451612894</v>
      </c>
      <c r="I93" s="28">
        <f t="shared" si="6"/>
        <v>85795.340501792103</v>
      </c>
      <c r="J93" s="28">
        <f t="shared" si="7"/>
        <v>94374.874551971312</v>
      </c>
      <c r="K93" s="28">
        <f t="shared" si="8"/>
        <v>102954.40860215054</v>
      </c>
      <c r="L93" s="28">
        <f t="shared" si="9"/>
        <v>111533.94265232974</v>
      </c>
      <c r="M93" s="28">
        <f t="shared" si="10"/>
        <v>120113.47670250895</v>
      </c>
      <c r="N93" s="28">
        <f t="shared" si="11"/>
        <v>128693.01075268816</v>
      </c>
      <c r="O93" s="28">
        <f t="shared" si="12"/>
        <v>137272.54480286737</v>
      </c>
      <c r="P93" s="28">
        <f t="shared" si="13"/>
        <v>145852.07885304658</v>
      </c>
      <c r="Q93" s="28">
        <f t="shared" si="14"/>
        <v>154431.61290322579</v>
      </c>
      <c r="R93" s="28">
        <f t="shared" si="15"/>
        <v>163011.146953405</v>
      </c>
      <c r="S93" s="28">
        <f t="shared" si="16"/>
        <v>171590.68100358421</v>
      </c>
      <c r="T93" s="28">
        <f t="shared" si="17"/>
        <v>180170.21505376342</v>
      </c>
      <c r="U93" s="28">
        <f t="shared" si="18"/>
        <v>188749.74910394262</v>
      </c>
      <c r="V93" s="28">
        <f t="shared" si="19"/>
        <v>197329.28315412183</v>
      </c>
      <c r="W93" s="28">
        <f t="shared" si="20"/>
        <v>205908.81720430107</v>
      </c>
    </row>
    <row r="94" spans="1:23" x14ac:dyDescent="0.2">
      <c r="A94" s="28">
        <v>93</v>
      </c>
      <c r="B94" s="28">
        <v>3532.7659574468084</v>
      </c>
      <c r="C94" s="28">
        <f t="shared" si="0"/>
        <v>35327.659574468082</v>
      </c>
      <c r="D94" s="28">
        <f t="shared" si="1"/>
        <v>44159.574468085106</v>
      </c>
      <c r="E94" s="28">
        <f t="shared" si="2"/>
        <v>52991.489361702123</v>
      </c>
      <c r="F94" s="28">
        <f t="shared" si="3"/>
        <v>61823.404255319139</v>
      </c>
      <c r="G94" s="28">
        <f t="shared" si="4"/>
        <v>70655.319148936163</v>
      </c>
      <c r="H94" s="28">
        <f t="shared" si="5"/>
        <v>79487.234042553187</v>
      </c>
      <c r="I94" s="28">
        <f t="shared" si="6"/>
        <v>88319.148936170212</v>
      </c>
      <c r="J94" s="28">
        <f t="shared" si="7"/>
        <v>97151.063829787221</v>
      </c>
      <c r="K94" s="28">
        <f t="shared" si="8"/>
        <v>105982.97872340425</v>
      </c>
      <c r="L94" s="28">
        <f t="shared" si="9"/>
        <v>114814.89361702127</v>
      </c>
      <c r="M94" s="28">
        <f t="shared" si="10"/>
        <v>123646.80851063828</v>
      </c>
      <c r="N94" s="28">
        <f t="shared" si="11"/>
        <v>132478.72340425532</v>
      </c>
      <c r="O94" s="28">
        <f t="shared" si="12"/>
        <v>141310.63829787233</v>
      </c>
      <c r="P94" s="28">
        <f t="shared" si="13"/>
        <v>150142.55319148934</v>
      </c>
      <c r="Q94" s="28">
        <f t="shared" si="14"/>
        <v>158974.46808510637</v>
      </c>
      <c r="R94" s="28">
        <f t="shared" si="15"/>
        <v>167806.38297872338</v>
      </c>
      <c r="S94" s="28">
        <f t="shared" si="16"/>
        <v>176638.29787234042</v>
      </c>
      <c r="T94" s="28">
        <f t="shared" si="17"/>
        <v>185470.21276595743</v>
      </c>
      <c r="U94" s="28">
        <f t="shared" si="18"/>
        <v>194302.12765957444</v>
      </c>
      <c r="V94" s="28">
        <f t="shared" si="19"/>
        <v>203134.04255319148</v>
      </c>
      <c r="W94" s="28">
        <f t="shared" si="20"/>
        <v>211965.95744680849</v>
      </c>
    </row>
    <row r="95" spans="1:23" x14ac:dyDescent="0.2">
      <c r="A95" s="28">
        <v>94</v>
      </c>
      <c r="B95" s="28">
        <v>3638.7228070175438</v>
      </c>
      <c r="C95" s="28">
        <f t="shared" si="0"/>
        <v>36387.228070175435</v>
      </c>
      <c r="D95" s="28">
        <f t="shared" si="1"/>
        <v>45484.035087719298</v>
      </c>
      <c r="E95" s="28">
        <f t="shared" si="2"/>
        <v>54580.842105263153</v>
      </c>
      <c r="F95" s="28">
        <f t="shared" si="3"/>
        <v>63677.649122807008</v>
      </c>
      <c r="G95" s="28">
        <f t="shared" si="4"/>
        <v>72774.456140350871</v>
      </c>
      <c r="H95" s="28">
        <f t="shared" si="5"/>
        <v>81871.263157894733</v>
      </c>
      <c r="I95" s="28">
        <f t="shared" si="6"/>
        <v>90968.070175438595</v>
      </c>
      <c r="J95" s="28">
        <f t="shared" si="7"/>
        <v>100064.87719298244</v>
      </c>
      <c r="K95" s="28">
        <f t="shared" si="8"/>
        <v>109161.68421052631</v>
      </c>
      <c r="L95" s="28">
        <f t="shared" si="9"/>
        <v>118258.49122807017</v>
      </c>
      <c r="M95" s="28">
        <f t="shared" si="10"/>
        <v>127355.29824561402</v>
      </c>
      <c r="N95" s="28">
        <f t="shared" si="11"/>
        <v>136452.10526315789</v>
      </c>
      <c r="O95" s="28">
        <f t="shared" si="12"/>
        <v>145548.91228070174</v>
      </c>
      <c r="P95" s="28">
        <f t="shared" si="13"/>
        <v>154645.71929824559</v>
      </c>
      <c r="Q95" s="28">
        <f t="shared" si="14"/>
        <v>163742.52631578947</v>
      </c>
      <c r="R95" s="28">
        <f t="shared" si="15"/>
        <v>172839.33333333331</v>
      </c>
      <c r="S95" s="28">
        <f t="shared" si="16"/>
        <v>181936.14035087719</v>
      </c>
      <c r="T95" s="28">
        <f t="shared" si="17"/>
        <v>191032.94736842104</v>
      </c>
      <c r="U95" s="28">
        <f t="shared" si="18"/>
        <v>200129.75438596489</v>
      </c>
      <c r="V95" s="28">
        <f t="shared" si="19"/>
        <v>209226.56140350876</v>
      </c>
      <c r="W95" s="28">
        <f t="shared" si="20"/>
        <v>218323.36842105261</v>
      </c>
    </row>
    <row r="96" spans="1:23" x14ac:dyDescent="0.2">
      <c r="A96" s="28">
        <v>95</v>
      </c>
      <c r="B96" s="28">
        <v>3742.4722222222222</v>
      </c>
      <c r="C96" s="28">
        <f t="shared" si="0"/>
        <v>37424.722222222219</v>
      </c>
      <c r="D96" s="28">
        <f t="shared" si="1"/>
        <v>46780.902777777774</v>
      </c>
      <c r="E96" s="28">
        <f t="shared" si="2"/>
        <v>56137.083333333328</v>
      </c>
      <c r="F96" s="28">
        <f t="shared" si="3"/>
        <v>65493.263888888883</v>
      </c>
      <c r="G96" s="28">
        <f t="shared" si="4"/>
        <v>74849.444444444438</v>
      </c>
      <c r="H96" s="28">
        <f t="shared" si="5"/>
        <v>84205.625</v>
      </c>
      <c r="I96" s="28">
        <f t="shared" si="6"/>
        <v>93561.805555555547</v>
      </c>
      <c r="J96" s="28">
        <f t="shared" si="7"/>
        <v>102917.98611111109</v>
      </c>
      <c r="K96" s="28">
        <f t="shared" si="8"/>
        <v>112274.16666666666</v>
      </c>
      <c r="L96" s="28">
        <f t="shared" si="9"/>
        <v>121630.34722222222</v>
      </c>
      <c r="M96" s="28">
        <f t="shared" si="10"/>
        <v>130986.52777777777</v>
      </c>
      <c r="N96" s="28">
        <f t="shared" si="11"/>
        <v>140342.70833333331</v>
      </c>
      <c r="O96" s="28">
        <f t="shared" si="12"/>
        <v>149698.88888888888</v>
      </c>
      <c r="P96" s="28">
        <f t="shared" si="13"/>
        <v>159055.06944444444</v>
      </c>
      <c r="Q96" s="28">
        <f t="shared" si="14"/>
        <v>168411.25</v>
      </c>
      <c r="R96" s="28">
        <f t="shared" si="15"/>
        <v>177767.43055555553</v>
      </c>
      <c r="S96" s="28">
        <f t="shared" si="16"/>
        <v>187123.61111111109</v>
      </c>
      <c r="T96" s="28">
        <f t="shared" si="17"/>
        <v>196479.79166666666</v>
      </c>
      <c r="U96" s="28">
        <f t="shared" si="18"/>
        <v>205835.97222222219</v>
      </c>
      <c r="V96" s="28">
        <f t="shared" si="19"/>
        <v>215192.15277777775</v>
      </c>
      <c r="W96" s="28">
        <f t="shared" si="20"/>
        <v>224548.33333333331</v>
      </c>
    </row>
    <row r="97" spans="1:23" x14ac:dyDescent="0.2">
      <c r="A97" s="28">
        <v>96</v>
      </c>
      <c r="B97" s="28">
        <v>3854.2749140893475</v>
      </c>
      <c r="C97" s="28">
        <f t="shared" si="0"/>
        <v>38542.749140893473</v>
      </c>
      <c r="D97" s="28">
        <f t="shared" si="1"/>
        <v>48178.436426116838</v>
      </c>
      <c r="E97" s="28">
        <f t="shared" si="2"/>
        <v>57814.123711340209</v>
      </c>
      <c r="F97" s="28">
        <f t="shared" si="3"/>
        <v>67449.810996563581</v>
      </c>
      <c r="G97" s="28">
        <f t="shared" si="4"/>
        <v>77085.498281786946</v>
      </c>
      <c r="H97" s="28">
        <f t="shared" si="5"/>
        <v>86721.18556701031</v>
      </c>
      <c r="I97" s="28">
        <f t="shared" si="6"/>
        <v>96356.872852233675</v>
      </c>
      <c r="J97" s="28">
        <f t="shared" si="7"/>
        <v>105992.56013745705</v>
      </c>
      <c r="K97" s="28">
        <f t="shared" si="8"/>
        <v>115628.24742268042</v>
      </c>
      <c r="L97" s="28">
        <f t="shared" si="9"/>
        <v>125263.93470790378</v>
      </c>
      <c r="M97" s="28">
        <f t="shared" si="10"/>
        <v>134899.62199312716</v>
      </c>
      <c r="N97" s="28">
        <f t="shared" si="11"/>
        <v>144535.30927835053</v>
      </c>
      <c r="O97" s="28">
        <f t="shared" si="12"/>
        <v>154170.99656357389</v>
      </c>
      <c r="P97" s="28">
        <f t="shared" si="13"/>
        <v>163806.68384879726</v>
      </c>
      <c r="Q97" s="28">
        <f t="shared" si="14"/>
        <v>173442.37113402062</v>
      </c>
      <c r="R97" s="28">
        <f t="shared" si="15"/>
        <v>183078.05841924399</v>
      </c>
      <c r="S97" s="28">
        <f t="shared" si="16"/>
        <v>192713.74570446735</v>
      </c>
      <c r="T97" s="28">
        <f t="shared" si="17"/>
        <v>202349.43298969074</v>
      </c>
      <c r="U97" s="28">
        <f t="shared" si="18"/>
        <v>211985.12027491411</v>
      </c>
      <c r="V97" s="28">
        <f t="shared" si="19"/>
        <v>221620.80756013747</v>
      </c>
      <c r="W97" s="28">
        <f t="shared" si="20"/>
        <v>231256.49484536084</v>
      </c>
    </row>
    <row r="98" spans="1:23" x14ac:dyDescent="0.2">
      <c r="A98" s="28">
        <v>97</v>
      </c>
      <c r="B98" s="28">
        <v>3963.795918367347</v>
      </c>
      <c r="C98" s="28">
        <f t="shared" si="0"/>
        <v>39637.959183673469</v>
      </c>
      <c r="D98" s="28">
        <f t="shared" si="1"/>
        <v>49547.448979591834</v>
      </c>
      <c r="E98" s="28">
        <f t="shared" si="2"/>
        <v>59456.938775510207</v>
      </c>
      <c r="F98" s="28">
        <f t="shared" si="3"/>
        <v>69366.428571428565</v>
      </c>
      <c r="G98" s="28">
        <f t="shared" si="4"/>
        <v>79275.918367346938</v>
      </c>
      <c r="H98" s="28">
        <f t="shared" si="5"/>
        <v>89185.408163265311</v>
      </c>
      <c r="I98" s="28">
        <f t="shared" si="6"/>
        <v>99094.897959183669</v>
      </c>
      <c r="J98" s="28">
        <f t="shared" si="7"/>
        <v>109004.38775510204</v>
      </c>
      <c r="K98" s="28">
        <f t="shared" si="8"/>
        <v>118913.87755102041</v>
      </c>
      <c r="L98" s="28">
        <f t="shared" si="9"/>
        <v>128823.36734693877</v>
      </c>
      <c r="M98" s="28">
        <f t="shared" si="10"/>
        <v>138732.85714285713</v>
      </c>
      <c r="N98" s="28">
        <f t="shared" si="11"/>
        <v>148642.3469387755</v>
      </c>
      <c r="O98" s="28">
        <f t="shared" si="12"/>
        <v>158551.83673469388</v>
      </c>
      <c r="P98" s="28">
        <f t="shared" si="13"/>
        <v>168461.32653061225</v>
      </c>
      <c r="Q98" s="28">
        <f t="shared" si="14"/>
        <v>178370.81632653062</v>
      </c>
      <c r="R98" s="28">
        <f t="shared" si="15"/>
        <v>188280.30612244896</v>
      </c>
      <c r="S98" s="28">
        <f t="shared" si="16"/>
        <v>198189.79591836734</v>
      </c>
      <c r="T98" s="28">
        <f t="shared" si="17"/>
        <v>208099.28571428571</v>
      </c>
      <c r="U98" s="28">
        <f t="shared" si="18"/>
        <v>218008.77551020408</v>
      </c>
      <c r="V98" s="28">
        <f t="shared" si="19"/>
        <v>227918.26530612246</v>
      </c>
      <c r="W98" s="28">
        <f t="shared" si="20"/>
        <v>237827.75510204083</v>
      </c>
    </row>
    <row r="99" spans="1:23" x14ac:dyDescent="0.2">
      <c r="A99" s="28">
        <v>98</v>
      </c>
      <c r="B99" s="28">
        <v>4078.7878787878785</v>
      </c>
      <c r="C99" s="28">
        <f t="shared" si="0"/>
        <v>40787.878787878784</v>
      </c>
      <c r="D99" s="28">
        <f t="shared" si="1"/>
        <v>50984.84848484848</v>
      </c>
      <c r="E99" s="28">
        <f t="shared" si="2"/>
        <v>61181.818181818177</v>
      </c>
      <c r="F99" s="28">
        <f t="shared" si="3"/>
        <v>71378.787878787873</v>
      </c>
      <c r="G99" s="28">
        <f t="shared" si="4"/>
        <v>81575.757575757569</v>
      </c>
      <c r="H99" s="28">
        <f t="shared" si="5"/>
        <v>91772.727272727265</v>
      </c>
      <c r="I99" s="28">
        <f t="shared" si="6"/>
        <v>101969.69696969696</v>
      </c>
      <c r="J99" s="28">
        <f t="shared" si="7"/>
        <v>112166.66666666666</v>
      </c>
      <c r="K99" s="28">
        <f t="shared" si="8"/>
        <v>122363.63636363635</v>
      </c>
      <c r="L99" s="28">
        <f t="shared" si="9"/>
        <v>132560.60606060605</v>
      </c>
      <c r="M99" s="28">
        <f t="shared" si="10"/>
        <v>142757.57575757575</v>
      </c>
      <c r="N99" s="28">
        <f t="shared" si="11"/>
        <v>152954.54545454544</v>
      </c>
      <c r="O99" s="28">
        <f t="shared" si="12"/>
        <v>163151.51515151514</v>
      </c>
      <c r="P99" s="28">
        <f t="shared" si="13"/>
        <v>173348.48484848483</v>
      </c>
      <c r="Q99" s="28">
        <f t="shared" si="14"/>
        <v>183545.45454545453</v>
      </c>
      <c r="R99" s="28">
        <f t="shared" si="15"/>
        <v>193742.42424242423</v>
      </c>
      <c r="S99" s="28">
        <f t="shared" si="16"/>
        <v>203939.39393939392</v>
      </c>
      <c r="T99" s="28">
        <f t="shared" si="17"/>
        <v>214136.36363636362</v>
      </c>
      <c r="U99" s="28">
        <f t="shared" si="18"/>
        <v>224333.33333333331</v>
      </c>
      <c r="V99" s="28">
        <f t="shared" si="19"/>
        <v>234530.30303030301</v>
      </c>
      <c r="W99" s="28">
        <f t="shared" si="20"/>
        <v>244727.27272727271</v>
      </c>
    </row>
    <row r="100" spans="1:23" x14ac:dyDescent="0.2">
      <c r="A100" s="28">
        <v>99</v>
      </c>
      <c r="B100" s="28">
        <v>4193.8533333333335</v>
      </c>
      <c r="C100" s="28">
        <f t="shared" si="0"/>
        <v>41938.533333333333</v>
      </c>
      <c r="D100" s="28">
        <f t="shared" si="1"/>
        <v>52423.166666666664</v>
      </c>
      <c r="E100" s="28">
        <f t="shared" si="2"/>
        <v>62907.8</v>
      </c>
      <c r="F100" s="28">
        <f t="shared" si="3"/>
        <v>73392.433333333334</v>
      </c>
      <c r="G100" s="28">
        <f t="shared" si="4"/>
        <v>83877.066666666666</v>
      </c>
      <c r="H100" s="28">
        <f t="shared" si="5"/>
        <v>94361.7</v>
      </c>
      <c r="I100" s="28">
        <f t="shared" si="6"/>
        <v>104846.33333333333</v>
      </c>
      <c r="J100" s="28">
        <f t="shared" si="7"/>
        <v>115330.96666666666</v>
      </c>
      <c r="K100" s="28">
        <f t="shared" si="8"/>
        <v>125815.6</v>
      </c>
      <c r="L100" s="28">
        <f t="shared" si="9"/>
        <v>136300.23333333334</v>
      </c>
      <c r="M100" s="28">
        <f t="shared" si="10"/>
        <v>146784.86666666667</v>
      </c>
      <c r="N100" s="28">
        <f t="shared" si="11"/>
        <v>157269.5</v>
      </c>
      <c r="O100" s="28">
        <f t="shared" si="12"/>
        <v>167754.13333333333</v>
      </c>
      <c r="P100" s="28">
        <f t="shared" si="13"/>
        <v>178238.76666666666</v>
      </c>
      <c r="Q100" s="28">
        <f t="shared" si="14"/>
        <v>188723.4</v>
      </c>
      <c r="R100" s="28">
        <f t="shared" si="15"/>
        <v>199208.03333333333</v>
      </c>
      <c r="S100" s="28">
        <f t="shared" si="16"/>
        <v>209692.66666666666</v>
      </c>
      <c r="T100" s="28">
        <f t="shared" si="17"/>
        <v>220177.3</v>
      </c>
      <c r="U100" s="28">
        <f t="shared" si="18"/>
        <v>230661.93333333332</v>
      </c>
      <c r="V100" s="28">
        <f t="shared" si="19"/>
        <v>241146.56666666665</v>
      </c>
      <c r="W100" s="28">
        <f t="shared" si="20"/>
        <v>251631.2</v>
      </c>
    </row>
    <row r="101" spans="1:23" x14ac:dyDescent="0.2">
      <c r="A101" s="28">
        <v>100</v>
      </c>
      <c r="B101" s="28">
        <v>4314.7656765676566</v>
      </c>
      <c r="C101" s="28">
        <f t="shared" si="0"/>
        <v>43147.656765676569</v>
      </c>
      <c r="D101" s="28">
        <f t="shared" si="1"/>
        <v>53934.570957095711</v>
      </c>
      <c r="E101" s="28">
        <f t="shared" si="2"/>
        <v>64721.485148514854</v>
      </c>
      <c r="F101" s="28">
        <f t="shared" si="3"/>
        <v>75508.399339933996</v>
      </c>
      <c r="G101" s="28">
        <f t="shared" si="4"/>
        <v>86295.313531353138</v>
      </c>
      <c r="H101" s="28">
        <f t="shared" si="5"/>
        <v>97082.227722772281</v>
      </c>
      <c r="I101" s="28">
        <f t="shared" si="6"/>
        <v>107869.14191419142</v>
      </c>
      <c r="J101" s="28">
        <f t="shared" si="7"/>
        <v>118656.05610561057</v>
      </c>
      <c r="K101" s="28">
        <f t="shared" si="8"/>
        <v>129442.97029702971</v>
      </c>
      <c r="L101" s="28">
        <f t="shared" si="9"/>
        <v>140229.88448844885</v>
      </c>
      <c r="M101" s="28">
        <f t="shared" si="10"/>
        <v>151016.79867986799</v>
      </c>
      <c r="N101" s="28">
        <f t="shared" si="11"/>
        <v>161803.71287128713</v>
      </c>
      <c r="O101" s="28">
        <f t="shared" si="12"/>
        <v>172590.62706270628</v>
      </c>
      <c r="P101" s="28">
        <f t="shared" si="13"/>
        <v>183377.54125412542</v>
      </c>
      <c r="Q101" s="28">
        <f t="shared" si="14"/>
        <v>194164.45544554456</v>
      </c>
      <c r="R101" s="28">
        <f t="shared" si="15"/>
        <v>204951.3696369637</v>
      </c>
      <c r="S101" s="28">
        <f t="shared" si="16"/>
        <v>215738.28382838285</v>
      </c>
      <c r="T101" s="28">
        <f t="shared" si="17"/>
        <v>226525.19801980199</v>
      </c>
      <c r="U101" s="28">
        <f t="shared" si="18"/>
        <v>237312.11221122113</v>
      </c>
      <c r="V101" s="28">
        <f t="shared" si="19"/>
        <v>248099.02640264027</v>
      </c>
      <c r="W101" s="28">
        <f t="shared" si="20"/>
        <v>258885.94059405942</v>
      </c>
    </row>
    <row r="102" spans="1:23" x14ac:dyDescent="0.2">
      <c r="A102" s="28">
        <v>101</v>
      </c>
      <c r="B102" s="28">
        <v>4433.3071895424837</v>
      </c>
      <c r="C102" s="28">
        <f t="shared" si="0"/>
        <v>44333.071895424837</v>
      </c>
      <c r="D102" s="28">
        <f t="shared" si="1"/>
        <v>55416.339869281044</v>
      </c>
      <c r="E102" s="28">
        <f t="shared" si="2"/>
        <v>66499.607843137259</v>
      </c>
      <c r="F102" s="28">
        <f t="shared" si="3"/>
        <v>77582.875816993459</v>
      </c>
      <c r="G102" s="28">
        <f t="shared" si="4"/>
        <v>88666.143790849674</v>
      </c>
      <c r="H102" s="28">
        <f t="shared" si="5"/>
        <v>99749.411764705888</v>
      </c>
      <c r="I102" s="28">
        <f t="shared" si="6"/>
        <v>110832.67973856209</v>
      </c>
      <c r="J102" s="28">
        <f t="shared" si="7"/>
        <v>121915.9477124183</v>
      </c>
      <c r="K102" s="28">
        <f t="shared" si="8"/>
        <v>132999.21568627452</v>
      </c>
      <c r="L102" s="28">
        <f t="shared" si="9"/>
        <v>144082.48366013073</v>
      </c>
      <c r="M102" s="28">
        <f t="shared" si="10"/>
        <v>155165.75163398692</v>
      </c>
      <c r="N102" s="28">
        <f t="shared" si="11"/>
        <v>166249.01960784313</v>
      </c>
      <c r="O102" s="28">
        <f t="shared" si="12"/>
        <v>177332.28758169935</v>
      </c>
      <c r="P102" s="28">
        <f t="shared" si="13"/>
        <v>188415.55555555556</v>
      </c>
      <c r="Q102" s="28">
        <f t="shared" si="14"/>
        <v>199498.82352941178</v>
      </c>
      <c r="R102" s="28">
        <f t="shared" si="15"/>
        <v>210582.09150326796</v>
      </c>
      <c r="S102" s="28">
        <f t="shared" si="16"/>
        <v>221665.35947712418</v>
      </c>
      <c r="T102" s="28">
        <f t="shared" si="17"/>
        <v>232748.62745098039</v>
      </c>
      <c r="U102" s="28">
        <f t="shared" si="18"/>
        <v>243831.89542483661</v>
      </c>
      <c r="V102" s="28">
        <f t="shared" si="19"/>
        <v>254915.16339869282</v>
      </c>
      <c r="W102" s="28">
        <f t="shared" si="20"/>
        <v>265998.43137254904</v>
      </c>
    </row>
    <row r="103" spans="1:23" x14ac:dyDescent="0.2">
      <c r="A103" s="28">
        <v>102</v>
      </c>
      <c r="B103" s="28">
        <v>4560.2524271844659</v>
      </c>
      <c r="C103" s="28">
        <f t="shared" si="0"/>
        <v>45602.524271844661</v>
      </c>
      <c r="D103" s="28">
        <f t="shared" si="1"/>
        <v>57003.155339805824</v>
      </c>
      <c r="E103" s="28">
        <f t="shared" si="2"/>
        <v>68403.786407766995</v>
      </c>
      <c r="F103" s="28">
        <f t="shared" si="3"/>
        <v>79804.417475728158</v>
      </c>
      <c r="G103" s="28">
        <f t="shared" si="4"/>
        <v>91205.048543689321</v>
      </c>
      <c r="H103" s="28">
        <f t="shared" si="5"/>
        <v>102605.67961165048</v>
      </c>
      <c r="I103" s="28">
        <f t="shared" si="6"/>
        <v>114006.31067961165</v>
      </c>
      <c r="J103" s="28">
        <f t="shared" si="7"/>
        <v>125406.94174757281</v>
      </c>
      <c r="K103" s="28">
        <f t="shared" si="8"/>
        <v>136807.57281553399</v>
      </c>
      <c r="L103" s="28">
        <f t="shared" si="9"/>
        <v>148208.20388349515</v>
      </c>
      <c r="M103" s="28">
        <f t="shared" si="10"/>
        <v>159608.83495145632</v>
      </c>
      <c r="N103" s="28">
        <f t="shared" si="11"/>
        <v>171009.46601941748</v>
      </c>
      <c r="O103" s="28">
        <f t="shared" si="12"/>
        <v>182410.09708737864</v>
      </c>
      <c r="P103" s="28">
        <f t="shared" si="13"/>
        <v>193810.72815533981</v>
      </c>
      <c r="Q103" s="28">
        <f t="shared" si="14"/>
        <v>205211.35922330097</v>
      </c>
      <c r="R103" s="28">
        <f t="shared" si="15"/>
        <v>216611.99029126213</v>
      </c>
      <c r="S103" s="28">
        <f t="shared" si="16"/>
        <v>228012.6213592233</v>
      </c>
      <c r="T103" s="28">
        <f t="shared" si="17"/>
        <v>239413.25242718446</v>
      </c>
      <c r="U103" s="28">
        <f t="shared" si="18"/>
        <v>250813.88349514562</v>
      </c>
      <c r="V103" s="28">
        <f t="shared" si="19"/>
        <v>262214.51456310682</v>
      </c>
      <c r="W103" s="28">
        <f t="shared" si="20"/>
        <v>273615.14563106798</v>
      </c>
    </row>
    <row r="104" spans="1:23" x14ac:dyDescent="0.2">
      <c r="A104" s="28">
        <v>103</v>
      </c>
      <c r="B104" s="28">
        <v>4684.7564102564111</v>
      </c>
      <c r="C104" s="28">
        <f t="shared" si="0"/>
        <v>46847.564102564109</v>
      </c>
      <c r="D104" s="28">
        <f t="shared" si="1"/>
        <v>58559.45512820514</v>
      </c>
      <c r="E104" s="28">
        <f t="shared" si="2"/>
        <v>70271.346153846156</v>
      </c>
      <c r="F104" s="28">
        <f t="shared" si="3"/>
        <v>81983.237179487187</v>
      </c>
      <c r="G104" s="28">
        <f t="shared" si="4"/>
        <v>93695.128205128218</v>
      </c>
      <c r="H104" s="28">
        <f t="shared" si="5"/>
        <v>105407.01923076925</v>
      </c>
      <c r="I104" s="28">
        <f t="shared" si="6"/>
        <v>117118.91025641028</v>
      </c>
      <c r="J104" s="28">
        <f t="shared" si="7"/>
        <v>128830.8012820513</v>
      </c>
      <c r="K104" s="28">
        <f t="shared" si="8"/>
        <v>140542.69230769231</v>
      </c>
      <c r="L104" s="28">
        <f t="shared" si="9"/>
        <v>152254.58333333334</v>
      </c>
      <c r="M104" s="28">
        <f t="shared" si="10"/>
        <v>163966.47435897437</v>
      </c>
      <c r="N104" s="28">
        <f t="shared" si="11"/>
        <v>175678.3653846154</v>
      </c>
      <c r="O104" s="28">
        <f t="shared" si="12"/>
        <v>187390.25641025644</v>
      </c>
      <c r="P104" s="28">
        <f t="shared" si="13"/>
        <v>199102.14743589747</v>
      </c>
      <c r="Q104" s="28">
        <f t="shared" si="14"/>
        <v>210814.0384615385</v>
      </c>
      <c r="R104" s="28">
        <f t="shared" si="15"/>
        <v>222525.92948717953</v>
      </c>
      <c r="S104" s="28">
        <f t="shared" si="16"/>
        <v>234237.82051282056</v>
      </c>
      <c r="T104" s="28">
        <f t="shared" si="17"/>
        <v>245949.71153846156</v>
      </c>
      <c r="U104" s="28">
        <f t="shared" si="18"/>
        <v>257661.60256410259</v>
      </c>
      <c r="V104" s="28">
        <f t="shared" si="19"/>
        <v>269373.49358974362</v>
      </c>
      <c r="W104" s="28">
        <f t="shared" si="20"/>
        <v>281085.38461538462</v>
      </c>
    </row>
    <row r="105" spans="1:23" x14ac:dyDescent="0.2">
      <c r="A105" s="28">
        <v>104</v>
      </c>
      <c r="B105" s="28">
        <v>4815.5619047619048</v>
      </c>
      <c r="C105" s="28">
        <f t="shared" si="0"/>
        <v>48155.619047619046</v>
      </c>
      <c r="D105" s="28">
        <f t="shared" si="1"/>
        <v>60194.523809523809</v>
      </c>
      <c r="E105" s="28">
        <f t="shared" si="2"/>
        <v>72233.428571428565</v>
      </c>
      <c r="F105" s="28">
        <f t="shared" si="3"/>
        <v>84272.333333333328</v>
      </c>
      <c r="G105" s="28">
        <f t="shared" si="4"/>
        <v>96311.238095238092</v>
      </c>
      <c r="H105" s="28">
        <f t="shared" si="5"/>
        <v>108350.14285714286</v>
      </c>
      <c r="I105" s="28">
        <f t="shared" si="6"/>
        <v>120389.04761904762</v>
      </c>
      <c r="J105" s="28">
        <f t="shared" si="7"/>
        <v>132427.95238095237</v>
      </c>
      <c r="K105" s="28">
        <f t="shared" si="8"/>
        <v>144466.85714285713</v>
      </c>
      <c r="L105" s="28">
        <f t="shared" si="9"/>
        <v>156505.76190476189</v>
      </c>
      <c r="M105" s="28">
        <f t="shared" si="10"/>
        <v>168544.66666666666</v>
      </c>
      <c r="N105" s="28">
        <f t="shared" si="11"/>
        <v>180583.57142857142</v>
      </c>
      <c r="O105" s="28">
        <f t="shared" si="12"/>
        <v>192622.47619047618</v>
      </c>
      <c r="P105" s="28">
        <f t="shared" si="13"/>
        <v>204661.38095238095</v>
      </c>
      <c r="Q105" s="28">
        <f t="shared" si="14"/>
        <v>216700.28571428571</v>
      </c>
      <c r="R105" s="28">
        <f t="shared" si="15"/>
        <v>228739.19047619047</v>
      </c>
      <c r="S105" s="28">
        <f t="shared" si="16"/>
        <v>240778.09523809524</v>
      </c>
      <c r="T105" s="28">
        <f t="shared" si="17"/>
        <v>252817</v>
      </c>
      <c r="U105" s="28">
        <f t="shared" si="18"/>
        <v>264855.90476190473</v>
      </c>
      <c r="V105" s="28">
        <f t="shared" si="19"/>
        <v>276894.80952380953</v>
      </c>
      <c r="W105" s="28">
        <f t="shared" si="20"/>
        <v>288933.71428571426</v>
      </c>
    </row>
    <row r="106" spans="1:23" x14ac:dyDescent="0.2">
      <c r="A106" s="28">
        <v>105</v>
      </c>
      <c r="B106" s="28">
        <v>4946.3459119496856</v>
      </c>
      <c r="C106" s="28">
        <f t="shared" si="0"/>
        <v>49463.459119496853</v>
      </c>
      <c r="D106" s="28">
        <f t="shared" si="1"/>
        <v>61829.323899371069</v>
      </c>
      <c r="E106" s="28">
        <f t="shared" si="2"/>
        <v>74195.188679245271</v>
      </c>
      <c r="F106" s="28">
        <f t="shared" si="3"/>
        <v>86561.053459119488</v>
      </c>
      <c r="G106" s="28">
        <f t="shared" si="4"/>
        <v>98926.918238993705</v>
      </c>
      <c r="H106" s="28">
        <f t="shared" si="5"/>
        <v>111292.78301886792</v>
      </c>
      <c r="I106" s="28">
        <f t="shared" si="6"/>
        <v>123658.64779874214</v>
      </c>
      <c r="J106" s="28">
        <f t="shared" si="7"/>
        <v>136024.51257861636</v>
      </c>
      <c r="K106" s="28">
        <f t="shared" si="8"/>
        <v>148390.37735849054</v>
      </c>
      <c r="L106" s="28">
        <f t="shared" si="9"/>
        <v>160756.24213836476</v>
      </c>
      <c r="M106" s="28">
        <f t="shared" si="10"/>
        <v>173122.10691823898</v>
      </c>
      <c r="N106" s="28">
        <f t="shared" si="11"/>
        <v>185487.97169811319</v>
      </c>
      <c r="O106" s="28">
        <f t="shared" si="12"/>
        <v>197853.83647798741</v>
      </c>
      <c r="P106" s="28">
        <f t="shared" si="13"/>
        <v>210219.70125786163</v>
      </c>
      <c r="Q106" s="28">
        <f t="shared" si="14"/>
        <v>222585.56603773584</v>
      </c>
      <c r="R106" s="28">
        <f t="shared" si="15"/>
        <v>234951.43081761006</v>
      </c>
      <c r="S106" s="28">
        <f t="shared" si="16"/>
        <v>247317.29559748428</v>
      </c>
      <c r="T106" s="28">
        <f t="shared" si="17"/>
        <v>259683.16037735846</v>
      </c>
      <c r="U106" s="28">
        <f t="shared" si="18"/>
        <v>272049.02515723271</v>
      </c>
      <c r="V106" s="28">
        <f t="shared" si="19"/>
        <v>284414.88993710693</v>
      </c>
      <c r="W106" s="28">
        <f t="shared" si="20"/>
        <v>296780.75471698109</v>
      </c>
    </row>
    <row r="107" spans="1:23" x14ac:dyDescent="0.2">
      <c r="A107" s="28">
        <v>106</v>
      </c>
      <c r="B107" s="28">
        <v>5083.1962616822429</v>
      </c>
      <c r="C107" s="28">
        <f t="shared" si="0"/>
        <v>50831.962616822428</v>
      </c>
      <c r="D107" s="28">
        <f t="shared" si="1"/>
        <v>63539.953271028033</v>
      </c>
      <c r="E107" s="28">
        <f t="shared" si="2"/>
        <v>76247.943925233645</v>
      </c>
      <c r="F107" s="28">
        <f t="shared" si="3"/>
        <v>88955.934579439243</v>
      </c>
      <c r="G107" s="28">
        <f t="shared" si="4"/>
        <v>101663.92523364486</v>
      </c>
      <c r="H107" s="28">
        <f t="shared" si="5"/>
        <v>114371.91588785047</v>
      </c>
      <c r="I107" s="28">
        <f t="shared" si="6"/>
        <v>127079.90654205607</v>
      </c>
      <c r="J107" s="28">
        <f t="shared" si="7"/>
        <v>139787.89719626168</v>
      </c>
      <c r="K107" s="28">
        <f t="shared" si="8"/>
        <v>152495.88785046729</v>
      </c>
      <c r="L107" s="28">
        <f t="shared" si="9"/>
        <v>165203.8785046729</v>
      </c>
      <c r="M107" s="28">
        <f t="shared" si="10"/>
        <v>177911.86915887849</v>
      </c>
      <c r="N107" s="28">
        <f t="shared" si="11"/>
        <v>190619.8598130841</v>
      </c>
      <c r="O107" s="28">
        <f t="shared" si="12"/>
        <v>203327.85046728971</v>
      </c>
      <c r="P107" s="28">
        <f t="shared" si="13"/>
        <v>216035.84112149532</v>
      </c>
      <c r="Q107" s="28">
        <f t="shared" si="14"/>
        <v>228743.83177570094</v>
      </c>
      <c r="R107" s="28">
        <f t="shared" si="15"/>
        <v>241451.82242990652</v>
      </c>
      <c r="S107" s="28">
        <f t="shared" si="16"/>
        <v>254159.81308411213</v>
      </c>
      <c r="T107" s="28">
        <f t="shared" si="17"/>
        <v>266867.80373831774</v>
      </c>
      <c r="U107" s="28">
        <f t="shared" si="18"/>
        <v>279575.79439252336</v>
      </c>
      <c r="V107" s="28">
        <f t="shared" si="19"/>
        <v>292283.78504672897</v>
      </c>
      <c r="W107" s="28">
        <f t="shared" si="20"/>
        <v>304991.77570093458</v>
      </c>
    </row>
    <row r="108" spans="1:23" x14ac:dyDescent="0.2">
      <c r="A108" s="28">
        <v>107</v>
      </c>
      <c r="B108" s="28">
        <v>5217.5123456790125</v>
      </c>
      <c r="C108" s="28">
        <f t="shared" si="0"/>
        <v>52175.123456790127</v>
      </c>
      <c r="D108" s="28">
        <f t="shared" si="1"/>
        <v>65218.904320987655</v>
      </c>
      <c r="E108" s="28">
        <f t="shared" si="2"/>
        <v>78262.685185185197</v>
      </c>
      <c r="F108" s="28">
        <f t="shared" si="3"/>
        <v>91306.466049382725</v>
      </c>
      <c r="G108" s="28">
        <f t="shared" si="4"/>
        <v>104350.24691358025</v>
      </c>
      <c r="H108" s="28">
        <f t="shared" si="5"/>
        <v>117394.02777777778</v>
      </c>
      <c r="I108" s="28">
        <f t="shared" si="6"/>
        <v>130437.80864197531</v>
      </c>
      <c r="J108" s="28">
        <f t="shared" si="7"/>
        <v>143481.58950617284</v>
      </c>
      <c r="K108" s="28">
        <f t="shared" si="8"/>
        <v>156525.37037037039</v>
      </c>
      <c r="L108" s="28">
        <f t="shared" si="9"/>
        <v>169569.15123456792</v>
      </c>
      <c r="M108" s="28">
        <f t="shared" si="10"/>
        <v>182612.93209876545</v>
      </c>
      <c r="N108" s="28">
        <f t="shared" si="11"/>
        <v>195656.71296296298</v>
      </c>
      <c r="O108" s="28">
        <f t="shared" si="12"/>
        <v>208700.49382716051</v>
      </c>
      <c r="P108" s="28">
        <f t="shared" si="13"/>
        <v>221744.27469135803</v>
      </c>
      <c r="Q108" s="28">
        <f t="shared" si="14"/>
        <v>234788.05555555556</v>
      </c>
      <c r="R108" s="28">
        <f t="shared" si="15"/>
        <v>247831.83641975309</v>
      </c>
      <c r="S108" s="28">
        <f t="shared" si="16"/>
        <v>260875.61728395062</v>
      </c>
      <c r="T108" s="28">
        <f t="shared" si="17"/>
        <v>273919.39814814815</v>
      </c>
      <c r="U108" s="28">
        <f t="shared" si="18"/>
        <v>286963.17901234567</v>
      </c>
      <c r="V108" s="28">
        <f t="shared" si="19"/>
        <v>300006.9598765432</v>
      </c>
      <c r="W108" s="28">
        <f t="shared" si="20"/>
        <v>313050.74074074079</v>
      </c>
    </row>
    <row r="109" spans="1:23" x14ac:dyDescent="0.2">
      <c r="A109" s="28">
        <v>108</v>
      </c>
      <c r="B109" s="28">
        <v>5361.3700305810398</v>
      </c>
      <c r="C109" s="28">
        <f t="shared" si="0"/>
        <v>53613.700305810402</v>
      </c>
      <c r="D109" s="28">
        <f t="shared" si="1"/>
        <v>67017.12538226301</v>
      </c>
      <c r="E109" s="28">
        <f t="shared" si="2"/>
        <v>80420.550458715603</v>
      </c>
      <c r="F109" s="28">
        <f t="shared" si="3"/>
        <v>93823.975535168196</v>
      </c>
      <c r="G109" s="28">
        <f t="shared" si="4"/>
        <v>107227.4006116208</v>
      </c>
      <c r="H109" s="28">
        <f t="shared" si="5"/>
        <v>120630.82568807341</v>
      </c>
      <c r="I109" s="28">
        <f t="shared" si="6"/>
        <v>134034.25076452602</v>
      </c>
      <c r="J109" s="28">
        <f t="shared" si="7"/>
        <v>147437.6758409786</v>
      </c>
      <c r="K109" s="28">
        <f t="shared" si="8"/>
        <v>160841.10091743121</v>
      </c>
      <c r="L109" s="28">
        <f t="shared" si="9"/>
        <v>174244.52599388381</v>
      </c>
      <c r="M109" s="28">
        <f t="shared" si="10"/>
        <v>187647.95107033639</v>
      </c>
      <c r="N109" s="28">
        <f t="shared" si="11"/>
        <v>201051.376146789</v>
      </c>
      <c r="O109" s="28">
        <f t="shared" si="12"/>
        <v>214454.80122324161</v>
      </c>
      <c r="P109" s="28">
        <f t="shared" si="13"/>
        <v>227858.22629969422</v>
      </c>
      <c r="Q109" s="28">
        <f t="shared" si="14"/>
        <v>241261.65137614682</v>
      </c>
      <c r="R109" s="28">
        <f t="shared" si="15"/>
        <v>254665.0764525994</v>
      </c>
      <c r="S109" s="28">
        <f t="shared" si="16"/>
        <v>268068.50152905204</v>
      </c>
      <c r="T109" s="28">
        <f t="shared" si="17"/>
        <v>281471.92660550459</v>
      </c>
      <c r="U109" s="28">
        <f t="shared" si="18"/>
        <v>294875.3516819572</v>
      </c>
      <c r="V109" s="28">
        <f t="shared" si="19"/>
        <v>308278.7767584098</v>
      </c>
      <c r="W109" s="28">
        <f t="shared" si="20"/>
        <v>321682.20183486241</v>
      </c>
    </row>
    <row r="110" spans="1:23" x14ac:dyDescent="0.2">
      <c r="A110" s="28">
        <v>109</v>
      </c>
      <c r="B110" s="28">
        <v>5502.6121212121207</v>
      </c>
      <c r="C110" s="28">
        <f t="shared" si="0"/>
        <v>55026.121212121208</v>
      </c>
      <c r="D110" s="28">
        <f t="shared" si="1"/>
        <v>68782.651515151505</v>
      </c>
      <c r="E110" s="28">
        <f t="shared" si="2"/>
        <v>82539.181818181809</v>
      </c>
      <c r="F110" s="28">
        <f t="shared" si="3"/>
        <v>96295.712121212113</v>
      </c>
      <c r="G110" s="28">
        <f t="shared" si="4"/>
        <v>110052.24242424242</v>
      </c>
      <c r="H110" s="28">
        <f t="shared" si="5"/>
        <v>123808.77272727272</v>
      </c>
      <c r="I110" s="28">
        <f t="shared" si="6"/>
        <v>137565.30303030301</v>
      </c>
      <c r="J110" s="28">
        <f t="shared" si="7"/>
        <v>151321.83333333331</v>
      </c>
      <c r="K110" s="28">
        <f t="shared" si="8"/>
        <v>165078.36363636362</v>
      </c>
      <c r="L110" s="28">
        <f t="shared" si="9"/>
        <v>178834.89393939392</v>
      </c>
      <c r="M110" s="28">
        <f t="shared" si="10"/>
        <v>192591.42424242423</v>
      </c>
      <c r="N110" s="28">
        <f t="shared" si="11"/>
        <v>206347.95454545453</v>
      </c>
      <c r="O110" s="28">
        <f t="shared" si="12"/>
        <v>220104.48484848483</v>
      </c>
      <c r="P110" s="28">
        <f t="shared" si="13"/>
        <v>233861.01515151514</v>
      </c>
      <c r="Q110" s="28">
        <f t="shared" si="14"/>
        <v>247617.54545454544</v>
      </c>
      <c r="R110" s="28">
        <f t="shared" si="15"/>
        <v>261374.07575757575</v>
      </c>
      <c r="S110" s="28">
        <f t="shared" si="16"/>
        <v>275130.60606060602</v>
      </c>
      <c r="T110" s="28">
        <f t="shared" si="17"/>
        <v>288887.13636363635</v>
      </c>
      <c r="U110" s="28">
        <f t="shared" si="18"/>
        <v>302643.66666666663</v>
      </c>
      <c r="V110" s="28">
        <f t="shared" si="19"/>
        <v>316400.19696969696</v>
      </c>
      <c r="W110" s="28">
        <f t="shared" si="20"/>
        <v>330156.72727272724</v>
      </c>
    </row>
    <row r="111" spans="1:23" x14ac:dyDescent="0.2">
      <c r="A111" s="28">
        <v>110</v>
      </c>
      <c r="B111" s="28">
        <v>5650.3963963963961</v>
      </c>
      <c r="C111" s="28">
        <f t="shared" si="0"/>
        <v>56503.963963963964</v>
      </c>
      <c r="D111" s="28">
        <f t="shared" si="1"/>
        <v>70629.954954954956</v>
      </c>
      <c r="E111" s="28">
        <f t="shared" si="2"/>
        <v>84755.945945945947</v>
      </c>
      <c r="F111" s="28">
        <f t="shared" si="3"/>
        <v>98881.936936936938</v>
      </c>
      <c r="G111" s="28">
        <f t="shared" si="4"/>
        <v>113007.92792792793</v>
      </c>
      <c r="H111" s="28">
        <f t="shared" si="5"/>
        <v>127133.91891891892</v>
      </c>
      <c r="I111" s="28">
        <f t="shared" si="6"/>
        <v>141259.90990990991</v>
      </c>
      <c r="J111" s="28">
        <f t="shared" si="7"/>
        <v>155385.90090090089</v>
      </c>
      <c r="K111" s="28">
        <f t="shared" si="8"/>
        <v>169511.89189189189</v>
      </c>
      <c r="L111" s="28">
        <f t="shared" si="9"/>
        <v>183637.8828828829</v>
      </c>
      <c r="M111" s="28">
        <f t="shared" si="10"/>
        <v>197763.87387387388</v>
      </c>
      <c r="N111" s="28">
        <f t="shared" si="11"/>
        <v>211889.86486486485</v>
      </c>
      <c r="O111" s="28">
        <f t="shared" si="12"/>
        <v>226015.85585585586</v>
      </c>
      <c r="P111" s="28">
        <f t="shared" si="13"/>
        <v>240141.84684684686</v>
      </c>
      <c r="Q111" s="28">
        <f t="shared" si="14"/>
        <v>254267.83783783784</v>
      </c>
      <c r="R111" s="28">
        <f t="shared" si="15"/>
        <v>268393.82882882882</v>
      </c>
      <c r="S111" s="28">
        <f t="shared" si="16"/>
        <v>282519.81981981982</v>
      </c>
      <c r="T111" s="28">
        <f t="shared" si="17"/>
        <v>296645.81081081083</v>
      </c>
      <c r="U111" s="28">
        <f t="shared" si="18"/>
        <v>310771.80180180178</v>
      </c>
      <c r="V111" s="28">
        <f t="shared" si="19"/>
        <v>324897.79279279278</v>
      </c>
      <c r="W111" s="28">
        <f t="shared" si="20"/>
        <v>339023.78378378379</v>
      </c>
    </row>
    <row r="112" spans="1:23" x14ac:dyDescent="0.2">
      <c r="A112" s="28">
        <v>111</v>
      </c>
      <c r="B112" s="28">
        <v>5798.2142857142862</v>
      </c>
      <c r="C112" s="28">
        <f t="shared" si="0"/>
        <v>57982.142857142862</v>
      </c>
      <c r="D112" s="28">
        <f t="shared" si="1"/>
        <v>72477.67857142858</v>
      </c>
      <c r="E112" s="28">
        <f t="shared" si="2"/>
        <v>86973.21428571429</v>
      </c>
      <c r="F112" s="28">
        <f t="shared" si="3"/>
        <v>101468.75000000001</v>
      </c>
      <c r="G112" s="28">
        <f t="shared" si="4"/>
        <v>115964.28571428572</v>
      </c>
      <c r="H112" s="28">
        <f t="shared" si="5"/>
        <v>130459.82142857143</v>
      </c>
      <c r="I112" s="28">
        <f t="shared" si="6"/>
        <v>144955.35714285716</v>
      </c>
      <c r="J112" s="28">
        <f t="shared" si="7"/>
        <v>159450.89285714287</v>
      </c>
      <c r="K112" s="28">
        <f t="shared" si="8"/>
        <v>173946.42857142858</v>
      </c>
      <c r="L112" s="28">
        <f t="shared" si="9"/>
        <v>188441.96428571429</v>
      </c>
      <c r="M112" s="28">
        <f t="shared" si="10"/>
        <v>202937.50000000003</v>
      </c>
      <c r="N112" s="28">
        <f t="shared" si="11"/>
        <v>217433.03571428574</v>
      </c>
      <c r="O112" s="28">
        <f t="shared" si="12"/>
        <v>231928.57142857145</v>
      </c>
      <c r="P112" s="28">
        <f t="shared" si="13"/>
        <v>246424.10714285716</v>
      </c>
      <c r="Q112" s="28">
        <f t="shared" si="14"/>
        <v>260919.64285714287</v>
      </c>
      <c r="R112" s="28">
        <f t="shared" si="15"/>
        <v>275415.17857142858</v>
      </c>
      <c r="S112" s="28">
        <f t="shared" si="16"/>
        <v>289910.71428571432</v>
      </c>
      <c r="T112" s="28">
        <f t="shared" si="17"/>
        <v>304406.25</v>
      </c>
      <c r="U112" s="28">
        <f t="shared" si="18"/>
        <v>318901.78571428574</v>
      </c>
      <c r="V112" s="28">
        <f t="shared" si="19"/>
        <v>333397.32142857148</v>
      </c>
      <c r="W112" s="28">
        <f t="shared" si="20"/>
        <v>347892.85714285716</v>
      </c>
    </row>
    <row r="113" spans="1:23" x14ac:dyDescent="0.2">
      <c r="A113" s="28">
        <v>112</v>
      </c>
      <c r="B113" s="28">
        <v>5953.0442477876104</v>
      </c>
      <c r="C113" s="28">
        <f t="shared" si="0"/>
        <v>59530.442477876102</v>
      </c>
      <c r="D113" s="28">
        <f t="shared" si="1"/>
        <v>74413.053097345124</v>
      </c>
      <c r="E113" s="28">
        <f t="shared" si="2"/>
        <v>89295.663716814161</v>
      </c>
      <c r="F113" s="28">
        <f t="shared" si="3"/>
        <v>104178.27433628318</v>
      </c>
      <c r="G113" s="28">
        <f t="shared" si="4"/>
        <v>119060.8849557522</v>
      </c>
      <c r="H113" s="28">
        <f t="shared" si="5"/>
        <v>133943.49557522123</v>
      </c>
      <c r="I113" s="28">
        <f t="shared" si="6"/>
        <v>148826.10619469025</v>
      </c>
      <c r="J113" s="28">
        <f t="shared" si="7"/>
        <v>163708.71681415927</v>
      </c>
      <c r="K113" s="28">
        <f t="shared" si="8"/>
        <v>178591.32743362832</v>
      </c>
      <c r="L113" s="28">
        <f t="shared" si="9"/>
        <v>193473.93805309734</v>
      </c>
      <c r="M113" s="28">
        <f t="shared" si="10"/>
        <v>208356.54867256636</v>
      </c>
      <c r="N113" s="28">
        <f t="shared" si="11"/>
        <v>223239.15929203539</v>
      </c>
      <c r="O113" s="28">
        <f t="shared" si="12"/>
        <v>238121.76991150441</v>
      </c>
      <c r="P113" s="28">
        <f t="shared" si="13"/>
        <v>253004.38053097343</v>
      </c>
      <c r="Q113" s="28">
        <f t="shared" si="14"/>
        <v>267886.99115044245</v>
      </c>
      <c r="R113" s="28">
        <f t="shared" si="15"/>
        <v>282769.60176991147</v>
      </c>
      <c r="S113" s="28">
        <f t="shared" si="16"/>
        <v>297652.2123893805</v>
      </c>
      <c r="T113" s="28">
        <f t="shared" si="17"/>
        <v>312534.82300884952</v>
      </c>
      <c r="U113" s="28">
        <f t="shared" si="18"/>
        <v>327417.43362831854</v>
      </c>
      <c r="V113" s="28">
        <f t="shared" si="19"/>
        <v>342300.04424778756</v>
      </c>
      <c r="W113" s="28">
        <f t="shared" si="20"/>
        <v>357182.65486725664</v>
      </c>
    </row>
    <row r="114" spans="1:23" x14ac:dyDescent="0.2">
      <c r="A114" s="28">
        <v>113</v>
      </c>
      <c r="B114" s="28">
        <v>6105.1578947368425</v>
      </c>
      <c r="C114" s="28">
        <f t="shared" si="0"/>
        <v>61051.578947368427</v>
      </c>
      <c r="D114" s="28">
        <f t="shared" si="1"/>
        <v>76314.473684210534</v>
      </c>
      <c r="E114" s="28">
        <f t="shared" si="2"/>
        <v>91577.368421052641</v>
      </c>
      <c r="F114" s="28">
        <f t="shared" si="3"/>
        <v>106840.26315789475</v>
      </c>
      <c r="G114" s="28">
        <f t="shared" si="4"/>
        <v>122103.15789473685</v>
      </c>
      <c r="H114" s="28">
        <f t="shared" si="5"/>
        <v>137366.05263157896</v>
      </c>
      <c r="I114" s="28">
        <f t="shared" si="6"/>
        <v>152628.94736842107</v>
      </c>
      <c r="J114" s="28">
        <f t="shared" si="7"/>
        <v>167891.84210526317</v>
      </c>
      <c r="K114" s="28">
        <f t="shared" si="8"/>
        <v>183154.73684210528</v>
      </c>
      <c r="L114" s="28">
        <f t="shared" si="9"/>
        <v>198417.63157894739</v>
      </c>
      <c r="M114" s="28">
        <f t="shared" si="10"/>
        <v>213680.5263157895</v>
      </c>
      <c r="N114" s="28">
        <f t="shared" si="11"/>
        <v>228943.4210526316</v>
      </c>
      <c r="O114" s="28">
        <f t="shared" si="12"/>
        <v>244206.31578947371</v>
      </c>
      <c r="P114" s="28">
        <f t="shared" si="13"/>
        <v>259469.21052631582</v>
      </c>
      <c r="Q114" s="28">
        <f t="shared" si="14"/>
        <v>274732.10526315792</v>
      </c>
      <c r="R114" s="28">
        <f t="shared" si="15"/>
        <v>289995</v>
      </c>
      <c r="S114" s="28">
        <f t="shared" si="16"/>
        <v>305257.89473684214</v>
      </c>
      <c r="T114" s="28">
        <f t="shared" si="17"/>
        <v>320520.78947368427</v>
      </c>
      <c r="U114" s="28">
        <f t="shared" si="18"/>
        <v>335783.68421052635</v>
      </c>
      <c r="V114" s="28">
        <f t="shared" si="19"/>
        <v>351046.57894736843</v>
      </c>
      <c r="W114" s="28">
        <f t="shared" si="20"/>
        <v>366309.47368421056</v>
      </c>
    </row>
    <row r="115" spans="1:23" x14ac:dyDescent="0.2">
      <c r="A115" s="28">
        <v>114</v>
      </c>
      <c r="B115" s="28">
        <v>6267.1768115942032</v>
      </c>
      <c r="C115" s="28">
        <f t="shared" si="0"/>
        <v>62671.768115942032</v>
      </c>
      <c r="D115" s="28">
        <f t="shared" si="1"/>
        <v>78339.710144927536</v>
      </c>
      <c r="E115" s="28">
        <f t="shared" si="2"/>
        <v>94007.652173913055</v>
      </c>
      <c r="F115" s="28">
        <f t="shared" si="3"/>
        <v>109675.59420289856</v>
      </c>
      <c r="G115" s="28">
        <f t="shared" si="4"/>
        <v>125343.53623188406</v>
      </c>
      <c r="H115" s="28">
        <f t="shared" si="5"/>
        <v>141011.47826086957</v>
      </c>
      <c r="I115" s="28">
        <f t="shared" si="6"/>
        <v>156679.42028985507</v>
      </c>
      <c r="J115" s="28">
        <f t="shared" si="7"/>
        <v>172347.36231884058</v>
      </c>
      <c r="K115" s="28">
        <f t="shared" si="8"/>
        <v>188015.30434782611</v>
      </c>
      <c r="L115" s="28">
        <f t="shared" si="9"/>
        <v>203683.24637681161</v>
      </c>
      <c r="M115" s="28">
        <f t="shared" si="10"/>
        <v>219351.18840579712</v>
      </c>
      <c r="N115" s="28">
        <f t="shared" si="11"/>
        <v>235019.13043478262</v>
      </c>
      <c r="O115" s="28">
        <f t="shared" si="12"/>
        <v>250687.07246376813</v>
      </c>
      <c r="P115" s="28">
        <f t="shared" si="13"/>
        <v>266355.01449275366</v>
      </c>
      <c r="Q115" s="28">
        <f t="shared" si="14"/>
        <v>282022.95652173914</v>
      </c>
      <c r="R115" s="28">
        <f t="shared" si="15"/>
        <v>297690.89855072467</v>
      </c>
      <c r="S115" s="28">
        <f t="shared" si="16"/>
        <v>313358.84057971014</v>
      </c>
      <c r="T115" s="28">
        <f t="shared" si="17"/>
        <v>329026.78260869568</v>
      </c>
      <c r="U115" s="28">
        <f t="shared" si="18"/>
        <v>344694.72463768115</v>
      </c>
      <c r="V115" s="28">
        <f t="shared" si="19"/>
        <v>360362.66666666669</v>
      </c>
      <c r="W115" s="28">
        <f t="shared" si="20"/>
        <v>376030.60869565222</v>
      </c>
    </row>
    <row r="116" spans="1:23" x14ac:dyDescent="0.2">
      <c r="A116" s="28">
        <v>115</v>
      </c>
      <c r="B116" s="28">
        <v>6426.4022988505749</v>
      </c>
      <c r="C116" s="28">
        <f t="shared" si="0"/>
        <v>64264.022988505749</v>
      </c>
      <c r="D116" s="28">
        <f t="shared" si="1"/>
        <v>80330.028735632193</v>
      </c>
      <c r="E116" s="28">
        <f t="shared" si="2"/>
        <v>96396.034482758623</v>
      </c>
      <c r="F116" s="28">
        <f t="shared" si="3"/>
        <v>112462.04022988505</v>
      </c>
      <c r="G116" s="28">
        <f t="shared" si="4"/>
        <v>128528.0459770115</v>
      </c>
      <c r="H116" s="28">
        <f t="shared" si="5"/>
        <v>144594.05172413794</v>
      </c>
      <c r="I116" s="28">
        <f t="shared" si="6"/>
        <v>160660.05747126439</v>
      </c>
      <c r="J116" s="28">
        <f t="shared" si="7"/>
        <v>176726.0632183908</v>
      </c>
      <c r="K116" s="28">
        <f t="shared" si="8"/>
        <v>192792.06896551725</v>
      </c>
      <c r="L116" s="28">
        <f t="shared" si="9"/>
        <v>208858.07471264369</v>
      </c>
      <c r="M116" s="28">
        <f t="shared" si="10"/>
        <v>224924.08045977011</v>
      </c>
      <c r="N116" s="28">
        <f t="shared" si="11"/>
        <v>240990.08620689655</v>
      </c>
      <c r="O116" s="28">
        <f t="shared" si="12"/>
        <v>257056.091954023</v>
      </c>
      <c r="P116" s="28">
        <f t="shared" si="13"/>
        <v>273122.09770114941</v>
      </c>
      <c r="Q116" s="28">
        <f t="shared" si="14"/>
        <v>289188.10344827588</v>
      </c>
      <c r="R116" s="28">
        <f t="shared" si="15"/>
        <v>305254.1091954023</v>
      </c>
      <c r="S116" s="28">
        <f t="shared" si="16"/>
        <v>321320.11494252877</v>
      </c>
      <c r="T116" s="28">
        <f t="shared" si="17"/>
        <v>337386.12068965519</v>
      </c>
      <c r="U116" s="28">
        <f t="shared" si="18"/>
        <v>353452.1264367816</v>
      </c>
      <c r="V116" s="28">
        <f t="shared" si="19"/>
        <v>369518.13218390808</v>
      </c>
      <c r="W116" s="28">
        <f t="shared" si="20"/>
        <v>385584.13793103449</v>
      </c>
    </row>
    <row r="117" spans="1:23" x14ac:dyDescent="0.2">
      <c r="A117" s="28">
        <v>116</v>
      </c>
      <c r="B117" s="28">
        <v>6593.1168091168092</v>
      </c>
      <c r="C117" s="28">
        <f t="shared" si="0"/>
        <v>65931.168091168089</v>
      </c>
      <c r="D117" s="28">
        <f t="shared" si="1"/>
        <v>82413.960113960115</v>
      </c>
      <c r="E117" s="28">
        <f t="shared" si="2"/>
        <v>98896.752136752126</v>
      </c>
      <c r="F117" s="28">
        <f t="shared" si="3"/>
        <v>115379.54415954415</v>
      </c>
      <c r="G117" s="28">
        <f t="shared" si="4"/>
        <v>131862.33618233618</v>
      </c>
      <c r="H117" s="28">
        <f t="shared" si="5"/>
        <v>148345.12820512819</v>
      </c>
      <c r="I117" s="28">
        <f t="shared" si="6"/>
        <v>164827.92022792023</v>
      </c>
      <c r="J117" s="28">
        <f t="shared" si="7"/>
        <v>181310.71225071224</v>
      </c>
      <c r="K117" s="28">
        <f t="shared" si="8"/>
        <v>197793.50427350425</v>
      </c>
      <c r="L117" s="28">
        <f t="shared" si="9"/>
        <v>214276.29629629629</v>
      </c>
      <c r="M117" s="28">
        <f t="shared" si="10"/>
        <v>230759.0883190883</v>
      </c>
      <c r="N117" s="28">
        <f t="shared" si="11"/>
        <v>247241.88034188034</v>
      </c>
      <c r="O117" s="28">
        <f t="shared" si="12"/>
        <v>263724.67236467235</v>
      </c>
      <c r="P117" s="28">
        <f t="shared" si="13"/>
        <v>280207.4643874644</v>
      </c>
      <c r="Q117" s="28">
        <f t="shared" si="14"/>
        <v>296690.25641025638</v>
      </c>
      <c r="R117" s="28">
        <f t="shared" si="15"/>
        <v>313173.04843304842</v>
      </c>
      <c r="S117" s="28">
        <f t="shared" si="16"/>
        <v>329655.84045584046</v>
      </c>
      <c r="T117" s="28">
        <f t="shared" si="17"/>
        <v>346138.63247863244</v>
      </c>
      <c r="U117" s="28">
        <f t="shared" si="18"/>
        <v>362621.42450142448</v>
      </c>
      <c r="V117" s="28">
        <f t="shared" si="19"/>
        <v>379104.21652421652</v>
      </c>
      <c r="W117" s="28">
        <f t="shared" si="20"/>
        <v>395587.0085470085</v>
      </c>
    </row>
    <row r="118" spans="1:23" x14ac:dyDescent="0.2">
      <c r="A118" s="28">
        <v>117</v>
      </c>
      <c r="B118" s="28">
        <v>6759.8757062146897</v>
      </c>
      <c r="C118" s="28">
        <f t="shared" si="0"/>
        <v>67598.757062146891</v>
      </c>
      <c r="D118" s="28">
        <f t="shared" si="1"/>
        <v>84498.446327683618</v>
      </c>
      <c r="E118" s="28">
        <f t="shared" si="2"/>
        <v>101398.13559322033</v>
      </c>
      <c r="F118" s="28">
        <f t="shared" si="3"/>
        <v>118297.82485875706</v>
      </c>
      <c r="G118" s="28">
        <f t="shared" si="4"/>
        <v>135197.51412429378</v>
      </c>
      <c r="H118" s="28">
        <f t="shared" si="5"/>
        <v>152097.20338983051</v>
      </c>
      <c r="I118" s="28">
        <f t="shared" si="6"/>
        <v>168996.89265536724</v>
      </c>
      <c r="J118" s="28">
        <f t="shared" si="7"/>
        <v>185896.58192090396</v>
      </c>
      <c r="K118" s="28">
        <f t="shared" si="8"/>
        <v>202796.27118644066</v>
      </c>
      <c r="L118" s="28">
        <f t="shared" si="9"/>
        <v>219695.96045197739</v>
      </c>
      <c r="M118" s="28">
        <f t="shared" si="10"/>
        <v>236595.64971751411</v>
      </c>
      <c r="N118" s="28">
        <f t="shared" si="11"/>
        <v>253495.33898305084</v>
      </c>
      <c r="O118" s="28">
        <f t="shared" si="12"/>
        <v>270395.02824858757</v>
      </c>
      <c r="P118" s="28">
        <f t="shared" si="13"/>
        <v>287294.71751412429</v>
      </c>
      <c r="Q118" s="28">
        <f t="shared" si="14"/>
        <v>304194.40677966102</v>
      </c>
      <c r="R118" s="28">
        <f t="shared" si="15"/>
        <v>321094.09604519774</v>
      </c>
      <c r="S118" s="28">
        <f t="shared" si="16"/>
        <v>337993.78531073447</v>
      </c>
      <c r="T118" s="28">
        <f t="shared" si="17"/>
        <v>354893.4745762712</v>
      </c>
      <c r="U118" s="28">
        <f t="shared" si="18"/>
        <v>371793.16384180792</v>
      </c>
      <c r="V118" s="28">
        <f t="shared" si="19"/>
        <v>388692.85310734465</v>
      </c>
      <c r="W118" s="28">
        <f t="shared" si="20"/>
        <v>405592.54237288132</v>
      </c>
    </row>
    <row r="119" spans="1:23" x14ac:dyDescent="0.2">
      <c r="A119" s="28">
        <v>118</v>
      </c>
      <c r="B119" s="28">
        <v>6933.8711484593832</v>
      </c>
      <c r="C119" s="28">
        <f t="shared" si="0"/>
        <v>69338.711484593834</v>
      </c>
      <c r="D119" s="28">
        <f t="shared" si="1"/>
        <v>86673.389355742285</v>
      </c>
      <c r="E119" s="28">
        <f t="shared" si="2"/>
        <v>104008.06722689075</v>
      </c>
      <c r="F119" s="28">
        <f t="shared" si="3"/>
        <v>121342.74509803922</v>
      </c>
      <c r="G119" s="28">
        <f t="shared" si="4"/>
        <v>138677.42296918767</v>
      </c>
      <c r="H119" s="28">
        <f t="shared" si="5"/>
        <v>156012.10084033612</v>
      </c>
      <c r="I119" s="28">
        <f t="shared" si="6"/>
        <v>173346.77871148457</v>
      </c>
      <c r="J119" s="28">
        <f t="shared" si="7"/>
        <v>190681.45658263305</v>
      </c>
      <c r="K119" s="28">
        <f t="shared" si="8"/>
        <v>208016.1344537815</v>
      </c>
      <c r="L119" s="28">
        <f t="shared" si="9"/>
        <v>225350.81232492995</v>
      </c>
      <c r="M119" s="28">
        <f t="shared" si="10"/>
        <v>242685.49019607843</v>
      </c>
      <c r="N119" s="28">
        <f t="shared" si="11"/>
        <v>260020.16806722688</v>
      </c>
      <c r="O119" s="28">
        <f t="shared" si="12"/>
        <v>277354.84593837534</v>
      </c>
      <c r="P119" s="28">
        <f t="shared" si="13"/>
        <v>294689.52380952379</v>
      </c>
      <c r="Q119" s="28">
        <f t="shared" si="14"/>
        <v>312024.20168067224</v>
      </c>
      <c r="R119" s="28">
        <f t="shared" si="15"/>
        <v>329358.87955182069</v>
      </c>
      <c r="S119" s="28">
        <f t="shared" si="16"/>
        <v>346693.55742296914</v>
      </c>
      <c r="T119" s="28">
        <f t="shared" si="17"/>
        <v>364028.23529411765</v>
      </c>
      <c r="U119" s="28">
        <f t="shared" si="18"/>
        <v>381362.9131652661</v>
      </c>
      <c r="V119" s="28">
        <f t="shared" si="19"/>
        <v>398697.59103641455</v>
      </c>
      <c r="W119" s="28">
        <f t="shared" si="20"/>
        <v>416032.268907563</v>
      </c>
    </row>
    <row r="120" spans="1:23" x14ac:dyDescent="0.2">
      <c r="A120" s="28">
        <v>119</v>
      </c>
      <c r="B120" s="28">
        <v>7104.9666666666672</v>
      </c>
      <c r="C120" s="28">
        <f t="shared" si="0"/>
        <v>71049.666666666672</v>
      </c>
      <c r="D120" s="28">
        <f t="shared" si="1"/>
        <v>88812.083333333343</v>
      </c>
      <c r="E120" s="28">
        <f t="shared" si="2"/>
        <v>106574.5</v>
      </c>
      <c r="F120" s="28">
        <f t="shared" si="3"/>
        <v>124336.91666666667</v>
      </c>
      <c r="G120" s="28">
        <f t="shared" si="4"/>
        <v>142099.33333333334</v>
      </c>
      <c r="H120" s="28">
        <f t="shared" si="5"/>
        <v>159861.75</v>
      </c>
      <c r="I120" s="28">
        <f t="shared" si="6"/>
        <v>177624.16666666669</v>
      </c>
      <c r="J120" s="28">
        <f t="shared" si="7"/>
        <v>195386.58333333334</v>
      </c>
      <c r="K120" s="28">
        <f t="shared" si="8"/>
        <v>213149</v>
      </c>
      <c r="L120" s="28">
        <f t="shared" si="9"/>
        <v>230911.41666666669</v>
      </c>
      <c r="M120" s="28">
        <f t="shared" si="10"/>
        <v>248673.83333333334</v>
      </c>
      <c r="N120" s="28">
        <f t="shared" si="11"/>
        <v>266436.25</v>
      </c>
      <c r="O120" s="28">
        <f t="shared" si="12"/>
        <v>284198.66666666669</v>
      </c>
      <c r="P120" s="28">
        <f t="shared" si="13"/>
        <v>301961.08333333337</v>
      </c>
      <c r="Q120" s="28">
        <f t="shared" si="14"/>
        <v>319723.5</v>
      </c>
      <c r="R120" s="28">
        <f t="shared" si="15"/>
        <v>337485.91666666669</v>
      </c>
      <c r="S120" s="28">
        <f t="shared" si="16"/>
        <v>355248.33333333337</v>
      </c>
      <c r="T120" s="28">
        <f t="shared" si="17"/>
        <v>373010.75</v>
      </c>
      <c r="U120" s="28">
        <f t="shared" si="18"/>
        <v>390773.16666666669</v>
      </c>
      <c r="V120" s="28">
        <f t="shared" si="19"/>
        <v>408535.58333333337</v>
      </c>
      <c r="W120" s="28">
        <f t="shared" si="20"/>
        <v>426298</v>
      </c>
    </row>
    <row r="121" spans="1:23" x14ac:dyDescent="0.2">
      <c r="A121" s="28">
        <v>120</v>
      </c>
      <c r="B121" s="28">
        <v>7287.1900826446281</v>
      </c>
      <c r="C121" s="28">
        <f t="shared" si="0"/>
        <v>72871.900826446275</v>
      </c>
      <c r="D121" s="28">
        <f t="shared" si="1"/>
        <v>91089.876033057837</v>
      </c>
      <c r="E121" s="28">
        <f t="shared" si="2"/>
        <v>109307.85123966941</v>
      </c>
      <c r="F121" s="28">
        <f t="shared" si="3"/>
        <v>127525.82644628099</v>
      </c>
      <c r="G121" s="28">
        <f t="shared" si="4"/>
        <v>145743.80165289255</v>
      </c>
      <c r="H121" s="28">
        <f t="shared" si="5"/>
        <v>163961.77685950411</v>
      </c>
      <c r="I121" s="28">
        <f t="shared" si="6"/>
        <v>182179.75206611567</v>
      </c>
      <c r="J121" s="28">
        <f t="shared" si="7"/>
        <v>200397.72727272726</v>
      </c>
      <c r="K121" s="28">
        <f t="shared" si="8"/>
        <v>218615.70247933883</v>
      </c>
      <c r="L121" s="28">
        <f t="shared" si="9"/>
        <v>236833.67768595039</v>
      </c>
      <c r="M121" s="28">
        <f t="shared" si="10"/>
        <v>255051.65289256198</v>
      </c>
      <c r="N121" s="28">
        <f t="shared" si="11"/>
        <v>273269.62809917354</v>
      </c>
      <c r="O121" s="28">
        <f t="shared" si="12"/>
        <v>291487.6033057851</v>
      </c>
      <c r="P121" s="28">
        <f t="shared" si="13"/>
        <v>309705.57851239666</v>
      </c>
      <c r="Q121" s="28">
        <f t="shared" si="14"/>
        <v>327923.55371900823</v>
      </c>
      <c r="R121" s="28">
        <f t="shared" si="15"/>
        <v>346141.52892561979</v>
      </c>
      <c r="S121" s="28">
        <f t="shared" si="16"/>
        <v>364359.50413223135</v>
      </c>
      <c r="T121" s="28">
        <f t="shared" si="17"/>
        <v>382577.47933884297</v>
      </c>
      <c r="U121" s="28">
        <f t="shared" si="18"/>
        <v>400795.45454545453</v>
      </c>
      <c r="V121" s="28">
        <f t="shared" si="19"/>
        <v>419013.42975206609</v>
      </c>
      <c r="W121" s="28">
        <f t="shared" si="20"/>
        <v>437231.40495867765</v>
      </c>
    </row>
    <row r="122" spans="1:23" x14ac:dyDescent="0.2">
      <c r="A122" s="28">
        <v>121</v>
      </c>
      <c r="B122" s="28">
        <v>7466.4262295081962</v>
      </c>
      <c r="C122" s="28">
        <f t="shared" si="0"/>
        <v>74664.262295081964</v>
      </c>
      <c r="D122" s="28">
        <f t="shared" si="1"/>
        <v>93330.327868852459</v>
      </c>
      <c r="E122" s="28">
        <f t="shared" si="2"/>
        <v>111996.39344262294</v>
      </c>
      <c r="F122" s="28">
        <f t="shared" si="3"/>
        <v>130662.45901639343</v>
      </c>
      <c r="G122" s="28">
        <f t="shared" si="4"/>
        <v>149328.52459016393</v>
      </c>
      <c r="H122" s="28">
        <f t="shared" si="5"/>
        <v>167994.59016393442</v>
      </c>
      <c r="I122" s="28">
        <f t="shared" si="6"/>
        <v>186660.65573770492</v>
      </c>
      <c r="J122" s="28">
        <f t="shared" si="7"/>
        <v>205326.72131147541</v>
      </c>
      <c r="K122" s="28">
        <f t="shared" si="8"/>
        <v>223992.78688524588</v>
      </c>
      <c r="L122" s="28">
        <f t="shared" si="9"/>
        <v>242658.85245901637</v>
      </c>
      <c r="M122" s="28">
        <f t="shared" si="10"/>
        <v>261324.91803278687</v>
      </c>
      <c r="N122" s="28">
        <f t="shared" si="11"/>
        <v>279990.98360655736</v>
      </c>
      <c r="O122" s="28">
        <f t="shared" si="12"/>
        <v>298657.04918032786</v>
      </c>
      <c r="P122" s="28">
        <f t="shared" si="13"/>
        <v>317323.11475409835</v>
      </c>
      <c r="Q122" s="28">
        <f t="shared" si="14"/>
        <v>335989.18032786885</v>
      </c>
      <c r="R122" s="28">
        <f t="shared" si="15"/>
        <v>354655.24590163934</v>
      </c>
      <c r="S122" s="28">
        <f t="shared" si="16"/>
        <v>373321.31147540984</v>
      </c>
      <c r="T122" s="28">
        <f t="shared" si="17"/>
        <v>391987.37704918033</v>
      </c>
      <c r="U122" s="28">
        <f t="shared" si="18"/>
        <v>410653.44262295082</v>
      </c>
      <c r="V122" s="28">
        <f t="shared" si="19"/>
        <v>429319.50819672132</v>
      </c>
      <c r="W122" s="28">
        <f t="shared" si="20"/>
        <v>447985.57377049176</v>
      </c>
    </row>
    <row r="123" spans="1:23" x14ac:dyDescent="0.2">
      <c r="A123" s="28">
        <v>122</v>
      </c>
      <c r="B123" s="28">
        <v>7653.4634146341459</v>
      </c>
      <c r="C123" s="28">
        <f t="shared" si="0"/>
        <v>76534.634146341457</v>
      </c>
      <c r="D123" s="28">
        <f t="shared" si="1"/>
        <v>95668.292682926825</v>
      </c>
      <c r="E123" s="28">
        <f t="shared" si="2"/>
        <v>114801.95121951218</v>
      </c>
      <c r="F123" s="28">
        <f t="shared" si="3"/>
        <v>133935.60975609755</v>
      </c>
      <c r="G123" s="28">
        <f t="shared" si="4"/>
        <v>153069.26829268291</v>
      </c>
      <c r="H123" s="28">
        <f t="shared" si="5"/>
        <v>172202.92682926828</v>
      </c>
      <c r="I123" s="28">
        <f t="shared" si="6"/>
        <v>191336.58536585365</v>
      </c>
      <c r="J123" s="28">
        <f t="shared" si="7"/>
        <v>210470.24390243902</v>
      </c>
      <c r="K123" s="28">
        <f t="shared" si="8"/>
        <v>229603.90243902436</v>
      </c>
      <c r="L123" s="28">
        <f t="shared" si="9"/>
        <v>248737.56097560973</v>
      </c>
      <c r="M123" s="28">
        <f t="shared" si="10"/>
        <v>267871.21951219509</v>
      </c>
      <c r="N123" s="28">
        <f t="shared" si="11"/>
        <v>287004.87804878049</v>
      </c>
      <c r="O123" s="28">
        <f t="shared" si="12"/>
        <v>306138.53658536583</v>
      </c>
      <c r="P123" s="28">
        <f t="shared" si="13"/>
        <v>325272.19512195117</v>
      </c>
      <c r="Q123" s="28">
        <f t="shared" si="14"/>
        <v>344405.85365853657</v>
      </c>
      <c r="R123" s="28">
        <f t="shared" si="15"/>
        <v>363539.5121951219</v>
      </c>
      <c r="S123" s="28">
        <f t="shared" si="16"/>
        <v>382673.1707317073</v>
      </c>
      <c r="T123" s="28">
        <f t="shared" si="17"/>
        <v>401806.82926829264</v>
      </c>
      <c r="U123" s="28">
        <f t="shared" si="18"/>
        <v>420940.48780487804</v>
      </c>
      <c r="V123" s="28">
        <f t="shared" si="19"/>
        <v>440074.14634146338</v>
      </c>
      <c r="W123" s="28">
        <f t="shared" si="20"/>
        <v>459207.80487804872</v>
      </c>
    </row>
    <row r="124" spans="1:23" x14ac:dyDescent="0.2">
      <c r="A124" s="28">
        <v>123</v>
      </c>
      <c r="B124" s="28">
        <v>7840.4731182795704</v>
      </c>
      <c r="C124" s="28">
        <f t="shared" si="0"/>
        <v>78404.731182795702</v>
      </c>
      <c r="D124" s="28">
        <f t="shared" si="1"/>
        <v>98005.913978494631</v>
      </c>
      <c r="E124" s="28">
        <f t="shared" si="2"/>
        <v>117607.09677419355</v>
      </c>
      <c r="F124" s="28">
        <f t="shared" si="3"/>
        <v>137208.27956989247</v>
      </c>
      <c r="G124" s="28">
        <f t="shared" si="4"/>
        <v>156809.4623655914</v>
      </c>
      <c r="H124" s="28">
        <f t="shared" si="5"/>
        <v>176410.64516129033</v>
      </c>
      <c r="I124" s="28">
        <f t="shared" si="6"/>
        <v>196011.82795698926</v>
      </c>
      <c r="J124" s="28">
        <f t="shared" si="7"/>
        <v>215613.01075268819</v>
      </c>
      <c r="K124" s="28">
        <f t="shared" si="8"/>
        <v>235214.19354838709</v>
      </c>
      <c r="L124" s="28">
        <f t="shared" si="9"/>
        <v>254815.37634408602</v>
      </c>
      <c r="M124" s="28">
        <f t="shared" si="10"/>
        <v>274416.55913978495</v>
      </c>
      <c r="N124" s="28">
        <f t="shared" si="11"/>
        <v>294017.74193548388</v>
      </c>
      <c r="O124" s="28">
        <f t="shared" si="12"/>
        <v>313618.92473118281</v>
      </c>
      <c r="P124" s="28">
        <f t="shared" si="13"/>
        <v>333220.10752688174</v>
      </c>
      <c r="Q124" s="28">
        <f t="shared" si="14"/>
        <v>352821.29032258067</v>
      </c>
      <c r="R124" s="28">
        <f t="shared" si="15"/>
        <v>372422.47311827959</v>
      </c>
      <c r="S124" s="28">
        <f t="shared" si="16"/>
        <v>392023.65591397852</v>
      </c>
      <c r="T124" s="28">
        <f t="shared" si="17"/>
        <v>411624.83870967745</v>
      </c>
      <c r="U124" s="28">
        <f t="shared" si="18"/>
        <v>431226.02150537638</v>
      </c>
      <c r="V124" s="28">
        <f t="shared" si="19"/>
        <v>450827.20430107531</v>
      </c>
      <c r="W124" s="28">
        <f t="shared" si="20"/>
        <v>470428.38709677418</v>
      </c>
    </row>
    <row r="125" spans="1:23" x14ac:dyDescent="0.2">
      <c r="A125" s="28">
        <v>124</v>
      </c>
      <c r="B125" s="28">
        <v>8035.7653333333337</v>
      </c>
      <c r="C125" s="28">
        <f t="shared" si="0"/>
        <v>80357.653333333335</v>
      </c>
      <c r="D125" s="28">
        <f t="shared" si="1"/>
        <v>100447.06666666667</v>
      </c>
      <c r="E125" s="28">
        <f t="shared" si="2"/>
        <v>120536.48000000001</v>
      </c>
      <c r="F125" s="28">
        <f t="shared" si="3"/>
        <v>140625.89333333334</v>
      </c>
      <c r="G125" s="28">
        <f t="shared" si="4"/>
        <v>160715.30666666667</v>
      </c>
      <c r="H125" s="28">
        <f t="shared" si="5"/>
        <v>180804.72</v>
      </c>
      <c r="I125" s="28">
        <f t="shared" si="6"/>
        <v>200894.13333333333</v>
      </c>
      <c r="J125" s="28">
        <f t="shared" si="7"/>
        <v>220983.54666666666</v>
      </c>
      <c r="K125" s="28">
        <f t="shared" si="8"/>
        <v>241072.96000000002</v>
      </c>
      <c r="L125" s="28">
        <f t="shared" si="9"/>
        <v>261162.37333333335</v>
      </c>
      <c r="M125" s="28">
        <f t="shared" si="10"/>
        <v>281251.78666666668</v>
      </c>
      <c r="N125" s="28">
        <f t="shared" si="11"/>
        <v>301341.2</v>
      </c>
      <c r="O125" s="28">
        <f t="shared" si="12"/>
        <v>321430.61333333334</v>
      </c>
      <c r="P125" s="28">
        <f t="shared" si="13"/>
        <v>341520.02666666667</v>
      </c>
      <c r="Q125" s="28">
        <f t="shared" si="14"/>
        <v>361609.44</v>
      </c>
      <c r="R125" s="28">
        <f t="shared" si="15"/>
        <v>381698.85333333333</v>
      </c>
      <c r="S125" s="28">
        <f t="shared" si="16"/>
        <v>401788.26666666666</v>
      </c>
      <c r="T125" s="28">
        <f t="shared" si="17"/>
        <v>421877.68</v>
      </c>
      <c r="U125" s="28">
        <f t="shared" si="18"/>
        <v>441967.09333333332</v>
      </c>
      <c r="V125" s="28">
        <f t="shared" si="19"/>
        <v>462056.50666666665</v>
      </c>
      <c r="W125" s="28">
        <f t="shared" si="20"/>
        <v>482145.92000000004</v>
      </c>
    </row>
    <row r="126" spans="1:23" x14ac:dyDescent="0.2">
      <c r="A126" s="28">
        <v>125</v>
      </c>
      <c r="B126" s="28">
        <v>8227.9576719576708</v>
      </c>
      <c r="C126" s="28">
        <f t="shared" si="0"/>
        <v>82279.576719576711</v>
      </c>
      <c r="D126" s="28">
        <f t="shared" si="1"/>
        <v>102849.47089947089</v>
      </c>
      <c r="E126" s="28">
        <f t="shared" si="2"/>
        <v>123419.36507936506</v>
      </c>
      <c r="F126" s="28">
        <f t="shared" si="3"/>
        <v>143989.25925925924</v>
      </c>
      <c r="G126" s="28">
        <f t="shared" si="4"/>
        <v>164559.15343915342</v>
      </c>
      <c r="H126" s="28">
        <f t="shared" si="5"/>
        <v>185129.0476190476</v>
      </c>
      <c r="I126" s="28">
        <f t="shared" si="6"/>
        <v>205698.94179894179</v>
      </c>
      <c r="J126" s="28">
        <f t="shared" si="7"/>
        <v>226268.83597883597</v>
      </c>
      <c r="K126" s="28">
        <f t="shared" si="8"/>
        <v>246838.73015873012</v>
      </c>
      <c r="L126" s="28">
        <f t="shared" si="9"/>
        <v>267408.6243386243</v>
      </c>
      <c r="M126" s="28">
        <f t="shared" si="10"/>
        <v>287978.51851851848</v>
      </c>
      <c r="N126" s="28">
        <f t="shared" si="11"/>
        <v>308548.41269841266</v>
      </c>
      <c r="O126" s="28">
        <f t="shared" si="12"/>
        <v>329118.30687830684</v>
      </c>
      <c r="P126" s="28">
        <f t="shared" si="13"/>
        <v>349688.20105820103</v>
      </c>
      <c r="Q126" s="28">
        <f t="shared" si="14"/>
        <v>370258.09523809521</v>
      </c>
      <c r="R126" s="28">
        <f t="shared" si="15"/>
        <v>390827.98941798939</v>
      </c>
      <c r="S126" s="28">
        <f t="shared" si="16"/>
        <v>411397.88359788357</v>
      </c>
      <c r="T126" s="28">
        <f t="shared" si="17"/>
        <v>431967.77777777775</v>
      </c>
      <c r="U126" s="28">
        <f t="shared" si="18"/>
        <v>452537.67195767193</v>
      </c>
      <c r="V126" s="28">
        <f t="shared" si="19"/>
        <v>473107.56613756611</v>
      </c>
      <c r="W126" s="28">
        <f t="shared" si="20"/>
        <v>493677.46031746024</v>
      </c>
    </row>
    <row r="127" spans="1:23" x14ac:dyDescent="0.2">
      <c r="A127" s="28">
        <v>126</v>
      </c>
      <c r="B127" s="28">
        <v>8431.7847769028886</v>
      </c>
      <c r="C127" s="28">
        <f t="shared" si="0"/>
        <v>84317.847769028886</v>
      </c>
      <c r="D127" s="28">
        <f t="shared" si="1"/>
        <v>105397.3097112861</v>
      </c>
      <c r="E127" s="28">
        <f t="shared" si="2"/>
        <v>126476.77165354333</v>
      </c>
      <c r="F127" s="28">
        <f t="shared" si="3"/>
        <v>147556.23359580056</v>
      </c>
      <c r="G127" s="28">
        <f t="shared" si="4"/>
        <v>168635.69553805777</v>
      </c>
      <c r="H127" s="28">
        <f t="shared" si="5"/>
        <v>189715.15748031499</v>
      </c>
      <c r="I127" s="28">
        <f t="shared" si="6"/>
        <v>210794.6194225722</v>
      </c>
      <c r="J127" s="28">
        <f t="shared" si="7"/>
        <v>231874.08136482944</v>
      </c>
      <c r="K127" s="28">
        <f t="shared" si="8"/>
        <v>252953.54330708666</v>
      </c>
      <c r="L127" s="28">
        <f t="shared" si="9"/>
        <v>274033.00524934387</v>
      </c>
      <c r="M127" s="28">
        <f t="shared" si="10"/>
        <v>295112.46719160111</v>
      </c>
      <c r="N127" s="28">
        <f t="shared" si="11"/>
        <v>316191.9291338583</v>
      </c>
      <c r="O127" s="28">
        <f t="shared" si="12"/>
        <v>337271.39107611554</v>
      </c>
      <c r="P127" s="28">
        <f t="shared" si="13"/>
        <v>358350.85301837279</v>
      </c>
      <c r="Q127" s="28">
        <f t="shared" si="14"/>
        <v>379430.31496062997</v>
      </c>
      <c r="R127" s="28">
        <f t="shared" si="15"/>
        <v>400509.77690288721</v>
      </c>
      <c r="S127" s="28">
        <f t="shared" si="16"/>
        <v>421589.2388451444</v>
      </c>
      <c r="T127" s="28">
        <f t="shared" si="17"/>
        <v>442668.70078740164</v>
      </c>
      <c r="U127" s="28">
        <f t="shared" si="18"/>
        <v>463748.16272965888</v>
      </c>
      <c r="V127" s="28">
        <f t="shared" si="19"/>
        <v>484827.62467191607</v>
      </c>
      <c r="W127" s="28">
        <f t="shared" si="20"/>
        <v>505907.08661417331</v>
      </c>
    </row>
    <row r="128" spans="1:23" x14ac:dyDescent="0.2">
      <c r="A128" s="28">
        <v>127</v>
      </c>
      <c r="B128" s="28">
        <v>8632.4270833333339</v>
      </c>
      <c r="C128" s="28">
        <f t="shared" si="0"/>
        <v>86324.270833333343</v>
      </c>
      <c r="D128" s="28">
        <f t="shared" si="1"/>
        <v>107905.33854166669</v>
      </c>
      <c r="E128" s="28">
        <f t="shared" si="2"/>
        <v>129486.40625000001</v>
      </c>
      <c r="F128" s="28">
        <f t="shared" si="3"/>
        <v>151067.47395833334</v>
      </c>
      <c r="G128" s="28">
        <f t="shared" si="4"/>
        <v>172648.54166666669</v>
      </c>
      <c r="H128" s="28">
        <f t="shared" si="5"/>
        <v>194229.60937500003</v>
      </c>
      <c r="I128" s="28">
        <f t="shared" si="6"/>
        <v>215810.67708333337</v>
      </c>
      <c r="J128" s="28">
        <f t="shared" si="7"/>
        <v>237391.74479166669</v>
      </c>
      <c r="K128" s="28">
        <f t="shared" si="8"/>
        <v>258972.81250000003</v>
      </c>
      <c r="L128" s="28">
        <f t="shared" si="9"/>
        <v>280553.88020833337</v>
      </c>
      <c r="M128" s="28">
        <f t="shared" si="10"/>
        <v>302134.94791666669</v>
      </c>
      <c r="N128" s="28">
        <f t="shared" si="11"/>
        <v>323716.01562500006</v>
      </c>
      <c r="O128" s="28">
        <f t="shared" si="12"/>
        <v>345297.08333333337</v>
      </c>
      <c r="P128" s="28">
        <f t="shared" si="13"/>
        <v>366878.15104166669</v>
      </c>
      <c r="Q128" s="28">
        <f t="shared" si="14"/>
        <v>388459.21875000006</v>
      </c>
      <c r="R128" s="28">
        <f t="shared" si="15"/>
        <v>410040.28645833337</v>
      </c>
      <c r="S128" s="28">
        <f t="shared" si="16"/>
        <v>431621.35416666674</v>
      </c>
      <c r="T128" s="28">
        <f t="shared" si="17"/>
        <v>453202.42187500006</v>
      </c>
      <c r="U128" s="28">
        <f t="shared" si="18"/>
        <v>474783.48958333337</v>
      </c>
      <c r="V128" s="28">
        <f t="shared" si="19"/>
        <v>496364.55729166674</v>
      </c>
      <c r="W128" s="28">
        <f t="shared" si="20"/>
        <v>517945.62500000006</v>
      </c>
    </row>
    <row r="129" spans="1:23" x14ac:dyDescent="0.2">
      <c r="A129" s="28">
        <v>128</v>
      </c>
      <c r="B129" s="28">
        <v>8841.9328165374682</v>
      </c>
      <c r="C129" s="28">
        <f t="shared" si="0"/>
        <v>88419.328165374682</v>
      </c>
      <c r="D129" s="28">
        <f t="shared" si="1"/>
        <v>110524.16020671836</v>
      </c>
      <c r="E129" s="28">
        <f t="shared" si="2"/>
        <v>132628.99224806202</v>
      </c>
      <c r="F129" s="28">
        <f t="shared" si="3"/>
        <v>154733.82428940569</v>
      </c>
      <c r="G129" s="28">
        <f t="shared" si="4"/>
        <v>176838.65633074936</v>
      </c>
      <c r="H129" s="28">
        <f t="shared" si="5"/>
        <v>198943.48837209304</v>
      </c>
      <c r="I129" s="28">
        <f t="shared" si="6"/>
        <v>221048.32041343671</v>
      </c>
      <c r="J129" s="28">
        <f t="shared" si="7"/>
        <v>243153.15245478039</v>
      </c>
      <c r="K129" s="28">
        <f t="shared" si="8"/>
        <v>265257.98449612403</v>
      </c>
      <c r="L129" s="28">
        <f t="shared" si="9"/>
        <v>287362.8165374677</v>
      </c>
      <c r="M129" s="28">
        <f t="shared" si="10"/>
        <v>309467.64857881138</v>
      </c>
      <c r="N129" s="28">
        <f t="shared" si="11"/>
        <v>331572.48062015505</v>
      </c>
      <c r="O129" s="28">
        <f t="shared" si="12"/>
        <v>353677.31266149873</v>
      </c>
      <c r="P129" s="28">
        <f t="shared" si="13"/>
        <v>375782.1447028424</v>
      </c>
      <c r="Q129" s="28">
        <f t="shared" si="14"/>
        <v>397886.97674418607</v>
      </c>
      <c r="R129" s="28">
        <f t="shared" si="15"/>
        <v>419991.80878552975</v>
      </c>
      <c r="S129" s="28">
        <f t="shared" si="16"/>
        <v>442096.64082687342</v>
      </c>
      <c r="T129" s="28">
        <f t="shared" si="17"/>
        <v>464201.4728682171</v>
      </c>
      <c r="U129" s="28">
        <f t="shared" si="18"/>
        <v>486306.30490956077</v>
      </c>
      <c r="V129" s="28">
        <f t="shared" si="19"/>
        <v>508411.13695090445</v>
      </c>
      <c r="W129" s="28">
        <f t="shared" si="20"/>
        <v>530515.96899224806</v>
      </c>
    </row>
    <row r="130" spans="1:23" x14ac:dyDescent="0.2">
      <c r="A130" s="28">
        <v>129</v>
      </c>
      <c r="B130" s="28">
        <v>9051.4307692307684</v>
      </c>
      <c r="C130" s="28">
        <f t="shared" si="0"/>
        <v>90514.307692307688</v>
      </c>
      <c r="D130" s="28">
        <f t="shared" si="1"/>
        <v>113142.88461538461</v>
      </c>
      <c r="E130" s="28">
        <f t="shared" si="2"/>
        <v>135771.46153846153</v>
      </c>
      <c r="F130" s="28">
        <f t="shared" si="3"/>
        <v>158400.03846153844</v>
      </c>
      <c r="G130" s="28">
        <f t="shared" si="4"/>
        <v>181028.61538461538</v>
      </c>
      <c r="H130" s="28">
        <f t="shared" si="5"/>
        <v>203657.19230769231</v>
      </c>
      <c r="I130" s="28">
        <f t="shared" si="6"/>
        <v>226285.76923076922</v>
      </c>
      <c r="J130" s="28">
        <f t="shared" si="7"/>
        <v>248914.34615384613</v>
      </c>
      <c r="K130" s="28">
        <f t="shared" si="8"/>
        <v>271542.92307692306</v>
      </c>
      <c r="L130" s="28">
        <f t="shared" si="9"/>
        <v>294171.5</v>
      </c>
      <c r="M130" s="28">
        <f t="shared" si="10"/>
        <v>316800.07692307688</v>
      </c>
      <c r="N130" s="28">
        <f t="shared" si="11"/>
        <v>339428.65384615381</v>
      </c>
      <c r="O130" s="28">
        <f t="shared" si="12"/>
        <v>362057.23076923075</v>
      </c>
      <c r="P130" s="28">
        <f t="shared" si="13"/>
        <v>384685.80769230769</v>
      </c>
      <c r="Q130" s="28">
        <f t="shared" si="14"/>
        <v>407314.38461538462</v>
      </c>
      <c r="R130" s="28">
        <f t="shared" si="15"/>
        <v>429942.9615384615</v>
      </c>
      <c r="S130" s="28">
        <f t="shared" si="16"/>
        <v>452571.53846153844</v>
      </c>
      <c r="T130" s="28">
        <f t="shared" si="17"/>
        <v>475200.11538461538</v>
      </c>
      <c r="U130" s="28">
        <f t="shared" si="18"/>
        <v>497828.69230769225</v>
      </c>
      <c r="V130" s="28">
        <f t="shared" si="19"/>
        <v>520457.26923076919</v>
      </c>
      <c r="W130" s="28">
        <f t="shared" si="20"/>
        <v>543085.84615384613</v>
      </c>
    </row>
    <row r="131" spans="1:23" x14ac:dyDescent="0.2">
      <c r="A131" s="28">
        <v>130</v>
      </c>
      <c r="B131" s="28">
        <v>9269.5216284987273</v>
      </c>
      <c r="C131" s="28">
        <f t="shared" si="0"/>
        <v>92695.216284987269</v>
      </c>
      <c r="D131" s="28">
        <f t="shared" si="1"/>
        <v>115869.02035623409</v>
      </c>
      <c r="E131" s="28">
        <f t="shared" si="2"/>
        <v>139042.8244274809</v>
      </c>
      <c r="F131" s="28">
        <f t="shared" si="3"/>
        <v>162216.62849872772</v>
      </c>
      <c r="G131" s="28">
        <f t="shared" si="4"/>
        <v>185390.43256997454</v>
      </c>
      <c r="H131" s="28">
        <f t="shared" si="5"/>
        <v>208564.23664122136</v>
      </c>
      <c r="I131" s="28">
        <f t="shared" si="6"/>
        <v>231738.04071246818</v>
      </c>
      <c r="J131" s="28">
        <f t="shared" si="7"/>
        <v>254911.844783715</v>
      </c>
      <c r="K131" s="28">
        <f t="shared" si="8"/>
        <v>278085.64885496179</v>
      </c>
      <c r="L131" s="28">
        <f t="shared" si="9"/>
        <v>301259.45292620861</v>
      </c>
      <c r="M131" s="28">
        <f t="shared" si="10"/>
        <v>324433.25699745544</v>
      </c>
      <c r="N131" s="28">
        <f t="shared" si="11"/>
        <v>347607.06106870226</v>
      </c>
      <c r="O131" s="28">
        <f t="shared" si="12"/>
        <v>370780.86513994908</v>
      </c>
      <c r="P131" s="28">
        <f t="shared" si="13"/>
        <v>393954.6692111959</v>
      </c>
      <c r="Q131" s="28">
        <f t="shared" si="14"/>
        <v>417128.47328244272</v>
      </c>
      <c r="R131" s="28">
        <f t="shared" si="15"/>
        <v>440302.27735368954</v>
      </c>
      <c r="S131" s="28">
        <f t="shared" si="16"/>
        <v>463476.08142493636</v>
      </c>
      <c r="T131" s="28">
        <f t="shared" si="17"/>
        <v>486649.88549618318</v>
      </c>
      <c r="U131" s="28">
        <f t="shared" si="18"/>
        <v>509823.68956743</v>
      </c>
      <c r="V131" s="28">
        <f t="shared" si="19"/>
        <v>532997.49363867682</v>
      </c>
      <c r="W131" s="28">
        <f t="shared" si="20"/>
        <v>556171.29770992359</v>
      </c>
    </row>
    <row r="132" spans="1:23" x14ac:dyDescent="0.2">
      <c r="A132" s="28">
        <v>131</v>
      </c>
      <c r="B132" s="28">
        <v>9484.3080808080813</v>
      </c>
      <c r="C132" s="28">
        <f t="shared" si="0"/>
        <v>94843.08080808082</v>
      </c>
      <c r="D132" s="28">
        <f t="shared" si="1"/>
        <v>118553.85101010103</v>
      </c>
      <c r="E132" s="28">
        <f t="shared" si="2"/>
        <v>142264.62121212122</v>
      </c>
      <c r="F132" s="28">
        <f t="shared" si="3"/>
        <v>165975.39141414143</v>
      </c>
      <c r="G132" s="28">
        <f t="shared" si="4"/>
        <v>189686.16161616164</v>
      </c>
      <c r="H132" s="28">
        <f t="shared" si="5"/>
        <v>213396.93181818185</v>
      </c>
      <c r="I132" s="28">
        <f t="shared" si="6"/>
        <v>237107.70202020206</v>
      </c>
      <c r="J132" s="28">
        <f t="shared" si="7"/>
        <v>260818.47222222225</v>
      </c>
      <c r="K132" s="28">
        <f t="shared" si="8"/>
        <v>284529.24242424243</v>
      </c>
      <c r="L132" s="28">
        <f t="shared" si="9"/>
        <v>308240.01262626267</v>
      </c>
      <c r="M132" s="28">
        <f t="shared" si="10"/>
        <v>331950.78282828286</v>
      </c>
      <c r="N132" s="28">
        <f t="shared" si="11"/>
        <v>355661.5530303031</v>
      </c>
      <c r="O132" s="28">
        <f t="shared" si="12"/>
        <v>379372.32323232328</v>
      </c>
      <c r="P132" s="28">
        <f t="shared" si="13"/>
        <v>403083.09343434346</v>
      </c>
      <c r="Q132" s="28">
        <f t="shared" si="14"/>
        <v>426793.86363636371</v>
      </c>
      <c r="R132" s="28">
        <f t="shared" si="15"/>
        <v>450504.63383838389</v>
      </c>
      <c r="S132" s="28">
        <f t="shared" si="16"/>
        <v>474215.40404040413</v>
      </c>
      <c r="T132" s="28">
        <f t="shared" si="17"/>
        <v>497926.17424242431</v>
      </c>
      <c r="U132" s="28">
        <f t="shared" si="18"/>
        <v>521636.9444444445</v>
      </c>
      <c r="V132" s="28">
        <f t="shared" si="19"/>
        <v>545347.71464646468</v>
      </c>
      <c r="W132" s="28">
        <f t="shared" si="20"/>
        <v>569058.48484848486</v>
      </c>
    </row>
    <row r="133" spans="1:23" x14ac:dyDescent="0.2">
      <c r="A133" s="28">
        <v>132</v>
      </c>
      <c r="B133" s="28">
        <v>9711.9849624060153</v>
      </c>
      <c r="C133" s="28">
        <f t="shared" si="0"/>
        <v>97119.849624060153</v>
      </c>
      <c r="D133" s="28">
        <f t="shared" si="1"/>
        <v>121399.81203007519</v>
      </c>
      <c r="E133" s="28">
        <f t="shared" si="2"/>
        <v>145679.77443609023</v>
      </c>
      <c r="F133" s="28">
        <f t="shared" si="3"/>
        <v>169959.73684210528</v>
      </c>
      <c r="G133" s="28">
        <f t="shared" si="4"/>
        <v>194239.69924812031</v>
      </c>
      <c r="H133" s="28">
        <f t="shared" si="5"/>
        <v>218519.66165413533</v>
      </c>
      <c r="I133" s="28">
        <f t="shared" si="6"/>
        <v>242799.62406015038</v>
      </c>
      <c r="J133" s="28">
        <f t="shared" si="7"/>
        <v>267079.58646616543</v>
      </c>
      <c r="K133" s="28">
        <f t="shared" si="8"/>
        <v>291359.54887218046</v>
      </c>
      <c r="L133" s="28">
        <f t="shared" si="9"/>
        <v>315639.51127819548</v>
      </c>
      <c r="M133" s="28">
        <f t="shared" si="10"/>
        <v>339919.47368421056</v>
      </c>
      <c r="N133" s="28">
        <f t="shared" si="11"/>
        <v>364199.43609022559</v>
      </c>
      <c r="O133" s="28">
        <f t="shared" si="12"/>
        <v>388479.39849624061</v>
      </c>
      <c r="P133" s="28">
        <f t="shared" si="13"/>
        <v>412759.36090225563</v>
      </c>
      <c r="Q133" s="28">
        <f t="shared" si="14"/>
        <v>437039.32330827066</v>
      </c>
      <c r="R133" s="28">
        <f t="shared" si="15"/>
        <v>461319.28571428574</v>
      </c>
      <c r="S133" s="28">
        <f t="shared" si="16"/>
        <v>485599.24812030076</v>
      </c>
      <c r="T133" s="28">
        <f t="shared" si="17"/>
        <v>509879.21052631579</v>
      </c>
      <c r="U133" s="28">
        <f t="shared" si="18"/>
        <v>534159.17293233087</v>
      </c>
      <c r="V133" s="28">
        <f t="shared" si="19"/>
        <v>558439.13533834589</v>
      </c>
      <c r="W133" s="28">
        <f t="shared" si="20"/>
        <v>582719.09774436092</v>
      </c>
    </row>
    <row r="134" spans="1:23" x14ac:dyDescent="0.2">
      <c r="A134" s="28">
        <v>133</v>
      </c>
      <c r="B134" s="28">
        <v>9936.2636815920396</v>
      </c>
      <c r="C134" s="28">
        <f t="shared" si="0"/>
        <v>99362.636815920399</v>
      </c>
      <c r="D134" s="28">
        <f t="shared" si="1"/>
        <v>124203.2960199005</v>
      </c>
      <c r="E134" s="28">
        <f t="shared" si="2"/>
        <v>149043.95522388059</v>
      </c>
      <c r="F134" s="28">
        <f t="shared" si="3"/>
        <v>173884.61442786071</v>
      </c>
      <c r="G134" s="28">
        <f t="shared" si="4"/>
        <v>198725.2736318408</v>
      </c>
      <c r="H134" s="28">
        <f t="shared" si="5"/>
        <v>223565.93283582089</v>
      </c>
      <c r="I134" s="28">
        <f t="shared" si="6"/>
        <v>248406.59203980101</v>
      </c>
      <c r="J134" s="28">
        <f t="shared" si="7"/>
        <v>273247.25124378112</v>
      </c>
      <c r="K134" s="28">
        <f t="shared" si="8"/>
        <v>298087.91044776118</v>
      </c>
      <c r="L134" s="28">
        <f t="shared" si="9"/>
        <v>322928.5696517413</v>
      </c>
      <c r="M134" s="28">
        <f t="shared" si="10"/>
        <v>347769.22885572142</v>
      </c>
      <c r="N134" s="28">
        <f t="shared" si="11"/>
        <v>372609.88805970148</v>
      </c>
      <c r="O134" s="28">
        <f t="shared" si="12"/>
        <v>397450.5472636816</v>
      </c>
      <c r="P134" s="28">
        <f t="shared" si="13"/>
        <v>422291.20646766172</v>
      </c>
      <c r="Q134" s="28">
        <f t="shared" si="14"/>
        <v>447131.86567164178</v>
      </c>
      <c r="R134" s="28">
        <f t="shared" si="15"/>
        <v>471972.52487562189</v>
      </c>
      <c r="S134" s="28">
        <f t="shared" si="16"/>
        <v>496813.18407960201</v>
      </c>
      <c r="T134" s="28">
        <f t="shared" si="17"/>
        <v>521653.84328358207</v>
      </c>
      <c r="U134" s="28">
        <f t="shared" si="18"/>
        <v>546494.50248756225</v>
      </c>
      <c r="V134" s="28">
        <f t="shared" si="19"/>
        <v>571335.16169154225</v>
      </c>
      <c r="W134" s="28">
        <f t="shared" si="20"/>
        <v>596175.82089552237</v>
      </c>
    </row>
    <row r="135" spans="1:23" x14ac:dyDescent="0.2">
      <c r="A135" s="28">
        <v>134</v>
      </c>
      <c r="B135" s="28">
        <v>10169.723456790123</v>
      </c>
      <c r="C135" s="28">
        <f t="shared" si="0"/>
        <v>101697.23456790124</v>
      </c>
      <c r="D135" s="28">
        <f t="shared" si="1"/>
        <v>127121.54320987655</v>
      </c>
      <c r="E135" s="28">
        <f t="shared" si="2"/>
        <v>152545.85185185185</v>
      </c>
      <c r="F135" s="28">
        <f t="shared" si="3"/>
        <v>177970.16049382716</v>
      </c>
      <c r="G135" s="28">
        <f t="shared" si="4"/>
        <v>203394.46913580247</v>
      </c>
      <c r="H135" s="28">
        <f t="shared" si="5"/>
        <v>228818.77777777778</v>
      </c>
      <c r="I135" s="28">
        <f t="shared" si="6"/>
        <v>254243.08641975309</v>
      </c>
      <c r="J135" s="28">
        <f t="shared" si="7"/>
        <v>279667.39506172843</v>
      </c>
      <c r="K135" s="28">
        <f t="shared" si="8"/>
        <v>305091.70370370371</v>
      </c>
      <c r="L135" s="28">
        <f t="shared" si="9"/>
        <v>330516.01234567899</v>
      </c>
      <c r="M135" s="28">
        <f t="shared" si="10"/>
        <v>355940.32098765433</v>
      </c>
      <c r="N135" s="28">
        <f t="shared" si="11"/>
        <v>381364.62962962966</v>
      </c>
      <c r="O135" s="28">
        <f t="shared" si="12"/>
        <v>406788.93827160494</v>
      </c>
      <c r="P135" s="28">
        <f t="shared" si="13"/>
        <v>432213.24691358022</v>
      </c>
      <c r="Q135" s="28">
        <f t="shared" si="14"/>
        <v>457637.55555555556</v>
      </c>
      <c r="R135" s="28">
        <f t="shared" si="15"/>
        <v>483061.8641975309</v>
      </c>
      <c r="S135" s="28">
        <f t="shared" si="16"/>
        <v>508486.17283950618</v>
      </c>
      <c r="T135" s="28">
        <f t="shared" si="17"/>
        <v>533910.48148148146</v>
      </c>
      <c r="U135" s="28">
        <f t="shared" si="18"/>
        <v>559334.79012345686</v>
      </c>
      <c r="V135" s="28">
        <f t="shared" si="19"/>
        <v>584759.09876543214</v>
      </c>
      <c r="W135" s="28">
        <f t="shared" si="20"/>
        <v>610183.40740740742</v>
      </c>
    </row>
    <row r="136" spans="1:23" x14ac:dyDescent="0.2">
      <c r="A136" s="28">
        <v>135</v>
      </c>
      <c r="B136" s="28">
        <v>10403.210784313726</v>
      </c>
      <c r="C136" s="28">
        <f t="shared" si="0"/>
        <v>104032.10784313726</v>
      </c>
      <c r="D136" s="28">
        <f t="shared" si="1"/>
        <v>130040.13480392157</v>
      </c>
      <c r="E136" s="28">
        <f t="shared" si="2"/>
        <v>156048.1617647059</v>
      </c>
      <c r="F136" s="28">
        <f t="shared" si="3"/>
        <v>182056.18872549021</v>
      </c>
      <c r="G136" s="28">
        <f t="shared" si="4"/>
        <v>208064.21568627452</v>
      </c>
      <c r="H136" s="28">
        <f t="shared" si="5"/>
        <v>234072.24264705883</v>
      </c>
      <c r="I136" s="28">
        <f t="shared" si="6"/>
        <v>260080.26960784313</v>
      </c>
      <c r="J136" s="28">
        <f t="shared" si="7"/>
        <v>286088.29656862747</v>
      </c>
      <c r="K136" s="28">
        <f t="shared" si="8"/>
        <v>312096.32352941181</v>
      </c>
      <c r="L136" s="28">
        <f t="shared" si="9"/>
        <v>338104.35049019608</v>
      </c>
      <c r="M136" s="28">
        <f t="shared" si="10"/>
        <v>364112.37745098042</v>
      </c>
      <c r="N136" s="28">
        <f t="shared" si="11"/>
        <v>390120.4044117647</v>
      </c>
      <c r="O136" s="28">
        <f t="shared" si="12"/>
        <v>416128.43137254904</v>
      </c>
      <c r="P136" s="28">
        <f t="shared" si="13"/>
        <v>442136.45833333337</v>
      </c>
      <c r="Q136" s="28">
        <f t="shared" si="14"/>
        <v>468144.48529411765</v>
      </c>
      <c r="R136" s="28">
        <f t="shared" si="15"/>
        <v>494152.51225490199</v>
      </c>
      <c r="S136" s="28">
        <f t="shared" si="16"/>
        <v>520160.53921568627</v>
      </c>
      <c r="T136" s="28">
        <f t="shared" si="17"/>
        <v>546168.5661764706</v>
      </c>
      <c r="U136" s="28">
        <f t="shared" si="18"/>
        <v>572176.59313725494</v>
      </c>
      <c r="V136" s="28">
        <f t="shared" si="19"/>
        <v>598184.62009803928</v>
      </c>
      <c r="W136" s="28">
        <f t="shared" si="20"/>
        <v>624192.64705882361</v>
      </c>
    </row>
    <row r="137" spans="1:23" x14ac:dyDescent="0.2">
      <c r="A137" s="28">
        <v>136</v>
      </c>
      <c r="B137" s="28">
        <v>10646.452554744526</v>
      </c>
      <c r="C137" s="28">
        <f t="shared" si="0"/>
        <v>106464.52554744526</v>
      </c>
      <c r="D137" s="28">
        <f t="shared" si="1"/>
        <v>133080.65693430658</v>
      </c>
      <c r="E137" s="28">
        <f t="shared" si="2"/>
        <v>159696.78832116787</v>
      </c>
      <c r="F137" s="28">
        <f t="shared" si="3"/>
        <v>186312.91970802919</v>
      </c>
      <c r="G137" s="28">
        <f t="shared" si="4"/>
        <v>212929.05109489051</v>
      </c>
      <c r="H137" s="28">
        <f t="shared" si="5"/>
        <v>239545.18248175184</v>
      </c>
      <c r="I137" s="28">
        <f t="shared" si="6"/>
        <v>266161.31386861316</v>
      </c>
      <c r="J137" s="28">
        <f t="shared" si="7"/>
        <v>292777.44525547448</v>
      </c>
      <c r="K137" s="28">
        <f t="shared" si="8"/>
        <v>319393.57664233574</v>
      </c>
      <c r="L137" s="28">
        <f t="shared" si="9"/>
        <v>346009.70802919706</v>
      </c>
      <c r="M137" s="28">
        <f t="shared" si="10"/>
        <v>372625.83941605838</v>
      </c>
      <c r="N137" s="28">
        <f t="shared" si="11"/>
        <v>399241.97080291971</v>
      </c>
      <c r="O137" s="28">
        <f t="shared" si="12"/>
        <v>425858.10218978103</v>
      </c>
      <c r="P137" s="28">
        <f t="shared" si="13"/>
        <v>452474.23357664235</v>
      </c>
      <c r="Q137" s="28">
        <f t="shared" si="14"/>
        <v>479090.36496350367</v>
      </c>
      <c r="R137" s="28">
        <f t="shared" si="15"/>
        <v>505706.49635036499</v>
      </c>
      <c r="S137" s="28">
        <f t="shared" si="16"/>
        <v>532322.62773722631</v>
      </c>
      <c r="T137" s="28">
        <f t="shared" si="17"/>
        <v>558938.75912408764</v>
      </c>
      <c r="U137" s="28">
        <f t="shared" si="18"/>
        <v>585554.89051094896</v>
      </c>
      <c r="V137" s="28">
        <f t="shared" si="19"/>
        <v>612171.02189781028</v>
      </c>
      <c r="W137" s="28">
        <f t="shared" si="20"/>
        <v>638787.15328467148</v>
      </c>
    </row>
    <row r="138" spans="1:23" x14ac:dyDescent="0.2">
      <c r="A138" s="28">
        <v>137</v>
      </c>
      <c r="B138" s="28">
        <v>10886.169082125603</v>
      </c>
      <c r="C138" s="28">
        <f t="shared" si="0"/>
        <v>108861.69082125604</v>
      </c>
      <c r="D138" s="28">
        <f t="shared" si="1"/>
        <v>136077.11352657006</v>
      </c>
      <c r="E138" s="28">
        <f t="shared" si="2"/>
        <v>163292.53623188406</v>
      </c>
      <c r="F138" s="28">
        <f t="shared" si="3"/>
        <v>190507.95893719807</v>
      </c>
      <c r="G138" s="28">
        <f t="shared" si="4"/>
        <v>217723.38164251207</v>
      </c>
      <c r="H138" s="28">
        <f t="shared" si="5"/>
        <v>244938.80434782608</v>
      </c>
      <c r="I138" s="28">
        <f t="shared" si="6"/>
        <v>272154.22705314012</v>
      </c>
      <c r="J138" s="28">
        <f t="shared" si="7"/>
        <v>299369.64975845412</v>
      </c>
      <c r="K138" s="28">
        <f t="shared" si="8"/>
        <v>326585.07246376813</v>
      </c>
      <c r="L138" s="28">
        <f t="shared" si="9"/>
        <v>353800.49516908213</v>
      </c>
      <c r="M138" s="28">
        <f t="shared" si="10"/>
        <v>381015.91787439614</v>
      </c>
      <c r="N138" s="28">
        <f t="shared" si="11"/>
        <v>408231.34057971014</v>
      </c>
      <c r="O138" s="28">
        <f t="shared" si="12"/>
        <v>435446.76328502415</v>
      </c>
      <c r="P138" s="28">
        <f t="shared" si="13"/>
        <v>462662.18599033816</v>
      </c>
      <c r="Q138" s="28">
        <f t="shared" si="14"/>
        <v>489877.60869565216</v>
      </c>
      <c r="R138" s="28">
        <f t="shared" si="15"/>
        <v>517093.03140096617</v>
      </c>
      <c r="S138" s="28">
        <f t="shared" si="16"/>
        <v>544308.45410628023</v>
      </c>
      <c r="T138" s="28">
        <f t="shared" si="17"/>
        <v>571523.87681159424</v>
      </c>
      <c r="U138" s="28">
        <f t="shared" si="18"/>
        <v>598739.29951690824</v>
      </c>
      <c r="V138" s="28">
        <f t="shared" si="19"/>
        <v>625954.72222222225</v>
      </c>
      <c r="W138" s="28">
        <f t="shared" si="20"/>
        <v>653170.14492753625</v>
      </c>
    </row>
    <row r="139" spans="1:23" x14ac:dyDescent="0.2">
      <c r="A139" s="28">
        <v>138</v>
      </c>
      <c r="B139" s="28">
        <v>11139.338129496404</v>
      </c>
      <c r="C139" s="28">
        <f t="shared" si="0"/>
        <v>111393.38129496404</v>
      </c>
      <c r="D139" s="28">
        <f t="shared" si="1"/>
        <v>139241.72661870506</v>
      </c>
      <c r="E139" s="28">
        <f t="shared" si="2"/>
        <v>167090.07194244605</v>
      </c>
      <c r="F139" s="28">
        <f t="shared" si="3"/>
        <v>194938.41726618708</v>
      </c>
      <c r="G139" s="28">
        <f t="shared" si="4"/>
        <v>222786.76258992808</v>
      </c>
      <c r="H139" s="28">
        <f t="shared" si="5"/>
        <v>250635.10791366908</v>
      </c>
      <c r="I139" s="28">
        <f t="shared" si="6"/>
        <v>278483.45323741011</v>
      </c>
      <c r="J139" s="28">
        <f t="shared" si="7"/>
        <v>306331.79856115114</v>
      </c>
      <c r="K139" s="28">
        <f t="shared" si="8"/>
        <v>334180.14388489211</v>
      </c>
      <c r="L139" s="28">
        <f t="shared" si="9"/>
        <v>362028.48920863314</v>
      </c>
      <c r="M139" s="28">
        <f t="shared" si="10"/>
        <v>389876.83453237417</v>
      </c>
      <c r="N139" s="28">
        <f t="shared" si="11"/>
        <v>417725.17985611514</v>
      </c>
      <c r="O139" s="28">
        <f t="shared" si="12"/>
        <v>445573.52517985617</v>
      </c>
      <c r="P139" s="28">
        <f t="shared" si="13"/>
        <v>473421.87050359719</v>
      </c>
      <c r="Q139" s="28">
        <f t="shared" si="14"/>
        <v>501270.21582733816</v>
      </c>
      <c r="R139" s="28">
        <f t="shared" si="15"/>
        <v>529118.56115107925</v>
      </c>
      <c r="S139" s="28">
        <f t="shared" si="16"/>
        <v>556966.90647482022</v>
      </c>
      <c r="T139" s="28">
        <f t="shared" si="17"/>
        <v>584815.25179856119</v>
      </c>
      <c r="U139" s="28">
        <f t="shared" si="18"/>
        <v>612663.59712230228</v>
      </c>
      <c r="V139" s="28">
        <f t="shared" si="19"/>
        <v>640511.94244604325</v>
      </c>
      <c r="W139" s="28">
        <f t="shared" si="20"/>
        <v>668360.28776978422</v>
      </c>
    </row>
    <row r="140" spans="1:23" x14ac:dyDescent="0.2">
      <c r="A140" s="28">
        <v>139</v>
      </c>
      <c r="B140" s="28">
        <v>11388.890476190476</v>
      </c>
      <c r="C140" s="28">
        <f t="shared" si="0"/>
        <v>113888.90476190476</v>
      </c>
      <c r="D140" s="28">
        <f t="shared" si="1"/>
        <v>142361.13095238095</v>
      </c>
      <c r="E140" s="28">
        <f t="shared" si="2"/>
        <v>170833.35714285716</v>
      </c>
      <c r="F140" s="28">
        <f t="shared" si="3"/>
        <v>199305.58333333334</v>
      </c>
      <c r="G140" s="28">
        <f t="shared" si="4"/>
        <v>227777.80952380953</v>
      </c>
      <c r="H140" s="28">
        <f t="shared" si="5"/>
        <v>256250.03571428571</v>
      </c>
      <c r="I140" s="28">
        <f t="shared" si="6"/>
        <v>284722.26190476189</v>
      </c>
      <c r="J140" s="28">
        <f t="shared" si="7"/>
        <v>313194.48809523811</v>
      </c>
      <c r="K140" s="28">
        <f t="shared" si="8"/>
        <v>341666.71428571432</v>
      </c>
      <c r="L140" s="28">
        <f t="shared" si="9"/>
        <v>370138.94047619047</v>
      </c>
      <c r="M140" s="28">
        <f t="shared" si="10"/>
        <v>398611.16666666669</v>
      </c>
      <c r="N140" s="28">
        <f t="shared" si="11"/>
        <v>427083.39285714284</v>
      </c>
      <c r="O140" s="28">
        <f t="shared" si="12"/>
        <v>455555.61904761905</v>
      </c>
      <c r="P140" s="28">
        <f t="shared" si="13"/>
        <v>484027.84523809527</v>
      </c>
      <c r="Q140" s="28">
        <f t="shared" si="14"/>
        <v>512500.07142857142</v>
      </c>
      <c r="R140" s="28">
        <f t="shared" si="15"/>
        <v>540972.29761904757</v>
      </c>
      <c r="S140" s="28">
        <f t="shared" si="16"/>
        <v>569444.52380952379</v>
      </c>
      <c r="T140" s="28">
        <f t="shared" si="17"/>
        <v>597916.75</v>
      </c>
      <c r="U140" s="28">
        <f t="shared" si="18"/>
        <v>626388.97619047621</v>
      </c>
      <c r="V140" s="28">
        <f t="shared" si="19"/>
        <v>654861.20238095243</v>
      </c>
      <c r="W140" s="28">
        <f t="shared" si="20"/>
        <v>683333.42857142864</v>
      </c>
    </row>
    <row r="141" spans="1:23" x14ac:dyDescent="0.2">
      <c r="A141" s="28">
        <v>140</v>
      </c>
      <c r="B141" s="28">
        <v>11648.78014184397</v>
      </c>
      <c r="C141" s="28">
        <f t="shared" si="0"/>
        <v>116487.8014184397</v>
      </c>
      <c r="D141" s="28">
        <f t="shared" si="1"/>
        <v>145609.75177304962</v>
      </c>
      <c r="E141" s="28">
        <f t="shared" si="2"/>
        <v>174731.70212765955</v>
      </c>
      <c r="F141" s="28">
        <f t="shared" si="3"/>
        <v>203853.65248226948</v>
      </c>
      <c r="G141" s="28">
        <f t="shared" si="4"/>
        <v>232975.60283687941</v>
      </c>
      <c r="H141" s="28">
        <f t="shared" si="5"/>
        <v>262097.55319148934</v>
      </c>
      <c r="I141" s="28">
        <f t="shared" si="6"/>
        <v>291219.50354609924</v>
      </c>
      <c r="J141" s="28">
        <f t="shared" si="7"/>
        <v>320341.45390070917</v>
      </c>
      <c r="K141" s="28">
        <f t="shared" si="8"/>
        <v>349463.4042553191</v>
      </c>
      <c r="L141" s="28">
        <f t="shared" si="9"/>
        <v>378585.35460992903</v>
      </c>
      <c r="M141" s="28">
        <f t="shared" si="10"/>
        <v>407707.30496453895</v>
      </c>
      <c r="N141" s="28">
        <f t="shared" si="11"/>
        <v>436829.25531914888</v>
      </c>
      <c r="O141" s="28">
        <f t="shared" si="12"/>
        <v>465951.20567375881</v>
      </c>
      <c r="P141" s="28">
        <f t="shared" si="13"/>
        <v>495073.15602836874</v>
      </c>
      <c r="Q141" s="28">
        <f t="shared" si="14"/>
        <v>524195.10638297867</v>
      </c>
      <c r="R141" s="28">
        <f t="shared" si="15"/>
        <v>553317.0567375886</v>
      </c>
      <c r="S141" s="28">
        <f t="shared" si="16"/>
        <v>582439.00709219847</v>
      </c>
      <c r="T141" s="28">
        <f t="shared" si="17"/>
        <v>611560.95744680846</v>
      </c>
      <c r="U141" s="28">
        <f t="shared" si="18"/>
        <v>640682.90780141833</v>
      </c>
      <c r="V141" s="28">
        <f t="shared" si="19"/>
        <v>669804.85815602832</v>
      </c>
      <c r="W141" s="28">
        <f t="shared" si="20"/>
        <v>698926.80851063819</v>
      </c>
    </row>
    <row r="142" spans="1:23" x14ac:dyDescent="0.2">
      <c r="A142" s="28">
        <v>141</v>
      </c>
      <c r="B142" s="28">
        <v>11908.591549295774</v>
      </c>
      <c r="C142" s="28">
        <f t="shared" si="0"/>
        <v>119085.91549295773</v>
      </c>
      <c r="D142" s="28">
        <f t="shared" si="1"/>
        <v>148857.39436619717</v>
      </c>
      <c r="E142" s="28">
        <f t="shared" si="2"/>
        <v>178628.87323943659</v>
      </c>
      <c r="F142" s="28">
        <f t="shared" si="3"/>
        <v>208400.35211267605</v>
      </c>
      <c r="G142" s="28">
        <f t="shared" si="4"/>
        <v>238171.83098591547</v>
      </c>
      <c r="H142" s="28">
        <f t="shared" si="5"/>
        <v>267943.30985915492</v>
      </c>
      <c r="I142" s="28">
        <f t="shared" si="6"/>
        <v>297714.78873239434</v>
      </c>
      <c r="J142" s="28">
        <f t="shared" si="7"/>
        <v>327486.26760563377</v>
      </c>
      <c r="K142" s="28">
        <f t="shared" si="8"/>
        <v>357257.74647887319</v>
      </c>
      <c r="L142" s="28">
        <f t="shared" si="9"/>
        <v>387029.22535211261</v>
      </c>
      <c r="M142" s="28">
        <f t="shared" si="10"/>
        <v>416800.70422535209</v>
      </c>
      <c r="N142" s="28">
        <f t="shared" si="11"/>
        <v>446572.18309859151</v>
      </c>
      <c r="O142" s="28">
        <f t="shared" si="12"/>
        <v>476343.66197183094</v>
      </c>
      <c r="P142" s="28">
        <f t="shared" si="13"/>
        <v>506115.14084507036</v>
      </c>
      <c r="Q142" s="28">
        <f t="shared" si="14"/>
        <v>535886.61971830984</v>
      </c>
      <c r="R142" s="28">
        <f t="shared" si="15"/>
        <v>565658.09859154921</v>
      </c>
      <c r="S142" s="28">
        <f t="shared" si="16"/>
        <v>595429.57746478869</v>
      </c>
      <c r="T142" s="28">
        <f t="shared" si="17"/>
        <v>625201.05633802805</v>
      </c>
      <c r="U142" s="28">
        <f t="shared" si="18"/>
        <v>654972.53521126753</v>
      </c>
      <c r="V142" s="28">
        <f t="shared" si="19"/>
        <v>684744.01408450701</v>
      </c>
      <c r="W142" s="28">
        <f t="shared" si="20"/>
        <v>714515.49295774638</v>
      </c>
    </row>
    <row r="143" spans="1:23" x14ac:dyDescent="0.2">
      <c r="A143" s="28">
        <v>142</v>
      </c>
      <c r="B143" s="28">
        <v>12178.452214452214</v>
      </c>
      <c r="C143" s="28">
        <f t="shared" si="0"/>
        <v>121784.52214452214</v>
      </c>
      <c r="D143" s="28">
        <f t="shared" si="1"/>
        <v>152230.65268065268</v>
      </c>
      <c r="E143" s="28">
        <f t="shared" si="2"/>
        <v>182676.78321678319</v>
      </c>
      <c r="F143" s="28">
        <f t="shared" si="3"/>
        <v>213122.91375291374</v>
      </c>
      <c r="G143" s="28">
        <f t="shared" si="4"/>
        <v>243569.04428904428</v>
      </c>
      <c r="H143" s="28">
        <f t="shared" si="5"/>
        <v>274015.17482517479</v>
      </c>
      <c r="I143" s="28">
        <f t="shared" si="6"/>
        <v>304461.30536130536</v>
      </c>
      <c r="J143" s="28">
        <f t="shared" si="7"/>
        <v>334907.43589743588</v>
      </c>
      <c r="K143" s="28">
        <f t="shared" si="8"/>
        <v>365353.56643356639</v>
      </c>
      <c r="L143" s="28">
        <f t="shared" si="9"/>
        <v>395799.69696969696</v>
      </c>
      <c r="M143" s="28">
        <f t="shared" si="10"/>
        <v>426245.82750582747</v>
      </c>
      <c r="N143" s="28">
        <f t="shared" si="11"/>
        <v>456691.95804195805</v>
      </c>
      <c r="O143" s="28">
        <f t="shared" si="12"/>
        <v>487138.08857808856</v>
      </c>
      <c r="P143" s="28">
        <f t="shared" si="13"/>
        <v>517584.21911421907</v>
      </c>
      <c r="Q143" s="28">
        <f t="shared" si="14"/>
        <v>548030.34965034958</v>
      </c>
      <c r="R143" s="28">
        <f t="shared" si="15"/>
        <v>578476.48018648021</v>
      </c>
      <c r="S143" s="28">
        <f t="shared" si="16"/>
        <v>608922.61072261073</v>
      </c>
      <c r="T143" s="28">
        <f t="shared" si="17"/>
        <v>639368.74125874124</v>
      </c>
      <c r="U143" s="28">
        <f t="shared" si="18"/>
        <v>669814.87179487175</v>
      </c>
      <c r="V143" s="28">
        <f t="shared" si="19"/>
        <v>700261.00233100227</v>
      </c>
      <c r="W143" s="28">
        <f t="shared" si="20"/>
        <v>730707.13286713278</v>
      </c>
    </row>
    <row r="144" spans="1:23" x14ac:dyDescent="0.2">
      <c r="A144" s="28">
        <v>143</v>
      </c>
      <c r="B144" s="28">
        <v>12444.564814814816</v>
      </c>
      <c r="C144" s="28">
        <f t="shared" si="0"/>
        <v>124445.64814814816</v>
      </c>
      <c r="D144" s="28">
        <f t="shared" si="1"/>
        <v>155557.0601851852</v>
      </c>
      <c r="E144" s="28">
        <f t="shared" si="2"/>
        <v>186668.47222222225</v>
      </c>
      <c r="F144" s="28">
        <f t="shared" si="3"/>
        <v>217779.88425925927</v>
      </c>
      <c r="G144" s="28">
        <f t="shared" si="4"/>
        <v>248891.29629629632</v>
      </c>
      <c r="H144" s="28">
        <f t="shared" si="5"/>
        <v>280002.70833333337</v>
      </c>
      <c r="I144" s="28">
        <f t="shared" si="6"/>
        <v>311114.12037037039</v>
      </c>
      <c r="J144" s="28">
        <f t="shared" si="7"/>
        <v>342225.53240740742</v>
      </c>
      <c r="K144" s="28">
        <f t="shared" si="8"/>
        <v>373336.9444444445</v>
      </c>
      <c r="L144" s="28">
        <f t="shared" si="9"/>
        <v>404448.35648148152</v>
      </c>
      <c r="M144" s="28">
        <f t="shared" si="10"/>
        <v>435559.76851851854</v>
      </c>
      <c r="N144" s="28">
        <f t="shared" si="11"/>
        <v>466671.18055555562</v>
      </c>
      <c r="O144" s="28">
        <f t="shared" si="12"/>
        <v>497782.59259259264</v>
      </c>
      <c r="P144" s="28">
        <f t="shared" si="13"/>
        <v>528894.00462962966</v>
      </c>
      <c r="Q144" s="28">
        <f t="shared" si="14"/>
        <v>560005.41666666674</v>
      </c>
      <c r="R144" s="28">
        <f t="shared" si="15"/>
        <v>591116.82870370371</v>
      </c>
      <c r="S144" s="28">
        <f t="shared" si="16"/>
        <v>622228.24074074079</v>
      </c>
      <c r="T144" s="28">
        <f t="shared" si="17"/>
        <v>653339.65277777787</v>
      </c>
      <c r="U144" s="28">
        <f t="shared" si="18"/>
        <v>684451.06481481483</v>
      </c>
      <c r="V144" s="28">
        <f t="shared" si="19"/>
        <v>715562.47685185191</v>
      </c>
      <c r="W144" s="28">
        <f t="shared" si="20"/>
        <v>746673.88888888899</v>
      </c>
    </row>
    <row r="145" spans="1:23" x14ac:dyDescent="0.2">
      <c r="A145" s="28">
        <v>144</v>
      </c>
      <c r="B145" s="28">
        <v>12725.664367816093</v>
      </c>
      <c r="C145" s="28">
        <f t="shared" si="0"/>
        <v>127256.64367816092</v>
      </c>
      <c r="D145" s="28">
        <f t="shared" si="1"/>
        <v>159070.80459770115</v>
      </c>
      <c r="E145" s="28">
        <f t="shared" si="2"/>
        <v>190884.96551724139</v>
      </c>
      <c r="F145" s="28">
        <f t="shared" si="3"/>
        <v>222699.1264367816</v>
      </c>
      <c r="G145" s="28">
        <f t="shared" si="4"/>
        <v>254513.28735632185</v>
      </c>
      <c r="H145" s="28">
        <f t="shared" si="5"/>
        <v>286327.44827586209</v>
      </c>
      <c r="I145" s="28">
        <f t="shared" si="6"/>
        <v>318141.6091954023</v>
      </c>
      <c r="J145" s="28">
        <f t="shared" si="7"/>
        <v>349955.77011494251</v>
      </c>
      <c r="K145" s="28">
        <f t="shared" si="8"/>
        <v>381769.93103448278</v>
      </c>
      <c r="L145" s="28">
        <f t="shared" si="9"/>
        <v>413584.091954023</v>
      </c>
      <c r="M145" s="28">
        <f t="shared" si="10"/>
        <v>445398.25287356321</v>
      </c>
      <c r="N145" s="28">
        <f t="shared" si="11"/>
        <v>477212.41379310348</v>
      </c>
      <c r="O145" s="28">
        <f t="shared" si="12"/>
        <v>509026.57471264369</v>
      </c>
      <c r="P145" s="28">
        <f t="shared" si="13"/>
        <v>540840.73563218396</v>
      </c>
      <c r="Q145" s="28">
        <f t="shared" si="14"/>
        <v>572654.89655172417</v>
      </c>
      <c r="R145" s="28">
        <f t="shared" si="15"/>
        <v>604469.05747126439</v>
      </c>
      <c r="S145" s="28">
        <f t="shared" si="16"/>
        <v>636283.2183908046</v>
      </c>
      <c r="T145" s="28">
        <f t="shared" si="17"/>
        <v>668097.37931034481</v>
      </c>
      <c r="U145" s="28">
        <f t="shared" si="18"/>
        <v>699911.54022988502</v>
      </c>
      <c r="V145" s="28">
        <f t="shared" si="19"/>
        <v>731725.70114942535</v>
      </c>
      <c r="W145" s="28">
        <f t="shared" si="20"/>
        <v>763539.86206896557</v>
      </c>
    </row>
    <row r="146" spans="1:23" x14ac:dyDescent="0.2">
      <c r="A146" s="28">
        <v>145</v>
      </c>
      <c r="B146" s="28">
        <v>13002.913242009134</v>
      </c>
      <c r="C146" s="28">
        <f t="shared" si="0"/>
        <v>130029.13242009134</v>
      </c>
      <c r="D146" s="28">
        <f t="shared" si="1"/>
        <v>162536.41552511416</v>
      </c>
      <c r="E146" s="28">
        <f t="shared" si="2"/>
        <v>195043.69863013702</v>
      </c>
      <c r="F146" s="28">
        <f t="shared" si="3"/>
        <v>227550.98173515985</v>
      </c>
      <c r="G146" s="28">
        <f t="shared" si="4"/>
        <v>260058.26484018267</v>
      </c>
      <c r="H146" s="28">
        <f t="shared" si="5"/>
        <v>292565.54794520553</v>
      </c>
      <c r="I146" s="28">
        <f t="shared" si="6"/>
        <v>325072.83105022833</v>
      </c>
      <c r="J146" s="28">
        <f t="shared" si="7"/>
        <v>357580.11415525118</v>
      </c>
      <c r="K146" s="28">
        <f t="shared" si="8"/>
        <v>390087.39726027404</v>
      </c>
      <c r="L146" s="28">
        <f t="shared" si="9"/>
        <v>422594.68036529684</v>
      </c>
      <c r="M146" s="28">
        <f t="shared" si="10"/>
        <v>455101.96347031969</v>
      </c>
      <c r="N146" s="28">
        <f t="shared" si="11"/>
        <v>487609.24657534249</v>
      </c>
      <c r="O146" s="28">
        <f t="shared" si="12"/>
        <v>520116.52968036535</v>
      </c>
      <c r="P146" s="28">
        <f t="shared" si="13"/>
        <v>552623.8127853882</v>
      </c>
      <c r="Q146" s="28">
        <f t="shared" si="14"/>
        <v>585131.09589041106</v>
      </c>
      <c r="R146" s="28">
        <f t="shared" si="15"/>
        <v>617638.3789954338</v>
      </c>
      <c r="S146" s="28">
        <f t="shared" si="16"/>
        <v>650145.66210045666</v>
      </c>
      <c r="T146" s="28">
        <f t="shared" si="17"/>
        <v>682652.94520547951</v>
      </c>
      <c r="U146" s="28">
        <f t="shared" si="18"/>
        <v>715160.22831050237</v>
      </c>
      <c r="V146" s="28">
        <f t="shared" si="19"/>
        <v>747667.51141552522</v>
      </c>
      <c r="W146" s="28">
        <f t="shared" si="20"/>
        <v>780174.79452054808</v>
      </c>
    </row>
    <row r="147" spans="1:23" x14ac:dyDescent="0.2">
      <c r="A147" s="28">
        <v>146</v>
      </c>
      <c r="B147" s="28">
        <v>13290.911564625851</v>
      </c>
      <c r="C147" s="28">
        <f t="shared" si="0"/>
        <v>132909.11564625852</v>
      </c>
      <c r="D147" s="28">
        <f t="shared" si="1"/>
        <v>166136.39455782314</v>
      </c>
      <c r="E147" s="28">
        <f t="shared" si="2"/>
        <v>199363.67346938778</v>
      </c>
      <c r="F147" s="28">
        <f t="shared" si="3"/>
        <v>232590.95238095243</v>
      </c>
      <c r="G147" s="28">
        <f t="shared" si="4"/>
        <v>265818.23129251704</v>
      </c>
      <c r="H147" s="28">
        <f t="shared" si="5"/>
        <v>299045.51020408166</v>
      </c>
      <c r="I147" s="28">
        <f t="shared" si="6"/>
        <v>332272.78911564627</v>
      </c>
      <c r="J147" s="28">
        <f t="shared" si="7"/>
        <v>365500.06802721095</v>
      </c>
      <c r="K147" s="28">
        <f t="shared" si="8"/>
        <v>398727.34693877556</v>
      </c>
      <c r="L147" s="28">
        <f t="shared" si="9"/>
        <v>431954.62585034018</v>
      </c>
      <c r="M147" s="28">
        <f t="shared" si="10"/>
        <v>465181.90476190485</v>
      </c>
      <c r="N147" s="28">
        <f t="shared" si="11"/>
        <v>498409.18367346947</v>
      </c>
      <c r="O147" s="28">
        <f t="shared" si="12"/>
        <v>531636.46258503408</v>
      </c>
      <c r="P147" s="28">
        <f t="shared" si="13"/>
        <v>564863.7414965987</v>
      </c>
      <c r="Q147" s="28">
        <f t="shared" si="14"/>
        <v>598091.02040816331</v>
      </c>
      <c r="R147" s="28">
        <f t="shared" si="15"/>
        <v>631318.29931972793</v>
      </c>
      <c r="S147" s="28">
        <f t="shared" si="16"/>
        <v>664545.57823129254</v>
      </c>
      <c r="T147" s="28">
        <f t="shared" si="17"/>
        <v>697772.85714285728</v>
      </c>
      <c r="U147" s="28">
        <f t="shared" si="18"/>
        <v>731000.13605442189</v>
      </c>
      <c r="V147" s="28">
        <f t="shared" si="19"/>
        <v>764227.41496598651</v>
      </c>
      <c r="W147" s="28">
        <f t="shared" si="20"/>
        <v>797454.69387755112</v>
      </c>
    </row>
    <row r="148" spans="1:23" x14ac:dyDescent="0.2">
      <c r="A148" s="28">
        <v>147</v>
      </c>
      <c r="B148" s="28">
        <v>13578.869369369369</v>
      </c>
      <c r="C148" s="28">
        <f t="shared" si="0"/>
        <v>135788.6936936937</v>
      </c>
      <c r="D148" s="28">
        <f t="shared" si="1"/>
        <v>169735.86711711713</v>
      </c>
      <c r="E148" s="28">
        <f t="shared" si="2"/>
        <v>203683.04054054053</v>
      </c>
      <c r="F148" s="28">
        <f t="shared" si="3"/>
        <v>237630.21396396396</v>
      </c>
      <c r="G148" s="28">
        <f t="shared" si="4"/>
        <v>271577.3873873874</v>
      </c>
      <c r="H148" s="28">
        <f t="shared" si="5"/>
        <v>305524.56081081083</v>
      </c>
      <c r="I148" s="28">
        <f t="shared" si="6"/>
        <v>339471.73423423426</v>
      </c>
      <c r="J148" s="28">
        <f t="shared" si="7"/>
        <v>373418.90765765769</v>
      </c>
      <c r="K148" s="28">
        <f t="shared" si="8"/>
        <v>407366.08108108107</v>
      </c>
      <c r="L148" s="28">
        <f t="shared" si="9"/>
        <v>441313.2545045045</v>
      </c>
      <c r="M148" s="28">
        <f t="shared" si="10"/>
        <v>475260.42792792793</v>
      </c>
      <c r="N148" s="28">
        <f t="shared" si="11"/>
        <v>509207.60135135136</v>
      </c>
      <c r="O148" s="28">
        <f t="shared" si="12"/>
        <v>543154.77477477479</v>
      </c>
      <c r="P148" s="28">
        <f t="shared" si="13"/>
        <v>577101.94819819822</v>
      </c>
      <c r="Q148" s="28">
        <f t="shared" si="14"/>
        <v>611049.12162162166</v>
      </c>
      <c r="R148" s="28">
        <f t="shared" si="15"/>
        <v>644996.29504504509</v>
      </c>
      <c r="S148" s="28">
        <f t="shared" si="16"/>
        <v>678943.46846846852</v>
      </c>
      <c r="T148" s="28">
        <f t="shared" si="17"/>
        <v>712890.64189189195</v>
      </c>
      <c r="U148" s="28">
        <f t="shared" si="18"/>
        <v>746837.81531531538</v>
      </c>
      <c r="V148" s="28">
        <f t="shared" si="19"/>
        <v>780784.98873873882</v>
      </c>
      <c r="W148" s="28">
        <f t="shared" si="20"/>
        <v>814732.16216216213</v>
      </c>
    </row>
    <row r="149" spans="1:23" x14ac:dyDescent="0.2">
      <c r="A149" s="28">
        <v>148</v>
      </c>
      <c r="B149" s="28">
        <v>13878.183445190158</v>
      </c>
      <c r="C149" s="28">
        <f t="shared" si="0"/>
        <v>138781.83445190158</v>
      </c>
      <c r="D149" s="28">
        <f t="shared" si="1"/>
        <v>173477.29306487698</v>
      </c>
      <c r="E149" s="28">
        <f t="shared" si="2"/>
        <v>208172.75167785236</v>
      </c>
      <c r="F149" s="28">
        <f t="shared" si="3"/>
        <v>242868.21029082776</v>
      </c>
      <c r="G149" s="28">
        <f t="shared" si="4"/>
        <v>277563.66890380316</v>
      </c>
      <c r="H149" s="28">
        <f t="shared" si="5"/>
        <v>312259.12751677854</v>
      </c>
      <c r="I149" s="28">
        <f t="shared" si="6"/>
        <v>346954.58612975397</v>
      </c>
      <c r="J149" s="28">
        <f t="shared" si="7"/>
        <v>381650.04474272934</v>
      </c>
      <c r="K149" s="28">
        <f t="shared" si="8"/>
        <v>416345.50335570471</v>
      </c>
      <c r="L149" s="28">
        <f t="shared" si="9"/>
        <v>451040.96196868015</v>
      </c>
      <c r="M149" s="28">
        <f t="shared" si="10"/>
        <v>485736.42058165552</v>
      </c>
      <c r="N149" s="28">
        <f t="shared" si="11"/>
        <v>520431.87919463095</v>
      </c>
      <c r="O149" s="28">
        <f t="shared" si="12"/>
        <v>555127.33780760632</v>
      </c>
      <c r="P149" s="28">
        <f t="shared" si="13"/>
        <v>589822.79642058176</v>
      </c>
      <c r="Q149" s="28">
        <f t="shared" si="14"/>
        <v>624518.25503355707</v>
      </c>
      <c r="R149" s="28">
        <f t="shared" si="15"/>
        <v>659213.7136465325</v>
      </c>
      <c r="S149" s="28">
        <f t="shared" si="16"/>
        <v>693909.17225950793</v>
      </c>
      <c r="T149" s="28">
        <f t="shared" si="17"/>
        <v>728604.63087248325</v>
      </c>
      <c r="U149" s="28">
        <f t="shared" si="18"/>
        <v>763300.08948545868</v>
      </c>
      <c r="V149" s="28">
        <f t="shared" si="19"/>
        <v>797995.54809843411</v>
      </c>
      <c r="W149" s="28">
        <f t="shared" si="20"/>
        <v>832691.00671140943</v>
      </c>
    </row>
    <row r="150" spans="1:23" x14ac:dyDescent="0.2">
      <c r="A150" s="28">
        <v>149</v>
      </c>
      <c r="B150" s="28">
        <v>14173.506666666666</v>
      </c>
      <c r="C150" s="28">
        <f t="shared" si="0"/>
        <v>141735.06666666665</v>
      </c>
      <c r="D150" s="28">
        <f t="shared" si="1"/>
        <v>177168.83333333331</v>
      </c>
      <c r="E150" s="28">
        <f t="shared" si="2"/>
        <v>212602.59999999998</v>
      </c>
      <c r="F150" s="28">
        <f t="shared" si="3"/>
        <v>248036.36666666664</v>
      </c>
      <c r="G150" s="28">
        <f t="shared" si="4"/>
        <v>283470.1333333333</v>
      </c>
      <c r="H150" s="28">
        <f t="shared" si="5"/>
        <v>318903.89999999997</v>
      </c>
      <c r="I150" s="28">
        <f t="shared" si="6"/>
        <v>354337.66666666663</v>
      </c>
      <c r="J150" s="28">
        <f t="shared" si="7"/>
        <v>389771.43333333329</v>
      </c>
      <c r="K150" s="28">
        <f t="shared" si="8"/>
        <v>425205.19999999995</v>
      </c>
      <c r="L150" s="28">
        <f t="shared" si="9"/>
        <v>460638.96666666662</v>
      </c>
      <c r="M150" s="28">
        <f t="shared" si="10"/>
        <v>496072.73333333328</v>
      </c>
      <c r="N150" s="28">
        <f t="shared" si="11"/>
        <v>531506.5</v>
      </c>
      <c r="O150" s="28">
        <f t="shared" si="12"/>
        <v>566940.2666666666</v>
      </c>
      <c r="P150" s="28">
        <f t="shared" si="13"/>
        <v>602374.03333333321</v>
      </c>
      <c r="Q150" s="28">
        <f t="shared" si="14"/>
        <v>637807.79999999993</v>
      </c>
      <c r="R150" s="28">
        <f t="shared" si="15"/>
        <v>673241.56666666665</v>
      </c>
      <c r="S150" s="28">
        <f t="shared" si="16"/>
        <v>708675.33333333326</v>
      </c>
      <c r="T150" s="28">
        <f t="shared" si="17"/>
        <v>744109.09999999986</v>
      </c>
      <c r="U150" s="28">
        <f t="shared" si="18"/>
        <v>779542.86666666658</v>
      </c>
      <c r="V150" s="28">
        <f t="shared" si="19"/>
        <v>814976.6333333333</v>
      </c>
      <c r="W150" s="28">
        <f t="shared" si="20"/>
        <v>850410.39999999991</v>
      </c>
    </row>
    <row r="151" spans="1:23" x14ac:dyDescent="0.2">
      <c r="A151" s="28">
        <v>150</v>
      </c>
      <c r="B151" s="28">
        <v>14484.313465783665</v>
      </c>
      <c r="C151" s="28">
        <f t="shared" si="0"/>
        <v>144843.13465783666</v>
      </c>
      <c r="D151" s="28">
        <f t="shared" si="1"/>
        <v>181053.91832229582</v>
      </c>
      <c r="E151" s="28">
        <f t="shared" si="2"/>
        <v>217264.70198675501</v>
      </c>
      <c r="F151" s="28">
        <f t="shared" si="3"/>
        <v>253475.48565121417</v>
      </c>
      <c r="G151" s="28">
        <f t="shared" si="4"/>
        <v>289686.26931567333</v>
      </c>
      <c r="H151" s="28">
        <f t="shared" si="5"/>
        <v>325897.05298013252</v>
      </c>
      <c r="I151" s="28">
        <f t="shared" si="6"/>
        <v>362107.83664459165</v>
      </c>
      <c r="J151" s="28">
        <f t="shared" si="7"/>
        <v>398318.62030905084</v>
      </c>
      <c r="K151" s="28">
        <f t="shared" si="8"/>
        <v>434529.40397351002</v>
      </c>
      <c r="L151" s="28">
        <f t="shared" si="9"/>
        <v>470740.18763796915</v>
      </c>
      <c r="M151" s="28">
        <f t="shared" si="10"/>
        <v>506950.97130242834</v>
      </c>
      <c r="N151" s="28">
        <f t="shared" si="11"/>
        <v>543161.75496688753</v>
      </c>
      <c r="O151" s="28">
        <f t="shared" si="12"/>
        <v>579372.53863134666</v>
      </c>
      <c r="P151" s="28">
        <f t="shared" si="13"/>
        <v>615583.32229580579</v>
      </c>
      <c r="Q151" s="28">
        <f t="shared" si="14"/>
        <v>651794.10596026503</v>
      </c>
      <c r="R151" s="28">
        <f t="shared" si="15"/>
        <v>688004.88962472416</v>
      </c>
      <c r="S151" s="28">
        <f t="shared" si="16"/>
        <v>724215.67328918329</v>
      </c>
      <c r="T151" s="28">
        <f t="shared" si="17"/>
        <v>760426.45695364254</v>
      </c>
      <c r="U151" s="28">
        <f t="shared" si="18"/>
        <v>796637.24061810167</v>
      </c>
      <c r="V151" s="28">
        <f t="shared" si="19"/>
        <v>832848.0242825608</v>
      </c>
      <c r="W151" s="28">
        <f t="shared" si="20"/>
        <v>869058.80794702005</v>
      </c>
    </row>
    <row r="152" spans="1:23" x14ac:dyDescent="0.2">
      <c r="A152" s="28">
        <v>151</v>
      </c>
      <c r="B152" s="28">
        <v>14791.030701754386</v>
      </c>
      <c r="C152" s="28">
        <f t="shared" si="0"/>
        <v>147910.30701754385</v>
      </c>
      <c r="D152" s="28">
        <f t="shared" si="1"/>
        <v>184887.8837719298</v>
      </c>
      <c r="E152" s="28">
        <f t="shared" si="2"/>
        <v>221865.46052631579</v>
      </c>
      <c r="F152" s="28">
        <f t="shared" si="3"/>
        <v>258843.03728070174</v>
      </c>
      <c r="G152" s="28">
        <f t="shared" si="4"/>
        <v>295820.6140350877</v>
      </c>
      <c r="H152" s="28">
        <f t="shared" si="5"/>
        <v>332798.19078947365</v>
      </c>
      <c r="I152" s="28">
        <f t="shared" si="6"/>
        <v>369775.76754385961</v>
      </c>
      <c r="J152" s="28">
        <f t="shared" si="7"/>
        <v>406753.34429824556</v>
      </c>
      <c r="K152" s="28">
        <f t="shared" si="8"/>
        <v>443730.92105263157</v>
      </c>
      <c r="L152" s="28">
        <f t="shared" si="9"/>
        <v>480708.49780701753</v>
      </c>
      <c r="M152" s="28">
        <f t="shared" si="10"/>
        <v>517686.07456140348</v>
      </c>
      <c r="N152" s="28">
        <f t="shared" si="11"/>
        <v>554663.65131578944</v>
      </c>
      <c r="O152" s="28">
        <f t="shared" si="12"/>
        <v>591641.22807017539</v>
      </c>
      <c r="P152" s="28">
        <f t="shared" si="13"/>
        <v>628618.80482456135</v>
      </c>
      <c r="Q152" s="28">
        <f t="shared" si="14"/>
        <v>665596.3815789473</v>
      </c>
      <c r="R152" s="28">
        <f t="shared" si="15"/>
        <v>702573.95833333326</v>
      </c>
      <c r="S152" s="28">
        <f t="shared" si="16"/>
        <v>739551.53508771921</v>
      </c>
      <c r="T152" s="28">
        <f t="shared" si="17"/>
        <v>776529.11184210517</v>
      </c>
      <c r="U152" s="28">
        <f t="shared" si="18"/>
        <v>813506.68859649112</v>
      </c>
      <c r="V152" s="28">
        <f t="shared" si="19"/>
        <v>850484.26535087707</v>
      </c>
      <c r="W152" s="28">
        <f t="shared" si="20"/>
        <v>887461.84210526315</v>
      </c>
    </row>
    <row r="153" spans="1:23" x14ac:dyDescent="0.2">
      <c r="A153" s="28">
        <v>152</v>
      </c>
      <c r="B153" s="28">
        <v>15109.808278867102</v>
      </c>
      <c r="C153" s="28">
        <f t="shared" si="0"/>
        <v>151098.08278867102</v>
      </c>
      <c r="D153" s="28">
        <f t="shared" si="1"/>
        <v>188872.60348583877</v>
      </c>
      <c r="E153" s="28">
        <f t="shared" si="2"/>
        <v>226647.12418300653</v>
      </c>
      <c r="F153" s="28">
        <f t="shared" si="3"/>
        <v>264421.64488017431</v>
      </c>
      <c r="G153" s="28">
        <f t="shared" si="4"/>
        <v>302196.16557734204</v>
      </c>
      <c r="H153" s="28">
        <f t="shared" si="5"/>
        <v>339970.68627450976</v>
      </c>
      <c r="I153" s="28">
        <f t="shared" si="6"/>
        <v>377745.20697167754</v>
      </c>
      <c r="J153" s="28">
        <f t="shared" si="7"/>
        <v>415519.72766884533</v>
      </c>
      <c r="K153" s="28">
        <f t="shared" si="8"/>
        <v>453294.24836601305</v>
      </c>
      <c r="L153" s="28">
        <f t="shared" si="9"/>
        <v>491068.76906318078</v>
      </c>
      <c r="M153" s="28">
        <f t="shared" si="10"/>
        <v>528843.28976034862</v>
      </c>
      <c r="N153" s="28">
        <f t="shared" si="11"/>
        <v>566617.81045751635</v>
      </c>
      <c r="O153" s="28">
        <f t="shared" si="12"/>
        <v>604392.33115468407</v>
      </c>
      <c r="P153" s="28">
        <f t="shared" si="13"/>
        <v>642166.8518518518</v>
      </c>
      <c r="Q153" s="28">
        <f t="shared" si="14"/>
        <v>679941.37254901952</v>
      </c>
      <c r="R153" s="28">
        <f t="shared" si="15"/>
        <v>717715.89324618736</v>
      </c>
      <c r="S153" s="28">
        <f t="shared" si="16"/>
        <v>755490.41394335509</v>
      </c>
      <c r="T153" s="28">
        <f t="shared" si="17"/>
        <v>793264.93464052281</v>
      </c>
      <c r="U153" s="28">
        <f t="shared" si="18"/>
        <v>831039.45533769066</v>
      </c>
      <c r="V153" s="28">
        <f t="shared" si="19"/>
        <v>868813.97603485838</v>
      </c>
      <c r="W153" s="28">
        <f t="shared" si="20"/>
        <v>906588.49673202611</v>
      </c>
    </row>
    <row r="154" spans="1:23" x14ac:dyDescent="0.2">
      <c r="A154" s="28">
        <v>153</v>
      </c>
      <c r="B154" s="28">
        <v>15428.554112554113</v>
      </c>
      <c r="C154" s="28">
        <f t="shared" si="0"/>
        <v>154285.54112554115</v>
      </c>
      <c r="D154" s="28">
        <f t="shared" si="1"/>
        <v>192856.92640692642</v>
      </c>
      <c r="E154" s="28">
        <f t="shared" si="2"/>
        <v>231428.31168831172</v>
      </c>
      <c r="F154" s="28">
        <f t="shared" si="3"/>
        <v>269999.69696969702</v>
      </c>
      <c r="G154" s="28">
        <f t="shared" si="4"/>
        <v>308571.08225108229</v>
      </c>
      <c r="H154" s="28">
        <f t="shared" si="5"/>
        <v>347142.46753246756</v>
      </c>
      <c r="I154" s="28">
        <f t="shared" si="6"/>
        <v>385713.85281385283</v>
      </c>
      <c r="J154" s="28">
        <f t="shared" si="7"/>
        <v>424285.23809523816</v>
      </c>
      <c r="K154" s="28">
        <f t="shared" si="8"/>
        <v>462856.62337662344</v>
      </c>
      <c r="L154" s="28">
        <f t="shared" si="9"/>
        <v>501428.00865800871</v>
      </c>
      <c r="M154" s="28">
        <f t="shared" si="10"/>
        <v>539999.39393939404</v>
      </c>
      <c r="N154" s="28">
        <f t="shared" si="11"/>
        <v>578570.77922077931</v>
      </c>
      <c r="O154" s="28">
        <f t="shared" si="12"/>
        <v>617142.16450216458</v>
      </c>
      <c r="P154" s="28">
        <f t="shared" si="13"/>
        <v>655713.54978354985</v>
      </c>
      <c r="Q154" s="28">
        <f t="shared" si="14"/>
        <v>694284.93506493513</v>
      </c>
      <c r="R154" s="28">
        <f t="shared" si="15"/>
        <v>732856.3203463204</v>
      </c>
      <c r="S154" s="28">
        <f t="shared" si="16"/>
        <v>771427.70562770567</v>
      </c>
      <c r="T154" s="28">
        <f t="shared" si="17"/>
        <v>809999.09090909106</v>
      </c>
      <c r="U154" s="28">
        <f t="shared" si="18"/>
        <v>848570.47619047633</v>
      </c>
      <c r="V154" s="28">
        <f t="shared" si="19"/>
        <v>887141.8614718616</v>
      </c>
      <c r="W154" s="28">
        <f t="shared" si="20"/>
        <v>925713.24675324687</v>
      </c>
    </row>
    <row r="155" spans="1:23" x14ac:dyDescent="0.2">
      <c r="A155" s="28">
        <v>154</v>
      </c>
      <c r="B155" s="28">
        <v>15759.04946236559</v>
      </c>
      <c r="C155" s="28">
        <f t="shared" si="0"/>
        <v>157590.49462365592</v>
      </c>
      <c r="D155" s="28">
        <f t="shared" si="1"/>
        <v>196988.1182795699</v>
      </c>
      <c r="E155" s="28">
        <f t="shared" si="2"/>
        <v>236385.74193548388</v>
      </c>
      <c r="F155" s="28">
        <f t="shared" si="3"/>
        <v>275783.36559139786</v>
      </c>
      <c r="G155" s="28">
        <f t="shared" si="4"/>
        <v>315180.98924731184</v>
      </c>
      <c r="H155" s="28">
        <f t="shared" si="5"/>
        <v>354578.61290322582</v>
      </c>
      <c r="I155" s="28">
        <f t="shared" si="6"/>
        <v>393976.2365591398</v>
      </c>
      <c r="J155" s="28">
        <f t="shared" si="7"/>
        <v>433373.86021505378</v>
      </c>
      <c r="K155" s="28">
        <f t="shared" si="8"/>
        <v>472771.48387096776</v>
      </c>
      <c r="L155" s="28">
        <f t="shared" si="9"/>
        <v>512169.10752688174</v>
      </c>
      <c r="M155" s="28">
        <f t="shared" si="10"/>
        <v>551566.73118279572</v>
      </c>
      <c r="N155" s="28">
        <f t="shared" si="11"/>
        <v>590964.3548387097</v>
      </c>
      <c r="O155" s="28">
        <f t="shared" si="12"/>
        <v>630361.97849462368</v>
      </c>
      <c r="P155" s="28">
        <f t="shared" si="13"/>
        <v>669759.60215053766</v>
      </c>
      <c r="Q155" s="28">
        <f t="shared" si="14"/>
        <v>709157.22580645164</v>
      </c>
      <c r="R155" s="28">
        <f t="shared" si="15"/>
        <v>748554.84946236562</v>
      </c>
      <c r="S155" s="28">
        <f t="shared" si="16"/>
        <v>787952.47311827959</v>
      </c>
      <c r="T155" s="28">
        <f t="shared" si="17"/>
        <v>827350.09677419357</v>
      </c>
      <c r="U155" s="28">
        <f t="shared" si="18"/>
        <v>866747.72043010755</v>
      </c>
      <c r="V155" s="28">
        <f t="shared" si="19"/>
        <v>906145.34408602153</v>
      </c>
      <c r="W155" s="28">
        <f t="shared" si="20"/>
        <v>945542.96774193551</v>
      </c>
    </row>
    <row r="156" spans="1:23" x14ac:dyDescent="0.2">
      <c r="A156" s="28">
        <v>155</v>
      </c>
      <c r="B156" s="28">
        <v>16085.307692307693</v>
      </c>
      <c r="C156" s="28">
        <f t="shared" si="0"/>
        <v>160853.07692307694</v>
      </c>
      <c r="D156" s="28">
        <f t="shared" si="1"/>
        <v>201066.34615384619</v>
      </c>
      <c r="E156" s="28">
        <f t="shared" si="2"/>
        <v>241279.6153846154</v>
      </c>
      <c r="F156" s="28">
        <f t="shared" si="3"/>
        <v>281492.88461538462</v>
      </c>
      <c r="G156" s="28">
        <f t="shared" si="4"/>
        <v>321706.15384615387</v>
      </c>
      <c r="H156" s="28">
        <f t="shared" si="5"/>
        <v>361919.42307692312</v>
      </c>
      <c r="I156" s="28">
        <f t="shared" si="6"/>
        <v>402132.69230769237</v>
      </c>
      <c r="J156" s="28">
        <f t="shared" si="7"/>
        <v>442345.96153846156</v>
      </c>
      <c r="K156" s="28">
        <f t="shared" si="8"/>
        <v>482559.23076923081</v>
      </c>
      <c r="L156" s="28">
        <f t="shared" si="9"/>
        <v>522772.50000000006</v>
      </c>
      <c r="M156" s="28">
        <f t="shared" si="10"/>
        <v>562985.76923076925</v>
      </c>
      <c r="N156" s="28">
        <f t="shared" si="11"/>
        <v>603199.0384615385</v>
      </c>
      <c r="O156" s="28">
        <f t="shared" si="12"/>
        <v>643412.30769230775</v>
      </c>
      <c r="P156" s="28">
        <f t="shared" si="13"/>
        <v>683625.57692307699</v>
      </c>
      <c r="Q156" s="28">
        <f t="shared" si="14"/>
        <v>723838.84615384624</v>
      </c>
      <c r="R156" s="28">
        <f t="shared" si="15"/>
        <v>764052.11538461549</v>
      </c>
      <c r="S156" s="28">
        <f t="shared" si="16"/>
        <v>804265.38461538474</v>
      </c>
      <c r="T156" s="28">
        <f t="shared" si="17"/>
        <v>844478.65384615387</v>
      </c>
      <c r="U156" s="28">
        <f t="shared" si="18"/>
        <v>884691.92307692312</v>
      </c>
      <c r="V156" s="28">
        <f t="shared" si="19"/>
        <v>924905.19230769237</v>
      </c>
      <c r="W156" s="28">
        <f t="shared" si="20"/>
        <v>965118.46153846162</v>
      </c>
    </row>
    <row r="157" spans="1:23" x14ac:dyDescent="0.2">
      <c r="A157" s="28">
        <v>156</v>
      </c>
      <c r="B157" s="28">
        <v>16428.700636942674</v>
      </c>
      <c r="C157" s="28">
        <f t="shared" si="0"/>
        <v>164287.00636942673</v>
      </c>
      <c r="D157" s="28">
        <f t="shared" si="1"/>
        <v>205358.75796178341</v>
      </c>
      <c r="E157" s="28">
        <f t="shared" si="2"/>
        <v>246430.5095541401</v>
      </c>
      <c r="F157" s="28">
        <f t="shared" si="3"/>
        <v>287502.26114649675</v>
      </c>
      <c r="G157" s="28">
        <f t="shared" si="4"/>
        <v>328574.01273885346</v>
      </c>
      <c r="H157" s="28">
        <f t="shared" si="5"/>
        <v>369645.76433121017</v>
      </c>
      <c r="I157" s="28">
        <f t="shared" si="6"/>
        <v>410717.51592356683</v>
      </c>
      <c r="J157" s="28">
        <f t="shared" si="7"/>
        <v>451789.26751592348</v>
      </c>
      <c r="K157" s="28">
        <f t="shared" si="8"/>
        <v>492861.01910828019</v>
      </c>
      <c r="L157" s="28">
        <f t="shared" si="9"/>
        <v>533932.7707006369</v>
      </c>
      <c r="M157" s="28">
        <f t="shared" si="10"/>
        <v>575004.5222929935</v>
      </c>
      <c r="N157" s="28">
        <f t="shared" si="11"/>
        <v>616076.27388535021</v>
      </c>
      <c r="O157" s="28">
        <f t="shared" si="12"/>
        <v>657148.02547770692</v>
      </c>
      <c r="P157" s="28">
        <f t="shared" si="13"/>
        <v>698219.77707006363</v>
      </c>
      <c r="Q157" s="28">
        <f t="shared" si="14"/>
        <v>739291.52866242034</v>
      </c>
      <c r="R157" s="28">
        <f t="shared" si="15"/>
        <v>780363.28025477694</v>
      </c>
      <c r="S157" s="28">
        <f t="shared" si="16"/>
        <v>821435.03184713365</v>
      </c>
      <c r="T157" s="28">
        <f t="shared" si="17"/>
        <v>862506.78343949036</v>
      </c>
      <c r="U157" s="28">
        <f t="shared" si="18"/>
        <v>903578.53503184696</v>
      </c>
      <c r="V157" s="28">
        <f t="shared" si="19"/>
        <v>944650.28662420367</v>
      </c>
      <c r="W157" s="28">
        <f t="shared" si="20"/>
        <v>985722.03821656038</v>
      </c>
    </row>
    <row r="158" spans="1:23" x14ac:dyDescent="0.2">
      <c r="A158" s="28">
        <v>157</v>
      </c>
      <c r="B158" s="28">
        <v>16767.746835443038</v>
      </c>
      <c r="C158" s="28">
        <f t="shared" si="0"/>
        <v>167677.4683544304</v>
      </c>
      <c r="D158" s="28">
        <f t="shared" si="1"/>
        <v>209596.835443038</v>
      </c>
      <c r="E158" s="28">
        <f t="shared" si="2"/>
        <v>251516.2025316456</v>
      </c>
      <c r="F158" s="28">
        <f t="shared" si="3"/>
        <v>293435.56962025317</v>
      </c>
      <c r="G158" s="28">
        <f t="shared" si="4"/>
        <v>335354.9367088608</v>
      </c>
      <c r="H158" s="28">
        <f t="shared" si="5"/>
        <v>377274.30379746843</v>
      </c>
      <c r="I158" s="28">
        <f t="shared" si="6"/>
        <v>419193.670886076</v>
      </c>
      <c r="J158" s="28">
        <f t="shared" si="7"/>
        <v>461113.03797468357</v>
      </c>
      <c r="K158" s="28">
        <f t="shared" si="8"/>
        <v>503032.4050632912</v>
      </c>
      <c r="L158" s="28">
        <f t="shared" si="9"/>
        <v>544951.77215189883</v>
      </c>
      <c r="M158" s="28">
        <f t="shared" si="10"/>
        <v>586871.13924050634</v>
      </c>
      <c r="N158" s="28">
        <f t="shared" si="11"/>
        <v>628790.50632911397</v>
      </c>
      <c r="O158" s="28">
        <f t="shared" si="12"/>
        <v>670709.8734177216</v>
      </c>
      <c r="P158" s="28">
        <f t="shared" si="13"/>
        <v>712629.24050632922</v>
      </c>
      <c r="Q158" s="28">
        <f t="shared" si="14"/>
        <v>754548.60759493685</v>
      </c>
      <c r="R158" s="28">
        <f t="shared" si="15"/>
        <v>796467.97468354437</v>
      </c>
      <c r="S158" s="28">
        <f t="shared" si="16"/>
        <v>838387.34177215199</v>
      </c>
      <c r="T158" s="28">
        <f t="shared" si="17"/>
        <v>880306.70886075962</v>
      </c>
      <c r="U158" s="28">
        <f t="shared" si="18"/>
        <v>922226.07594936714</v>
      </c>
      <c r="V158" s="28">
        <f t="shared" si="19"/>
        <v>964145.44303797476</v>
      </c>
      <c r="W158" s="28">
        <f t="shared" si="20"/>
        <v>1006064.8101265824</v>
      </c>
    </row>
    <row r="159" spans="1:23" x14ac:dyDescent="0.2">
      <c r="A159" s="28">
        <v>158</v>
      </c>
      <c r="B159" s="28">
        <v>17119.257861635222</v>
      </c>
      <c r="C159" s="28">
        <f t="shared" si="0"/>
        <v>171192.57861635223</v>
      </c>
      <c r="D159" s="28">
        <f t="shared" si="1"/>
        <v>213990.7232704403</v>
      </c>
      <c r="E159" s="28">
        <f t="shared" si="2"/>
        <v>256788.86792452834</v>
      </c>
      <c r="F159" s="28">
        <f t="shared" si="3"/>
        <v>299587.01257861638</v>
      </c>
      <c r="G159" s="28">
        <f t="shared" si="4"/>
        <v>342385.15723270446</v>
      </c>
      <c r="H159" s="28">
        <f t="shared" si="5"/>
        <v>385183.30188679253</v>
      </c>
      <c r="I159" s="28">
        <f t="shared" si="6"/>
        <v>427981.4465408806</v>
      </c>
      <c r="J159" s="28">
        <f t="shared" si="7"/>
        <v>470779.59119496861</v>
      </c>
      <c r="K159" s="28">
        <f t="shared" si="8"/>
        <v>513577.73584905668</v>
      </c>
      <c r="L159" s="28">
        <f t="shared" si="9"/>
        <v>556375.8805031447</v>
      </c>
      <c r="M159" s="28">
        <f t="shared" si="10"/>
        <v>599174.02515723277</v>
      </c>
      <c r="N159" s="28">
        <f t="shared" si="11"/>
        <v>641972.16981132084</v>
      </c>
      <c r="O159" s="28">
        <f t="shared" si="12"/>
        <v>684770.31446540891</v>
      </c>
      <c r="P159" s="28">
        <f t="shared" si="13"/>
        <v>727568.45911949698</v>
      </c>
      <c r="Q159" s="28">
        <f t="shared" si="14"/>
        <v>770366.60377358506</v>
      </c>
      <c r="R159" s="28">
        <f t="shared" si="15"/>
        <v>813164.74842767313</v>
      </c>
      <c r="S159" s="28">
        <f t="shared" si="16"/>
        <v>855962.8930817612</v>
      </c>
      <c r="T159" s="28">
        <f t="shared" si="17"/>
        <v>898761.03773584915</v>
      </c>
      <c r="U159" s="28">
        <f t="shared" si="18"/>
        <v>941559.18238993722</v>
      </c>
      <c r="V159" s="28">
        <f t="shared" si="19"/>
        <v>984357.3270440253</v>
      </c>
      <c r="W159" s="28">
        <f t="shared" si="20"/>
        <v>1027155.4716981134</v>
      </c>
    </row>
    <row r="160" spans="1:23" x14ac:dyDescent="0.2">
      <c r="A160" s="28">
        <v>159</v>
      </c>
      <c r="B160" s="28">
        <v>17470.641666666666</v>
      </c>
      <c r="C160" s="28">
        <f t="shared" si="0"/>
        <v>174706.41666666666</v>
      </c>
      <c r="D160" s="28">
        <f t="shared" si="1"/>
        <v>218383.02083333331</v>
      </c>
      <c r="E160" s="28">
        <f t="shared" si="2"/>
        <v>262059.625</v>
      </c>
      <c r="F160" s="28">
        <f t="shared" si="3"/>
        <v>305736.22916666663</v>
      </c>
      <c r="G160" s="28">
        <f t="shared" si="4"/>
        <v>349412.83333333331</v>
      </c>
      <c r="H160" s="28">
        <f t="shared" si="5"/>
        <v>393089.4375</v>
      </c>
      <c r="I160" s="28">
        <f t="shared" si="6"/>
        <v>436766.04166666663</v>
      </c>
      <c r="J160" s="28">
        <f t="shared" si="7"/>
        <v>480442.64583333331</v>
      </c>
      <c r="K160" s="28">
        <f t="shared" si="8"/>
        <v>524119.25</v>
      </c>
      <c r="L160" s="28">
        <f t="shared" si="9"/>
        <v>567795.85416666663</v>
      </c>
      <c r="M160" s="28">
        <f t="shared" si="10"/>
        <v>611472.45833333326</v>
      </c>
      <c r="N160" s="28">
        <f t="shared" si="11"/>
        <v>655149.0625</v>
      </c>
      <c r="O160" s="28">
        <f t="shared" si="12"/>
        <v>698825.66666666663</v>
      </c>
      <c r="P160" s="28">
        <f t="shared" si="13"/>
        <v>742502.27083333326</v>
      </c>
      <c r="Q160" s="28">
        <f t="shared" si="14"/>
        <v>786178.875</v>
      </c>
      <c r="R160" s="28">
        <f t="shared" si="15"/>
        <v>829855.47916666663</v>
      </c>
      <c r="S160" s="28">
        <f t="shared" si="16"/>
        <v>873532.08333333326</v>
      </c>
      <c r="T160" s="28">
        <f t="shared" si="17"/>
        <v>917208.6875</v>
      </c>
      <c r="U160" s="28">
        <f t="shared" si="18"/>
        <v>960885.29166666663</v>
      </c>
      <c r="V160" s="28">
        <f t="shared" si="19"/>
        <v>1004561.8958333333</v>
      </c>
      <c r="W160" s="28">
        <f t="shared" si="20"/>
        <v>1048238.5</v>
      </c>
    </row>
    <row r="161" spans="1:23" x14ac:dyDescent="0.2">
      <c r="A161" s="28">
        <v>160</v>
      </c>
      <c r="B161" s="28">
        <v>17835.200828157351</v>
      </c>
      <c r="C161" s="28">
        <f t="shared" si="0"/>
        <v>178352.00828157351</v>
      </c>
      <c r="D161" s="28">
        <f t="shared" si="1"/>
        <v>222940.01035196689</v>
      </c>
      <c r="E161" s="28">
        <f t="shared" si="2"/>
        <v>267528.01242236025</v>
      </c>
      <c r="F161" s="28">
        <f t="shared" si="3"/>
        <v>312116.01449275366</v>
      </c>
      <c r="G161" s="28">
        <f t="shared" si="4"/>
        <v>356704.01656314702</v>
      </c>
      <c r="H161" s="28">
        <f t="shared" si="5"/>
        <v>401292.01863354037</v>
      </c>
      <c r="I161" s="28">
        <f t="shared" si="6"/>
        <v>445880.02070393378</v>
      </c>
      <c r="J161" s="28">
        <f t="shared" si="7"/>
        <v>490468.02277432714</v>
      </c>
      <c r="K161" s="28">
        <f t="shared" si="8"/>
        <v>535056.02484472049</v>
      </c>
      <c r="L161" s="28">
        <f t="shared" si="9"/>
        <v>579644.02691511391</v>
      </c>
      <c r="M161" s="28">
        <f t="shared" si="10"/>
        <v>624232.02898550732</v>
      </c>
      <c r="N161" s="28">
        <f t="shared" si="11"/>
        <v>668820.03105590062</v>
      </c>
      <c r="O161" s="28">
        <f t="shared" si="12"/>
        <v>713408.03312629403</v>
      </c>
      <c r="P161" s="28">
        <f t="shared" si="13"/>
        <v>757996.03519668744</v>
      </c>
      <c r="Q161" s="28">
        <f t="shared" si="14"/>
        <v>802584.03726708074</v>
      </c>
      <c r="R161" s="28">
        <f t="shared" si="15"/>
        <v>847172.03933747415</v>
      </c>
      <c r="S161" s="28">
        <f t="shared" si="16"/>
        <v>891760.04140786757</v>
      </c>
      <c r="T161" s="28">
        <f t="shared" si="17"/>
        <v>936348.04347826086</v>
      </c>
      <c r="U161" s="28">
        <f t="shared" si="18"/>
        <v>980936.04554865428</v>
      </c>
      <c r="V161" s="28">
        <f t="shared" si="19"/>
        <v>1025524.0476190477</v>
      </c>
      <c r="W161" s="28">
        <f t="shared" si="20"/>
        <v>1070112.049689441</v>
      </c>
    </row>
    <row r="162" spans="1:23" x14ac:dyDescent="0.2">
      <c r="A162" s="28">
        <v>161</v>
      </c>
      <c r="B162" s="28">
        <v>18195.259259259259</v>
      </c>
      <c r="C162" s="28">
        <f t="shared" si="0"/>
        <v>181952.59259259258</v>
      </c>
      <c r="D162" s="28">
        <f t="shared" si="1"/>
        <v>227440.74074074073</v>
      </c>
      <c r="E162" s="28">
        <f t="shared" si="2"/>
        <v>272928.88888888888</v>
      </c>
      <c r="F162" s="28">
        <f t="shared" si="3"/>
        <v>318417.03703703702</v>
      </c>
      <c r="G162" s="28">
        <f t="shared" si="4"/>
        <v>363905.18518518517</v>
      </c>
      <c r="H162" s="28">
        <f t="shared" si="5"/>
        <v>409393.33333333331</v>
      </c>
      <c r="I162" s="28">
        <f t="shared" si="6"/>
        <v>454881.48148148146</v>
      </c>
      <c r="J162" s="28">
        <f t="shared" si="7"/>
        <v>500369.62962962961</v>
      </c>
      <c r="K162" s="28">
        <f t="shared" si="8"/>
        <v>545857.77777777775</v>
      </c>
      <c r="L162" s="28">
        <f t="shared" si="9"/>
        <v>591345.92592592584</v>
      </c>
      <c r="M162" s="28">
        <f t="shared" si="10"/>
        <v>636834.07407407404</v>
      </c>
      <c r="N162" s="28">
        <f t="shared" si="11"/>
        <v>682322.22222222225</v>
      </c>
      <c r="O162" s="28">
        <f t="shared" si="12"/>
        <v>727810.37037037034</v>
      </c>
      <c r="P162" s="28">
        <f t="shared" si="13"/>
        <v>773298.51851851842</v>
      </c>
      <c r="Q162" s="28">
        <f t="shared" si="14"/>
        <v>818786.66666666663</v>
      </c>
      <c r="R162" s="28">
        <f t="shared" si="15"/>
        <v>864274.81481481483</v>
      </c>
      <c r="S162" s="28">
        <f t="shared" si="16"/>
        <v>909762.96296296292</v>
      </c>
      <c r="T162" s="28">
        <f t="shared" si="17"/>
        <v>955251.11111111101</v>
      </c>
      <c r="U162" s="28">
        <f t="shared" si="18"/>
        <v>1000739.2592592592</v>
      </c>
      <c r="V162" s="28">
        <f t="shared" si="19"/>
        <v>1046227.4074074074</v>
      </c>
      <c r="W162" s="28">
        <f t="shared" si="20"/>
        <v>1091715.5555555555</v>
      </c>
    </row>
    <row r="163" spans="1:23" x14ac:dyDescent="0.2">
      <c r="A163" s="28">
        <v>162</v>
      </c>
      <c r="B163" s="28">
        <v>18573.198364008178</v>
      </c>
      <c r="C163" s="28">
        <f t="shared" si="0"/>
        <v>185731.98364008177</v>
      </c>
      <c r="D163" s="28">
        <f t="shared" si="1"/>
        <v>232164.9795501022</v>
      </c>
      <c r="E163" s="28">
        <f t="shared" si="2"/>
        <v>278597.97546012269</v>
      </c>
      <c r="F163" s="28">
        <f t="shared" si="3"/>
        <v>325030.97137014312</v>
      </c>
      <c r="G163" s="28">
        <f t="shared" si="4"/>
        <v>371463.96728016355</v>
      </c>
      <c r="H163" s="28">
        <f t="shared" si="5"/>
        <v>417896.96319018397</v>
      </c>
      <c r="I163" s="28">
        <f t="shared" si="6"/>
        <v>464329.9591002044</v>
      </c>
      <c r="J163" s="28">
        <f t="shared" si="7"/>
        <v>510762.95501022489</v>
      </c>
      <c r="K163" s="28">
        <f t="shared" si="8"/>
        <v>557195.95092024538</v>
      </c>
      <c r="L163" s="28">
        <f t="shared" si="9"/>
        <v>603628.94683026581</v>
      </c>
      <c r="M163" s="28">
        <f t="shared" si="10"/>
        <v>650061.94274028623</v>
      </c>
      <c r="N163" s="28">
        <f t="shared" si="11"/>
        <v>696494.93865030666</v>
      </c>
      <c r="O163" s="28">
        <f t="shared" si="12"/>
        <v>742927.93456032709</v>
      </c>
      <c r="P163" s="28">
        <f t="shared" si="13"/>
        <v>789360.93047034752</v>
      </c>
      <c r="Q163" s="28">
        <f t="shared" si="14"/>
        <v>835793.92638036795</v>
      </c>
      <c r="R163" s="28">
        <f t="shared" si="15"/>
        <v>882226.92229038838</v>
      </c>
      <c r="S163" s="28">
        <f t="shared" si="16"/>
        <v>928659.91820040881</v>
      </c>
      <c r="T163" s="28">
        <f t="shared" si="17"/>
        <v>975092.91411042935</v>
      </c>
      <c r="U163" s="28">
        <f t="shared" si="18"/>
        <v>1021525.9100204498</v>
      </c>
      <c r="V163" s="28">
        <f t="shared" si="19"/>
        <v>1067958.9059304702</v>
      </c>
      <c r="W163" s="28">
        <f t="shared" si="20"/>
        <v>1114391.9018404908</v>
      </c>
    </row>
    <row r="164" spans="1:23" x14ac:dyDescent="0.2">
      <c r="A164" s="28">
        <v>163</v>
      </c>
      <c r="B164" s="28">
        <v>18946.528455284551</v>
      </c>
      <c r="C164" s="28">
        <f t="shared" si="0"/>
        <v>189465.28455284552</v>
      </c>
      <c r="D164" s="28">
        <f t="shared" si="1"/>
        <v>236831.6056910569</v>
      </c>
      <c r="E164" s="28">
        <f t="shared" si="2"/>
        <v>284197.92682926828</v>
      </c>
      <c r="F164" s="28">
        <f t="shared" si="3"/>
        <v>331564.24796747963</v>
      </c>
      <c r="G164" s="28">
        <f t="shared" si="4"/>
        <v>378930.56910569104</v>
      </c>
      <c r="H164" s="28">
        <f t="shared" si="5"/>
        <v>426296.89024390245</v>
      </c>
      <c r="I164" s="28">
        <f t="shared" si="6"/>
        <v>473663.2113821138</v>
      </c>
      <c r="J164" s="28">
        <f t="shared" si="7"/>
        <v>521029.53252032516</v>
      </c>
      <c r="K164" s="28">
        <f t="shared" si="8"/>
        <v>568395.85365853657</v>
      </c>
      <c r="L164" s="28">
        <f t="shared" si="9"/>
        <v>615762.17479674798</v>
      </c>
      <c r="M164" s="28">
        <f t="shared" si="10"/>
        <v>663128.49593495927</v>
      </c>
      <c r="N164" s="28">
        <f t="shared" si="11"/>
        <v>710494.81707317068</v>
      </c>
      <c r="O164" s="28">
        <f t="shared" si="12"/>
        <v>757861.13821138209</v>
      </c>
      <c r="P164" s="28">
        <f t="shared" si="13"/>
        <v>805227.4593495935</v>
      </c>
      <c r="Q164" s="28">
        <f t="shared" si="14"/>
        <v>852593.78048780491</v>
      </c>
      <c r="R164" s="28">
        <f t="shared" si="15"/>
        <v>899960.1016260162</v>
      </c>
      <c r="S164" s="28">
        <f t="shared" si="16"/>
        <v>947326.42276422761</v>
      </c>
      <c r="T164" s="28">
        <f t="shared" si="17"/>
        <v>994692.74390243902</v>
      </c>
      <c r="U164" s="28">
        <f t="shared" si="18"/>
        <v>1042059.0650406503</v>
      </c>
      <c r="V164" s="28">
        <f t="shared" si="19"/>
        <v>1089425.3861788618</v>
      </c>
      <c r="W164" s="28">
        <f t="shared" si="20"/>
        <v>1136791.7073170731</v>
      </c>
    </row>
    <row r="165" spans="1:23" x14ac:dyDescent="0.2">
      <c r="A165" s="28">
        <v>164</v>
      </c>
      <c r="B165" s="28">
        <v>19333.773737373736</v>
      </c>
      <c r="C165" s="28">
        <f t="shared" si="0"/>
        <v>193337.73737373736</v>
      </c>
      <c r="D165" s="28">
        <f t="shared" si="1"/>
        <v>241672.1717171717</v>
      </c>
      <c r="E165" s="28">
        <f t="shared" si="2"/>
        <v>290006.60606060602</v>
      </c>
      <c r="F165" s="28">
        <f t="shared" si="3"/>
        <v>338341.04040404037</v>
      </c>
      <c r="G165" s="28">
        <f t="shared" si="4"/>
        <v>386675.47474747471</v>
      </c>
      <c r="H165" s="28">
        <f t="shared" si="5"/>
        <v>435009.90909090906</v>
      </c>
      <c r="I165" s="28">
        <f t="shared" si="6"/>
        <v>483344.34343434341</v>
      </c>
      <c r="J165" s="28">
        <f t="shared" si="7"/>
        <v>531678.77777777775</v>
      </c>
      <c r="K165" s="28">
        <f t="shared" si="8"/>
        <v>580013.21212121204</v>
      </c>
      <c r="L165" s="28">
        <f t="shared" si="9"/>
        <v>628347.64646464644</v>
      </c>
      <c r="M165" s="28">
        <f t="shared" si="10"/>
        <v>676682.08080808073</v>
      </c>
      <c r="N165" s="28">
        <f t="shared" si="11"/>
        <v>725016.51515151514</v>
      </c>
      <c r="O165" s="28">
        <f t="shared" si="12"/>
        <v>773350.94949494943</v>
      </c>
      <c r="P165" s="28">
        <f t="shared" si="13"/>
        <v>821685.38383838371</v>
      </c>
      <c r="Q165" s="28">
        <f t="shared" si="14"/>
        <v>870019.81818181812</v>
      </c>
      <c r="R165" s="28">
        <f t="shared" si="15"/>
        <v>918354.25252525241</v>
      </c>
      <c r="S165" s="28">
        <f t="shared" si="16"/>
        <v>966688.68686868681</v>
      </c>
      <c r="T165" s="28">
        <f t="shared" si="17"/>
        <v>1015023.1212121211</v>
      </c>
      <c r="U165" s="28">
        <f t="shared" si="18"/>
        <v>1063357.5555555555</v>
      </c>
      <c r="V165" s="28">
        <f t="shared" si="19"/>
        <v>1111691.9898989899</v>
      </c>
      <c r="W165" s="28">
        <f t="shared" si="20"/>
        <v>1160026.4242424241</v>
      </c>
    </row>
    <row r="166" spans="1:23" x14ac:dyDescent="0.2">
      <c r="A166" s="28">
        <v>165</v>
      </c>
      <c r="B166" s="28">
        <v>19720.911646586344</v>
      </c>
      <c r="C166" s="28">
        <f t="shared" si="0"/>
        <v>197209.11646586345</v>
      </c>
      <c r="D166" s="28">
        <f t="shared" si="1"/>
        <v>246511.39558232931</v>
      </c>
      <c r="E166" s="28">
        <f t="shared" si="2"/>
        <v>295813.67469879519</v>
      </c>
      <c r="F166" s="28">
        <f t="shared" si="3"/>
        <v>345115.95381526102</v>
      </c>
      <c r="G166" s="28">
        <f t="shared" si="4"/>
        <v>394418.2329317269</v>
      </c>
      <c r="H166" s="28">
        <f t="shared" si="5"/>
        <v>443720.51204819279</v>
      </c>
      <c r="I166" s="28">
        <f t="shared" si="6"/>
        <v>493022.79116465861</v>
      </c>
      <c r="J166" s="28">
        <f t="shared" si="7"/>
        <v>542325.07028112444</v>
      </c>
      <c r="K166" s="28">
        <f t="shared" si="8"/>
        <v>591627.34939759038</v>
      </c>
      <c r="L166" s="28">
        <f t="shared" si="9"/>
        <v>640929.62851405621</v>
      </c>
      <c r="M166" s="28">
        <f t="shared" si="10"/>
        <v>690231.90763052204</v>
      </c>
      <c r="N166" s="28">
        <f t="shared" si="11"/>
        <v>739534.18674698798</v>
      </c>
      <c r="O166" s="28">
        <f t="shared" si="12"/>
        <v>788836.46586345381</v>
      </c>
      <c r="P166" s="28">
        <f t="shared" si="13"/>
        <v>838138.74497991963</v>
      </c>
      <c r="Q166" s="28">
        <f t="shared" si="14"/>
        <v>887441.02409638558</v>
      </c>
      <c r="R166" s="28">
        <f t="shared" si="15"/>
        <v>936743.3032128514</v>
      </c>
      <c r="S166" s="28">
        <f t="shared" si="16"/>
        <v>986045.58232931723</v>
      </c>
      <c r="T166" s="28">
        <f t="shared" si="17"/>
        <v>1035347.8614457832</v>
      </c>
      <c r="U166" s="28">
        <f t="shared" si="18"/>
        <v>1084650.1405622489</v>
      </c>
      <c r="V166" s="28">
        <f t="shared" si="19"/>
        <v>1133952.4196787148</v>
      </c>
      <c r="W166" s="28">
        <f t="shared" si="20"/>
        <v>1183254.6987951808</v>
      </c>
    </row>
    <row r="167" spans="1:23" x14ac:dyDescent="0.2">
      <c r="A167" s="28">
        <v>166</v>
      </c>
      <c r="B167" s="28">
        <v>20121.628742514971</v>
      </c>
      <c r="C167" s="28">
        <f t="shared" si="0"/>
        <v>201216.2874251497</v>
      </c>
      <c r="D167" s="28">
        <f t="shared" si="1"/>
        <v>251520.35928143712</v>
      </c>
      <c r="E167" s="28">
        <f t="shared" si="2"/>
        <v>301824.43113772455</v>
      </c>
      <c r="F167" s="28">
        <f t="shared" si="3"/>
        <v>352128.50299401197</v>
      </c>
      <c r="G167" s="28">
        <f t="shared" si="4"/>
        <v>402432.5748502994</v>
      </c>
      <c r="H167" s="28">
        <f t="shared" si="5"/>
        <v>452736.64670658682</v>
      </c>
      <c r="I167" s="28">
        <f t="shared" si="6"/>
        <v>503040.71856287424</v>
      </c>
      <c r="J167" s="28">
        <f t="shared" si="7"/>
        <v>553344.79041916167</v>
      </c>
      <c r="K167" s="28">
        <f t="shared" si="8"/>
        <v>603648.86227544909</v>
      </c>
      <c r="L167" s="28">
        <f t="shared" si="9"/>
        <v>653952.93413173652</v>
      </c>
      <c r="M167" s="28">
        <f t="shared" si="10"/>
        <v>704257.00598802394</v>
      </c>
      <c r="N167" s="28">
        <f t="shared" si="11"/>
        <v>754561.07784431137</v>
      </c>
      <c r="O167" s="28">
        <f t="shared" si="12"/>
        <v>804865.14970059879</v>
      </c>
      <c r="P167" s="28">
        <f t="shared" si="13"/>
        <v>855169.22155688622</v>
      </c>
      <c r="Q167" s="28">
        <f t="shared" si="14"/>
        <v>905473.29341317364</v>
      </c>
      <c r="R167" s="28">
        <f t="shared" si="15"/>
        <v>955777.36526946106</v>
      </c>
      <c r="S167" s="28">
        <f t="shared" si="16"/>
        <v>1006081.4371257485</v>
      </c>
      <c r="T167" s="28">
        <f t="shared" si="17"/>
        <v>1056385.5089820358</v>
      </c>
      <c r="U167" s="28">
        <f t="shared" si="18"/>
        <v>1106689.5808383233</v>
      </c>
      <c r="V167" s="28">
        <f t="shared" si="19"/>
        <v>1156993.6526946109</v>
      </c>
      <c r="W167" s="28">
        <f t="shared" si="20"/>
        <v>1207297.7245508982</v>
      </c>
    </row>
    <row r="168" spans="1:23" x14ac:dyDescent="0.2">
      <c r="A168" s="28">
        <v>167</v>
      </c>
      <c r="B168" s="28">
        <v>20517.575396825396</v>
      </c>
      <c r="C168" s="28">
        <f t="shared" si="0"/>
        <v>205175.75396825396</v>
      </c>
      <c r="D168" s="28">
        <f t="shared" si="1"/>
        <v>256469.69246031746</v>
      </c>
      <c r="E168" s="28">
        <f t="shared" si="2"/>
        <v>307763.63095238095</v>
      </c>
      <c r="F168" s="28">
        <f t="shared" si="3"/>
        <v>359057.56944444444</v>
      </c>
      <c r="G168" s="28">
        <f t="shared" si="4"/>
        <v>410351.50793650793</v>
      </c>
      <c r="H168" s="28">
        <f t="shared" si="5"/>
        <v>461645.44642857142</v>
      </c>
      <c r="I168" s="28">
        <f t="shared" si="6"/>
        <v>512939.38492063491</v>
      </c>
      <c r="J168" s="28">
        <f t="shared" si="7"/>
        <v>564233.32341269846</v>
      </c>
      <c r="K168" s="28">
        <f t="shared" si="8"/>
        <v>615527.26190476189</v>
      </c>
      <c r="L168" s="28">
        <f t="shared" si="9"/>
        <v>666821.20039682533</v>
      </c>
      <c r="M168" s="28">
        <f t="shared" si="10"/>
        <v>718115.13888888888</v>
      </c>
      <c r="N168" s="28">
        <f t="shared" si="11"/>
        <v>769409.07738095243</v>
      </c>
      <c r="O168" s="28">
        <f t="shared" si="12"/>
        <v>820703.01587301586</v>
      </c>
      <c r="P168" s="28">
        <f t="shared" si="13"/>
        <v>871996.95436507929</v>
      </c>
      <c r="Q168" s="28">
        <f t="shared" si="14"/>
        <v>923290.89285714284</v>
      </c>
      <c r="R168" s="28">
        <f t="shared" si="15"/>
        <v>974584.83134920639</v>
      </c>
      <c r="S168" s="28">
        <f t="shared" si="16"/>
        <v>1025878.7698412698</v>
      </c>
      <c r="T168" s="28">
        <f t="shared" si="17"/>
        <v>1077172.7083333333</v>
      </c>
      <c r="U168" s="28">
        <f t="shared" si="18"/>
        <v>1128466.6468253969</v>
      </c>
      <c r="V168" s="28">
        <f t="shared" si="19"/>
        <v>1179760.5853174604</v>
      </c>
      <c r="W168" s="28">
        <f t="shared" si="20"/>
        <v>1231054.5238095238</v>
      </c>
    </row>
    <row r="169" spans="1:23" x14ac:dyDescent="0.2">
      <c r="A169" s="28">
        <v>168</v>
      </c>
      <c r="B169" s="28">
        <v>20933.116370808679</v>
      </c>
      <c r="C169" s="28">
        <f t="shared" si="0"/>
        <v>209331.16370808679</v>
      </c>
      <c r="D169" s="28">
        <f t="shared" si="1"/>
        <v>261663.9546351085</v>
      </c>
      <c r="E169" s="28">
        <f t="shared" si="2"/>
        <v>313996.74556213018</v>
      </c>
      <c r="F169" s="28">
        <f t="shared" si="3"/>
        <v>366329.53648915188</v>
      </c>
      <c r="G169" s="28">
        <f t="shared" si="4"/>
        <v>418662.32741617359</v>
      </c>
      <c r="H169" s="28">
        <f t="shared" si="5"/>
        <v>470995.1183431953</v>
      </c>
      <c r="I169" s="28">
        <f t="shared" si="6"/>
        <v>523327.909270217</v>
      </c>
      <c r="J169" s="28">
        <f t="shared" si="7"/>
        <v>575660.70019723871</v>
      </c>
      <c r="K169" s="28">
        <f t="shared" si="8"/>
        <v>627993.49112426036</v>
      </c>
      <c r="L169" s="28">
        <f t="shared" si="9"/>
        <v>680326.28205128212</v>
      </c>
      <c r="M169" s="28">
        <f t="shared" si="10"/>
        <v>732659.07297830377</v>
      </c>
      <c r="N169" s="28">
        <f t="shared" si="11"/>
        <v>784991.86390532553</v>
      </c>
      <c r="O169" s="28">
        <f t="shared" si="12"/>
        <v>837324.65483234718</v>
      </c>
      <c r="P169" s="28">
        <f t="shared" si="13"/>
        <v>889657.44575936883</v>
      </c>
      <c r="Q169" s="28">
        <f t="shared" si="14"/>
        <v>941990.23668639059</v>
      </c>
      <c r="R169" s="28">
        <f t="shared" si="15"/>
        <v>994323.02761341224</v>
      </c>
      <c r="S169" s="28">
        <f t="shared" si="16"/>
        <v>1046655.818540434</v>
      </c>
      <c r="T169" s="28">
        <f t="shared" si="17"/>
        <v>1098988.6094674557</v>
      </c>
      <c r="U169" s="28">
        <f t="shared" si="18"/>
        <v>1151321.4003944774</v>
      </c>
      <c r="V169" s="28">
        <f t="shared" si="19"/>
        <v>1203654.1913214992</v>
      </c>
      <c r="W169" s="28">
        <f t="shared" si="20"/>
        <v>1255986.9822485207</v>
      </c>
    </row>
    <row r="170" spans="1:23" x14ac:dyDescent="0.2">
      <c r="A170" s="28">
        <v>169</v>
      </c>
      <c r="B170" s="28">
        <v>21343.76862745098</v>
      </c>
      <c r="C170" s="28">
        <f t="shared" si="0"/>
        <v>213437.68627450979</v>
      </c>
      <c r="D170" s="28">
        <f t="shared" si="1"/>
        <v>266797.10784313723</v>
      </c>
      <c r="E170" s="28">
        <f t="shared" si="2"/>
        <v>320156.5294117647</v>
      </c>
      <c r="F170" s="28">
        <f t="shared" si="3"/>
        <v>373515.95098039211</v>
      </c>
      <c r="G170" s="28">
        <f t="shared" si="4"/>
        <v>426875.37254901958</v>
      </c>
      <c r="H170" s="28">
        <f t="shared" si="5"/>
        <v>480234.79411764705</v>
      </c>
      <c r="I170" s="28">
        <f t="shared" si="6"/>
        <v>533594.21568627446</v>
      </c>
      <c r="J170" s="28">
        <f t="shared" si="7"/>
        <v>586953.63725490193</v>
      </c>
      <c r="K170" s="28">
        <f t="shared" si="8"/>
        <v>640313.0588235294</v>
      </c>
      <c r="L170" s="28">
        <f t="shared" si="9"/>
        <v>693672.48039215687</v>
      </c>
      <c r="M170" s="28">
        <f t="shared" si="10"/>
        <v>747031.90196078422</v>
      </c>
      <c r="N170" s="28">
        <f t="shared" si="11"/>
        <v>800391.32352941169</v>
      </c>
      <c r="O170" s="28">
        <f t="shared" si="12"/>
        <v>853750.74509803916</v>
      </c>
      <c r="P170" s="28">
        <f t="shared" si="13"/>
        <v>907110.16666666663</v>
      </c>
      <c r="Q170" s="28">
        <f t="shared" si="14"/>
        <v>960469.5882352941</v>
      </c>
      <c r="R170" s="28">
        <f t="shared" si="15"/>
        <v>1013829.0098039214</v>
      </c>
      <c r="S170" s="28">
        <f t="shared" si="16"/>
        <v>1067188.4313725489</v>
      </c>
      <c r="T170" s="28">
        <f t="shared" si="17"/>
        <v>1120547.8529411764</v>
      </c>
      <c r="U170" s="28">
        <f t="shared" si="18"/>
        <v>1173907.2745098039</v>
      </c>
      <c r="V170" s="28">
        <f t="shared" si="19"/>
        <v>1227266.6960784313</v>
      </c>
      <c r="W170" s="28">
        <f t="shared" si="20"/>
        <v>1280626.1176470588</v>
      </c>
    </row>
    <row r="171" spans="1:23" x14ac:dyDescent="0.2">
      <c r="A171" s="28">
        <v>170</v>
      </c>
      <c r="B171" s="28">
        <v>21768.842105263157</v>
      </c>
      <c r="C171" s="28">
        <f t="shared" si="0"/>
        <v>217688.42105263157</v>
      </c>
      <c r="D171" s="28">
        <f t="shared" si="1"/>
        <v>272110.52631578944</v>
      </c>
      <c r="E171" s="28">
        <f t="shared" si="2"/>
        <v>326532.63157894736</v>
      </c>
      <c r="F171" s="28">
        <f t="shared" si="3"/>
        <v>380954.73684210528</v>
      </c>
      <c r="G171" s="28">
        <f t="shared" si="4"/>
        <v>435376.84210526315</v>
      </c>
      <c r="H171" s="28">
        <f t="shared" si="5"/>
        <v>489798.94736842101</v>
      </c>
      <c r="I171" s="28">
        <f t="shared" si="6"/>
        <v>544221.05263157887</v>
      </c>
      <c r="J171" s="28">
        <f t="shared" si="7"/>
        <v>598643.15789473685</v>
      </c>
      <c r="K171" s="28">
        <f t="shared" si="8"/>
        <v>653065.26315789472</v>
      </c>
      <c r="L171" s="28">
        <f t="shared" si="9"/>
        <v>707487.36842105258</v>
      </c>
      <c r="M171" s="28">
        <f t="shared" si="10"/>
        <v>761909.47368421056</v>
      </c>
      <c r="N171" s="28">
        <f t="shared" si="11"/>
        <v>816331.57894736843</v>
      </c>
      <c r="O171" s="28">
        <f t="shared" si="12"/>
        <v>870753.68421052629</v>
      </c>
      <c r="P171" s="28">
        <f t="shared" si="13"/>
        <v>925175.78947368416</v>
      </c>
      <c r="Q171" s="28">
        <f t="shared" si="14"/>
        <v>979597.89473684202</v>
      </c>
      <c r="R171" s="28">
        <f t="shared" si="15"/>
        <v>1034020</v>
      </c>
      <c r="S171" s="28">
        <f t="shared" si="16"/>
        <v>1088442.1052631577</v>
      </c>
      <c r="T171" s="28">
        <f t="shared" si="17"/>
        <v>1142864.2105263157</v>
      </c>
      <c r="U171" s="28">
        <f t="shared" si="18"/>
        <v>1197286.3157894737</v>
      </c>
      <c r="V171" s="28">
        <f t="shared" si="19"/>
        <v>1251708.4210526315</v>
      </c>
      <c r="W171" s="28">
        <f t="shared" si="20"/>
        <v>1306130.5263157894</v>
      </c>
    </row>
    <row r="172" spans="1:23" x14ac:dyDescent="0.2">
      <c r="A172" s="28">
        <v>171</v>
      </c>
      <c r="B172" s="28">
        <v>22193.837209302328</v>
      </c>
      <c r="C172" s="28">
        <f t="shared" si="0"/>
        <v>221938.37209302327</v>
      </c>
      <c r="D172" s="28">
        <f t="shared" si="1"/>
        <v>277422.96511627908</v>
      </c>
      <c r="E172" s="28">
        <f t="shared" si="2"/>
        <v>332907.5581395349</v>
      </c>
      <c r="F172" s="28">
        <f t="shared" si="3"/>
        <v>388392.15116279072</v>
      </c>
      <c r="G172" s="28">
        <f t="shared" si="4"/>
        <v>443876.74418604653</v>
      </c>
      <c r="H172" s="28">
        <f t="shared" si="5"/>
        <v>499361.33720930235</v>
      </c>
      <c r="I172" s="28">
        <f t="shared" si="6"/>
        <v>554845.93023255817</v>
      </c>
      <c r="J172" s="28">
        <f t="shared" si="7"/>
        <v>610330.52325581398</v>
      </c>
      <c r="K172" s="28">
        <f t="shared" si="8"/>
        <v>665815.1162790698</v>
      </c>
      <c r="L172" s="28">
        <f t="shared" si="9"/>
        <v>721299.70930232562</v>
      </c>
      <c r="M172" s="28">
        <f t="shared" si="10"/>
        <v>776784.30232558143</v>
      </c>
      <c r="N172" s="28">
        <f t="shared" si="11"/>
        <v>832268.89534883725</v>
      </c>
      <c r="O172" s="28">
        <f t="shared" si="12"/>
        <v>887753.48837209307</v>
      </c>
      <c r="P172" s="28">
        <f t="shared" si="13"/>
        <v>943238.08139534888</v>
      </c>
      <c r="Q172" s="28">
        <f t="shared" si="14"/>
        <v>998722.6744186047</v>
      </c>
      <c r="R172" s="28">
        <f t="shared" si="15"/>
        <v>1054207.2674418604</v>
      </c>
      <c r="S172" s="28">
        <f t="shared" si="16"/>
        <v>1109691.8604651163</v>
      </c>
      <c r="T172" s="28">
        <f t="shared" si="17"/>
        <v>1165176.4534883723</v>
      </c>
      <c r="U172" s="28">
        <f t="shared" si="18"/>
        <v>1220661.046511628</v>
      </c>
      <c r="V172" s="28">
        <f t="shared" si="19"/>
        <v>1276145.6395348837</v>
      </c>
      <c r="W172" s="28">
        <f t="shared" si="20"/>
        <v>1331630.2325581396</v>
      </c>
    </row>
    <row r="173" spans="1:23" x14ac:dyDescent="0.2">
      <c r="A173" s="28">
        <v>172</v>
      </c>
      <c r="B173" s="28">
        <v>22633.996146435449</v>
      </c>
      <c r="C173" s="28">
        <f t="shared" si="0"/>
        <v>226339.96146435448</v>
      </c>
      <c r="D173" s="28">
        <f t="shared" si="1"/>
        <v>282924.95183044311</v>
      </c>
      <c r="E173" s="28">
        <f t="shared" si="2"/>
        <v>339509.94219653169</v>
      </c>
      <c r="F173" s="28">
        <f t="shared" si="3"/>
        <v>396094.93256262032</v>
      </c>
      <c r="G173" s="28">
        <f t="shared" si="4"/>
        <v>452679.92292870895</v>
      </c>
      <c r="H173" s="28">
        <f t="shared" si="5"/>
        <v>509264.91329479759</v>
      </c>
      <c r="I173" s="28">
        <f t="shared" si="6"/>
        <v>565849.90366088622</v>
      </c>
      <c r="J173" s="28">
        <f t="shared" si="7"/>
        <v>622434.8940269748</v>
      </c>
      <c r="K173" s="28">
        <f t="shared" si="8"/>
        <v>679019.88439306337</v>
      </c>
      <c r="L173" s="28">
        <f t="shared" si="9"/>
        <v>735604.87475915207</v>
      </c>
      <c r="M173" s="28">
        <f t="shared" si="10"/>
        <v>792189.86512524064</v>
      </c>
      <c r="N173" s="28">
        <f t="shared" si="11"/>
        <v>848774.85549132933</v>
      </c>
      <c r="O173" s="28">
        <f t="shared" si="12"/>
        <v>905359.84585741791</v>
      </c>
      <c r="P173" s="28">
        <f t="shared" si="13"/>
        <v>961944.83622350649</v>
      </c>
      <c r="Q173" s="28">
        <f t="shared" si="14"/>
        <v>1018529.8265895952</v>
      </c>
      <c r="R173" s="28">
        <f t="shared" si="15"/>
        <v>1075114.8169556838</v>
      </c>
      <c r="S173" s="28">
        <f t="shared" si="16"/>
        <v>1131699.8073217724</v>
      </c>
      <c r="T173" s="28">
        <f t="shared" si="17"/>
        <v>1188284.7976878609</v>
      </c>
      <c r="U173" s="28">
        <f t="shared" si="18"/>
        <v>1244869.7880539496</v>
      </c>
      <c r="V173" s="28">
        <f t="shared" si="19"/>
        <v>1301454.7784200383</v>
      </c>
      <c r="W173" s="28">
        <f t="shared" si="20"/>
        <v>1358039.7687861267</v>
      </c>
    </row>
    <row r="174" spans="1:23" x14ac:dyDescent="0.2">
      <c r="A174" s="28">
        <v>173</v>
      </c>
      <c r="B174" s="28">
        <v>23069.095785440612</v>
      </c>
      <c r="C174" s="28">
        <f t="shared" si="0"/>
        <v>230690.95785440612</v>
      </c>
      <c r="D174" s="28">
        <f t="shared" si="1"/>
        <v>288363.69731800765</v>
      </c>
      <c r="E174" s="28">
        <f t="shared" si="2"/>
        <v>346036.4367816092</v>
      </c>
      <c r="F174" s="28">
        <f t="shared" si="3"/>
        <v>403709.17624521069</v>
      </c>
      <c r="G174" s="28">
        <f t="shared" si="4"/>
        <v>461381.91570881224</v>
      </c>
      <c r="H174" s="28">
        <f t="shared" si="5"/>
        <v>519054.6551724138</v>
      </c>
      <c r="I174" s="28">
        <f t="shared" si="6"/>
        <v>576727.39463601529</v>
      </c>
      <c r="J174" s="28">
        <f t="shared" si="7"/>
        <v>634400.13409961679</v>
      </c>
      <c r="K174" s="28">
        <f t="shared" si="8"/>
        <v>692072.8735632184</v>
      </c>
      <c r="L174" s="28">
        <f t="shared" si="9"/>
        <v>749745.61302681989</v>
      </c>
      <c r="M174" s="28">
        <f t="shared" si="10"/>
        <v>807418.35249042138</v>
      </c>
      <c r="N174" s="28">
        <f t="shared" si="11"/>
        <v>865091.091954023</v>
      </c>
      <c r="O174" s="28">
        <f t="shared" si="12"/>
        <v>922763.83141762449</v>
      </c>
      <c r="P174" s="28">
        <f t="shared" si="13"/>
        <v>980436.57088122598</v>
      </c>
      <c r="Q174" s="28">
        <f t="shared" si="14"/>
        <v>1038109.3103448276</v>
      </c>
      <c r="R174" s="28">
        <f t="shared" si="15"/>
        <v>1095782.0498084291</v>
      </c>
      <c r="S174" s="28">
        <f t="shared" si="16"/>
        <v>1153454.7892720306</v>
      </c>
      <c r="T174" s="28">
        <f t="shared" si="17"/>
        <v>1211127.5287356321</v>
      </c>
      <c r="U174" s="28">
        <f t="shared" si="18"/>
        <v>1268800.2681992336</v>
      </c>
      <c r="V174" s="28">
        <f t="shared" si="19"/>
        <v>1326473.0076628353</v>
      </c>
      <c r="W174" s="28">
        <f t="shared" si="20"/>
        <v>1384145.7471264368</v>
      </c>
    </row>
    <row r="175" spans="1:23" x14ac:dyDescent="0.2">
      <c r="A175" s="28">
        <v>174</v>
      </c>
      <c r="B175" s="28">
        <v>23524.529523809524</v>
      </c>
      <c r="C175" s="28">
        <f t="shared" si="0"/>
        <v>235245.29523809525</v>
      </c>
      <c r="D175" s="28">
        <f t="shared" si="1"/>
        <v>294056.61904761905</v>
      </c>
      <c r="E175" s="28">
        <f t="shared" si="2"/>
        <v>352867.94285714289</v>
      </c>
      <c r="F175" s="28">
        <f t="shared" si="3"/>
        <v>411679.26666666666</v>
      </c>
      <c r="G175" s="28">
        <f t="shared" si="4"/>
        <v>470490.5904761905</v>
      </c>
      <c r="H175" s="28">
        <f t="shared" si="5"/>
        <v>529301.91428571427</v>
      </c>
      <c r="I175" s="28">
        <f t="shared" si="6"/>
        <v>588113.23809523811</v>
      </c>
      <c r="J175" s="28">
        <f t="shared" si="7"/>
        <v>646924.56190476194</v>
      </c>
      <c r="K175" s="28">
        <f t="shared" si="8"/>
        <v>705735.88571428577</v>
      </c>
      <c r="L175" s="28">
        <f t="shared" si="9"/>
        <v>764547.20952380961</v>
      </c>
      <c r="M175" s="28">
        <f t="shared" si="10"/>
        <v>823358.53333333333</v>
      </c>
      <c r="N175" s="28">
        <f t="shared" si="11"/>
        <v>882169.85714285716</v>
      </c>
      <c r="O175" s="28">
        <f t="shared" si="12"/>
        <v>940981.18095238099</v>
      </c>
      <c r="P175" s="28">
        <f t="shared" si="13"/>
        <v>999792.50476190483</v>
      </c>
      <c r="Q175" s="28">
        <f t="shared" si="14"/>
        <v>1058603.8285714285</v>
      </c>
      <c r="R175" s="28">
        <f t="shared" si="15"/>
        <v>1117415.1523809524</v>
      </c>
      <c r="S175" s="28">
        <f t="shared" si="16"/>
        <v>1176226.4761904762</v>
      </c>
      <c r="T175" s="28">
        <f t="shared" si="17"/>
        <v>1235037.8</v>
      </c>
      <c r="U175" s="28">
        <f t="shared" si="18"/>
        <v>1293849.1238095239</v>
      </c>
      <c r="V175" s="28">
        <f t="shared" si="19"/>
        <v>1352660.4476190477</v>
      </c>
      <c r="W175" s="28">
        <f t="shared" si="20"/>
        <v>1411471.7714285715</v>
      </c>
    </row>
    <row r="176" spans="1:23" x14ac:dyDescent="0.2">
      <c r="A176" s="28">
        <v>175</v>
      </c>
      <c r="B176" s="28">
        <v>23974.78787878788</v>
      </c>
      <c r="C176" s="28">
        <f t="shared" si="0"/>
        <v>239747.87878787878</v>
      </c>
      <c r="D176" s="28">
        <f t="shared" si="1"/>
        <v>299684.84848484851</v>
      </c>
      <c r="E176" s="28">
        <f t="shared" si="2"/>
        <v>359621.81818181818</v>
      </c>
      <c r="F176" s="28">
        <f t="shared" si="3"/>
        <v>419558.78787878784</v>
      </c>
      <c r="G176" s="28">
        <f t="shared" si="4"/>
        <v>479495.75757575757</v>
      </c>
      <c r="H176" s="28">
        <f t="shared" si="5"/>
        <v>539432.72727272729</v>
      </c>
      <c r="I176" s="28">
        <f t="shared" si="6"/>
        <v>599369.69696969702</v>
      </c>
      <c r="J176" s="28">
        <f t="shared" si="7"/>
        <v>659306.66666666663</v>
      </c>
      <c r="K176" s="28">
        <f t="shared" si="8"/>
        <v>719243.63636363635</v>
      </c>
      <c r="L176" s="28">
        <f t="shared" si="9"/>
        <v>779180.60606060608</v>
      </c>
      <c r="M176" s="28">
        <f t="shared" si="10"/>
        <v>839117.57575757569</v>
      </c>
      <c r="N176" s="28">
        <f t="shared" si="11"/>
        <v>899054.54545454541</v>
      </c>
      <c r="O176" s="28">
        <f t="shared" si="12"/>
        <v>958991.51515151514</v>
      </c>
      <c r="P176" s="28">
        <f t="shared" si="13"/>
        <v>1018928.4848484849</v>
      </c>
      <c r="Q176" s="28">
        <f t="shared" si="14"/>
        <v>1078865.4545454546</v>
      </c>
      <c r="R176" s="28">
        <f t="shared" si="15"/>
        <v>1138802.4242424243</v>
      </c>
      <c r="S176" s="28">
        <f t="shared" si="16"/>
        <v>1198739.393939394</v>
      </c>
      <c r="T176" s="28">
        <f t="shared" si="17"/>
        <v>1258676.3636363635</v>
      </c>
      <c r="U176" s="28">
        <f t="shared" si="18"/>
        <v>1318613.3333333333</v>
      </c>
      <c r="V176" s="28">
        <f t="shared" si="19"/>
        <v>1378550.303030303</v>
      </c>
      <c r="W176" s="28">
        <f t="shared" si="20"/>
        <v>1438487.2727272727</v>
      </c>
    </row>
    <row r="177" spans="1:23" x14ac:dyDescent="0.2">
      <c r="A177" s="28">
        <v>176</v>
      </c>
      <c r="B177" s="28">
        <v>24441.058380414313</v>
      </c>
      <c r="C177" s="28">
        <f t="shared" si="0"/>
        <v>244410.58380414313</v>
      </c>
      <c r="D177" s="28">
        <f t="shared" si="1"/>
        <v>305513.22975517891</v>
      </c>
      <c r="E177" s="28">
        <f t="shared" si="2"/>
        <v>366615.87570621469</v>
      </c>
      <c r="F177" s="28">
        <f t="shared" si="3"/>
        <v>427718.52165725047</v>
      </c>
      <c r="G177" s="28">
        <f t="shared" si="4"/>
        <v>488821.16760828625</v>
      </c>
      <c r="H177" s="28">
        <f t="shared" si="5"/>
        <v>549923.81355932204</v>
      </c>
      <c r="I177" s="28">
        <f t="shared" si="6"/>
        <v>611026.45951035782</v>
      </c>
      <c r="J177" s="28">
        <f t="shared" si="7"/>
        <v>672129.1054613936</v>
      </c>
      <c r="K177" s="28">
        <f t="shared" si="8"/>
        <v>733231.75141242938</v>
      </c>
      <c r="L177" s="28">
        <f t="shared" si="9"/>
        <v>794334.39736346516</v>
      </c>
      <c r="M177" s="28">
        <f t="shared" si="10"/>
        <v>855437.04331450094</v>
      </c>
      <c r="N177" s="28">
        <f t="shared" si="11"/>
        <v>916539.68926553673</v>
      </c>
      <c r="O177" s="28">
        <f t="shared" si="12"/>
        <v>977642.33521657251</v>
      </c>
      <c r="P177" s="28">
        <f t="shared" si="13"/>
        <v>1038744.9811676083</v>
      </c>
      <c r="Q177" s="28">
        <f t="shared" si="14"/>
        <v>1099847.6271186441</v>
      </c>
      <c r="R177" s="28">
        <f t="shared" si="15"/>
        <v>1160950.2730696797</v>
      </c>
      <c r="S177" s="28">
        <f t="shared" si="16"/>
        <v>1222052.9190207156</v>
      </c>
      <c r="T177" s="28">
        <f t="shared" si="17"/>
        <v>1283155.5649717515</v>
      </c>
      <c r="U177" s="28">
        <f t="shared" si="18"/>
        <v>1344258.2109227872</v>
      </c>
      <c r="V177" s="28">
        <f t="shared" si="19"/>
        <v>1405360.8568738229</v>
      </c>
      <c r="W177" s="28">
        <f t="shared" si="20"/>
        <v>1466463.5028248588</v>
      </c>
    </row>
    <row r="178" spans="1:23" x14ac:dyDescent="0.2">
      <c r="A178" s="28">
        <v>177</v>
      </c>
      <c r="B178" s="28">
        <v>24907.123595505615</v>
      </c>
      <c r="C178" s="28">
        <f t="shared" si="0"/>
        <v>249071.23595505615</v>
      </c>
      <c r="D178" s="28">
        <f t="shared" si="1"/>
        <v>311339.04494382022</v>
      </c>
      <c r="E178" s="28">
        <f t="shared" si="2"/>
        <v>373606.85393258423</v>
      </c>
      <c r="F178" s="28">
        <f t="shared" si="3"/>
        <v>435874.66292134824</v>
      </c>
      <c r="G178" s="28">
        <f t="shared" si="4"/>
        <v>498142.4719101123</v>
      </c>
      <c r="H178" s="28">
        <f t="shared" si="5"/>
        <v>560410.28089887637</v>
      </c>
      <c r="I178" s="28">
        <f t="shared" si="6"/>
        <v>622678.08988764044</v>
      </c>
      <c r="J178" s="28">
        <f t="shared" si="7"/>
        <v>684945.89887640439</v>
      </c>
      <c r="K178" s="28">
        <f t="shared" si="8"/>
        <v>747213.70786516846</v>
      </c>
      <c r="L178" s="28">
        <f t="shared" si="9"/>
        <v>809481.51685393252</v>
      </c>
      <c r="M178" s="28">
        <f t="shared" si="10"/>
        <v>871749.32584269647</v>
      </c>
      <c r="N178" s="28">
        <f t="shared" si="11"/>
        <v>934017.13483146054</v>
      </c>
      <c r="O178" s="28">
        <f t="shared" si="12"/>
        <v>996284.94382022461</v>
      </c>
      <c r="P178" s="28">
        <f t="shared" si="13"/>
        <v>1058552.7528089886</v>
      </c>
      <c r="Q178" s="28">
        <f t="shared" si="14"/>
        <v>1120820.5617977527</v>
      </c>
      <c r="R178" s="28">
        <f t="shared" si="15"/>
        <v>1183088.3707865167</v>
      </c>
      <c r="S178" s="28">
        <f t="shared" si="16"/>
        <v>1245356.1797752809</v>
      </c>
      <c r="T178" s="28">
        <f t="shared" si="17"/>
        <v>1307623.9887640448</v>
      </c>
      <c r="U178" s="28">
        <f t="shared" si="18"/>
        <v>1369891.7977528088</v>
      </c>
      <c r="V178" s="28">
        <f t="shared" si="19"/>
        <v>1432159.606741573</v>
      </c>
      <c r="W178" s="28">
        <f t="shared" si="20"/>
        <v>1494427.4157303369</v>
      </c>
    </row>
    <row r="179" spans="1:23" x14ac:dyDescent="0.2">
      <c r="A179" s="28">
        <v>178</v>
      </c>
      <c r="B179" s="28">
        <v>25388.849162011174</v>
      </c>
      <c r="C179" s="28">
        <f t="shared" si="0"/>
        <v>253888.49162011174</v>
      </c>
      <c r="D179" s="28">
        <f t="shared" si="1"/>
        <v>317360.61452513968</v>
      </c>
      <c r="E179" s="28">
        <f t="shared" si="2"/>
        <v>380832.73743016762</v>
      </c>
      <c r="F179" s="28">
        <f t="shared" si="3"/>
        <v>444304.86033519555</v>
      </c>
      <c r="G179" s="28">
        <f t="shared" si="4"/>
        <v>507776.98324022349</v>
      </c>
      <c r="H179" s="28">
        <f t="shared" si="5"/>
        <v>571249.10614525143</v>
      </c>
      <c r="I179" s="28">
        <f t="shared" si="6"/>
        <v>634721.22905027936</v>
      </c>
      <c r="J179" s="28">
        <f t="shared" si="7"/>
        <v>698193.3519553073</v>
      </c>
      <c r="K179" s="28">
        <f t="shared" si="8"/>
        <v>761665.47486033523</v>
      </c>
      <c r="L179" s="28">
        <f t="shared" si="9"/>
        <v>825137.59776536317</v>
      </c>
      <c r="M179" s="28">
        <f t="shared" si="10"/>
        <v>888609.72067039111</v>
      </c>
      <c r="N179" s="28">
        <f t="shared" si="11"/>
        <v>952081.84357541904</v>
      </c>
      <c r="O179" s="28">
        <f t="shared" si="12"/>
        <v>1015553.966480447</v>
      </c>
      <c r="P179" s="28">
        <f t="shared" si="13"/>
        <v>1079026.089385475</v>
      </c>
      <c r="Q179" s="28">
        <f t="shared" si="14"/>
        <v>1142498.2122905029</v>
      </c>
      <c r="R179" s="28">
        <f t="shared" si="15"/>
        <v>1205970.3351955307</v>
      </c>
      <c r="S179" s="28">
        <f t="shared" si="16"/>
        <v>1269442.4581005587</v>
      </c>
      <c r="T179" s="28">
        <f t="shared" si="17"/>
        <v>1332914.5810055868</v>
      </c>
      <c r="U179" s="28">
        <f t="shared" si="18"/>
        <v>1396386.7039106146</v>
      </c>
      <c r="V179" s="28">
        <f t="shared" si="19"/>
        <v>1459858.8268156424</v>
      </c>
      <c r="W179" s="28">
        <f t="shared" si="20"/>
        <v>1523330.9497206705</v>
      </c>
    </row>
    <row r="180" spans="1:23" x14ac:dyDescent="0.2">
      <c r="A180" s="28">
        <v>179</v>
      </c>
      <c r="B180" s="28">
        <v>25865.222222222223</v>
      </c>
      <c r="C180" s="28">
        <f t="shared" si="0"/>
        <v>258652.22222222222</v>
      </c>
      <c r="D180" s="28">
        <f t="shared" si="1"/>
        <v>323315.27777777775</v>
      </c>
      <c r="E180" s="28">
        <f t="shared" si="2"/>
        <v>387978.33333333331</v>
      </c>
      <c r="F180" s="28">
        <f t="shared" si="3"/>
        <v>452641.38888888888</v>
      </c>
      <c r="G180" s="28">
        <f t="shared" si="4"/>
        <v>517304.44444444444</v>
      </c>
      <c r="H180" s="28">
        <f t="shared" si="5"/>
        <v>581967.5</v>
      </c>
      <c r="I180" s="28">
        <f t="shared" si="6"/>
        <v>646630.5555555555</v>
      </c>
      <c r="J180" s="28">
        <f t="shared" si="7"/>
        <v>711293.61111111112</v>
      </c>
      <c r="K180" s="28">
        <f t="shared" si="8"/>
        <v>775956.66666666663</v>
      </c>
      <c r="L180" s="28">
        <f t="shared" si="9"/>
        <v>840619.72222222225</v>
      </c>
      <c r="M180" s="28">
        <f t="shared" si="10"/>
        <v>905282.77777777775</v>
      </c>
      <c r="N180" s="28">
        <f t="shared" si="11"/>
        <v>969945.83333333337</v>
      </c>
      <c r="O180" s="28">
        <f t="shared" si="12"/>
        <v>1034608.8888888889</v>
      </c>
      <c r="P180" s="28">
        <f t="shared" si="13"/>
        <v>1099271.9444444445</v>
      </c>
      <c r="Q180" s="28">
        <f t="shared" si="14"/>
        <v>1163935</v>
      </c>
      <c r="R180" s="28">
        <f t="shared" si="15"/>
        <v>1228598.0555555555</v>
      </c>
      <c r="S180" s="28">
        <f t="shared" si="16"/>
        <v>1293261.111111111</v>
      </c>
      <c r="T180" s="28">
        <f t="shared" si="17"/>
        <v>1357924.1666666667</v>
      </c>
      <c r="U180" s="28">
        <f t="shared" si="18"/>
        <v>1422587.2222222222</v>
      </c>
      <c r="V180" s="28">
        <f t="shared" si="19"/>
        <v>1487250.2777777778</v>
      </c>
      <c r="W180" s="28">
        <f t="shared" si="20"/>
        <v>1551913.3333333333</v>
      </c>
    </row>
    <row r="181" spans="1:23" x14ac:dyDescent="0.2">
      <c r="A181" s="28">
        <v>180</v>
      </c>
      <c r="B181" s="28">
        <v>26363.959484346222</v>
      </c>
      <c r="C181" s="28">
        <f t="shared" si="0"/>
        <v>263639.59484346223</v>
      </c>
      <c r="D181" s="28">
        <f t="shared" si="1"/>
        <v>329549.49355432775</v>
      </c>
      <c r="E181" s="28">
        <f t="shared" si="2"/>
        <v>395459.39226519334</v>
      </c>
      <c r="F181" s="28">
        <f t="shared" si="3"/>
        <v>461369.29097605892</v>
      </c>
      <c r="G181" s="28">
        <f t="shared" si="4"/>
        <v>527279.18968692445</v>
      </c>
      <c r="H181" s="28">
        <f t="shared" si="5"/>
        <v>593189.08839778998</v>
      </c>
      <c r="I181" s="28">
        <f t="shared" si="6"/>
        <v>659098.98710865551</v>
      </c>
      <c r="J181" s="28">
        <f t="shared" si="7"/>
        <v>725008.88581952115</v>
      </c>
      <c r="K181" s="28">
        <f t="shared" si="8"/>
        <v>790918.78453038668</v>
      </c>
      <c r="L181" s="28">
        <f t="shared" si="9"/>
        <v>856828.68324125221</v>
      </c>
      <c r="M181" s="28">
        <f t="shared" si="10"/>
        <v>922738.58195211785</v>
      </c>
      <c r="N181" s="28">
        <f t="shared" si="11"/>
        <v>988648.48066298338</v>
      </c>
      <c r="O181" s="28">
        <f t="shared" si="12"/>
        <v>1054558.3793738489</v>
      </c>
      <c r="P181" s="28">
        <f t="shared" si="13"/>
        <v>1120468.2780847144</v>
      </c>
      <c r="Q181" s="28">
        <f t="shared" si="14"/>
        <v>1186378.17679558</v>
      </c>
      <c r="R181" s="28">
        <f t="shared" si="15"/>
        <v>1252288.0755064455</v>
      </c>
      <c r="S181" s="28">
        <f t="shared" si="16"/>
        <v>1318197.974217311</v>
      </c>
      <c r="T181" s="28">
        <f t="shared" si="17"/>
        <v>1384107.8729281768</v>
      </c>
      <c r="U181" s="28">
        <f t="shared" si="18"/>
        <v>1450017.7716390423</v>
      </c>
      <c r="V181" s="28">
        <f t="shared" si="19"/>
        <v>1515927.6703499078</v>
      </c>
      <c r="W181" s="28">
        <f t="shared" si="20"/>
        <v>1581837.5690607734</v>
      </c>
    </row>
    <row r="182" spans="1:23" x14ac:dyDescent="0.2">
      <c r="A182" s="28">
        <v>181</v>
      </c>
      <c r="B182" s="28">
        <v>26857.216117216114</v>
      </c>
      <c r="C182" s="28">
        <f t="shared" si="0"/>
        <v>268572.16117216111</v>
      </c>
      <c r="D182" s="28">
        <f t="shared" si="1"/>
        <v>335715.20146520139</v>
      </c>
      <c r="E182" s="28">
        <f t="shared" si="2"/>
        <v>402858.24175824167</v>
      </c>
      <c r="F182" s="28">
        <f t="shared" si="3"/>
        <v>470001.28205128195</v>
      </c>
      <c r="G182" s="28">
        <f t="shared" si="4"/>
        <v>537144.32234432222</v>
      </c>
      <c r="H182" s="28">
        <f t="shared" si="5"/>
        <v>604287.36263736244</v>
      </c>
      <c r="I182" s="28">
        <f t="shared" si="6"/>
        <v>671430.40293040278</v>
      </c>
      <c r="J182" s="28">
        <f t="shared" si="7"/>
        <v>738573.44322344312</v>
      </c>
      <c r="K182" s="28">
        <f t="shared" si="8"/>
        <v>805716.48351648333</v>
      </c>
      <c r="L182" s="28">
        <f t="shared" si="9"/>
        <v>872859.52380952355</v>
      </c>
      <c r="M182" s="28">
        <f t="shared" si="10"/>
        <v>940002.56410256389</v>
      </c>
      <c r="N182" s="28">
        <f t="shared" si="11"/>
        <v>1007145.6043956042</v>
      </c>
      <c r="O182" s="28">
        <f t="shared" si="12"/>
        <v>1074288.6446886444</v>
      </c>
      <c r="P182" s="28">
        <f t="shared" si="13"/>
        <v>1141431.6849816847</v>
      </c>
      <c r="Q182" s="28">
        <f t="shared" si="14"/>
        <v>1208574.7252747249</v>
      </c>
      <c r="R182" s="28">
        <f t="shared" si="15"/>
        <v>1275717.7655677653</v>
      </c>
      <c r="S182" s="28">
        <f t="shared" si="16"/>
        <v>1342860.8058608056</v>
      </c>
      <c r="T182" s="28">
        <f t="shared" si="17"/>
        <v>1410003.8461538458</v>
      </c>
      <c r="U182" s="28">
        <f t="shared" si="18"/>
        <v>1477146.8864468862</v>
      </c>
      <c r="V182" s="28">
        <f t="shared" si="19"/>
        <v>1544289.9267399264</v>
      </c>
      <c r="W182" s="28">
        <f t="shared" si="20"/>
        <v>1611432.9670329667</v>
      </c>
    </row>
    <row r="183" spans="1:23" x14ac:dyDescent="0.2">
      <c r="A183" s="28">
        <v>182</v>
      </c>
      <c r="B183" s="28">
        <v>27367.009107468126</v>
      </c>
      <c r="C183" s="28">
        <f t="shared" si="0"/>
        <v>273670.09107468126</v>
      </c>
      <c r="D183" s="28">
        <f t="shared" si="1"/>
        <v>342087.6138433516</v>
      </c>
      <c r="E183" s="28">
        <f t="shared" si="2"/>
        <v>410505.13661202189</v>
      </c>
      <c r="F183" s="28">
        <f t="shared" si="3"/>
        <v>478922.65938069217</v>
      </c>
      <c r="G183" s="28">
        <f t="shared" si="4"/>
        <v>547340.18214936252</v>
      </c>
      <c r="H183" s="28">
        <f t="shared" si="5"/>
        <v>615757.70491803286</v>
      </c>
      <c r="I183" s="28">
        <f t="shared" si="6"/>
        <v>684175.22768670321</v>
      </c>
      <c r="J183" s="28">
        <f t="shared" si="7"/>
        <v>752592.75045537343</v>
      </c>
      <c r="K183" s="28">
        <f t="shared" si="8"/>
        <v>821010.27322404378</v>
      </c>
      <c r="L183" s="28">
        <f t="shared" si="9"/>
        <v>889427.79599271412</v>
      </c>
      <c r="M183" s="28">
        <f t="shared" si="10"/>
        <v>957845.31876138435</v>
      </c>
      <c r="N183" s="28">
        <f t="shared" si="11"/>
        <v>1026262.8415300547</v>
      </c>
      <c r="O183" s="28">
        <f t="shared" si="12"/>
        <v>1094680.364298725</v>
      </c>
      <c r="P183" s="28">
        <f t="shared" si="13"/>
        <v>1163097.8870673953</v>
      </c>
      <c r="Q183" s="28">
        <f t="shared" si="14"/>
        <v>1231515.4098360657</v>
      </c>
      <c r="R183" s="28">
        <f t="shared" si="15"/>
        <v>1299932.932604736</v>
      </c>
      <c r="S183" s="28">
        <f t="shared" si="16"/>
        <v>1368350.4553734064</v>
      </c>
      <c r="T183" s="28">
        <f t="shared" si="17"/>
        <v>1436767.9781420766</v>
      </c>
      <c r="U183" s="28">
        <f t="shared" si="18"/>
        <v>1505185.5009107469</v>
      </c>
      <c r="V183" s="28">
        <f t="shared" si="19"/>
        <v>1573603.0236794173</v>
      </c>
      <c r="W183" s="28">
        <f t="shared" si="20"/>
        <v>1642020.5464480876</v>
      </c>
    </row>
    <row r="184" spans="1:23" x14ac:dyDescent="0.2">
      <c r="A184" s="28">
        <v>183</v>
      </c>
      <c r="B184" s="28">
        <v>27876.634057971012</v>
      </c>
      <c r="C184" s="28">
        <f t="shared" si="0"/>
        <v>278766.34057971014</v>
      </c>
      <c r="D184" s="28">
        <f t="shared" si="1"/>
        <v>348457.92572463769</v>
      </c>
      <c r="E184" s="28">
        <f t="shared" si="2"/>
        <v>418149.51086956519</v>
      </c>
      <c r="F184" s="28">
        <f t="shared" si="3"/>
        <v>487841.09601449274</v>
      </c>
      <c r="G184" s="28">
        <f t="shared" si="4"/>
        <v>557532.68115942029</v>
      </c>
      <c r="H184" s="28">
        <f t="shared" si="5"/>
        <v>627224.26630434778</v>
      </c>
      <c r="I184" s="28">
        <f t="shared" si="6"/>
        <v>696915.85144927539</v>
      </c>
      <c r="J184" s="28">
        <f t="shared" si="7"/>
        <v>766607.43659420288</v>
      </c>
      <c r="K184" s="28">
        <f t="shared" si="8"/>
        <v>836299.02173913037</v>
      </c>
      <c r="L184" s="28">
        <f t="shared" si="9"/>
        <v>905990.60688405798</v>
      </c>
      <c r="M184" s="28">
        <f t="shared" si="10"/>
        <v>975682.19202898548</v>
      </c>
      <c r="N184" s="28">
        <f t="shared" si="11"/>
        <v>1045373.7771739131</v>
      </c>
      <c r="O184" s="28">
        <f t="shared" si="12"/>
        <v>1115065.3623188406</v>
      </c>
      <c r="P184" s="28">
        <f t="shared" si="13"/>
        <v>1184756.9474637681</v>
      </c>
      <c r="Q184" s="28">
        <f t="shared" si="14"/>
        <v>1254448.5326086956</v>
      </c>
      <c r="R184" s="28">
        <f t="shared" si="15"/>
        <v>1324140.1177536233</v>
      </c>
      <c r="S184" s="28">
        <f t="shared" si="16"/>
        <v>1393831.7028985508</v>
      </c>
      <c r="T184" s="28">
        <f t="shared" si="17"/>
        <v>1463523.2880434783</v>
      </c>
      <c r="U184" s="28">
        <f t="shared" si="18"/>
        <v>1533214.8731884058</v>
      </c>
      <c r="V184" s="28">
        <f t="shared" si="19"/>
        <v>1602906.4583333333</v>
      </c>
      <c r="W184" s="28">
        <f t="shared" si="20"/>
        <v>1672598.0434782607</v>
      </c>
    </row>
    <row r="185" spans="1:23" x14ac:dyDescent="0.2">
      <c r="A185" s="28">
        <v>184</v>
      </c>
      <c r="B185" s="28">
        <v>28403.661261261263</v>
      </c>
      <c r="C185" s="28">
        <f t="shared" si="0"/>
        <v>284036.6126126126</v>
      </c>
      <c r="D185" s="28">
        <f t="shared" si="1"/>
        <v>355045.76576576574</v>
      </c>
      <c r="E185" s="28">
        <f t="shared" si="2"/>
        <v>426054.91891891893</v>
      </c>
      <c r="F185" s="28">
        <f t="shared" si="3"/>
        <v>497064.07207207207</v>
      </c>
      <c r="G185" s="28">
        <f t="shared" si="4"/>
        <v>568073.22522522521</v>
      </c>
      <c r="H185" s="28">
        <f t="shared" si="5"/>
        <v>639082.37837837834</v>
      </c>
      <c r="I185" s="28">
        <f t="shared" si="6"/>
        <v>710091.53153153148</v>
      </c>
      <c r="J185" s="28">
        <f t="shared" si="7"/>
        <v>781100.68468468462</v>
      </c>
      <c r="K185" s="28">
        <f t="shared" si="8"/>
        <v>852109.83783783787</v>
      </c>
      <c r="L185" s="28">
        <f t="shared" si="9"/>
        <v>923118.99099099101</v>
      </c>
      <c r="M185" s="28">
        <f t="shared" si="10"/>
        <v>994128.14414414414</v>
      </c>
      <c r="N185" s="28">
        <f t="shared" si="11"/>
        <v>1065137.2972972973</v>
      </c>
      <c r="O185" s="28">
        <f t="shared" si="12"/>
        <v>1136146.4504504504</v>
      </c>
      <c r="P185" s="28">
        <f t="shared" si="13"/>
        <v>1207155.6036036036</v>
      </c>
      <c r="Q185" s="28">
        <f t="shared" si="14"/>
        <v>1278164.7567567567</v>
      </c>
      <c r="R185" s="28">
        <f t="shared" si="15"/>
        <v>1349173.9099099098</v>
      </c>
      <c r="S185" s="28">
        <f t="shared" si="16"/>
        <v>1420183.063063063</v>
      </c>
      <c r="T185" s="28">
        <f t="shared" si="17"/>
        <v>1491192.2162162161</v>
      </c>
      <c r="U185" s="28">
        <f t="shared" si="18"/>
        <v>1562201.3693693692</v>
      </c>
      <c r="V185" s="28">
        <f t="shared" si="19"/>
        <v>1633210.5225225224</v>
      </c>
      <c r="W185" s="28">
        <f t="shared" si="20"/>
        <v>1704219.6756756757</v>
      </c>
    </row>
    <row r="186" spans="1:23" x14ac:dyDescent="0.2">
      <c r="A186" s="28">
        <v>185</v>
      </c>
      <c r="B186" s="28">
        <v>28925.021505376342</v>
      </c>
      <c r="C186" s="28">
        <f t="shared" si="0"/>
        <v>289250.21505376342</v>
      </c>
      <c r="D186" s="28">
        <f t="shared" si="1"/>
        <v>361562.76881720428</v>
      </c>
      <c r="E186" s="28">
        <f t="shared" si="2"/>
        <v>433875.32258064509</v>
      </c>
      <c r="F186" s="28">
        <f t="shared" si="3"/>
        <v>506187.87634408596</v>
      </c>
      <c r="G186" s="28">
        <f t="shared" si="4"/>
        <v>578500.43010752683</v>
      </c>
      <c r="H186" s="28">
        <f t="shared" si="5"/>
        <v>650812.98387096764</v>
      </c>
      <c r="I186" s="28">
        <f t="shared" si="6"/>
        <v>723125.53763440857</v>
      </c>
      <c r="J186" s="28">
        <f t="shared" si="7"/>
        <v>795438.09139784938</v>
      </c>
      <c r="K186" s="28">
        <f t="shared" si="8"/>
        <v>867750.64516129019</v>
      </c>
      <c r="L186" s="28">
        <f t="shared" si="9"/>
        <v>940063.19892473111</v>
      </c>
      <c r="M186" s="28">
        <f t="shared" si="10"/>
        <v>1012375.7526881719</v>
      </c>
      <c r="N186" s="28">
        <f t="shared" si="11"/>
        <v>1084688.3064516129</v>
      </c>
      <c r="O186" s="28">
        <f t="shared" si="12"/>
        <v>1157000.8602150537</v>
      </c>
      <c r="P186" s="28">
        <f t="shared" si="13"/>
        <v>1229313.4139784945</v>
      </c>
      <c r="Q186" s="28">
        <f t="shared" si="14"/>
        <v>1301625.9677419353</v>
      </c>
      <c r="R186" s="28">
        <f t="shared" si="15"/>
        <v>1373938.5215053763</v>
      </c>
      <c r="S186" s="28">
        <f t="shared" si="16"/>
        <v>1446251.0752688171</v>
      </c>
      <c r="T186" s="28">
        <f t="shared" si="17"/>
        <v>1518563.6290322579</v>
      </c>
      <c r="U186" s="28">
        <f t="shared" si="18"/>
        <v>1590876.1827956988</v>
      </c>
      <c r="V186" s="28">
        <f t="shared" si="19"/>
        <v>1663188.7365591396</v>
      </c>
      <c r="W186" s="28">
        <f t="shared" si="20"/>
        <v>1735501.2903225804</v>
      </c>
    </row>
    <row r="187" spans="1:23" x14ac:dyDescent="0.2">
      <c r="A187" s="28">
        <v>186</v>
      </c>
      <c r="B187" s="28">
        <v>29469.49019607843</v>
      </c>
      <c r="C187" s="28">
        <f t="shared" si="0"/>
        <v>294694.90196078428</v>
      </c>
      <c r="D187" s="28">
        <f t="shared" si="1"/>
        <v>368368.62745098036</v>
      </c>
      <c r="E187" s="28">
        <f t="shared" si="2"/>
        <v>442042.35294117639</v>
      </c>
      <c r="F187" s="28">
        <f t="shared" si="3"/>
        <v>515716.07843137247</v>
      </c>
      <c r="G187" s="28">
        <f t="shared" si="4"/>
        <v>589389.80392156856</v>
      </c>
      <c r="H187" s="28">
        <f t="shared" si="5"/>
        <v>663063.52941176458</v>
      </c>
      <c r="I187" s="28">
        <f t="shared" si="6"/>
        <v>736737.25490196072</v>
      </c>
      <c r="J187" s="28">
        <f t="shared" si="7"/>
        <v>810410.98039215675</v>
      </c>
      <c r="K187" s="28">
        <f t="shared" si="8"/>
        <v>884084.70588235278</v>
      </c>
      <c r="L187" s="28">
        <f t="shared" si="9"/>
        <v>957758.43137254892</v>
      </c>
      <c r="M187" s="28">
        <f t="shared" si="10"/>
        <v>1031432.1568627449</v>
      </c>
      <c r="N187" s="28">
        <f t="shared" si="11"/>
        <v>1105105.882352941</v>
      </c>
      <c r="O187" s="28">
        <f t="shared" si="12"/>
        <v>1178779.6078431371</v>
      </c>
      <c r="P187" s="28">
        <f t="shared" si="13"/>
        <v>1252453.3333333333</v>
      </c>
      <c r="Q187" s="28">
        <f t="shared" si="14"/>
        <v>1326127.0588235292</v>
      </c>
      <c r="R187" s="28">
        <f t="shared" si="15"/>
        <v>1399800.7843137253</v>
      </c>
      <c r="S187" s="28">
        <f t="shared" si="16"/>
        <v>1473474.5098039214</v>
      </c>
      <c r="T187" s="28">
        <f t="shared" si="17"/>
        <v>1547148.2352941174</v>
      </c>
      <c r="U187" s="28">
        <f t="shared" si="18"/>
        <v>1620821.9607843135</v>
      </c>
      <c r="V187" s="28">
        <f t="shared" si="19"/>
        <v>1694495.6862745096</v>
      </c>
      <c r="W187" s="28">
        <f t="shared" si="20"/>
        <v>1768169.4117647056</v>
      </c>
    </row>
    <row r="188" spans="1:23" x14ac:dyDescent="0.2">
      <c r="A188" s="28">
        <v>187</v>
      </c>
      <c r="B188" s="28">
        <v>30008.166666666664</v>
      </c>
      <c r="C188" s="28">
        <f t="shared" si="0"/>
        <v>300081.66666666663</v>
      </c>
      <c r="D188" s="28">
        <f t="shared" si="1"/>
        <v>375102.08333333326</v>
      </c>
      <c r="E188" s="28">
        <f t="shared" si="2"/>
        <v>450122.49999999994</v>
      </c>
      <c r="F188" s="28">
        <f t="shared" si="3"/>
        <v>525142.91666666663</v>
      </c>
      <c r="G188" s="28">
        <f t="shared" si="4"/>
        <v>600163.33333333326</v>
      </c>
      <c r="H188" s="28">
        <f t="shared" si="5"/>
        <v>675183.74999999988</v>
      </c>
      <c r="I188" s="28">
        <f t="shared" si="6"/>
        <v>750204.16666666651</v>
      </c>
      <c r="J188" s="28">
        <f t="shared" si="7"/>
        <v>825224.58333333326</v>
      </c>
      <c r="K188" s="28">
        <f t="shared" si="8"/>
        <v>900244.99999999988</v>
      </c>
      <c r="L188" s="28">
        <f t="shared" si="9"/>
        <v>975265.41666666651</v>
      </c>
      <c r="M188" s="28">
        <f t="shared" si="10"/>
        <v>1050285.8333333333</v>
      </c>
      <c r="N188" s="28">
        <f t="shared" si="11"/>
        <v>1125306.2499999998</v>
      </c>
      <c r="O188" s="28">
        <f t="shared" si="12"/>
        <v>1200326.6666666665</v>
      </c>
      <c r="P188" s="28">
        <f t="shared" si="13"/>
        <v>1275347.0833333333</v>
      </c>
      <c r="Q188" s="28">
        <f t="shared" si="14"/>
        <v>1350367.4999999998</v>
      </c>
      <c r="R188" s="28">
        <f t="shared" si="15"/>
        <v>1425387.9166666665</v>
      </c>
      <c r="S188" s="28">
        <f t="shared" si="16"/>
        <v>1500408.333333333</v>
      </c>
      <c r="T188" s="28">
        <f t="shared" si="17"/>
        <v>1575428.7499999998</v>
      </c>
      <c r="U188" s="28">
        <f t="shared" si="18"/>
        <v>1650449.1666666665</v>
      </c>
      <c r="V188" s="28">
        <f t="shared" si="19"/>
        <v>1725469.583333333</v>
      </c>
      <c r="W188" s="28">
        <f t="shared" si="20"/>
        <v>1800489.9999999998</v>
      </c>
    </row>
    <row r="189" spans="1:23" x14ac:dyDescent="0.2">
      <c r="A189" s="28">
        <v>188</v>
      </c>
      <c r="B189" s="28">
        <v>30565.125220458554</v>
      </c>
      <c r="C189" s="28">
        <f t="shared" si="0"/>
        <v>305651.25220458553</v>
      </c>
      <c r="D189" s="28">
        <f t="shared" si="1"/>
        <v>382064.06525573193</v>
      </c>
      <c r="E189" s="28">
        <f t="shared" si="2"/>
        <v>458476.87830687826</v>
      </c>
      <c r="F189" s="28">
        <f t="shared" si="3"/>
        <v>534889.69135802472</v>
      </c>
      <c r="G189" s="28">
        <f t="shared" si="4"/>
        <v>611302.50440917106</v>
      </c>
      <c r="H189" s="28">
        <f t="shared" si="5"/>
        <v>687715.3174603174</v>
      </c>
      <c r="I189" s="28">
        <f t="shared" si="6"/>
        <v>764128.13051146385</v>
      </c>
      <c r="J189" s="28">
        <f t="shared" si="7"/>
        <v>840540.94356261019</v>
      </c>
      <c r="K189" s="28">
        <f t="shared" si="8"/>
        <v>916953.75661375653</v>
      </c>
      <c r="L189" s="28">
        <f t="shared" si="9"/>
        <v>993366.56966490299</v>
      </c>
      <c r="M189" s="28">
        <f t="shared" si="10"/>
        <v>1069779.3827160494</v>
      </c>
      <c r="N189" s="28">
        <f t="shared" si="11"/>
        <v>1146192.1957671957</v>
      </c>
      <c r="O189" s="28">
        <f t="shared" si="12"/>
        <v>1222605.0088183421</v>
      </c>
      <c r="P189" s="28">
        <f t="shared" si="13"/>
        <v>1299017.8218694886</v>
      </c>
      <c r="Q189" s="28">
        <f t="shared" si="14"/>
        <v>1375430.6349206348</v>
      </c>
      <c r="R189" s="28">
        <f t="shared" si="15"/>
        <v>1451843.4479717813</v>
      </c>
      <c r="S189" s="28">
        <f t="shared" si="16"/>
        <v>1528256.2610229277</v>
      </c>
      <c r="T189" s="28">
        <f t="shared" si="17"/>
        <v>1604669.0740740739</v>
      </c>
      <c r="U189" s="28">
        <f t="shared" si="18"/>
        <v>1681081.8871252204</v>
      </c>
      <c r="V189" s="28">
        <f t="shared" si="19"/>
        <v>1757494.7001763668</v>
      </c>
      <c r="W189" s="28">
        <f t="shared" si="20"/>
        <v>1833907.5132275131</v>
      </c>
    </row>
    <row r="190" spans="1:23" x14ac:dyDescent="0.2">
      <c r="A190" s="28">
        <v>189</v>
      </c>
      <c r="B190" s="28">
        <v>31121.919298245615</v>
      </c>
      <c r="C190" s="28">
        <f t="shared" si="0"/>
        <v>311219.19298245618</v>
      </c>
      <c r="D190" s="28">
        <f t="shared" si="1"/>
        <v>389023.99122807023</v>
      </c>
      <c r="E190" s="28">
        <f t="shared" si="2"/>
        <v>466828.78947368427</v>
      </c>
      <c r="F190" s="28">
        <f t="shared" si="3"/>
        <v>544633.58771929832</v>
      </c>
      <c r="G190" s="28">
        <f t="shared" si="4"/>
        <v>622438.38596491236</v>
      </c>
      <c r="H190" s="28">
        <f t="shared" si="5"/>
        <v>700243.18421052641</v>
      </c>
      <c r="I190" s="28">
        <f t="shared" si="6"/>
        <v>778047.98245614045</v>
      </c>
      <c r="J190" s="28">
        <f t="shared" si="7"/>
        <v>855852.7807017545</v>
      </c>
      <c r="K190" s="28">
        <f t="shared" si="8"/>
        <v>933657.57894736854</v>
      </c>
      <c r="L190" s="28">
        <f t="shared" si="9"/>
        <v>1011462.3771929826</v>
      </c>
      <c r="M190" s="28">
        <f t="shared" si="10"/>
        <v>1089267.1754385966</v>
      </c>
      <c r="N190" s="28">
        <f t="shared" si="11"/>
        <v>1167071.9736842108</v>
      </c>
      <c r="O190" s="28">
        <f t="shared" si="12"/>
        <v>1244876.7719298247</v>
      </c>
      <c r="P190" s="28">
        <f t="shared" si="13"/>
        <v>1322681.5701754387</v>
      </c>
      <c r="Q190" s="28">
        <f t="shared" si="14"/>
        <v>1400486.3684210528</v>
      </c>
      <c r="R190" s="28">
        <f t="shared" si="15"/>
        <v>1478291.166666667</v>
      </c>
      <c r="S190" s="28">
        <f t="shared" si="16"/>
        <v>1556095.9649122809</v>
      </c>
      <c r="T190" s="28">
        <f t="shared" si="17"/>
        <v>1633900.7631578948</v>
      </c>
      <c r="U190" s="28">
        <f t="shared" si="18"/>
        <v>1711705.561403509</v>
      </c>
      <c r="V190" s="28">
        <f t="shared" si="19"/>
        <v>1789510.3596491232</v>
      </c>
      <c r="W190" s="28">
        <f t="shared" si="20"/>
        <v>1867315.1578947371</v>
      </c>
    </row>
    <row r="191" spans="1:23" x14ac:dyDescent="0.2">
      <c r="A191" s="28">
        <v>190</v>
      </c>
      <c r="B191" s="28">
        <v>31696.617801047119</v>
      </c>
      <c r="C191" s="28">
        <f t="shared" si="0"/>
        <v>316966.17801047117</v>
      </c>
      <c r="D191" s="28">
        <f t="shared" si="1"/>
        <v>396207.72251308896</v>
      </c>
      <c r="E191" s="28">
        <f t="shared" si="2"/>
        <v>475449.26701570675</v>
      </c>
      <c r="F191" s="28">
        <f t="shared" si="3"/>
        <v>554690.81151832454</v>
      </c>
      <c r="G191" s="28">
        <f t="shared" si="4"/>
        <v>633932.35602094233</v>
      </c>
      <c r="H191" s="28">
        <f t="shared" si="5"/>
        <v>713173.90052356012</v>
      </c>
      <c r="I191" s="28">
        <f t="shared" si="6"/>
        <v>792415.44502617791</v>
      </c>
      <c r="J191" s="28">
        <f t="shared" si="7"/>
        <v>871656.9895287957</v>
      </c>
      <c r="K191" s="28">
        <f t="shared" si="8"/>
        <v>950898.5340314135</v>
      </c>
      <c r="L191" s="28">
        <f t="shared" si="9"/>
        <v>1030140.0785340313</v>
      </c>
      <c r="M191" s="28">
        <f t="shared" si="10"/>
        <v>1109381.6230366491</v>
      </c>
      <c r="N191" s="28">
        <f t="shared" si="11"/>
        <v>1188623.1675392669</v>
      </c>
      <c r="O191" s="28">
        <f t="shared" si="12"/>
        <v>1267864.7120418847</v>
      </c>
      <c r="P191" s="28">
        <f t="shared" si="13"/>
        <v>1347106.2565445025</v>
      </c>
      <c r="Q191" s="28">
        <f t="shared" si="14"/>
        <v>1426347.8010471202</v>
      </c>
      <c r="R191" s="28">
        <f t="shared" si="15"/>
        <v>1505589.345549738</v>
      </c>
      <c r="S191" s="28">
        <f t="shared" si="16"/>
        <v>1584830.8900523558</v>
      </c>
      <c r="T191" s="28">
        <f t="shared" si="17"/>
        <v>1664072.4345549736</v>
      </c>
      <c r="U191" s="28">
        <f t="shared" si="18"/>
        <v>1743313.9790575914</v>
      </c>
      <c r="V191" s="28">
        <f t="shared" si="19"/>
        <v>1822555.5235602092</v>
      </c>
      <c r="W191" s="28">
        <f t="shared" si="20"/>
        <v>1901797.068062827</v>
      </c>
    </row>
    <row r="192" spans="1:23" x14ac:dyDescent="0.2">
      <c r="A192" s="28">
        <v>191</v>
      </c>
      <c r="B192" s="28">
        <v>32265.329861111113</v>
      </c>
      <c r="C192" s="28">
        <f t="shared" si="0"/>
        <v>322653.29861111112</v>
      </c>
      <c r="D192" s="28">
        <f t="shared" si="1"/>
        <v>403316.62326388888</v>
      </c>
      <c r="E192" s="28">
        <f t="shared" si="2"/>
        <v>483979.94791666669</v>
      </c>
      <c r="F192" s="28">
        <f t="shared" si="3"/>
        <v>564643.2725694445</v>
      </c>
      <c r="G192" s="28">
        <f t="shared" si="4"/>
        <v>645306.59722222225</v>
      </c>
      <c r="H192" s="28">
        <f t="shared" si="5"/>
        <v>725969.921875</v>
      </c>
      <c r="I192" s="28">
        <f t="shared" si="6"/>
        <v>806633.24652777775</v>
      </c>
      <c r="J192" s="28">
        <f t="shared" si="7"/>
        <v>887296.57118055562</v>
      </c>
      <c r="K192" s="28">
        <f t="shared" si="8"/>
        <v>967959.89583333337</v>
      </c>
      <c r="L192" s="28">
        <f t="shared" si="9"/>
        <v>1048623.2204861112</v>
      </c>
      <c r="M192" s="28">
        <f t="shared" si="10"/>
        <v>1129286.545138889</v>
      </c>
      <c r="N192" s="28">
        <f t="shared" si="11"/>
        <v>1209949.8697916667</v>
      </c>
      <c r="O192" s="28">
        <f t="shared" si="12"/>
        <v>1290613.1944444445</v>
      </c>
      <c r="P192" s="28">
        <f t="shared" si="13"/>
        <v>1371276.5190972222</v>
      </c>
      <c r="Q192" s="28">
        <f t="shared" si="14"/>
        <v>1451939.84375</v>
      </c>
      <c r="R192" s="28">
        <f t="shared" si="15"/>
        <v>1532603.1684027778</v>
      </c>
      <c r="S192" s="28">
        <f t="shared" si="16"/>
        <v>1613266.4930555555</v>
      </c>
      <c r="T192" s="28">
        <f t="shared" si="17"/>
        <v>1693929.8177083335</v>
      </c>
      <c r="U192" s="28">
        <f t="shared" si="18"/>
        <v>1774593.1423611112</v>
      </c>
      <c r="V192" s="28">
        <f t="shared" si="19"/>
        <v>1855256.467013889</v>
      </c>
      <c r="W192" s="28">
        <f t="shared" si="20"/>
        <v>1935919.7916666667</v>
      </c>
    </row>
    <row r="193" spans="1:23" x14ac:dyDescent="0.2">
      <c r="A193" s="28">
        <v>192</v>
      </c>
      <c r="B193" s="28">
        <v>32859.34369602763</v>
      </c>
      <c r="C193" s="28">
        <f t="shared" si="0"/>
        <v>328593.43696027633</v>
      </c>
      <c r="D193" s="28">
        <f t="shared" si="1"/>
        <v>410741.79620034539</v>
      </c>
      <c r="E193" s="28">
        <f t="shared" si="2"/>
        <v>492890.1554404145</v>
      </c>
      <c r="F193" s="28">
        <f t="shared" si="3"/>
        <v>575038.51468048361</v>
      </c>
      <c r="G193" s="28">
        <f t="shared" si="4"/>
        <v>657186.87392055267</v>
      </c>
      <c r="H193" s="28">
        <f t="shared" si="5"/>
        <v>739335.23316062172</v>
      </c>
      <c r="I193" s="28">
        <f t="shared" si="6"/>
        <v>821483.59240069077</v>
      </c>
      <c r="J193" s="28">
        <f t="shared" si="7"/>
        <v>903631.95164075994</v>
      </c>
      <c r="K193" s="28">
        <f t="shared" si="8"/>
        <v>985780.310880829</v>
      </c>
      <c r="L193" s="28">
        <f t="shared" si="9"/>
        <v>1067928.6701208982</v>
      </c>
      <c r="M193" s="28">
        <f t="shared" si="10"/>
        <v>1150077.0293609672</v>
      </c>
      <c r="N193" s="28">
        <f t="shared" si="11"/>
        <v>1232225.3886010363</v>
      </c>
      <c r="O193" s="28">
        <f t="shared" si="12"/>
        <v>1314373.7478411053</v>
      </c>
      <c r="P193" s="28">
        <f t="shared" si="13"/>
        <v>1396522.1070811744</v>
      </c>
      <c r="Q193" s="28">
        <f t="shared" si="14"/>
        <v>1478670.4663212434</v>
      </c>
      <c r="R193" s="28">
        <f t="shared" si="15"/>
        <v>1560818.8255613125</v>
      </c>
      <c r="S193" s="28">
        <f t="shared" si="16"/>
        <v>1642967.1848013815</v>
      </c>
      <c r="T193" s="28">
        <f t="shared" si="17"/>
        <v>1725115.5440414508</v>
      </c>
      <c r="U193" s="28">
        <f t="shared" si="18"/>
        <v>1807263.9032815199</v>
      </c>
      <c r="V193" s="28">
        <f t="shared" si="19"/>
        <v>1889412.2625215889</v>
      </c>
      <c r="W193" s="28">
        <f t="shared" si="20"/>
        <v>1971560.621761658</v>
      </c>
    </row>
    <row r="194" spans="1:23" x14ac:dyDescent="0.2">
      <c r="A194" s="28">
        <v>193</v>
      </c>
      <c r="B194" s="28">
        <v>33447.233676975949</v>
      </c>
      <c r="C194" s="28">
        <f t="shared" si="0"/>
        <v>334472.33676975948</v>
      </c>
      <c r="D194" s="28">
        <f t="shared" si="1"/>
        <v>418090.42096219934</v>
      </c>
      <c r="E194" s="28">
        <f t="shared" si="2"/>
        <v>501708.50515463925</v>
      </c>
      <c r="F194" s="28">
        <f t="shared" si="3"/>
        <v>585326.58934707905</v>
      </c>
      <c r="G194" s="28">
        <f t="shared" si="4"/>
        <v>668944.67353951896</v>
      </c>
      <c r="H194" s="28">
        <f t="shared" si="5"/>
        <v>752562.75773195887</v>
      </c>
      <c r="I194" s="28">
        <f t="shared" si="6"/>
        <v>836180.84192439867</v>
      </c>
      <c r="J194" s="28">
        <f t="shared" si="7"/>
        <v>919798.92611683859</v>
      </c>
      <c r="K194" s="28">
        <f t="shared" si="8"/>
        <v>1003417.0103092785</v>
      </c>
      <c r="L194" s="28">
        <f t="shared" si="9"/>
        <v>1087035.0945017184</v>
      </c>
      <c r="M194" s="28">
        <f t="shared" si="10"/>
        <v>1170653.1786941581</v>
      </c>
      <c r="N194" s="28">
        <f t="shared" si="11"/>
        <v>1254271.262886598</v>
      </c>
      <c r="O194" s="28">
        <f t="shared" si="12"/>
        <v>1337889.3470790379</v>
      </c>
      <c r="P194" s="28">
        <f t="shared" si="13"/>
        <v>1421507.4312714778</v>
      </c>
      <c r="Q194" s="28">
        <f t="shared" si="14"/>
        <v>1505125.5154639177</v>
      </c>
      <c r="R194" s="28">
        <f t="shared" si="15"/>
        <v>1588743.5996563574</v>
      </c>
      <c r="S194" s="28">
        <f t="shared" si="16"/>
        <v>1672361.6838487973</v>
      </c>
      <c r="T194" s="28">
        <f t="shared" si="17"/>
        <v>1755979.7680412373</v>
      </c>
      <c r="U194" s="28">
        <f t="shared" si="18"/>
        <v>1839597.8522336772</v>
      </c>
      <c r="V194" s="28">
        <f t="shared" si="19"/>
        <v>1923215.9364261171</v>
      </c>
      <c r="W194" s="28">
        <f t="shared" si="20"/>
        <v>2006834.020618557</v>
      </c>
    </row>
    <row r="195" spans="1:23" x14ac:dyDescent="0.2">
      <c r="A195" s="28">
        <v>194</v>
      </c>
      <c r="B195" s="28">
        <v>34054.030769230769</v>
      </c>
      <c r="C195" s="28">
        <f t="shared" si="0"/>
        <v>340540.30769230769</v>
      </c>
      <c r="D195" s="28">
        <f t="shared" si="1"/>
        <v>425675.38461538462</v>
      </c>
      <c r="E195" s="28">
        <f t="shared" si="2"/>
        <v>510810.4615384615</v>
      </c>
      <c r="F195" s="28">
        <f t="shared" si="3"/>
        <v>595945.5384615385</v>
      </c>
      <c r="G195" s="28">
        <f t="shared" si="4"/>
        <v>681080.61538461538</v>
      </c>
      <c r="H195" s="28">
        <f t="shared" si="5"/>
        <v>766215.69230769225</v>
      </c>
      <c r="I195" s="28">
        <f t="shared" si="6"/>
        <v>851350.76923076925</v>
      </c>
      <c r="J195" s="28">
        <f t="shared" si="7"/>
        <v>936485.84615384613</v>
      </c>
      <c r="K195" s="28">
        <f t="shared" si="8"/>
        <v>1021620.923076923</v>
      </c>
      <c r="L195" s="28">
        <f t="shared" si="9"/>
        <v>1106756</v>
      </c>
      <c r="M195" s="28">
        <f t="shared" si="10"/>
        <v>1191891.076923077</v>
      </c>
      <c r="N195" s="28">
        <f t="shared" si="11"/>
        <v>1277026.1538461538</v>
      </c>
      <c r="O195" s="28">
        <f t="shared" si="12"/>
        <v>1362161.2307692308</v>
      </c>
      <c r="P195" s="28">
        <f t="shared" si="13"/>
        <v>1447296.3076923077</v>
      </c>
      <c r="Q195" s="28">
        <f t="shared" si="14"/>
        <v>1532431.3846153845</v>
      </c>
      <c r="R195" s="28">
        <f t="shared" si="15"/>
        <v>1617566.4615384615</v>
      </c>
      <c r="S195" s="28">
        <f t="shared" si="16"/>
        <v>1702701.5384615385</v>
      </c>
      <c r="T195" s="28">
        <f t="shared" si="17"/>
        <v>1787836.6153846153</v>
      </c>
      <c r="U195" s="28">
        <f t="shared" si="18"/>
        <v>1872971.6923076923</v>
      </c>
      <c r="V195" s="28">
        <f t="shared" si="19"/>
        <v>1958106.7692307692</v>
      </c>
      <c r="W195" s="28">
        <f t="shared" si="20"/>
        <v>2043241.846153846</v>
      </c>
    </row>
    <row r="196" spans="1:23" x14ac:dyDescent="0.2">
      <c r="A196" s="28">
        <v>195</v>
      </c>
      <c r="B196" s="28">
        <v>34660.547619047618</v>
      </c>
      <c r="C196" s="28">
        <f t="shared" si="0"/>
        <v>346605.47619047621</v>
      </c>
      <c r="D196" s="28">
        <f t="shared" si="1"/>
        <v>433256.84523809527</v>
      </c>
      <c r="E196" s="28">
        <f t="shared" si="2"/>
        <v>519908.21428571432</v>
      </c>
      <c r="F196" s="28">
        <f t="shared" si="3"/>
        <v>606559.58333333337</v>
      </c>
      <c r="G196" s="28">
        <f t="shared" si="4"/>
        <v>693210.95238095243</v>
      </c>
      <c r="H196" s="28">
        <f t="shared" si="5"/>
        <v>779862.32142857148</v>
      </c>
      <c r="I196" s="28">
        <f t="shared" si="6"/>
        <v>866513.69047619053</v>
      </c>
      <c r="J196" s="28">
        <f t="shared" si="7"/>
        <v>953165.05952380958</v>
      </c>
      <c r="K196" s="28">
        <f t="shared" si="8"/>
        <v>1039816.4285714286</v>
      </c>
      <c r="L196" s="28">
        <f t="shared" si="9"/>
        <v>1126467.7976190476</v>
      </c>
      <c r="M196" s="28">
        <f t="shared" si="10"/>
        <v>1213119.1666666667</v>
      </c>
      <c r="N196" s="28">
        <f t="shared" si="11"/>
        <v>1299770.5357142859</v>
      </c>
      <c r="O196" s="28">
        <f t="shared" si="12"/>
        <v>1386421.9047619049</v>
      </c>
      <c r="P196" s="28">
        <f t="shared" si="13"/>
        <v>1473073.2738095238</v>
      </c>
      <c r="Q196" s="28">
        <f t="shared" si="14"/>
        <v>1559724.642857143</v>
      </c>
      <c r="R196" s="28">
        <f t="shared" si="15"/>
        <v>1646376.0119047621</v>
      </c>
      <c r="S196" s="28">
        <f t="shared" si="16"/>
        <v>1733027.3809523811</v>
      </c>
      <c r="T196" s="28">
        <f t="shared" si="17"/>
        <v>1819678.75</v>
      </c>
      <c r="U196" s="28">
        <f t="shared" si="18"/>
        <v>1906330.1190476192</v>
      </c>
      <c r="V196" s="28">
        <f t="shared" si="19"/>
        <v>1992981.4880952383</v>
      </c>
      <c r="W196" s="28">
        <f t="shared" si="20"/>
        <v>2079632.8571428573</v>
      </c>
    </row>
    <row r="197" spans="1:23" x14ac:dyDescent="0.2">
      <c r="A197" s="28">
        <v>196</v>
      </c>
      <c r="B197" s="28">
        <v>35286.876480541454</v>
      </c>
      <c r="C197" s="28">
        <f t="shared" si="0"/>
        <v>352868.76480541454</v>
      </c>
      <c r="D197" s="28">
        <f t="shared" si="1"/>
        <v>441085.95600676816</v>
      </c>
      <c r="E197" s="28">
        <f t="shared" si="2"/>
        <v>529303.14720812184</v>
      </c>
      <c r="F197" s="28">
        <f t="shared" si="3"/>
        <v>617520.3384094754</v>
      </c>
      <c r="G197" s="28">
        <f t="shared" si="4"/>
        <v>705737.52961082908</v>
      </c>
      <c r="H197" s="28">
        <f t="shared" si="5"/>
        <v>793954.72081218276</v>
      </c>
      <c r="I197" s="28">
        <f t="shared" si="6"/>
        <v>882171.91201353632</v>
      </c>
      <c r="J197" s="28">
        <f t="shared" si="7"/>
        <v>970389.10321489</v>
      </c>
      <c r="K197" s="28">
        <f t="shared" si="8"/>
        <v>1058606.2944162437</v>
      </c>
      <c r="L197" s="28">
        <f t="shared" si="9"/>
        <v>1146823.4856175974</v>
      </c>
      <c r="M197" s="28">
        <f t="shared" si="10"/>
        <v>1235040.6768189508</v>
      </c>
      <c r="N197" s="28">
        <f t="shared" si="11"/>
        <v>1323257.8680203045</v>
      </c>
      <c r="O197" s="28">
        <f t="shared" si="12"/>
        <v>1411475.0592216582</v>
      </c>
      <c r="P197" s="28">
        <f t="shared" si="13"/>
        <v>1499692.2504230118</v>
      </c>
      <c r="Q197" s="28">
        <f t="shared" si="14"/>
        <v>1587909.4416243655</v>
      </c>
      <c r="R197" s="28">
        <f t="shared" si="15"/>
        <v>1676126.632825719</v>
      </c>
      <c r="S197" s="28">
        <f t="shared" si="16"/>
        <v>1764343.8240270726</v>
      </c>
      <c r="T197" s="28">
        <f t="shared" si="17"/>
        <v>1852561.0152284263</v>
      </c>
      <c r="U197" s="28">
        <f t="shared" si="18"/>
        <v>1940778.20642978</v>
      </c>
      <c r="V197" s="28">
        <f t="shared" si="19"/>
        <v>2028995.3976311337</v>
      </c>
      <c r="W197" s="28">
        <f t="shared" si="20"/>
        <v>2117212.5888324874</v>
      </c>
    </row>
    <row r="198" spans="1:23" x14ac:dyDescent="0.2">
      <c r="A198" s="28">
        <v>197</v>
      </c>
      <c r="B198" s="28">
        <v>35906.878787878792</v>
      </c>
      <c r="C198" s="28">
        <f t="shared" si="0"/>
        <v>359068.7878787879</v>
      </c>
      <c r="D198" s="28">
        <f t="shared" si="1"/>
        <v>448835.98484848486</v>
      </c>
      <c r="E198" s="28">
        <f t="shared" si="2"/>
        <v>538603.18181818188</v>
      </c>
      <c r="F198" s="28">
        <f t="shared" si="3"/>
        <v>628370.37878787878</v>
      </c>
      <c r="G198" s="28">
        <f t="shared" si="4"/>
        <v>718137.5757575758</v>
      </c>
      <c r="H198" s="28">
        <f t="shared" si="5"/>
        <v>807904.77272727282</v>
      </c>
      <c r="I198" s="28">
        <f t="shared" si="6"/>
        <v>897671.96969696973</v>
      </c>
      <c r="J198" s="28">
        <f t="shared" si="7"/>
        <v>987439.16666666674</v>
      </c>
      <c r="K198" s="28">
        <f t="shared" si="8"/>
        <v>1077206.3636363638</v>
      </c>
      <c r="L198" s="28">
        <f t="shared" si="9"/>
        <v>1166973.5606060608</v>
      </c>
      <c r="M198" s="28">
        <f t="shared" si="10"/>
        <v>1256740.7575757576</v>
      </c>
      <c r="N198" s="28">
        <f t="shared" si="11"/>
        <v>1346507.9545454546</v>
      </c>
      <c r="O198" s="28">
        <f t="shared" si="12"/>
        <v>1436275.1515151516</v>
      </c>
      <c r="P198" s="28">
        <f t="shared" si="13"/>
        <v>1526042.3484848486</v>
      </c>
      <c r="Q198" s="28">
        <f t="shared" si="14"/>
        <v>1615809.5454545456</v>
      </c>
      <c r="R198" s="28">
        <f t="shared" si="15"/>
        <v>1705576.7424242424</v>
      </c>
      <c r="S198" s="28">
        <f t="shared" si="16"/>
        <v>1795343.9393939395</v>
      </c>
      <c r="T198" s="28">
        <f t="shared" si="17"/>
        <v>1885111.1363636365</v>
      </c>
      <c r="U198" s="28">
        <f t="shared" si="18"/>
        <v>1974878.3333333335</v>
      </c>
      <c r="V198" s="28">
        <f t="shared" si="19"/>
        <v>2064645.5303030305</v>
      </c>
      <c r="W198" s="28">
        <f t="shared" si="20"/>
        <v>2154412.7272727275</v>
      </c>
    </row>
    <row r="199" spans="1:23" x14ac:dyDescent="0.2">
      <c r="A199" s="28">
        <v>198</v>
      </c>
      <c r="B199" s="28">
        <v>36553.118927973199</v>
      </c>
      <c r="C199" s="28">
        <f t="shared" si="0"/>
        <v>365531.189279732</v>
      </c>
      <c r="D199" s="28">
        <f t="shared" si="1"/>
        <v>456913.98659966502</v>
      </c>
      <c r="E199" s="28">
        <f t="shared" si="2"/>
        <v>548296.78391959798</v>
      </c>
      <c r="F199" s="28">
        <f t="shared" si="3"/>
        <v>639679.58123953105</v>
      </c>
      <c r="G199" s="28">
        <f t="shared" si="4"/>
        <v>731062.37855946401</v>
      </c>
      <c r="H199" s="28">
        <f t="shared" si="5"/>
        <v>822445.17587939696</v>
      </c>
      <c r="I199" s="28">
        <f t="shared" si="6"/>
        <v>913827.97319933004</v>
      </c>
      <c r="J199" s="28">
        <f t="shared" si="7"/>
        <v>1005210.770519263</v>
      </c>
      <c r="K199" s="28">
        <f t="shared" si="8"/>
        <v>1096593.567839196</v>
      </c>
      <c r="L199" s="28">
        <f t="shared" si="9"/>
        <v>1187976.365159129</v>
      </c>
      <c r="M199" s="28">
        <f t="shared" si="10"/>
        <v>1279359.1624790621</v>
      </c>
      <c r="N199" s="28">
        <f t="shared" si="11"/>
        <v>1370741.9597989949</v>
      </c>
      <c r="O199" s="28">
        <f t="shared" si="12"/>
        <v>1462124.757118928</v>
      </c>
      <c r="P199" s="28">
        <f t="shared" si="13"/>
        <v>1553507.5544388611</v>
      </c>
      <c r="Q199" s="28">
        <f t="shared" si="14"/>
        <v>1644890.3517587939</v>
      </c>
      <c r="R199" s="28">
        <f t="shared" si="15"/>
        <v>1736273.149078727</v>
      </c>
      <c r="S199" s="28">
        <f t="shared" si="16"/>
        <v>1827655.9463986601</v>
      </c>
      <c r="T199" s="28">
        <f t="shared" si="17"/>
        <v>1919038.7437185929</v>
      </c>
      <c r="U199" s="28">
        <f t="shared" si="18"/>
        <v>2010421.541038526</v>
      </c>
      <c r="V199" s="28">
        <f t="shared" si="19"/>
        <v>2101804.3383584591</v>
      </c>
      <c r="W199" s="28">
        <f t="shared" si="20"/>
        <v>2193187.1356783919</v>
      </c>
    </row>
    <row r="200" spans="1:23" x14ac:dyDescent="0.2">
      <c r="A200" s="28">
        <v>199</v>
      </c>
      <c r="B200" s="28">
        <v>37192.89666666666</v>
      </c>
      <c r="C200" s="28">
        <f t="shared" si="0"/>
        <v>371928.96666666662</v>
      </c>
      <c r="D200" s="28">
        <f t="shared" si="1"/>
        <v>464911.20833333326</v>
      </c>
      <c r="E200" s="28">
        <f t="shared" si="2"/>
        <v>557893.44999999995</v>
      </c>
      <c r="F200" s="28">
        <f t="shared" si="3"/>
        <v>650875.69166666653</v>
      </c>
      <c r="G200" s="28">
        <f t="shared" si="4"/>
        <v>743857.93333333323</v>
      </c>
      <c r="H200" s="28">
        <f t="shared" si="5"/>
        <v>836840.17499999993</v>
      </c>
      <c r="I200" s="28">
        <f t="shared" si="6"/>
        <v>929822.41666666651</v>
      </c>
      <c r="J200" s="28">
        <f t="shared" si="7"/>
        <v>1022804.6583333332</v>
      </c>
      <c r="K200" s="28">
        <f t="shared" si="8"/>
        <v>1115786.8999999999</v>
      </c>
      <c r="L200" s="28">
        <f t="shared" si="9"/>
        <v>1208769.1416666666</v>
      </c>
      <c r="M200" s="28">
        <f t="shared" si="10"/>
        <v>1301751.3833333331</v>
      </c>
      <c r="N200" s="28">
        <f t="shared" si="11"/>
        <v>1394733.6249999998</v>
      </c>
      <c r="O200" s="28">
        <f t="shared" si="12"/>
        <v>1487715.8666666665</v>
      </c>
      <c r="P200" s="28">
        <f t="shared" si="13"/>
        <v>1580698.1083333332</v>
      </c>
      <c r="Q200" s="28">
        <f t="shared" si="14"/>
        <v>1673680.3499999999</v>
      </c>
      <c r="R200" s="28">
        <f t="shared" si="15"/>
        <v>1766662.5916666663</v>
      </c>
      <c r="S200" s="28">
        <f t="shared" si="16"/>
        <v>1859644.833333333</v>
      </c>
      <c r="T200" s="28">
        <f t="shared" si="17"/>
        <v>1952627.0749999997</v>
      </c>
      <c r="U200" s="28">
        <f t="shared" si="18"/>
        <v>2045609.3166666664</v>
      </c>
      <c r="V200" s="28">
        <f t="shared" si="19"/>
        <v>2138591.5583333331</v>
      </c>
      <c r="W200" s="28">
        <f t="shared" si="20"/>
        <v>2231573.7999999998</v>
      </c>
    </row>
    <row r="201" spans="1:23" x14ac:dyDescent="0.2">
      <c r="A201" s="28">
        <v>200</v>
      </c>
      <c r="B201" s="28">
        <v>37853.515754560533</v>
      </c>
      <c r="C201" s="28">
        <f t="shared" si="0"/>
        <v>378535.15754560533</v>
      </c>
      <c r="D201" s="28">
        <f t="shared" si="1"/>
        <v>473168.94693200663</v>
      </c>
      <c r="E201" s="28">
        <f t="shared" si="2"/>
        <v>567802.73631840805</v>
      </c>
      <c r="F201" s="28">
        <f t="shared" si="3"/>
        <v>662436.52570480935</v>
      </c>
      <c r="G201" s="28">
        <f t="shared" si="4"/>
        <v>757070.31509121065</v>
      </c>
      <c r="H201" s="28">
        <f t="shared" si="5"/>
        <v>851704.10447761195</v>
      </c>
      <c r="I201" s="28">
        <f t="shared" si="6"/>
        <v>946337.89386401325</v>
      </c>
      <c r="J201" s="28">
        <f t="shared" si="7"/>
        <v>1040971.6832504147</v>
      </c>
      <c r="K201" s="28">
        <f t="shared" si="8"/>
        <v>1135605.4726368161</v>
      </c>
      <c r="L201" s="28">
        <f t="shared" si="9"/>
        <v>1230239.2620232173</v>
      </c>
      <c r="M201" s="28">
        <f t="shared" si="10"/>
        <v>1324873.0514096187</v>
      </c>
      <c r="N201" s="28">
        <f t="shared" si="11"/>
        <v>1419506.8407960199</v>
      </c>
      <c r="O201" s="28">
        <f t="shared" si="12"/>
        <v>1514140.6301824213</v>
      </c>
      <c r="P201" s="28">
        <f t="shared" si="13"/>
        <v>1608774.4195688227</v>
      </c>
      <c r="Q201" s="28">
        <f t="shared" si="14"/>
        <v>1703408.2089552239</v>
      </c>
      <c r="R201" s="28">
        <f t="shared" si="15"/>
        <v>1798041.9983416253</v>
      </c>
      <c r="S201" s="28">
        <f t="shared" si="16"/>
        <v>1892675.7877280265</v>
      </c>
      <c r="T201" s="28">
        <f t="shared" si="17"/>
        <v>1987309.5771144279</v>
      </c>
      <c r="U201" s="28">
        <f t="shared" si="18"/>
        <v>2081943.3665008293</v>
      </c>
      <c r="V201" s="28">
        <f t="shared" si="19"/>
        <v>2176577.1558872308</v>
      </c>
      <c r="W201" s="28">
        <f t="shared" si="20"/>
        <v>2271210.9452736322</v>
      </c>
    </row>
    <row r="202" spans="1:23" x14ac:dyDescent="0.2">
      <c r="A202" s="28">
        <v>201</v>
      </c>
      <c r="B202" s="28">
        <v>38513.861386138618</v>
      </c>
      <c r="C202" s="28">
        <f t="shared" si="0"/>
        <v>385138.6138613862</v>
      </c>
      <c r="D202" s="28">
        <f t="shared" si="1"/>
        <v>481423.26732673275</v>
      </c>
      <c r="E202" s="28">
        <f t="shared" si="2"/>
        <v>577707.9207920793</v>
      </c>
      <c r="F202" s="28">
        <f t="shared" si="3"/>
        <v>673992.57425742585</v>
      </c>
      <c r="G202" s="28">
        <f t="shared" si="4"/>
        <v>770277.2277227724</v>
      </c>
      <c r="H202" s="28">
        <f t="shared" si="5"/>
        <v>866561.88118811895</v>
      </c>
      <c r="I202" s="28">
        <f t="shared" si="6"/>
        <v>962846.5346534655</v>
      </c>
      <c r="J202" s="28">
        <f t="shared" si="7"/>
        <v>1059131.1881188122</v>
      </c>
      <c r="K202" s="28">
        <f t="shared" si="8"/>
        <v>1155415.8415841586</v>
      </c>
      <c r="L202" s="28">
        <f t="shared" si="9"/>
        <v>1251700.495049505</v>
      </c>
      <c r="M202" s="28">
        <f t="shared" si="10"/>
        <v>1347985.1485148517</v>
      </c>
      <c r="N202" s="28">
        <f t="shared" si="11"/>
        <v>1444269.8019801984</v>
      </c>
      <c r="O202" s="28">
        <f t="shared" si="12"/>
        <v>1540554.4554455448</v>
      </c>
      <c r="P202" s="28">
        <f t="shared" si="13"/>
        <v>1636839.1089108912</v>
      </c>
      <c r="Q202" s="28">
        <f t="shared" si="14"/>
        <v>1733123.7623762379</v>
      </c>
      <c r="R202" s="28">
        <f t="shared" si="15"/>
        <v>1829408.4158415846</v>
      </c>
      <c r="S202" s="28">
        <f t="shared" si="16"/>
        <v>1925693.069306931</v>
      </c>
      <c r="T202" s="28">
        <f t="shared" si="17"/>
        <v>2021977.7227722774</v>
      </c>
      <c r="U202" s="28">
        <f t="shared" si="18"/>
        <v>2118262.3762376243</v>
      </c>
      <c r="V202" s="28">
        <f t="shared" si="19"/>
        <v>2214547.0297029708</v>
      </c>
      <c r="W202" s="28">
        <f t="shared" si="20"/>
        <v>2310831.6831683172</v>
      </c>
    </row>
    <row r="203" spans="1:23" x14ac:dyDescent="0.2">
      <c r="A203" s="28">
        <v>202</v>
      </c>
      <c r="B203" s="28">
        <v>39194.640394088667</v>
      </c>
      <c r="C203" s="28">
        <f t="shared" si="0"/>
        <v>391946.40394088667</v>
      </c>
      <c r="D203" s="28">
        <f t="shared" si="1"/>
        <v>489933.00492610835</v>
      </c>
      <c r="E203" s="28">
        <f t="shared" si="2"/>
        <v>587919.60591132997</v>
      </c>
      <c r="F203" s="28">
        <f t="shared" si="3"/>
        <v>685906.20689655165</v>
      </c>
      <c r="G203" s="28">
        <f t="shared" si="4"/>
        <v>783892.80788177333</v>
      </c>
      <c r="H203" s="28">
        <f t="shared" si="5"/>
        <v>881879.40886699501</v>
      </c>
      <c r="I203" s="28">
        <f t="shared" si="6"/>
        <v>979866.0098522167</v>
      </c>
      <c r="J203" s="28">
        <f t="shared" si="7"/>
        <v>1077852.6108374384</v>
      </c>
      <c r="K203" s="28">
        <f t="shared" si="8"/>
        <v>1175839.2118226599</v>
      </c>
      <c r="L203" s="28">
        <f t="shared" si="9"/>
        <v>1273825.8128078817</v>
      </c>
      <c r="M203" s="28">
        <f t="shared" si="10"/>
        <v>1371812.4137931033</v>
      </c>
      <c r="N203" s="28">
        <f t="shared" si="11"/>
        <v>1469799.0147783251</v>
      </c>
      <c r="O203" s="28">
        <f t="shared" si="12"/>
        <v>1567785.6157635467</v>
      </c>
      <c r="P203" s="28">
        <f t="shared" si="13"/>
        <v>1665772.2167487682</v>
      </c>
      <c r="Q203" s="28">
        <f t="shared" si="14"/>
        <v>1763758.81773399</v>
      </c>
      <c r="R203" s="28">
        <f t="shared" si="15"/>
        <v>1861745.4187192116</v>
      </c>
      <c r="S203" s="28">
        <f t="shared" si="16"/>
        <v>1959732.0197044334</v>
      </c>
      <c r="T203" s="28">
        <f t="shared" si="17"/>
        <v>2057718.620689655</v>
      </c>
      <c r="U203" s="28">
        <f t="shared" si="18"/>
        <v>2155705.2216748768</v>
      </c>
      <c r="V203" s="28">
        <f t="shared" si="19"/>
        <v>2253691.8226600983</v>
      </c>
      <c r="W203" s="28">
        <f t="shared" si="20"/>
        <v>2351678.4236453199</v>
      </c>
    </row>
    <row r="204" spans="1:23" x14ac:dyDescent="0.2">
      <c r="A204" s="28">
        <v>203</v>
      </c>
      <c r="B204" s="28">
        <v>39868.745098039217</v>
      </c>
      <c r="C204" s="28">
        <f t="shared" si="0"/>
        <v>398687.45098039217</v>
      </c>
      <c r="D204" s="28">
        <f t="shared" si="1"/>
        <v>498359.31372549024</v>
      </c>
      <c r="E204" s="28">
        <f t="shared" si="2"/>
        <v>598031.17647058819</v>
      </c>
      <c r="F204" s="28">
        <f t="shared" si="3"/>
        <v>697703.03921568627</v>
      </c>
      <c r="G204" s="28">
        <f t="shared" si="4"/>
        <v>797374.90196078434</v>
      </c>
      <c r="H204" s="28">
        <f t="shared" si="5"/>
        <v>897046.76470588241</v>
      </c>
      <c r="I204" s="28">
        <f t="shared" si="6"/>
        <v>996718.62745098048</v>
      </c>
      <c r="J204" s="28">
        <f t="shared" si="7"/>
        <v>1096390.4901960786</v>
      </c>
      <c r="K204" s="28">
        <f t="shared" si="8"/>
        <v>1196062.3529411764</v>
      </c>
      <c r="L204" s="28">
        <f t="shared" si="9"/>
        <v>1295734.2156862745</v>
      </c>
      <c r="M204" s="28">
        <f t="shared" si="10"/>
        <v>1395406.0784313725</v>
      </c>
      <c r="N204" s="28">
        <f t="shared" si="11"/>
        <v>1495077.9411764706</v>
      </c>
      <c r="O204" s="28">
        <f t="shared" si="12"/>
        <v>1594749.8039215687</v>
      </c>
      <c r="P204" s="28">
        <f t="shared" si="13"/>
        <v>1694421.6666666667</v>
      </c>
      <c r="Q204" s="28">
        <f t="shared" si="14"/>
        <v>1794093.5294117648</v>
      </c>
      <c r="R204" s="28">
        <f t="shared" si="15"/>
        <v>1893765.3921568629</v>
      </c>
      <c r="S204" s="28">
        <f t="shared" si="16"/>
        <v>1993437.254901961</v>
      </c>
      <c r="T204" s="28">
        <f t="shared" si="17"/>
        <v>2093109.1176470588</v>
      </c>
      <c r="U204" s="28">
        <f t="shared" si="18"/>
        <v>2192780.9803921571</v>
      </c>
      <c r="V204" s="28">
        <f t="shared" si="19"/>
        <v>2292452.8431372549</v>
      </c>
      <c r="W204" s="28">
        <f t="shared" si="20"/>
        <v>2392124.7058823528</v>
      </c>
    </row>
    <row r="205" spans="1:23" x14ac:dyDescent="0.2">
      <c r="A205" s="28">
        <v>204</v>
      </c>
      <c r="B205" s="28">
        <v>40571.339837398373</v>
      </c>
      <c r="C205" s="28">
        <f t="shared" si="0"/>
        <v>405713.39837398374</v>
      </c>
      <c r="D205" s="28">
        <f t="shared" si="1"/>
        <v>507141.74796747969</v>
      </c>
      <c r="E205" s="28">
        <f t="shared" si="2"/>
        <v>608570.09756097558</v>
      </c>
      <c r="F205" s="28">
        <f t="shared" si="3"/>
        <v>709998.44715447153</v>
      </c>
      <c r="G205" s="28">
        <f t="shared" si="4"/>
        <v>811426.79674796748</v>
      </c>
      <c r="H205" s="28">
        <f t="shared" si="5"/>
        <v>912855.14634146343</v>
      </c>
      <c r="I205" s="28">
        <f t="shared" si="6"/>
        <v>1014283.4959349594</v>
      </c>
      <c r="J205" s="28">
        <f t="shared" si="7"/>
        <v>1115711.8455284552</v>
      </c>
      <c r="K205" s="28">
        <f t="shared" si="8"/>
        <v>1217140.1951219512</v>
      </c>
      <c r="L205" s="28">
        <f t="shared" si="9"/>
        <v>1318568.5447154471</v>
      </c>
      <c r="M205" s="28">
        <f t="shared" si="10"/>
        <v>1419996.8943089431</v>
      </c>
      <c r="N205" s="28">
        <f t="shared" si="11"/>
        <v>1521425.243902439</v>
      </c>
      <c r="O205" s="28">
        <f t="shared" si="12"/>
        <v>1622853.593495935</v>
      </c>
      <c r="P205" s="28">
        <f t="shared" si="13"/>
        <v>1724281.9430894309</v>
      </c>
      <c r="Q205" s="28">
        <f t="shared" si="14"/>
        <v>1825710.2926829269</v>
      </c>
      <c r="R205" s="28">
        <f t="shared" si="15"/>
        <v>1927138.6422764228</v>
      </c>
      <c r="S205" s="28">
        <f t="shared" si="16"/>
        <v>2028566.9918699188</v>
      </c>
      <c r="T205" s="28">
        <f t="shared" si="17"/>
        <v>2129995.3414634145</v>
      </c>
      <c r="U205" s="28">
        <f t="shared" si="18"/>
        <v>2231423.6910569104</v>
      </c>
      <c r="V205" s="28">
        <f t="shared" si="19"/>
        <v>2332852.0406504064</v>
      </c>
      <c r="W205" s="28">
        <f t="shared" si="20"/>
        <v>2434280.3902439023</v>
      </c>
    </row>
    <row r="206" spans="1:23" x14ac:dyDescent="0.2">
      <c r="A206" s="28">
        <v>205</v>
      </c>
      <c r="B206" s="28">
        <v>41267.113268608417</v>
      </c>
      <c r="C206" s="28">
        <f t="shared" si="0"/>
        <v>412671.13268608414</v>
      </c>
      <c r="D206" s="28">
        <f t="shared" si="1"/>
        <v>515838.91585760517</v>
      </c>
      <c r="E206" s="28">
        <f t="shared" si="2"/>
        <v>619006.6990291262</v>
      </c>
      <c r="F206" s="28">
        <f t="shared" si="3"/>
        <v>722174.48220064724</v>
      </c>
      <c r="G206" s="28">
        <f t="shared" si="4"/>
        <v>825342.26537216827</v>
      </c>
      <c r="H206" s="28">
        <f t="shared" si="5"/>
        <v>928510.04854368931</v>
      </c>
      <c r="I206" s="28">
        <f t="shared" si="6"/>
        <v>1031677.8317152103</v>
      </c>
      <c r="J206" s="28">
        <f t="shared" si="7"/>
        <v>1134845.6148867314</v>
      </c>
      <c r="K206" s="28">
        <f t="shared" si="8"/>
        <v>1238013.3980582524</v>
      </c>
      <c r="L206" s="28">
        <f t="shared" si="9"/>
        <v>1341181.1812297734</v>
      </c>
      <c r="M206" s="28">
        <f t="shared" si="10"/>
        <v>1444348.9644012945</v>
      </c>
      <c r="N206" s="28">
        <f t="shared" si="11"/>
        <v>1547516.7475728155</v>
      </c>
      <c r="O206" s="28">
        <f t="shared" si="12"/>
        <v>1650684.5307443365</v>
      </c>
      <c r="P206" s="28">
        <f t="shared" si="13"/>
        <v>1753852.3139158576</v>
      </c>
      <c r="Q206" s="28">
        <f t="shared" si="14"/>
        <v>1857020.0970873786</v>
      </c>
      <c r="R206" s="28">
        <f t="shared" si="15"/>
        <v>1960187.8802588996</v>
      </c>
      <c r="S206" s="28">
        <f t="shared" si="16"/>
        <v>2063355.6634304207</v>
      </c>
      <c r="T206" s="28">
        <f t="shared" si="17"/>
        <v>2166523.4466019417</v>
      </c>
      <c r="U206" s="28">
        <f t="shared" si="18"/>
        <v>2269691.2297734628</v>
      </c>
      <c r="V206" s="28">
        <f t="shared" si="19"/>
        <v>2372859.0129449838</v>
      </c>
      <c r="W206" s="28">
        <f t="shared" si="20"/>
        <v>2476026.7961165048</v>
      </c>
    </row>
    <row r="207" spans="1:23" x14ac:dyDescent="0.2">
      <c r="A207" s="28">
        <v>206</v>
      </c>
      <c r="B207" s="28">
        <v>41984.357487922702</v>
      </c>
      <c r="C207" s="28">
        <f t="shared" si="0"/>
        <v>419843.57487922703</v>
      </c>
      <c r="D207" s="28">
        <f t="shared" si="1"/>
        <v>524804.46859903377</v>
      </c>
      <c r="E207" s="28">
        <f t="shared" si="2"/>
        <v>629765.36231884058</v>
      </c>
      <c r="F207" s="28">
        <f t="shared" si="3"/>
        <v>734726.25603864726</v>
      </c>
      <c r="G207" s="28">
        <f t="shared" si="4"/>
        <v>839687.14975845406</v>
      </c>
      <c r="H207" s="28">
        <f t="shared" si="5"/>
        <v>944648.04347826086</v>
      </c>
      <c r="I207" s="28">
        <f t="shared" si="6"/>
        <v>1049608.9371980675</v>
      </c>
      <c r="J207" s="28">
        <f t="shared" si="7"/>
        <v>1154569.8309178744</v>
      </c>
      <c r="K207" s="28">
        <f t="shared" si="8"/>
        <v>1259530.7246376812</v>
      </c>
      <c r="L207" s="28">
        <f t="shared" si="9"/>
        <v>1364491.618357488</v>
      </c>
      <c r="M207" s="28">
        <f t="shared" si="10"/>
        <v>1469452.5120772945</v>
      </c>
      <c r="N207" s="28">
        <f t="shared" si="11"/>
        <v>1574413.4057971013</v>
      </c>
      <c r="O207" s="28">
        <f t="shared" si="12"/>
        <v>1679374.2995169081</v>
      </c>
      <c r="P207" s="28">
        <f t="shared" si="13"/>
        <v>1784335.1932367149</v>
      </c>
      <c r="Q207" s="28">
        <f t="shared" si="14"/>
        <v>1889296.0869565217</v>
      </c>
      <c r="R207" s="28">
        <f t="shared" si="15"/>
        <v>1994256.9806763283</v>
      </c>
      <c r="S207" s="28">
        <f t="shared" si="16"/>
        <v>2099217.8743961351</v>
      </c>
      <c r="T207" s="28">
        <f t="shared" si="17"/>
        <v>2204178.7681159419</v>
      </c>
      <c r="U207" s="28">
        <f t="shared" si="18"/>
        <v>2309139.6618357487</v>
      </c>
      <c r="V207" s="28">
        <f t="shared" si="19"/>
        <v>2414100.5555555555</v>
      </c>
      <c r="W207" s="28">
        <f t="shared" si="20"/>
        <v>2519061.4492753623</v>
      </c>
    </row>
    <row r="208" spans="1:23" x14ac:dyDescent="0.2">
      <c r="A208" s="28">
        <v>207</v>
      </c>
      <c r="B208" s="28">
        <v>42701.346153846156</v>
      </c>
      <c r="C208" s="28">
        <f t="shared" si="0"/>
        <v>427013.46153846156</v>
      </c>
      <c r="D208" s="28">
        <f t="shared" si="1"/>
        <v>533766.82692307699</v>
      </c>
      <c r="E208" s="28">
        <f t="shared" si="2"/>
        <v>640520.19230769237</v>
      </c>
      <c r="F208" s="28">
        <f t="shared" si="3"/>
        <v>747273.55769230775</v>
      </c>
      <c r="G208" s="28">
        <f t="shared" si="4"/>
        <v>854026.92307692312</v>
      </c>
      <c r="H208" s="28">
        <f t="shared" si="5"/>
        <v>960780.2884615385</v>
      </c>
      <c r="I208" s="28">
        <f t="shared" si="6"/>
        <v>1067533.653846154</v>
      </c>
      <c r="J208" s="28">
        <f t="shared" si="7"/>
        <v>1174287.0192307692</v>
      </c>
      <c r="K208" s="28">
        <f t="shared" si="8"/>
        <v>1281040.3846153847</v>
      </c>
      <c r="L208" s="28">
        <f t="shared" si="9"/>
        <v>1387793.75</v>
      </c>
      <c r="M208" s="28">
        <f t="shared" si="10"/>
        <v>1494547.1153846155</v>
      </c>
      <c r="N208" s="28">
        <f t="shared" si="11"/>
        <v>1601300.4807692308</v>
      </c>
      <c r="O208" s="28">
        <f t="shared" si="12"/>
        <v>1708053.8461538462</v>
      </c>
      <c r="P208" s="28">
        <f t="shared" si="13"/>
        <v>1814807.2115384617</v>
      </c>
      <c r="Q208" s="28">
        <f t="shared" si="14"/>
        <v>1921560.576923077</v>
      </c>
      <c r="R208" s="28">
        <f t="shared" si="15"/>
        <v>2028313.9423076925</v>
      </c>
      <c r="S208" s="28">
        <f t="shared" si="16"/>
        <v>2135067.307692308</v>
      </c>
      <c r="T208" s="28">
        <f t="shared" si="17"/>
        <v>2241820.673076923</v>
      </c>
      <c r="U208" s="28">
        <f t="shared" si="18"/>
        <v>2348574.0384615385</v>
      </c>
      <c r="V208" s="28">
        <f t="shared" si="19"/>
        <v>2455327.403846154</v>
      </c>
      <c r="W208" s="28">
        <f t="shared" si="20"/>
        <v>2562080.7692307695</v>
      </c>
    </row>
    <row r="209" spans="1:23" x14ac:dyDescent="0.2">
      <c r="A209" s="28">
        <v>208</v>
      </c>
      <c r="B209" s="28">
        <v>43440.851674641148</v>
      </c>
      <c r="C209" s="28">
        <f t="shared" si="0"/>
        <v>434408.51674641145</v>
      </c>
      <c r="D209" s="28">
        <f t="shared" si="1"/>
        <v>543010.64593301434</v>
      </c>
      <c r="E209" s="28">
        <f t="shared" si="2"/>
        <v>651612.77511961712</v>
      </c>
      <c r="F209" s="28">
        <f t="shared" si="3"/>
        <v>760214.90430622001</v>
      </c>
      <c r="G209" s="28">
        <f t="shared" si="4"/>
        <v>868817.0334928229</v>
      </c>
      <c r="H209" s="28">
        <f t="shared" si="5"/>
        <v>977419.16267942579</v>
      </c>
      <c r="I209" s="28">
        <f t="shared" si="6"/>
        <v>1086021.2918660287</v>
      </c>
      <c r="J209" s="28">
        <f t="shared" si="7"/>
        <v>1194623.4210526315</v>
      </c>
      <c r="K209" s="28">
        <f t="shared" si="8"/>
        <v>1303225.5502392342</v>
      </c>
      <c r="L209" s="28">
        <f t="shared" si="9"/>
        <v>1411827.6794258372</v>
      </c>
      <c r="M209" s="28">
        <f t="shared" si="10"/>
        <v>1520429.80861244</v>
      </c>
      <c r="N209" s="28">
        <f t="shared" si="11"/>
        <v>1629031.937799043</v>
      </c>
      <c r="O209" s="28">
        <f t="shared" si="12"/>
        <v>1737634.0669856458</v>
      </c>
      <c r="P209" s="28">
        <f t="shared" si="13"/>
        <v>1846236.1961722486</v>
      </c>
      <c r="Q209" s="28">
        <f t="shared" si="14"/>
        <v>1954838.3253588516</v>
      </c>
      <c r="R209" s="28">
        <f t="shared" si="15"/>
        <v>2063440.4545454544</v>
      </c>
      <c r="S209" s="28">
        <f t="shared" si="16"/>
        <v>2172042.5837320574</v>
      </c>
      <c r="T209" s="28">
        <f t="shared" si="17"/>
        <v>2280644.7129186601</v>
      </c>
      <c r="U209" s="28">
        <f t="shared" si="18"/>
        <v>2389246.8421052629</v>
      </c>
      <c r="V209" s="28">
        <f t="shared" si="19"/>
        <v>2497848.9712918657</v>
      </c>
      <c r="W209" s="28">
        <f t="shared" si="20"/>
        <v>2606451.1004784685</v>
      </c>
    </row>
    <row r="210" spans="1:23" x14ac:dyDescent="0.2">
      <c r="A210" s="28">
        <v>209</v>
      </c>
      <c r="B210" s="28">
        <v>44173.314285714281</v>
      </c>
      <c r="C210" s="28">
        <f t="shared" si="0"/>
        <v>441733.14285714284</v>
      </c>
      <c r="D210" s="28">
        <f t="shared" si="1"/>
        <v>552166.42857142852</v>
      </c>
      <c r="E210" s="28">
        <f t="shared" si="2"/>
        <v>662599.71428571432</v>
      </c>
      <c r="F210" s="28">
        <f t="shared" si="3"/>
        <v>773033</v>
      </c>
      <c r="G210" s="28">
        <f t="shared" si="4"/>
        <v>883466.28571428568</v>
      </c>
      <c r="H210" s="28">
        <f t="shared" si="5"/>
        <v>993899.57142857136</v>
      </c>
      <c r="I210" s="28">
        <f t="shared" si="6"/>
        <v>1104332.857142857</v>
      </c>
      <c r="J210" s="28">
        <f t="shared" si="7"/>
        <v>1214766.1428571427</v>
      </c>
      <c r="K210" s="28">
        <f t="shared" si="8"/>
        <v>1325199.4285714286</v>
      </c>
      <c r="L210" s="28">
        <f t="shared" si="9"/>
        <v>1435632.7142857143</v>
      </c>
      <c r="M210" s="28">
        <f t="shared" si="10"/>
        <v>1546066</v>
      </c>
      <c r="N210" s="28">
        <f t="shared" si="11"/>
        <v>1656499.2857142857</v>
      </c>
      <c r="O210" s="28">
        <f t="shared" si="12"/>
        <v>1766932.5714285714</v>
      </c>
      <c r="P210" s="28">
        <f t="shared" si="13"/>
        <v>1877365.857142857</v>
      </c>
      <c r="Q210" s="28">
        <f t="shared" si="14"/>
        <v>1987799.1428571427</v>
      </c>
      <c r="R210" s="28">
        <f t="shared" si="15"/>
        <v>2098232.4285714286</v>
      </c>
      <c r="S210" s="28">
        <f t="shared" si="16"/>
        <v>2208665.7142857141</v>
      </c>
      <c r="T210" s="28">
        <f t="shared" si="17"/>
        <v>2319099</v>
      </c>
      <c r="U210" s="28">
        <f t="shared" si="18"/>
        <v>2429532.2857142854</v>
      </c>
      <c r="V210" s="28">
        <f t="shared" si="19"/>
        <v>2539965.5714285714</v>
      </c>
      <c r="W210" s="28">
        <f t="shared" si="20"/>
        <v>2650398.8571428573</v>
      </c>
    </row>
    <row r="211" spans="1:23" x14ac:dyDescent="0.2">
      <c r="A211" s="28">
        <v>210</v>
      </c>
      <c r="B211" s="28">
        <v>44935.295418641392</v>
      </c>
      <c r="C211" s="28">
        <f t="shared" si="0"/>
        <v>449352.9541864139</v>
      </c>
      <c r="D211" s="28">
        <f t="shared" si="1"/>
        <v>561691.19273301738</v>
      </c>
      <c r="E211" s="28">
        <f t="shared" si="2"/>
        <v>674029.43127962085</v>
      </c>
      <c r="F211" s="28">
        <f t="shared" si="3"/>
        <v>786367.66982622433</v>
      </c>
      <c r="G211" s="28">
        <f t="shared" si="4"/>
        <v>898705.90837282781</v>
      </c>
      <c r="H211" s="28">
        <f t="shared" si="5"/>
        <v>1011044.1469194313</v>
      </c>
      <c r="I211" s="28">
        <f t="shared" si="6"/>
        <v>1123382.3854660348</v>
      </c>
      <c r="J211" s="28">
        <f t="shared" si="7"/>
        <v>1235720.6240126383</v>
      </c>
      <c r="K211" s="28">
        <f t="shared" si="8"/>
        <v>1348058.8625592417</v>
      </c>
      <c r="L211" s="28">
        <f t="shared" si="9"/>
        <v>1460397.1011058451</v>
      </c>
      <c r="M211" s="28">
        <f t="shared" si="10"/>
        <v>1572735.3396524487</v>
      </c>
      <c r="N211" s="28">
        <f t="shared" si="11"/>
        <v>1685073.5781990523</v>
      </c>
      <c r="O211" s="28">
        <f t="shared" si="12"/>
        <v>1797411.8167456556</v>
      </c>
      <c r="P211" s="28">
        <f t="shared" si="13"/>
        <v>1909750.055292259</v>
      </c>
      <c r="Q211" s="28">
        <f t="shared" si="14"/>
        <v>2022088.2938388626</v>
      </c>
      <c r="R211" s="28">
        <f t="shared" si="15"/>
        <v>2134426.5323854662</v>
      </c>
      <c r="S211" s="28">
        <f t="shared" si="16"/>
        <v>2246764.7709320695</v>
      </c>
      <c r="T211" s="28">
        <f t="shared" si="17"/>
        <v>2359103.0094786729</v>
      </c>
      <c r="U211" s="28">
        <f t="shared" si="18"/>
        <v>2471441.2480252767</v>
      </c>
      <c r="V211" s="28">
        <f t="shared" si="19"/>
        <v>2583779.4865718801</v>
      </c>
      <c r="W211" s="28">
        <f t="shared" si="20"/>
        <v>2696117.7251184834</v>
      </c>
    </row>
    <row r="212" spans="1:23" x14ac:dyDescent="0.2">
      <c r="A212" s="28">
        <v>211</v>
      </c>
      <c r="B212" s="28">
        <v>45690.088050314465</v>
      </c>
      <c r="C212" s="28">
        <f t="shared" si="0"/>
        <v>456900.88050314464</v>
      </c>
      <c r="D212" s="28">
        <f t="shared" si="1"/>
        <v>571126.10062893084</v>
      </c>
      <c r="E212" s="28">
        <f t="shared" si="2"/>
        <v>685351.32075471699</v>
      </c>
      <c r="F212" s="28">
        <f t="shared" si="3"/>
        <v>799576.54088050313</v>
      </c>
      <c r="G212" s="28">
        <f t="shared" si="4"/>
        <v>913801.76100628928</v>
      </c>
      <c r="H212" s="28">
        <f t="shared" si="5"/>
        <v>1028026.9811320754</v>
      </c>
      <c r="I212" s="28">
        <f t="shared" si="6"/>
        <v>1142252.2012578617</v>
      </c>
      <c r="J212" s="28">
        <f t="shared" si="7"/>
        <v>1256477.4213836477</v>
      </c>
      <c r="K212" s="28">
        <f t="shared" si="8"/>
        <v>1370702.641509434</v>
      </c>
      <c r="L212" s="28">
        <f t="shared" si="9"/>
        <v>1484927.86163522</v>
      </c>
      <c r="M212" s="28">
        <f t="shared" si="10"/>
        <v>1599153.0817610063</v>
      </c>
      <c r="N212" s="28">
        <f t="shared" si="11"/>
        <v>1713378.3018867923</v>
      </c>
      <c r="O212" s="28">
        <f t="shared" si="12"/>
        <v>1827603.5220125786</v>
      </c>
      <c r="P212" s="28">
        <f t="shared" si="13"/>
        <v>1941828.7421383648</v>
      </c>
      <c r="Q212" s="28">
        <f t="shared" si="14"/>
        <v>2056053.9622641508</v>
      </c>
      <c r="R212" s="28">
        <f t="shared" si="15"/>
        <v>2170279.1823899369</v>
      </c>
      <c r="S212" s="28">
        <f t="shared" si="16"/>
        <v>2284504.4025157234</v>
      </c>
      <c r="T212" s="28">
        <f t="shared" si="17"/>
        <v>2398729.6226415094</v>
      </c>
      <c r="U212" s="28">
        <f t="shared" si="18"/>
        <v>2512954.8427672954</v>
      </c>
      <c r="V212" s="28">
        <f t="shared" si="19"/>
        <v>2627180.0628930815</v>
      </c>
      <c r="W212" s="28">
        <f t="shared" si="20"/>
        <v>2741405.283018868</v>
      </c>
    </row>
    <row r="213" spans="1:23" x14ac:dyDescent="0.2">
      <c r="A213" s="28">
        <v>212</v>
      </c>
      <c r="B213" s="28">
        <v>46468.450704225346</v>
      </c>
      <c r="C213" s="28">
        <f t="shared" si="0"/>
        <v>464684.50704225345</v>
      </c>
      <c r="D213" s="28">
        <f t="shared" si="1"/>
        <v>580855.63380281685</v>
      </c>
      <c r="E213" s="28">
        <f t="shared" si="2"/>
        <v>697026.7605633802</v>
      </c>
      <c r="F213" s="28">
        <f t="shared" si="3"/>
        <v>813197.88732394355</v>
      </c>
      <c r="G213" s="28">
        <f t="shared" si="4"/>
        <v>929369.0140845069</v>
      </c>
      <c r="H213" s="28">
        <f t="shared" si="5"/>
        <v>1045540.1408450702</v>
      </c>
      <c r="I213" s="28">
        <f t="shared" si="6"/>
        <v>1161711.2676056337</v>
      </c>
      <c r="J213" s="28">
        <f t="shared" si="7"/>
        <v>1277882.3943661971</v>
      </c>
      <c r="K213" s="28">
        <f t="shared" si="8"/>
        <v>1394053.5211267604</v>
      </c>
      <c r="L213" s="28">
        <f t="shared" si="9"/>
        <v>1510224.6478873238</v>
      </c>
      <c r="M213" s="28">
        <f t="shared" si="10"/>
        <v>1626395.7746478871</v>
      </c>
      <c r="N213" s="28">
        <f t="shared" si="11"/>
        <v>1742566.9014084504</v>
      </c>
      <c r="O213" s="28">
        <f t="shared" si="12"/>
        <v>1858738.0281690138</v>
      </c>
      <c r="P213" s="28">
        <f t="shared" si="13"/>
        <v>1974909.1549295771</v>
      </c>
      <c r="Q213" s="28">
        <f t="shared" si="14"/>
        <v>2091080.2816901405</v>
      </c>
      <c r="R213" s="28">
        <f t="shared" si="15"/>
        <v>2207251.4084507041</v>
      </c>
      <c r="S213" s="28">
        <f t="shared" si="16"/>
        <v>2323422.5352112674</v>
      </c>
      <c r="T213" s="28">
        <f t="shared" si="17"/>
        <v>2439593.6619718308</v>
      </c>
      <c r="U213" s="28">
        <f t="shared" si="18"/>
        <v>2555764.7887323941</v>
      </c>
      <c r="V213" s="28">
        <f t="shared" si="19"/>
        <v>2671935.9154929575</v>
      </c>
      <c r="W213" s="28">
        <f t="shared" si="20"/>
        <v>2788107.0422535208</v>
      </c>
    </row>
    <row r="214" spans="1:23" x14ac:dyDescent="0.2">
      <c r="A214" s="28">
        <v>213</v>
      </c>
      <c r="B214" s="28">
        <v>47246.395638629285</v>
      </c>
      <c r="C214" s="28">
        <f t="shared" si="0"/>
        <v>472463.95638629282</v>
      </c>
      <c r="D214" s="28">
        <f t="shared" si="1"/>
        <v>590579.94548286602</v>
      </c>
      <c r="E214" s="28">
        <f t="shared" si="2"/>
        <v>708695.93457943923</v>
      </c>
      <c r="F214" s="28">
        <f t="shared" si="3"/>
        <v>826811.92367601243</v>
      </c>
      <c r="G214" s="28">
        <f t="shared" si="4"/>
        <v>944927.91277258564</v>
      </c>
      <c r="H214" s="28">
        <f t="shared" si="5"/>
        <v>1063043.9018691587</v>
      </c>
      <c r="I214" s="28">
        <f t="shared" si="6"/>
        <v>1181159.890965732</v>
      </c>
      <c r="J214" s="28">
        <f t="shared" si="7"/>
        <v>1299275.8800623054</v>
      </c>
      <c r="K214" s="28">
        <f t="shared" si="8"/>
        <v>1417391.8691588785</v>
      </c>
      <c r="L214" s="28">
        <f t="shared" si="9"/>
        <v>1535507.8582554515</v>
      </c>
      <c r="M214" s="28">
        <f t="shared" si="10"/>
        <v>1653623.8473520249</v>
      </c>
      <c r="N214" s="28">
        <f t="shared" si="11"/>
        <v>1771739.8364485982</v>
      </c>
      <c r="O214" s="28">
        <f t="shared" si="12"/>
        <v>1889855.8255451713</v>
      </c>
      <c r="P214" s="28">
        <f t="shared" si="13"/>
        <v>2007971.8146417444</v>
      </c>
      <c r="Q214" s="28">
        <f t="shared" si="14"/>
        <v>2126087.8037383175</v>
      </c>
      <c r="R214" s="28">
        <f t="shared" si="15"/>
        <v>2244203.792834891</v>
      </c>
      <c r="S214" s="28">
        <f t="shared" si="16"/>
        <v>2362319.7819314641</v>
      </c>
      <c r="T214" s="28">
        <f t="shared" si="17"/>
        <v>2480435.7710280372</v>
      </c>
      <c r="U214" s="28">
        <f t="shared" si="18"/>
        <v>2598551.7601246107</v>
      </c>
      <c r="V214" s="28">
        <f t="shared" si="19"/>
        <v>2716667.7492211838</v>
      </c>
      <c r="W214" s="28">
        <f t="shared" si="20"/>
        <v>2834783.7383177569</v>
      </c>
    </row>
    <row r="215" spans="1:23" x14ac:dyDescent="0.2">
      <c r="A215" s="28">
        <v>214</v>
      </c>
      <c r="B215" s="28">
        <v>48047.47596899225</v>
      </c>
      <c r="C215" s="28">
        <f t="shared" si="0"/>
        <v>480474.7596899225</v>
      </c>
      <c r="D215" s="28">
        <f t="shared" si="1"/>
        <v>600593.44961240317</v>
      </c>
      <c r="E215" s="28">
        <f t="shared" si="2"/>
        <v>720712.13953488378</v>
      </c>
      <c r="F215" s="28">
        <f t="shared" si="3"/>
        <v>840830.82945736439</v>
      </c>
      <c r="G215" s="28">
        <f t="shared" si="4"/>
        <v>960949.51937984501</v>
      </c>
      <c r="H215" s="28">
        <f t="shared" si="5"/>
        <v>1081068.2093023257</v>
      </c>
      <c r="I215" s="28">
        <f t="shared" si="6"/>
        <v>1201186.8992248063</v>
      </c>
      <c r="J215" s="28">
        <f t="shared" si="7"/>
        <v>1321305.589147287</v>
      </c>
      <c r="K215" s="28">
        <f t="shared" si="8"/>
        <v>1441424.2790697676</v>
      </c>
      <c r="L215" s="28">
        <f t="shared" si="9"/>
        <v>1561542.9689922482</v>
      </c>
      <c r="M215" s="28">
        <f t="shared" si="10"/>
        <v>1681661.6589147288</v>
      </c>
      <c r="N215" s="28">
        <f t="shared" si="11"/>
        <v>1801780.3488372094</v>
      </c>
      <c r="O215" s="28">
        <f t="shared" si="12"/>
        <v>1921899.03875969</v>
      </c>
      <c r="P215" s="28">
        <f t="shared" si="13"/>
        <v>2042017.7286821706</v>
      </c>
      <c r="Q215" s="28">
        <f t="shared" si="14"/>
        <v>2162136.4186046515</v>
      </c>
      <c r="R215" s="28">
        <f t="shared" si="15"/>
        <v>2282255.1085271318</v>
      </c>
      <c r="S215" s="28">
        <f t="shared" si="16"/>
        <v>2402373.7984496127</v>
      </c>
      <c r="T215" s="28">
        <f t="shared" si="17"/>
        <v>2522492.4883720931</v>
      </c>
      <c r="U215" s="28">
        <f t="shared" si="18"/>
        <v>2642611.1782945739</v>
      </c>
      <c r="V215" s="28">
        <f t="shared" si="19"/>
        <v>2762729.8682170543</v>
      </c>
      <c r="W215" s="28">
        <f t="shared" si="20"/>
        <v>2882848.5581395351</v>
      </c>
    </row>
    <row r="216" spans="1:23" x14ac:dyDescent="0.2">
      <c r="A216" s="28">
        <v>215</v>
      </c>
      <c r="B216" s="28">
        <v>48841.138888888883</v>
      </c>
      <c r="C216" s="28">
        <f t="shared" si="0"/>
        <v>488411.38888888882</v>
      </c>
      <c r="D216" s="28">
        <f t="shared" si="1"/>
        <v>610514.23611111101</v>
      </c>
      <c r="E216" s="28">
        <f t="shared" si="2"/>
        <v>732617.08333333326</v>
      </c>
      <c r="F216" s="28">
        <f t="shared" si="3"/>
        <v>854719.93055555539</v>
      </c>
      <c r="G216" s="28">
        <f t="shared" si="4"/>
        <v>976822.77777777764</v>
      </c>
      <c r="H216" s="28">
        <f t="shared" si="5"/>
        <v>1098925.6249999998</v>
      </c>
      <c r="I216" s="28">
        <f t="shared" si="6"/>
        <v>1221028.472222222</v>
      </c>
      <c r="J216" s="28">
        <f t="shared" si="7"/>
        <v>1343131.3194444443</v>
      </c>
      <c r="K216" s="28">
        <f t="shared" si="8"/>
        <v>1465234.1666666665</v>
      </c>
      <c r="L216" s="28">
        <f t="shared" si="9"/>
        <v>1587337.0138888888</v>
      </c>
      <c r="M216" s="28">
        <f t="shared" si="10"/>
        <v>1709439.8611111108</v>
      </c>
      <c r="N216" s="28">
        <f t="shared" si="11"/>
        <v>1831542.708333333</v>
      </c>
      <c r="O216" s="28">
        <f t="shared" si="12"/>
        <v>1953645.5555555553</v>
      </c>
      <c r="P216" s="28">
        <f t="shared" si="13"/>
        <v>2075748.4027777775</v>
      </c>
      <c r="Q216" s="28">
        <f t="shared" si="14"/>
        <v>2197851.2499999995</v>
      </c>
      <c r="R216" s="28">
        <f t="shared" si="15"/>
        <v>2319954.097222222</v>
      </c>
      <c r="S216" s="28">
        <f t="shared" si="16"/>
        <v>2442056.944444444</v>
      </c>
      <c r="T216" s="28">
        <f t="shared" si="17"/>
        <v>2564159.7916666665</v>
      </c>
      <c r="U216" s="28">
        <f t="shared" si="18"/>
        <v>2686262.6388888885</v>
      </c>
      <c r="V216" s="28">
        <f t="shared" si="19"/>
        <v>2808365.4861111105</v>
      </c>
      <c r="W216" s="28">
        <f t="shared" si="20"/>
        <v>2930468.333333333</v>
      </c>
    </row>
    <row r="217" spans="1:23" x14ac:dyDescent="0.2">
      <c r="A217" s="28">
        <v>216</v>
      </c>
      <c r="B217" s="28">
        <v>49666.96466973886</v>
      </c>
      <c r="C217" s="28">
        <f t="shared" si="0"/>
        <v>496669.64669738861</v>
      </c>
      <c r="D217" s="28">
        <f t="shared" si="1"/>
        <v>620837.05837173574</v>
      </c>
      <c r="E217" s="28">
        <f t="shared" si="2"/>
        <v>745004.47004608298</v>
      </c>
      <c r="F217" s="28">
        <f t="shared" si="3"/>
        <v>869171.8817204301</v>
      </c>
      <c r="G217" s="28">
        <f t="shared" si="4"/>
        <v>993339.29339477723</v>
      </c>
      <c r="H217" s="28">
        <f t="shared" si="5"/>
        <v>1117506.7050691245</v>
      </c>
      <c r="I217" s="28">
        <f t="shared" si="6"/>
        <v>1241674.1167434715</v>
      </c>
      <c r="J217" s="28">
        <f t="shared" si="7"/>
        <v>1365841.5284178187</v>
      </c>
      <c r="K217" s="28">
        <f t="shared" si="8"/>
        <v>1490008.940092166</v>
      </c>
      <c r="L217" s="28">
        <f t="shared" si="9"/>
        <v>1614176.351766513</v>
      </c>
      <c r="M217" s="28">
        <f t="shared" si="10"/>
        <v>1738343.7634408602</v>
      </c>
      <c r="N217" s="28">
        <f t="shared" si="11"/>
        <v>1862511.1751152072</v>
      </c>
      <c r="O217" s="28">
        <f t="shared" si="12"/>
        <v>1986678.5867895545</v>
      </c>
      <c r="P217" s="28">
        <f t="shared" si="13"/>
        <v>2110845.9984639017</v>
      </c>
      <c r="Q217" s="28">
        <f t="shared" si="14"/>
        <v>2235013.4101382489</v>
      </c>
      <c r="R217" s="28">
        <f t="shared" si="15"/>
        <v>2359180.8218125957</v>
      </c>
      <c r="S217" s="28">
        <f t="shared" si="16"/>
        <v>2483348.2334869429</v>
      </c>
      <c r="T217" s="28">
        <f t="shared" si="17"/>
        <v>2607515.6451612902</v>
      </c>
      <c r="U217" s="28">
        <f t="shared" si="18"/>
        <v>2731683.0568356374</v>
      </c>
      <c r="V217" s="28">
        <f t="shared" si="19"/>
        <v>2855850.4685099847</v>
      </c>
      <c r="W217" s="28">
        <f t="shared" si="20"/>
        <v>2980017.8801843319</v>
      </c>
    </row>
    <row r="218" spans="1:23" x14ac:dyDescent="0.2">
      <c r="A218" s="28">
        <v>217</v>
      </c>
      <c r="B218" s="28">
        <v>50485.214067278284</v>
      </c>
      <c r="C218" s="28">
        <f t="shared" si="0"/>
        <v>504852.14067278284</v>
      </c>
      <c r="D218" s="28">
        <f t="shared" si="1"/>
        <v>631065.17584097851</v>
      </c>
      <c r="E218" s="28">
        <f t="shared" si="2"/>
        <v>757278.21100917424</v>
      </c>
      <c r="F218" s="28">
        <f t="shared" si="3"/>
        <v>883491.24617736996</v>
      </c>
      <c r="G218" s="28">
        <f t="shared" si="4"/>
        <v>1009704.2813455657</v>
      </c>
      <c r="H218" s="28">
        <f t="shared" si="5"/>
        <v>1135917.3165137614</v>
      </c>
      <c r="I218" s="28">
        <f t="shared" si="6"/>
        <v>1262130.351681957</v>
      </c>
      <c r="J218" s="28">
        <f t="shared" si="7"/>
        <v>1388343.3868501529</v>
      </c>
      <c r="K218" s="28">
        <f t="shared" si="8"/>
        <v>1514556.4220183485</v>
      </c>
      <c r="L218" s="28">
        <f t="shared" si="9"/>
        <v>1640769.4571865443</v>
      </c>
      <c r="M218" s="28">
        <f t="shared" si="10"/>
        <v>1766982.4923547399</v>
      </c>
      <c r="N218" s="28">
        <f t="shared" si="11"/>
        <v>1893195.5275229358</v>
      </c>
      <c r="O218" s="28">
        <f t="shared" si="12"/>
        <v>2019408.5626911314</v>
      </c>
      <c r="P218" s="28">
        <f t="shared" si="13"/>
        <v>2145621.5978593272</v>
      </c>
      <c r="Q218" s="28">
        <f t="shared" si="14"/>
        <v>2271834.6330275228</v>
      </c>
      <c r="R218" s="28">
        <f t="shared" si="15"/>
        <v>2398047.6681957184</v>
      </c>
      <c r="S218" s="28">
        <f t="shared" si="16"/>
        <v>2524260.703363914</v>
      </c>
      <c r="T218" s="28">
        <f t="shared" si="17"/>
        <v>2650473.7385321101</v>
      </c>
      <c r="U218" s="28">
        <f t="shared" si="18"/>
        <v>2776686.7737003057</v>
      </c>
      <c r="V218" s="28">
        <f t="shared" si="19"/>
        <v>2902899.8088685013</v>
      </c>
      <c r="W218" s="28">
        <f t="shared" si="20"/>
        <v>3029112.8440366969</v>
      </c>
    </row>
    <row r="219" spans="1:23" x14ac:dyDescent="0.2">
      <c r="A219" s="28">
        <v>218</v>
      </c>
      <c r="B219" s="28">
        <v>51327.799086757987</v>
      </c>
      <c r="C219" s="28">
        <f t="shared" si="0"/>
        <v>513277.99086757988</v>
      </c>
      <c r="D219" s="28">
        <f t="shared" si="1"/>
        <v>641597.48858447489</v>
      </c>
      <c r="E219" s="28">
        <f t="shared" si="2"/>
        <v>769916.98630136985</v>
      </c>
      <c r="F219" s="28">
        <f t="shared" si="3"/>
        <v>898236.4840182648</v>
      </c>
      <c r="G219" s="28">
        <f t="shared" si="4"/>
        <v>1026555.9817351598</v>
      </c>
      <c r="H219" s="28">
        <f t="shared" si="5"/>
        <v>1154875.4794520547</v>
      </c>
      <c r="I219" s="28">
        <f t="shared" si="6"/>
        <v>1283194.9771689498</v>
      </c>
      <c r="J219" s="28">
        <f t="shared" si="7"/>
        <v>1411514.4748858446</v>
      </c>
      <c r="K219" s="28">
        <f t="shared" si="8"/>
        <v>1539833.9726027397</v>
      </c>
      <c r="L219" s="28">
        <f t="shared" si="9"/>
        <v>1668153.4703196345</v>
      </c>
      <c r="M219" s="28">
        <f t="shared" si="10"/>
        <v>1796472.9680365296</v>
      </c>
      <c r="N219" s="28">
        <f t="shared" si="11"/>
        <v>1924792.4657534244</v>
      </c>
      <c r="O219" s="28">
        <f t="shared" si="12"/>
        <v>2053111.9634703195</v>
      </c>
      <c r="P219" s="28">
        <f t="shared" si="13"/>
        <v>2181431.4611872146</v>
      </c>
      <c r="Q219" s="28">
        <f t="shared" si="14"/>
        <v>2309750.9589041094</v>
      </c>
      <c r="R219" s="28">
        <f t="shared" si="15"/>
        <v>2438070.4566210043</v>
      </c>
      <c r="S219" s="28">
        <f t="shared" si="16"/>
        <v>2566389.9543378996</v>
      </c>
      <c r="T219" s="28">
        <f t="shared" si="17"/>
        <v>2694709.4520547944</v>
      </c>
      <c r="U219" s="28">
        <f t="shared" si="18"/>
        <v>2823028.9497716893</v>
      </c>
      <c r="V219" s="28">
        <f t="shared" si="19"/>
        <v>2951348.4474885841</v>
      </c>
      <c r="W219" s="28">
        <f t="shared" si="20"/>
        <v>3079667.9452054794</v>
      </c>
    </row>
    <row r="220" spans="1:23" x14ac:dyDescent="0.2">
      <c r="A220" s="28">
        <v>219</v>
      </c>
      <c r="B220" s="28">
        <v>52170.003030303029</v>
      </c>
      <c r="C220" s="28">
        <f t="shared" si="0"/>
        <v>521700.03030303027</v>
      </c>
      <c r="D220" s="28">
        <f t="shared" si="1"/>
        <v>652125.03787878784</v>
      </c>
      <c r="E220" s="28">
        <f t="shared" si="2"/>
        <v>782550.04545454541</v>
      </c>
      <c r="F220" s="28">
        <f t="shared" si="3"/>
        <v>912975.05303030298</v>
      </c>
      <c r="G220" s="28">
        <f t="shared" si="4"/>
        <v>1043400.0606060605</v>
      </c>
      <c r="H220" s="28">
        <f t="shared" si="5"/>
        <v>1173825.0681818181</v>
      </c>
      <c r="I220" s="28">
        <f t="shared" si="6"/>
        <v>1304250.0757575757</v>
      </c>
      <c r="J220" s="28">
        <f t="shared" si="7"/>
        <v>1434675.0833333333</v>
      </c>
      <c r="K220" s="28">
        <f t="shared" si="8"/>
        <v>1565100.0909090908</v>
      </c>
      <c r="L220" s="28">
        <f t="shared" si="9"/>
        <v>1695525.0984848484</v>
      </c>
      <c r="M220" s="28">
        <f t="shared" si="10"/>
        <v>1825950.106060606</v>
      </c>
      <c r="N220" s="28">
        <f t="shared" si="11"/>
        <v>1956375.1136363635</v>
      </c>
      <c r="O220" s="28">
        <f t="shared" si="12"/>
        <v>2086800.1212121211</v>
      </c>
      <c r="P220" s="28">
        <f t="shared" si="13"/>
        <v>2217225.1287878789</v>
      </c>
      <c r="Q220" s="28">
        <f t="shared" si="14"/>
        <v>2347650.1363636362</v>
      </c>
      <c r="R220" s="28">
        <f t="shared" si="15"/>
        <v>2478075.1439393936</v>
      </c>
      <c r="S220" s="28">
        <f t="shared" si="16"/>
        <v>2608500.1515151514</v>
      </c>
      <c r="T220" s="28">
        <f t="shared" si="17"/>
        <v>2738925.1590909092</v>
      </c>
      <c r="U220" s="28">
        <f t="shared" si="18"/>
        <v>2869350.1666666665</v>
      </c>
      <c r="V220" s="28">
        <f t="shared" si="19"/>
        <v>2999775.1742424238</v>
      </c>
      <c r="W220" s="28">
        <f t="shared" si="20"/>
        <v>3130200.1818181816</v>
      </c>
    </row>
    <row r="221" spans="1:23" x14ac:dyDescent="0.2">
      <c r="A221" s="28">
        <v>220</v>
      </c>
      <c r="B221" s="28">
        <v>53037.628959276022</v>
      </c>
      <c r="C221" s="28">
        <f t="shared" si="0"/>
        <v>530376.28959276027</v>
      </c>
      <c r="D221" s="28">
        <f t="shared" si="1"/>
        <v>662970.3619909503</v>
      </c>
      <c r="E221" s="28">
        <f t="shared" si="2"/>
        <v>795564.43438914046</v>
      </c>
      <c r="F221" s="28">
        <f t="shared" si="3"/>
        <v>928158.50678733049</v>
      </c>
      <c r="G221" s="28">
        <f t="shared" si="4"/>
        <v>1060752.5791855205</v>
      </c>
      <c r="H221" s="28">
        <f t="shared" si="5"/>
        <v>1193346.6515837107</v>
      </c>
      <c r="I221" s="28">
        <f t="shared" si="6"/>
        <v>1325940.7239819006</v>
      </c>
      <c r="J221" s="28">
        <f t="shared" si="7"/>
        <v>1458534.7963800908</v>
      </c>
      <c r="K221" s="28">
        <f t="shared" si="8"/>
        <v>1591128.8687782809</v>
      </c>
      <c r="L221" s="28">
        <f t="shared" si="9"/>
        <v>1723722.9411764708</v>
      </c>
      <c r="M221" s="28">
        <f t="shared" si="10"/>
        <v>1856317.013574661</v>
      </c>
      <c r="N221" s="28">
        <f t="shared" si="11"/>
        <v>1988911.0859728509</v>
      </c>
      <c r="O221" s="28">
        <f t="shared" si="12"/>
        <v>2121505.1583710411</v>
      </c>
      <c r="P221" s="28">
        <f t="shared" si="13"/>
        <v>2254099.230769231</v>
      </c>
      <c r="Q221" s="28">
        <f t="shared" si="14"/>
        <v>2386693.3031674214</v>
      </c>
      <c r="R221" s="28">
        <f t="shared" si="15"/>
        <v>2519287.3755656113</v>
      </c>
      <c r="S221" s="28">
        <f t="shared" si="16"/>
        <v>2651881.4479638012</v>
      </c>
      <c r="T221" s="28">
        <f t="shared" si="17"/>
        <v>2784475.5203619916</v>
      </c>
      <c r="U221" s="28">
        <f t="shared" si="18"/>
        <v>2917069.5927601815</v>
      </c>
      <c r="V221" s="28">
        <f t="shared" si="19"/>
        <v>3049663.6651583714</v>
      </c>
      <c r="W221" s="28">
        <f t="shared" si="20"/>
        <v>3182257.7375565618</v>
      </c>
    </row>
    <row r="222" spans="1:23" x14ac:dyDescent="0.2">
      <c r="A222" s="28">
        <v>221</v>
      </c>
      <c r="B222" s="28">
        <v>53897.438438438439</v>
      </c>
      <c r="C222" s="28">
        <f t="shared" si="0"/>
        <v>538974.38438438438</v>
      </c>
      <c r="D222" s="28">
        <f t="shared" si="1"/>
        <v>673717.98048048047</v>
      </c>
      <c r="E222" s="28">
        <f t="shared" si="2"/>
        <v>808461.57657657657</v>
      </c>
      <c r="F222" s="28">
        <f t="shared" si="3"/>
        <v>943205.17267267266</v>
      </c>
      <c r="G222" s="28">
        <f t="shared" si="4"/>
        <v>1077948.7687687688</v>
      </c>
      <c r="H222" s="28">
        <f t="shared" si="5"/>
        <v>1212692.3648648649</v>
      </c>
      <c r="I222" s="28">
        <f t="shared" si="6"/>
        <v>1347435.9609609609</v>
      </c>
      <c r="J222" s="28">
        <f t="shared" si="7"/>
        <v>1482179.557057057</v>
      </c>
      <c r="K222" s="28">
        <f t="shared" si="8"/>
        <v>1616923.1531531531</v>
      </c>
      <c r="L222" s="28">
        <f t="shared" si="9"/>
        <v>1751666.7492492492</v>
      </c>
      <c r="M222" s="28">
        <f t="shared" si="10"/>
        <v>1886410.3453453453</v>
      </c>
      <c r="N222" s="28">
        <f t="shared" si="11"/>
        <v>2021153.9414414414</v>
      </c>
      <c r="O222" s="28">
        <f t="shared" si="12"/>
        <v>2155897.5375375375</v>
      </c>
      <c r="P222" s="28">
        <f t="shared" si="13"/>
        <v>2290641.1336336336</v>
      </c>
      <c r="Q222" s="28">
        <f t="shared" si="14"/>
        <v>2425384.7297297297</v>
      </c>
      <c r="R222" s="28">
        <f t="shared" si="15"/>
        <v>2560128.3258258258</v>
      </c>
      <c r="S222" s="28">
        <f t="shared" si="16"/>
        <v>2694871.9219219219</v>
      </c>
      <c r="T222" s="28">
        <f t="shared" si="17"/>
        <v>2829615.518018018</v>
      </c>
      <c r="U222" s="28">
        <f t="shared" si="18"/>
        <v>2964359.1141141141</v>
      </c>
      <c r="V222" s="28">
        <f t="shared" si="19"/>
        <v>3099102.7102102102</v>
      </c>
      <c r="W222" s="28">
        <f t="shared" si="20"/>
        <v>3233846.3063063063</v>
      </c>
    </row>
    <row r="223" spans="1:23" x14ac:dyDescent="0.2">
      <c r="A223" s="28">
        <v>222</v>
      </c>
      <c r="B223" s="28">
        <v>54790.355754857999</v>
      </c>
      <c r="C223" s="28">
        <f t="shared" si="0"/>
        <v>547903.55754857999</v>
      </c>
      <c r="D223" s="28">
        <f t="shared" si="1"/>
        <v>684879.44693572493</v>
      </c>
      <c r="E223" s="28">
        <f t="shared" si="2"/>
        <v>821855.33632286999</v>
      </c>
      <c r="F223" s="28">
        <f t="shared" si="3"/>
        <v>958831.22571001505</v>
      </c>
      <c r="G223" s="28">
        <f t="shared" si="4"/>
        <v>1095807.11509716</v>
      </c>
      <c r="H223" s="28">
        <f t="shared" si="5"/>
        <v>1232783.0044843049</v>
      </c>
      <c r="I223" s="28">
        <f t="shared" si="6"/>
        <v>1369758.8938714499</v>
      </c>
      <c r="J223" s="28">
        <f t="shared" si="7"/>
        <v>1506734.783258595</v>
      </c>
      <c r="K223" s="28">
        <f t="shared" si="8"/>
        <v>1643710.67264574</v>
      </c>
      <c r="L223" s="28">
        <f t="shared" si="9"/>
        <v>1780686.5620328849</v>
      </c>
      <c r="M223" s="28">
        <f t="shared" si="10"/>
        <v>1917662.4514200301</v>
      </c>
      <c r="N223" s="28">
        <f t="shared" si="11"/>
        <v>2054638.340807175</v>
      </c>
      <c r="O223" s="28">
        <f t="shared" si="12"/>
        <v>2191614.23019432</v>
      </c>
      <c r="P223" s="28">
        <f t="shared" si="13"/>
        <v>2328590.1195814651</v>
      </c>
      <c r="Q223" s="28">
        <f t="shared" si="14"/>
        <v>2465566.0089686099</v>
      </c>
      <c r="R223" s="28">
        <f t="shared" si="15"/>
        <v>2602541.898355755</v>
      </c>
      <c r="S223" s="28">
        <f t="shared" si="16"/>
        <v>2739517.7877428997</v>
      </c>
      <c r="T223" s="28">
        <f t="shared" si="17"/>
        <v>2876493.6771300449</v>
      </c>
      <c r="U223" s="28">
        <f t="shared" si="18"/>
        <v>3013469.5665171901</v>
      </c>
      <c r="V223" s="28">
        <f t="shared" si="19"/>
        <v>3150445.4559043348</v>
      </c>
      <c r="W223" s="28">
        <f t="shared" si="20"/>
        <v>3287421.34529148</v>
      </c>
    </row>
    <row r="224" spans="1:23" x14ac:dyDescent="0.2">
      <c r="A224" s="28">
        <v>223</v>
      </c>
      <c r="B224" s="28">
        <v>55675.300595238099</v>
      </c>
      <c r="C224" s="28">
        <f t="shared" si="0"/>
        <v>556753.00595238095</v>
      </c>
      <c r="D224" s="28">
        <f t="shared" si="1"/>
        <v>695941.25744047621</v>
      </c>
      <c r="E224" s="28">
        <f t="shared" si="2"/>
        <v>835129.50892857136</v>
      </c>
      <c r="F224" s="28">
        <f t="shared" si="3"/>
        <v>974317.76041666663</v>
      </c>
      <c r="G224" s="28">
        <f t="shared" si="4"/>
        <v>1113506.0119047619</v>
      </c>
      <c r="H224" s="28">
        <f t="shared" si="5"/>
        <v>1252694.263392857</v>
      </c>
      <c r="I224" s="28">
        <f t="shared" si="6"/>
        <v>1391882.5148809524</v>
      </c>
      <c r="J224" s="28">
        <f t="shared" si="7"/>
        <v>1531070.7663690476</v>
      </c>
      <c r="K224" s="28">
        <f t="shared" si="8"/>
        <v>1670259.0178571427</v>
      </c>
      <c r="L224" s="28">
        <f t="shared" si="9"/>
        <v>1809447.2693452381</v>
      </c>
      <c r="M224" s="28">
        <f t="shared" si="10"/>
        <v>1948635.5208333333</v>
      </c>
      <c r="N224" s="28">
        <f t="shared" si="11"/>
        <v>2087823.7723214286</v>
      </c>
      <c r="O224" s="28">
        <f t="shared" si="12"/>
        <v>2227012.0238095238</v>
      </c>
      <c r="P224" s="28">
        <f t="shared" si="13"/>
        <v>2366200.2752976189</v>
      </c>
      <c r="Q224" s="28">
        <f t="shared" si="14"/>
        <v>2505388.5267857141</v>
      </c>
      <c r="R224" s="28">
        <f t="shared" si="15"/>
        <v>2644576.7782738097</v>
      </c>
      <c r="S224" s="28">
        <f t="shared" si="16"/>
        <v>2783765.0297619049</v>
      </c>
      <c r="T224" s="28">
        <f t="shared" si="17"/>
        <v>2922953.28125</v>
      </c>
      <c r="U224" s="28">
        <f t="shared" si="18"/>
        <v>3062141.5327380951</v>
      </c>
      <c r="V224" s="28">
        <f t="shared" si="19"/>
        <v>3201329.7842261903</v>
      </c>
      <c r="W224" s="28">
        <f t="shared" si="20"/>
        <v>3340518.0357142854</v>
      </c>
    </row>
    <row r="225" spans="1:23" x14ac:dyDescent="0.2">
      <c r="A225" s="28">
        <v>224</v>
      </c>
      <c r="B225" s="28">
        <v>56586.888888888883</v>
      </c>
      <c r="C225" s="28">
        <f t="shared" si="0"/>
        <v>565868.88888888888</v>
      </c>
      <c r="D225" s="28">
        <f t="shared" si="1"/>
        <v>707336.11111111112</v>
      </c>
      <c r="E225" s="28">
        <f t="shared" si="2"/>
        <v>848803.33333333326</v>
      </c>
      <c r="F225" s="28">
        <f t="shared" si="3"/>
        <v>990270.5555555555</v>
      </c>
      <c r="G225" s="28">
        <f t="shared" si="4"/>
        <v>1131737.7777777778</v>
      </c>
      <c r="H225" s="28">
        <f t="shared" si="5"/>
        <v>1273205</v>
      </c>
      <c r="I225" s="28">
        <f t="shared" si="6"/>
        <v>1414672.2222222222</v>
      </c>
      <c r="J225" s="28">
        <f t="shared" si="7"/>
        <v>1556139.4444444445</v>
      </c>
      <c r="K225" s="28">
        <f t="shared" si="8"/>
        <v>1697606.6666666665</v>
      </c>
      <c r="L225" s="28">
        <f t="shared" si="9"/>
        <v>1839073.8888888888</v>
      </c>
      <c r="M225" s="28">
        <f t="shared" si="10"/>
        <v>1980541.111111111</v>
      </c>
      <c r="N225" s="28">
        <f t="shared" si="11"/>
        <v>2122008.3333333335</v>
      </c>
      <c r="O225" s="28">
        <f t="shared" si="12"/>
        <v>2263475.5555555555</v>
      </c>
      <c r="P225" s="28">
        <f t="shared" si="13"/>
        <v>2404942.7777777775</v>
      </c>
      <c r="Q225" s="28">
        <f t="shared" si="14"/>
        <v>2546410</v>
      </c>
      <c r="R225" s="28">
        <f t="shared" si="15"/>
        <v>2687877.222222222</v>
      </c>
      <c r="S225" s="28">
        <f t="shared" si="16"/>
        <v>2829344.4444444445</v>
      </c>
      <c r="T225" s="28">
        <f t="shared" si="17"/>
        <v>2970811.6666666665</v>
      </c>
      <c r="U225" s="28">
        <f t="shared" si="18"/>
        <v>3112278.888888889</v>
      </c>
      <c r="V225" s="28">
        <f t="shared" si="19"/>
        <v>3253746.111111111</v>
      </c>
      <c r="W225" s="28">
        <f t="shared" si="20"/>
        <v>3395213.333333333</v>
      </c>
    </row>
    <row r="226" spans="1:23" x14ac:dyDescent="0.2">
      <c r="A226" s="28">
        <v>225</v>
      </c>
      <c r="B226" s="28">
        <v>57498.088495575226</v>
      </c>
      <c r="C226" s="28">
        <f t="shared" si="0"/>
        <v>574980.88495575229</v>
      </c>
      <c r="D226" s="28">
        <f t="shared" si="1"/>
        <v>718726.10619469034</v>
      </c>
      <c r="E226" s="28">
        <f t="shared" si="2"/>
        <v>862471.3274336285</v>
      </c>
      <c r="F226" s="28">
        <f t="shared" si="3"/>
        <v>1006216.5486725665</v>
      </c>
      <c r="G226" s="28">
        <f t="shared" si="4"/>
        <v>1149961.7699115046</v>
      </c>
      <c r="H226" s="28">
        <f t="shared" si="5"/>
        <v>1293706.9911504427</v>
      </c>
      <c r="I226" s="28">
        <f t="shared" si="6"/>
        <v>1437452.2123893807</v>
      </c>
      <c r="J226" s="28">
        <f t="shared" si="7"/>
        <v>1581197.4336283188</v>
      </c>
      <c r="K226" s="28">
        <f t="shared" si="8"/>
        <v>1724942.654867257</v>
      </c>
      <c r="L226" s="28">
        <f t="shared" si="9"/>
        <v>1868687.8761061949</v>
      </c>
      <c r="M226" s="28">
        <f t="shared" si="10"/>
        <v>2012433.0973451331</v>
      </c>
      <c r="N226" s="28">
        <f t="shared" si="11"/>
        <v>2156178.318584071</v>
      </c>
      <c r="O226" s="28">
        <f t="shared" si="12"/>
        <v>2299923.5398230092</v>
      </c>
      <c r="P226" s="28">
        <f t="shared" si="13"/>
        <v>2443668.7610619473</v>
      </c>
      <c r="Q226" s="28">
        <f t="shared" si="14"/>
        <v>2587413.9823008855</v>
      </c>
      <c r="R226" s="28">
        <f t="shared" si="15"/>
        <v>2731159.2035398232</v>
      </c>
      <c r="S226" s="28">
        <f t="shared" si="16"/>
        <v>2874904.4247787613</v>
      </c>
      <c r="T226" s="28">
        <f t="shared" si="17"/>
        <v>3018649.6460176995</v>
      </c>
      <c r="U226" s="28">
        <f t="shared" si="18"/>
        <v>3162394.8672566377</v>
      </c>
      <c r="V226" s="28">
        <f t="shared" si="19"/>
        <v>3306140.0884955758</v>
      </c>
      <c r="W226" s="28">
        <f t="shared" si="20"/>
        <v>3449885.309734514</v>
      </c>
    </row>
    <row r="227" spans="1:23" x14ac:dyDescent="0.2">
      <c r="A227" s="28">
        <v>226</v>
      </c>
      <c r="B227" s="28">
        <v>58435.465491923642</v>
      </c>
      <c r="C227" s="28">
        <f t="shared" si="0"/>
        <v>584354.65491923643</v>
      </c>
      <c r="D227" s="28">
        <f t="shared" si="1"/>
        <v>730443.31864904554</v>
      </c>
      <c r="E227" s="28">
        <f t="shared" si="2"/>
        <v>876531.98237885465</v>
      </c>
      <c r="F227" s="28">
        <f t="shared" si="3"/>
        <v>1022620.6461086638</v>
      </c>
      <c r="G227" s="28">
        <f t="shared" si="4"/>
        <v>1168709.3098384729</v>
      </c>
      <c r="H227" s="28">
        <f t="shared" si="5"/>
        <v>1314797.9735682821</v>
      </c>
      <c r="I227" s="28">
        <f t="shared" si="6"/>
        <v>1460886.6372980911</v>
      </c>
      <c r="J227" s="28">
        <f t="shared" si="7"/>
        <v>1606975.3010279001</v>
      </c>
      <c r="K227" s="28">
        <f t="shared" si="8"/>
        <v>1753063.9647577093</v>
      </c>
      <c r="L227" s="28">
        <f t="shared" si="9"/>
        <v>1899152.6284875185</v>
      </c>
      <c r="M227" s="28">
        <f t="shared" si="10"/>
        <v>2045241.2922173275</v>
      </c>
      <c r="N227" s="28">
        <f t="shared" si="11"/>
        <v>2191329.9559471365</v>
      </c>
      <c r="O227" s="28">
        <f t="shared" si="12"/>
        <v>2337418.6196769457</v>
      </c>
      <c r="P227" s="28">
        <f t="shared" si="13"/>
        <v>2483507.283406755</v>
      </c>
      <c r="Q227" s="28">
        <f t="shared" si="14"/>
        <v>2629595.9471365642</v>
      </c>
      <c r="R227" s="28">
        <f t="shared" si="15"/>
        <v>2775684.6108663729</v>
      </c>
      <c r="S227" s="28">
        <f t="shared" si="16"/>
        <v>2921773.2745961822</v>
      </c>
      <c r="T227" s="28">
        <f t="shared" si="17"/>
        <v>3067861.9383259914</v>
      </c>
      <c r="U227" s="28">
        <f t="shared" si="18"/>
        <v>3213950.6020558001</v>
      </c>
      <c r="V227" s="28">
        <f t="shared" si="19"/>
        <v>3360039.2657856094</v>
      </c>
      <c r="W227" s="28">
        <f t="shared" si="20"/>
        <v>3506127.9295154186</v>
      </c>
    </row>
    <row r="228" spans="1:23" x14ac:dyDescent="0.2">
      <c r="A228" s="28">
        <v>227</v>
      </c>
      <c r="B228" s="28">
        <v>59364.619883040934</v>
      </c>
      <c r="C228" s="28">
        <f t="shared" si="0"/>
        <v>593646.19883040932</v>
      </c>
      <c r="D228" s="28">
        <f t="shared" si="1"/>
        <v>742057.74853801169</v>
      </c>
      <c r="E228" s="28">
        <f t="shared" si="2"/>
        <v>890469.29824561393</v>
      </c>
      <c r="F228" s="28">
        <f t="shared" si="3"/>
        <v>1038880.8479532163</v>
      </c>
      <c r="G228" s="28">
        <f t="shared" si="4"/>
        <v>1187292.3976608186</v>
      </c>
      <c r="H228" s="28">
        <f t="shared" si="5"/>
        <v>1335703.9473684209</v>
      </c>
      <c r="I228" s="28">
        <f t="shared" si="6"/>
        <v>1484115.4970760234</v>
      </c>
      <c r="J228" s="28">
        <f t="shared" si="7"/>
        <v>1632527.0467836256</v>
      </c>
      <c r="K228" s="28">
        <f t="shared" si="8"/>
        <v>1780938.5964912279</v>
      </c>
      <c r="L228" s="28">
        <f t="shared" si="9"/>
        <v>1929350.1461988303</v>
      </c>
      <c r="M228" s="28">
        <f t="shared" si="10"/>
        <v>2077761.6959064326</v>
      </c>
      <c r="N228" s="28">
        <f t="shared" si="11"/>
        <v>2226173.2456140351</v>
      </c>
      <c r="O228" s="28">
        <f t="shared" si="12"/>
        <v>2374584.7953216373</v>
      </c>
      <c r="P228" s="28">
        <f t="shared" si="13"/>
        <v>2522996.3450292395</v>
      </c>
      <c r="Q228" s="28">
        <f t="shared" si="14"/>
        <v>2671407.8947368418</v>
      </c>
      <c r="R228" s="28">
        <f t="shared" si="15"/>
        <v>2819819.4444444445</v>
      </c>
      <c r="S228" s="28">
        <f t="shared" si="16"/>
        <v>2968230.9941520467</v>
      </c>
      <c r="T228" s="28">
        <f t="shared" si="17"/>
        <v>3116642.543859649</v>
      </c>
      <c r="U228" s="28">
        <f t="shared" si="18"/>
        <v>3265054.0935672512</v>
      </c>
      <c r="V228" s="28">
        <f t="shared" si="19"/>
        <v>3413465.6432748535</v>
      </c>
      <c r="W228" s="28">
        <f t="shared" si="20"/>
        <v>3561877.1929824557</v>
      </c>
    </row>
    <row r="229" spans="1:23" x14ac:dyDescent="0.2">
      <c r="A229" s="28">
        <v>228</v>
      </c>
      <c r="B229" s="28">
        <v>60329.71761280932</v>
      </c>
      <c r="C229" s="28">
        <f t="shared" si="0"/>
        <v>603297.17612809315</v>
      </c>
      <c r="D229" s="28">
        <f t="shared" si="1"/>
        <v>754121.47016011644</v>
      </c>
      <c r="E229" s="28">
        <f t="shared" si="2"/>
        <v>904945.76419213973</v>
      </c>
      <c r="F229" s="28">
        <f t="shared" si="3"/>
        <v>1055770.058224163</v>
      </c>
      <c r="G229" s="28">
        <f t="shared" si="4"/>
        <v>1206594.3522561863</v>
      </c>
      <c r="H229" s="28">
        <f t="shared" si="5"/>
        <v>1357418.6462882096</v>
      </c>
      <c r="I229" s="28">
        <f t="shared" si="6"/>
        <v>1508242.9403202329</v>
      </c>
      <c r="J229" s="28">
        <f t="shared" si="7"/>
        <v>1659067.2343522562</v>
      </c>
      <c r="K229" s="28">
        <f t="shared" si="8"/>
        <v>1809891.5283842795</v>
      </c>
      <c r="L229" s="28">
        <f t="shared" si="9"/>
        <v>1960715.8224163027</v>
      </c>
      <c r="M229" s="28">
        <f t="shared" si="10"/>
        <v>2111540.116448326</v>
      </c>
      <c r="N229" s="28">
        <f t="shared" si="11"/>
        <v>2262364.4104803493</v>
      </c>
      <c r="O229" s="28">
        <f t="shared" si="12"/>
        <v>2413188.7045123726</v>
      </c>
      <c r="P229" s="28">
        <f t="shared" si="13"/>
        <v>2564012.9985443959</v>
      </c>
      <c r="Q229" s="28">
        <f t="shared" si="14"/>
        <v>2714837.2925764192</v>
      </c>
      <c r="R229" s="28">
        <f t="shared" si="15"/>
        <v>2865661.5866084425</v>
      </c>
      <c r="S229" s="28">
        <f t="shared" si="16"/>
        <v>3016485.8806404658</v>
      </c>
      <c r="T229" s="28">
        <f t="shared" si="17"/>
        <v>3167310.1746724891</v>
      </c>
      <c r="U229" s="28">
        <f t="shared" si="18"/>
        <v>3318134.4687045123</v>
      </c>
      <c r="V229" s="28">
        <f t="shared" si="19"/>
        <v>3468958.7627365356</v>
      </c>
      <c r="W229" s="28">
        <f t="shared" si="20"/>
        <v>3619783.0567685589</v>
      </c>
    </row>
    <row r="230" spans="1:23" x14ac:dyDescent="0.2">
      <c r="A230" s="28">
        <v>229</v>
      </c>
      <c r="B230" s="28">
        <v>61286.423188405803</v>
      </c>
      <c r="C230" s="28">
        <f t="shared" si="0"/>
        <v>612864.23188405798</v>
      </c>
      <c r="D230" s="28">
        <f t="shared" si="1"/>
        <v>766080.28985507251</v>
      </c>
      <c r="E230" s="28">
        <f t="shared" si="2"/>
        <v>919296.34782608692</v>
      </c>
      <c r="F230" s="28">
        <f t="shared" si="3"/>
        <v>1072512.4057971016</v>
      </c>
      <c r="G230" s="28">
        <f t="shared" si="4"/>
        <v>1225728.463768116</v>
      </c>
      <c r="H230" s="28">
        <f t="shared" si="5"/>
        <v>1378944.5217391304</v>
      </c>
      <c r="I230" s="28">
        <f t="shared" si="6"/>
        <v>1532160.579710145</v>
      </c>
      <c r="J230" s="28">
        <f t="shared" si="7"/>
        <v>1685376.6376811594</v>
      </c>
      <c r="K230" s="28">
        <f t="shared" si="8"/>
        <v>1838592.6956521738</v>
      </c>
      <c r="L230" s="28">
        <f t="shared" si="9"/>
        <v>1991808.7536231885</v>
      </c>
      <c r="M230" s="28">
        <f t="shared" si="10"/>
        <v>2145024.8115942031</v>
      </c>
      <c r="N230" s="28">
        <f t="shared" si="11"/>
        <v>2298240.8695652173</v>
      </c>
      <c r="O230" s="28">
        <f t="shared" si="12"/>
        <v>2451456.9275362319</v>
      </c>
      <c r="P230" s="28">
        <f t="shared" si="13"/>
        <v>2604672.9855072466</v>
      </c>
      <c r="Q230" s="28">
        <f t="shared" si="14"/>
        <v>2757889.0434782607</v>
      </c>
      <c r="R230" s="28">
        <f t="shared" si="15"/>
        <v>2911105.1014492754</v>
      </c>
      <c r="S230" s="28">
        <f t="shared" si="16"/>
        <v>3064321.15942029</v>
      </c>
      <c r="T230" s="28">
        <f t="shared" si="17"/>
        <v>3217537.2173913042</v>
      </c>
      <c r="U230" s="28">
        <f t="shared" si="18"/>
        <v>3370753.2753623188</v>
      </c>
      <c r="V230" s="28">
        <f t="shared" si="19"/>
        <v>3523969.3333333335</v>
      </c>
      <c r="W230" s="28">
        <f t="shared" si="20"/>
        <v>3677185.3913043477</v>
      </c>
    </row>
    <row r="231" spans="1:23" x14ac:dyDescent="0.2">
      <c r="A231" s="28">
        <v>230</v>
      </c>
      <c r="B231" s="28">
        <v>62270.542568542565</v>
      </c>
      <c r="C231" s="28">
        <f t="shared" si="0"/>
        <v>622705.42568542564</v>
      </c>
      <c r="D231" s="28">
        <f t="shared" si="1"/>
        <v>778381.78210678208</v>
      </c>
      <c r="E231" s="28">
        <f t="shared" si="2"/>
        <v>934058.1385281384</v>
      </c>
      <c r="F231" s="28">
        <f t="shared" si="3"/>
        <v>1089734.494949495</v>
      </c>
      <c r="G231" s="28">
        <f t="shared" si="4"/>
        <v>1245410.8513708513</v>
      </c>
      <c r="H231" s="28">
        <f t="shared" si="5"/>
        <v>1401087.2077922076</v>
      </c>
      <c r="I231" s="28">
        <f t="shared" si="6"/>
        <v>1556763.5642135642</v>
      </c>
      <c r="J231" s="28">
        <f t="shared" si="7"/>
        <v>1712439.9206349205</v>
      </c>
      <c r="K231" s="28">
        <f t="shared" si="8"/>
        <v>1868116.2770562768</v>
      </c>
      <c r="L231" s="28">
        <f t="shared" si="9"/>
        <v>2023792.6334776334</v>
      </c>
      <c r="M231" s="28">
        <f t="shared" si="10"/>
        <v>2179468.9898989899</v>
      </c>
      <c r="N231" s="28">
        <f t="shared" si="11"/>
        <v>2335145.346320346</v>
      </c>
      <c r="O231" s="28">
        <f t="shared" si="12"/>
        <v>2490821.7027417026</v>
      </c>
      <c r="P231" s="28">
        <f t="shared" si="13"/>
        <v>2646498.0591630591</v>
      </c>
      <c r="Q231" s="28">
        <f t="shared" si="14"/>
        <v>2802174.4155844152</v>
      </c>
      <c r="R231" s="28">
        <f t="shared" si="15"/>
        <v>2957850.7720057718</v>
      </c>
      <c r="S231" s="28">
        <f t="shared" si="16"/>
        <v>3113527.1284271283</v>
      </c>
      <c r="T231" s="28">
        <f t="shared" si="17"/>
        <v>3269203.4848484844</v>
      </c>
      <c r="U231" s="28">
        <f t="shared" si="18"/>
        <v>3424879.841269841</v>
      </c>
      <c r="V231" s="28">
        <f t="shared" si="19"/>
        <v>3580556.1976911975</v>
      </c>
      <c r="W231" s="28">
        <f t="shared" si="20"/>
        <v>3736232.5541125536</v>
      </c>
    </row>
    <row r="232" spans="1:23" x14ac:dyDescent="0.2">
      <c r="A232" s="28">
        <v>231</v>
      </c>
      <c r="B232" s="28">
        <v>63254.126436781611</v>
      </c>
      <c r="C232" s="28">
        <f t="shared" si="0"/>
        <v>632541.26436781615</v>
      </c>
      <c r="D232" s="28">
        <f t="shared" si="1"/>
        <v>790676.58045977016</v>
      </c>
      <c r="E232" s="28">
        <f t="shared" si="2"/>
        <v>948811.89655172429</v>
      </c>
      <c r="F232" s="28">
        <f t="shared" si="3"/>
        <v>1106947.2126436783</v>
      </c>
      <c r="G232" s="28">
        <f t="shared" si="4"/>
        <v>1265082.5287356323</v>
      </c>
      <c r="H232" s="28">
        <f t="shared" si="5"/>
        <v>1423217.8448275863</v>
      </c>
      <c r="I232" s="28">
        <f t="shared" si="6"/>
        <v>1581353.1609195403</v>
      </c>
      <c r="J232" s="28">
        <f t="shared" si="7"/>
        <v>1739488.4770114943</v>
      </c>
      <c r="K232" s="28">
        <f t="shared" si="8"/>
        <v>1897623.7931034486</v>
      </c>
      <c r="L232" s="28">
        <f t="shared" si="9"/>
        <v>2055759.1091954026</v>
      </c>
      <c r="M232" s="28">
        <f t="shared" si="10"/>
        <v>2213894.4252873566</v>
      </c>
      <c r="N232" s="28">
        <f t="shared" si="11"/>
        <v>2372029.7413793104</v>
      </c>
      <c r="O232" s="28">
        <f t="shared" si="12"/>
        <v>2530165.0574712646</v>
      </c>
      <c r="P232" s="28">
        <f t="shared" si="13"/>
        <v>2688300.3735632189</v>
      </c>
      <c r="Q232" s="28">
        <f t="shared" si="14"/>
        <v>2846435.6896551726</v>
      </c>
      <c r="R232" s="28">
        <f t="shared" si="15"/>
        <v>3004571.0057471269</v>
      </c>
      <c r="S232" s="28">
        <f t="shared" si="16"/>
        <v>3162706.3218390807</v>
      </c>
      <c r="T232" s="28">
        <f t="shared" si="17"/>
        <v>3320841.6379310349</v>
      </c>
      <c r="U232" s="28">
        <f t="shared" si="18"/>
        <v>3478976.9540229887</v>
      </c>
      <c r="V232" s="28">
        <f t="shared" si="19"/>
        <v>3637112.2701149429</v>
      </c>
      <c r="W232" s="28">
        <f t="shared" si="20"/>
        <v>3795247.5862068972</v>
      </c>
    </row>
    <row r="233" spans="1:23" x14ac:dyDescent="0.2">
      <c r="A233" s="28">
        <v>232</v>
      </c>
      <c r="B233" s="28">
        <v>64266.366237482122</v>
      </c>
      <c r="C233" s="28">
        <f t="shared" si="0"/>
        <v>642663.66237482126</v>
      </c>
      <c r="D233" s="28">
        <f t="shared" si="1"/>
        <v>803329.57796852663</v>
      </c>
      <c r="E233" s="28">
        <f t="shared" si="2"/>
        <v>963995.49356223189</v>
      </c>
      <c r="F233" s="28">
        <f t="shared" si="3"/>
        <v>1124661.4091559371</v>
      </c>
      <c r="G233" s="28">
        <f t="shared" si="4"/>
        <v>1285327.3247496425</v>
      </c>
      <c r="H233" s="28">
        <f t="shared" si="5"/>
        <v>1445993.2403433479</v>
      </c>
      <c r="I233" s="28">
        <f t="shared" si="6"/>
        <v>1606659.1559370533</v>
      </c>
      <c r="J233" s="28">
        <f t="shared" si="7"/>
        <v>1767325.0715307584</v>
      </c>
      <c r="K233" s="28">
        <f t="shared" si="8"/>
        <v>1927990.9871244638</v>
      </c>
      <c r="L233" s="28">
        <f t="shared" si="9"/>
        <v>2088656.9027181691</v>
      </c>
      <c r="M233" s="28">
        <f t="shared" si="10"/>
        <v>2249322.8183118743</v>
      </c>
      <c r="N233" s="28">
        <f t="shared" si="11"/>
        <v>2409988.7339055799</v>
      </c>
      <c r="O233" s="28">
        <f t="shared" si="12"/>
        <v>2570654.649499285</v>
      </c>
      <c r="P233" s="28">
        <f t="shared" si="13"/>
        <v>2731320.5650929902</v>
      </c>
      <c r="Q233" s="28">
        <f t="shared" si="14"/>
        <v>2891986.4806866958</v>
      </c>
      <c r="R233" s="28">
        <f t="shared" si="15"/>
        <v>3052652.3962804009</v>
      </c>
      <c r="S233" s="28">
        <f t="shared" si="16"/>
        <v>3213318.3118741065</v>
      </c>
      <c r="T233" s="28">
        <f t="shared" si="17"/>
        <v>3373984.2274678117</v>
      </c>
      <c r="U233" s="28">
        <f t="shared" si="18"/>
        <v>3534650.1430615168</v>
      </c>
      <c r="V233" s="28">
        <f t="shared" si="19"/>
        <v>3695316.0586552224</v>
      </c>
      <c r="W233" s="28">
        <f t="shared" si="20"/>
        <v>3855981.9742489276</v>
      </c>
    </row>
    <row r="234" spans="1:23" x14ac:dyDescent="0.2">
      <c r="A234" s="28">
        <v>233</v>
      </c>
      <c r="B234" s="28">
        <v>65269.954415954409</v>
      </c>
      <c r="C234" s="28">
        <f t="shared" si="0"/>
        <v>652699.54415954405</v>
      </c>
      <c r="D234" s="28">
        <f t="shared" si="1"/>
        <v>815874.43019943009</v>
      </c>
      <c r="E234" s="28">
        <f t="shared" si="2"/>
        <v>979049.31623931602</v>
      </c>
      <c r="F234" s="28">
        <f t="shared" si="3"/>
        <v>1142224.2022792022</v>
      </c>
      <c r="G234" s="28">
        <f t="shared" si="4"/>
        <v>1305399.0883190881</v>
      </c>
      <c r="H234" s="28">
        <f t="shared" si="5"/>
        <v>1468573.974358974</v>
      </c>
      <c r="I234" s="28">
        <f t="shared" si="6"/>
        <v>1631748.8603988602</v>
      </c>
      <c r="J234" s="28">
        <f t="shared" si="7"/>
        <v>1794923.7464387461</v>
      </c>
      <c r="K234" s="28">
        <f t="shared" si="8"/>
        <v>1958098.632478632</v>
      </c>
      <c r="L234" s="28">
        <f t="shared" si="9"/>
        <v>2121273.5185185182</v>
      </c>
      <c r="M234" s="28">
        <f t="shared" si="10"/>
        <v>2284448.4045584043</v>
      </c>
      <c r="N234" s="28">
        <f t="shared" si="11"/>
        <v>2447623.29059829</v>
      </c>
      <c r="O234" s="28">
        <f t="shared" si="12"/>
        <v>2610798.1766381762</v>
      </c>
      <c r="P234" s="28">
        <f t="shared" si="13"/>
        <v>2773973.0626780624</v>
      </c>
      <c r="Q234" s="28">
        <f t="shared" si="14"/>
        <v>2937147.948717948</v>
      </c>
      <c r="R234" s="28">
        <f t="shared" si="15"/>
        <v>3100322.8347578342</v>
      </c>
      <c r="S234" s="28">
        <f t="shared" si="16"/>
        <v>3263497.7207977204</v>
      </c>
      <c r="T234" s="28">
        <f t="shared" si="17"/>
        <v>3426672.6068376061</v>
      </c>
      <c r="U234" s="28">
        <f t="shared" si="18"/>
        <v>3589847.4928774922</v>
      </c>
      <c r="V234" s="28">
        <f t="shared" si="19"/>
        <v>3753022.3789173784</v>
      </c>
      <c r="W234" s="28">
        <f t="shared" si="20"/>
        <v>3916197.2649572641</v>
      </c>
    </row>
    <row r="235" spans="1:23" x14ac:dyDescent="0.2">
      <c r="A235" s="28">
        <v>234</v>
      </c>
      <c r="B235" s="28">
        <v>66310.751773049647</v>
      </c>
      <c r="C235" s="28">
        <f t="shared" si="0"/>
        <v>663107.51773049647</v>
      </c>
      <c r="D235" s="28">
        <f t="shared" si="1"/>
        <v>828884.39716312056</v>
      </c>
      <c r="E235" s="28">
        <f t="shared" si="2"/>
        <v>994661.27659574477</v>
      </c>
      <c r="F235" s="28">
        <f t="shared" si="3"/>
        <v>1160438.1560283687</v>
      </c>
      <c r="G235" s="28">
        <f t="shared" si="4"/>
        <v>1326215.0354609929</v>
      </c>
      <c r="H235" s="28">
        <f t="shared" si="5"/>
        <v>1491991.9148936172</v>
      </c>
      <c r="I235" s="28">
        <f t="shared" si="6"/>
        <v>1657768.7943262411</v>
      </c>
      <c r="J235" s="28">
        <f t="shared" si="7"/>
        <v>1823545.6737588653</v>
      </c>
      <c r="K235" s="28">
        <f t="shared" si="8"/>
        <v>1989322.5531914895</v>
      </c>
      <c r="L235" s="28">
        <f t="shared" si="9"/>
        <v>2155099.4326241137</v>
      </c>
      <c r="M235" s="28">
        <f t="shared" si="10"/>
        <v>2320876.3120567375</v>
      </c>
      <c r="N235" s="28">
        <f t="shared" si="11"/>
        <v>2486653.1914893617</v>
      </c>
      <c r="O235" s="28">
        <f t="shared" si="12"/>
        <v>2652430.0709219859</v>
      </c>
      <c r="P235" s="28">
        <f t="shared" si="13"/>
        <v>2818206.9503546101</v>
      </c>
      <c r="Q235" s="28">
        <f t="shared" si="14"/>
        <v>2983983.8297872343</v>
      </c>
      <c r="R235" s="28">
        <f t="shared" si="15"/>
        <v>3149760.7092198581</v>
      </c>
      <c r="S235" s="28">
        <f t="shared" si="16"/>
        <v>3315537.5886524823</v>
      </c>
      <c r="T235" s="28">
        <f t="shared" si="17"/>
        <v>3481314.4680851065</v>
      </c>
      <c r="U235" s="28">
        <f t="shared" si="18"/>
        <v>3647091.3475177307</v>
      </c>
      <c r="V235" s="28">
        <f t="shared" si="19"/>
        <v>3812868.2269503549</v>
      </c>
      <c r="W235" s="28">
        <f t="shared" si="20"/>
        <v>3978645.1063829791</v>
      </c>
    </row>
    <row r="236" spans="1:23" x14ac:dyDescent="0.2">
      <c r="A236" s="28">
        <v>235</v>
      </c>
      <c r="B236" s="28">
        <v>67342.728813559326</v>
      </c>
      <c r="C236" s="28">
        <f t="shared" si="0"/>
        <v>673427.28813559329</v>
      </c>
      <c r="D236" s="28">
        <f t="shared" si="1"/>
        <v>841784.11016949161</v>
      </c>
      <c r="E236" s="28">
        <f t="shared" si="2"/>
        <v>1010140.9322033899</v>
      </c>
      <c r="F236" s="28">
        <f t="shared" si="3"/>
        <v>1178497.7542372881</v>
      </c>
      <c r="G236" s="28">
        <f t="shared" si="4"/>
        <v>1346854.5762711866</v>
      </c>
      <c r="H236" s="28">
        <f t="shared" si="5"/>
        <v>1515211.398305085</v>
      </c>
      <c r="I236" s="28">
        <f t="shared" si="6"/>
        <v>1683568.2203389832</v>
      </c>
      <c r="J236" s="28">
        <f t="shared" si="7"/>
        <v>1851925.0423728814</v>
      </c>
      <c r="K236" s="28">
        <f t="shared" si="8"/>
        <v>2020281.8644067799</v>
      </c>
      <c r="L236" s="28">
        <f t="shared" si="9"/>
        <v>2188638.6864406783</v>
      </c>
      <c r="M236" s="28">
        <f t="shared" si="10"/>
        <v>2356995.5084745763</v>
      </c>
      <c r="N236" s="28">
        <f t="shared" si="11"/>
        <v>2525352.3305084747</v>
      </c>
      <c r="O236" s="28">
        <f t="shared" si="12"/>
        <v>2693709.1525423732</v>
      </c>
      <c r="P236" s="28">
        <f t="shared" si="13"/>
        <v>2862065.9745762716</v>
      </c>
      <c r="Q236" s="28">
        <f t="shared" si="14"/>
        <v>3030422.79661017</v>
      </c>
      <c r="R236" s="28">
        <f t="shared" si="15"/>
        <v>3198779.618644068</v>
      </c>
      <c r="S236" s="28">
        <f t="shared" si="16"/>
        <v>3367136.4406779665</v>
      </c>
      <c r="T236" s="28">
        <f t="shared" si="17"/>
        <v>3535493.2627118649</v>
      </c>
      <c r="U236" s="28">
        <f t="shared" si="18"/>
        <v>3703850.0847457629</v>
      </c>
      <c r="V236" s="28">
        <f t="shared" si="19"/>
        <v>3872206.9067796613</v>
      </c>
      <c r="W236" s="28">
        <f t="shared" si="20"/>
        <v>4040563.7288135597</v>
      </c>
    </row>
    <row r="237" spans="1:23" x14ac:dyDescent="0.2">
      <c r="A237" s="28">
        <v>236</v>
      </c>
      <c r="B237" s="28">
        <v>68404.627285513357</v>
      </c>
      <c r="C237" s="28">
        <f t="shared" si="0"/>
        <v>684046.27285513352</v>
      </c>
      <c r="D237" s="28">
        <f t="shared" si="1"/>
        <v>855057.84106891695</v>
      </c>
      <c r="E237" s="28">
        <f t="shared" si="2"/>
        <v>1026069.4092827003</v>
      </c>
      <c r="F237" s="28">
        <f t="shared" si="3"/>
        <v>1197080.9774964836</v>
      </c>
      <c r="G237" s="28">
        <f t="shared" si="4"/>
        <v>1368092.545710267</v>
      </c>
      <c r="H237" s="28">
        <f t="shared" si="5"/>
        <v>1539104.1139240505</v>
      </c>
      <c r="I237" s="28">
        <f t="shared" si="6"/>
        <v>1710115.6821378339</v>
      </c>
      <c r="J237" s="28">
        <f t="shared" si="7"/>
        <v>1881127.2503516171</v>
      </c>
      <c r="K237" s="28">
        <f t="shared" si="8"/>
        <v>2052138.8185654006</v>
      </c>
      <c r="L237" s="28">
        <f t="shared" si="9"/>
        <v>2223150.386779184</v>
      </c>
      <c r="M237" s="28">
        <f t="shared" si="10"/>
        <v>2394161.9549929672</v>
      </c>
      <c r="N237" s="28">
        <f t="shared" si="11"/>
        <v>2565173.5232067509</v>
      </c>
      <c r="O237" s="28">
        <f t="shared" si="12"/>
        <v>2736185.0914205341</v>
      </c>
      <c r="P237" s="28">
        <f t="shared" si="13"/>
        <v>2907196.6596343173</v>
      </c>
      <c r="Q237" s="28">
        <f t="shared" si="14"/>
        <v>3078208.2278481009</v>
      </c>
      <c r="R237" s="28">
        <f t="shared" si="15"/>
        <v>3249219.7960618841</v>
      </c>
      <c r="S237" s="28">
        <f t="shared" si="16"/>
        <v>3420231.3642756678</v>
      </c>
      <c r="T237" s="28">
        <f t="shared" si="17"/>
        <v>3591242.932489451</v>
      </c>
      <c r="U237" s="28">
        <f t="shared" si="18"/>
        <v>3762254.5007032342</v>
      </c>
      <c r="V237" s="28">
        <f t="shared" si="19"/>
        <v>3933266.0689170179</v>
      </c>
      <c r="W237" s="28">
        <f t="shared" si="20"/>
        <v>4104277.6371308011</v>
      </c>
    </row>
    <row r="238" spans="1:23" x14ac:dyDescent="0.2">
      <c r="A238" s="28">
        <v>237</v>
      </c>
      <c r="B238" s="28">
        <v>69465.983193277309</v>
      </c>
      <c r="C238" s="28">
        <f t="shared" si="0"/>
        <v>694659.83193277312</v>
      </c>
      <c r="D238" s="28">
        <f t="shared" si="1"/>
        <v>868324.78991596634</v>
      </c>
      <c r="E238" s="28">
        <f t="shared" si="2"/>
        <v>1041989.7478991597</v>
      </c>
      <c r="F238" s="28">
        <f t="shared" si="3"/>
        <v>1215654.705882353</v>
      </c>
      <c r="G238" s="28">
        <f t="shared" si="4"/>
        <v>1389319.6638655462</v>
      </c>
      <c r="H238" s="28">
        <f t="shared" si="5"/>
        <v>1562984.6218487395</v>
      </c>
      <c r="I238" s="28">
        <f t="shared" si="6"/>
        <v>1736649.5798319327</v>
      </c>
      <c r="J238" s="28">
        <f t="shared" si="7"/>
        <v>1910314.5378151261</v>
      </c>
      <c r="K238" s="28">
        <f t="shared" si="8"/>
        <v>2083979.4957983193</v>
      </c>
      <c r="L238" s="28">
        <f t="shared" si="9"/>
        <v>2257644.4537815126</v>
      </c>
      <c r="M238" s="28">
        <f t="shared" si="10"/>
        <v>2431309.411764706</v>
      </c>
      <c r="N238" s="28">
        <f t="shared" si="11"/>
        <v>2604974.369747899</v>
      </c>
      <c r="O238" s="28">
        <f t="shared" si="12"/>
        <v>2778639.3277310925</v>
      </c>
      <c r="P238" s="28">
        <f t="shared" si="13"/>
        <v>2952304.2857142859</v>
      </c>
      <c r="Q238" s="28">
        <f t="shared" si="14"/>
        <v>3125969.2436974789</v>
      </c>
      <c r="R238" s="28">
        <f t="shared" si="15"/>
        <v>3299634.2016806724</v>
      </c>
      <c r="S238" s="28">
        <f t="shared" si="16"/>
        <v>3473299.1596638653</v>
      </c>
      <c r="T238" s="28">
        <f t="shared" si="17"/>
        <v>3646964.1176470588</v>
      </c>
      <c r="U238" s="28">
        <f t="shared" si="18"/>
        <v>3820629.0756302522</v>
      </c>
      <c r="V238" s="28">
        <f t="shared" si="19"/>
        <v>3994294.0336134452</v>
      </c>
      <c r="W238" s="28">
        <f t="shared" si="20"/>
        <v>4167958.9915966387</v>
      </c>
    </row>
    <row r="239" spans="1:23" x14ac:dyDescent="0.2">
      <c r="A239" s="28">
        <v>238</v>
      </c>
      <c r="B239" s="28">
        <v>70556.764295676432</v>
      </c>
      <c r="C239" s="28">
        <f t="shared" si="0"/>
        <v>705567.64295676432</v>
      </c>
      <c r="D239" s="28">
        <f t="shared" si="1"/>
        <v>881959.55369595543</v>
      </c>
      <c r="E239" s="28">
        <f t="shared" si="2"/>
        <v>1058351.4644351464</v>
      </c>
      <c r="F239" s="28">
        <f t="shared" si="3"/>
        <v>1234743.3751743375</v>
      </c>
      <c r="G239" s="28">
        <f t="shared" si="4"/>
        <v>1411135.2859135286</v>
      </c>
      <c r="H239" s="28">
        <f t="shared" si="5"/>
        <v>1587527.1966527198</v>
      </c>
      <c r="I239" s="28">
        <f t="shared" si="6"/>
        <v>1763919.1073919109</v>
      </c>
      <c r="J239" s="28">
        <f t="shared" si="7"/>
        <v>1940311.018131102</v>
      </c>
      <c r="K239" s="28">
        <f t="shared" si="8"/>
        <v>2116702.9288702928</v>
      </c>
      <c r="L239" s="28">
        <f t="shared" si="9"/>
        <v>2293094.8396094842</v>
      </c>
      <c r="M239" s="28">
        <f t="shared" si="10"/>
        <v>2469486.7503486751</v>
      </c>
      <c r="N239" s="28">
        <f t="shared" si="11"/>
        <v>2645878.6610878664</v>
      </c>
      <c r="O239" s="28">
        <f t="shared" si="12"/>
        <v>2822270.5718270573</v>
      </c>
      <c r="P239" s="28">
        <f t="shared" si="13"/>
        <v>2998662.4825662482</v>
      </c>
      <c r="Q239" s="28">
        <f t="shared" si="14"/>
        <v>3175054.3933054395</v>
      </c>
      <c r="R239" s="28">
        <f t="shared" si="15"/>
        <v>3351446.3040446304</v>
      </c>
      <c r="S239" s="28">
        <f t="shared" si="16"/>
        <v>3527838.2147838217</v>
      </c>
      <c r="T239" s="28">
        <f t="shared" si="17"/>
        <v>3704230.1255230126</v>
      </c>
      <c r="U239" s="28">
        <f t="shared" si="18"/>
        <v>3880622.0362622039</v>
      </c>
      <c r="V239" s="28">
        <f t="shared" si="19"/>
        <v>4057013.9470013948</v>
      </c>
      <c r="W239" s="28">
        <f t="shared" si="20"/>
        <v>4233405.8577405857</v>
      </c>
    </row>
    <row r="240" spans="1:23" x14ac:dyDescent="0.2">
      <c r="A240" s="28">
        <v>239</v>
      </c>
      <c r="B240" s="28">
        <v>71638.455555555556</v>
      </c>
      <c r="C240" s="28">
        <f t="shared" si="0"/>
        <v>716384.5555555555</v>
      </c>
      <c r="D240" s="28">
        <f t="shared" si="1"/>
        <v>895480.69444444438</v>
      </c>
      <c r="E240" s="28">
        <f t="shared" si="2"/>
        <v>1074576.8333333333</v>
      </c>
      <c r="F240" s="28">
        <f t="shared" si="3"/>
        <v>1253672.972222222</v>
      </c>
      <c r="G240" s="28">
        <f t="shared" si="4"/>
        <v>1432769.111111111</v>
      </c>
      <c r="H240" s="28">
        <f t="shared" si="5"/>
        <v>1611865.25</v>
      </c>
      <c r="I240" s="28">
        <f t="shared" si="6"/>
        <v>1790961.3888888888</v>
      </c>
      <c r="J240" s="28">
        <f t="shared" si="7"/>
        <v>1970057.5277777775</v>
      </c>
      <c r="K240" s="28">
        <f t="shared" si="8"/>
        <v>2149153.6666666665</v>
      </c>
      <c r="L240" s="28">
        <f t="shared" si="9"/>
        <v>2328249.8055555555</v>
      </c>
      <c r="M240" s="28">
        <f t="shared" si="10"/>
        <v>2507345.944444444</v>
      </c>
      <c r="N240" s="28">
        <f t="shared" si="11"/>
        <v>2686442.083333333</v>
      </c>
      <c r="O240" s="28">
        <f t="shared" si="12"/>
        <v>2865538.222222222</v>
      </c>
      <c r="P240" s="28">
        <f t="shared" si="13"/>
        <v>3044634.361111111</v>
      </c>
      <c r="Q240" s="28">
        <f t="shared" si="14"/>
        <v>3223730.5</v>
      </c>
      <c r="R240" s="28">
        <f t="shared" si="15"/>
        <v>3402826.6388888885</v>
      </c>
      <c r="S240" s="28">
        <f t="shared" si="16"/>
        <v>3581922.7777777775</v>
      </c>
      <c r="T240" s="28">
        <f t="shared" si="17"/>
        <v>3761018.9166666665</v>
      </c>
      <c r="U240" s="28">
        <f t="shared" si="18"/>
        <v>3940115.055555555</v>
      </c>
      <c r="V240" s="28">
        <f t="shared" si="19"/>
        <v>4119211.194444444</v>
      </c>
      <c r="W240" s="28">
        <f t="shared" si="20"/>
        <v>4298307.333333333</v>
      </c>
    </row>
    <row r="241" spans="1:23" x14ac:dyDescent="0.2">
      <c r="A241" s="28">
        <v>240</v>
      </c>
      <c r="B241" s="28">
        <v>72760.284923928077</v>
      </c>
      <c r="C241" s="28">
        <f t="shared" si="0"/>
        <v>727602.8492392808</v>
      </c>
      <c r="D241" s="28">
        <f t="shared" si="1"/>
        <v>909503.56154910102</v>
      </c>
      <c r="E241" s="28">
        <f t="shared" si="2"/>
        <v>1091404.2738589211</v>
      </c>
      <c r="F241" s="28">
        <f t="shared" si="3"/>
        <v>1273304.9861687415</v>
      </c>
      <c r="G241" s="28">
        <f t="shared" si="4"/>
        <v>1455205.6984785616</v>
      </c>
      <c r="H241" s="28">
        <f t="shared" si="5"/>
        <v>1637106.4107883817</v>
      </c>
      <c r="I241" s="28">
        <f t="shared" si="6"/>
        <v>1819007.123098202</v>
      </c>
      <c r="J241" s="28">
        <f t="shared" si="7"/>
        <v>2000907.8354080222</v>
      </c>
      <c r="K241" s="28">
        <f t="shared" si="8"/>
        <v>2182808.5477178423</v>
      </c>
      <c r="L241" s="28">
        <f t="shared" si="9"/>
        <v>2364709.2600276624</v>
      </c>
      <c r="M241" s="28">
        <f t="shared" si="10"/>
        <v>2546609.972337483</v>
      </c>
      <c r="N241" s="28">
        <f t="shared" si="11"/>
        <v>2728510.6846473031</v>
      </c>
      <c r="O241" s="28">
        <f t="shared" si="12"/>
        <v>2910411.3969571232</v>
      </c>
      <c r="P241" s="28">
        <f t="shared" si="13"/>
        <v>3092312.1092669433</v>
      </c>
      <c r="Q241" s="28">
        <f t="shared" si="14"/>
        <v>3274212.8215767634</v>
      </c>
      <c r="R241" s="28">
        <f t="shared" si="15"/>
        <v>3456113.533886584</v>
      </c>
      <c r="S241" s="28">
        <f t="shared" si="16"/>
        <v>3638014.2461964041</v>
      </c>
      <c r="T241" s="28">
        <f t="shared" si="17"/>
        <v>3819914.9585062242</v>
      </c>
      <c r="U241" s="28">
        <f t="shared" si="18"/>
        <v>4001815.6708160443</v>
      </c>
      <c r="V241" s="28">
        <f t="shared" si="19"/>
        <v>4183716.3831258644</v>
      </c>
      <c r="W241" s="28">
        <f t="shared" si="20"/>
        <v>4365617.0954356845</v>
      </c>
    </row>
    <row r="242" spans="1:23" x14ac:dyDescent="0.2">
      <c r="A242" s="28">
        <v>241</v>
      </c>
      <c r="B242" s="28">
        <v>73872.842975206615</v>
      </c>
      <c r="C242" s="28">
        <f t="shared" si="0"/>
        <v>738728.42975206615</v>
      </c>
      <c r="D242" s="28">
        <f t="shared" si="1"/>
        <v>923410.53719008272</v>
      </c>
      <c r="E242" s="28">
        <f t="shared" si="2"/>
        <v>1108092.6446280992</v>
      </c>
      <c r="F242" s="28">
        <f t="shared" si="3"/>
        <v>1292774.7520661158</v>
      </c>
      <c r="G242" s="28">
        <f t="shared" si="4"/>
        <v>1477456.8595041323</v>
      </c>
      <c r="H242" s="28">
        <f t="shared" si="5"/>
        <v>1662138.9669421487</v>
      </c>
      <c r="I242" s="28">
        <f t="shared" si="6"/>
        <v>1846821.0743801654</v>
      </c>
      <c r="J242" s="28">
        <f t="shared" si="7"/>
        <v>2031503.1818181819</v>
      </c>
      <c r="K242" s="28">
        <f t="shared" si="8"/>
        <v>2216185.2892561983</v>
      </c>
      <c r="L242" s="28">
        <f t="shared" si="9"/>
        <v>2400867.396694215</v>
      </c>
      <c r="M242" s="28">
        <f t="shared" si="10"/>
        <v>2585549.5041322317</v>
      </c>
      <c r="N242" s="28">
        <f t="shared" si="11"/>
        <v>2770231.6115702479</v>
      </c>
      <c r="O242" s="28">
        <f t="shared" si="12"/>
        <v>2954913.7190082646</v>
      </c>
      <c r="P242" s="28">
        <f t="shared" si="13"/>
        <v>3139595.8264462813</v>
      </c>
      <c r="Q242" s="28">
        <f t="shared" si="14"/>
        <v>3324277.9338842975</v>
      </c>
      <c r="R242" s="28">
        <f t="shared" si="15"/>
        <v>3508960.0413223142</v>
      </c>
      <c r="S242" s="28">
        <f t="shared" si="16"/>
        <v>3693642.1487603309</v>
      </c>
      <c r="T242" s="28">
        <f t="shared" si="17"/>
        <v>3878324.2561983471</v>
      </c>
      <c r="U242" s="28">
        <f t="shared" si="18"/>
        <v>4063006.3636363638</v>
      </c>
      <c r="V242" s="28">
        <f t="shared" si="19"/>
        <v>4247688.47107438</v>
      </c>
      <c r="W242" s="28">
        <f t="shared" si="20"/>
        <v>4432370.5785123967</v>
      </c>
    </row>
    <row r="243" spans="1:23" x14ac:dyDescent="0.2">
      <c r="A243" s="28">
        <v>242</v>
      </c>
      <c r="B243" s="28">
        <v>75016.235939643346</v>
      </c>
      <c r="C243" s="28">
        <f t="shared" si="0"/>
        <v>750162.35939643346</v>
      </c>
      <c r="D243" s="28">
        <f t="shared" si="1"/>
        <v>937702.94924554182</v>
      </c>
      <c r="E243" s="28">
        <f t="shared" si="2"/>
        <v>1125243.5390946502</v>
      </c>
      <c r="F243" s="28">
        <f t="shared" si="3"/>
        <v>1312784.1289437586</v>
      </c>
      <c r="G243" s="28">
        <f t="shared" si="4"/>
        <v>1500324.7187928669</v>
      </c>
      <c r="H243" s="28">
        <f t="shared" si="5"/>
        <v>1687865.3086419753</v>
      </c>
      <c r="I243" s="28">
        <f t="shared" si="6"/>
        <v>1875405.8984910836</v>
      </c>
      <c r="J243" s="28">
        <f t="shared" si="7"/>
        <v>2062946.488340192</v>
      </c>
      <c r="K243" s="28">
        <f t="shared" si="8"/>
        <v>2250487.0781893004</v>
      </c>
      <c r="L243" s="28">
        <f t="shared" si="9"/>
        <v>2438027.6680384087</v>
      </c>
      <c r="M243" s="28">
        <f t="shared" si="10"/>
        <v>2625568.2578875171</v>
      </c>
      <c r="N243" s="28">
        <f t="shared" si="11"/>
        <v>2813108.8477366255</v>
      </c>
      <c r="O243" s="28">
        <f t="shared" si="12"/>
        <v>3000649.4375857338</v>
      </c>
      <c r="P243" s="28">
        <f t="shared" si="13"/>
        <v>3188190.0274348422</v>
      </c>
      <c r="Q243" s="28">
        <f t="shared" si="14"/>
        <v>3375730.6172839506</v>
      </c>
      <c r="R243" s="28">
        <f t="shared" si="15"/>
        <v>3563271.2071330589</v>
      </c>
      <c r="S243" s="28">
        <f t="shared" si="16"/>
        <v>3750811.7969821673</v>
      </c>
      <c r="T243" s="28">
        <f t="shared" si="17"/>
        <v>3938352.3868312757</v>
      </c>
      <c r="U243" s="28">
        <f t="shared" si="18"/>
        <v>4125892.976680384</v>
      </c>
      <c r="V243" s="28">
        <f t="shared" si="19"/>
        <v>4313433.5665294919</v>
      </c>
      <c r="W243" s="28">
        <f t="shared" si="20"/>
        <v>4500974.1563786007</v>
      </c>
    </row>
    <row r="244" spans="1:23" x14ac:dyDescent="0.2">
      <c r="A244" s="28">
        <v>243</v>
      </c>
      <c r="B244" s="28">
        <v>76159.101092896177</v>
      </c>
      <c r="C244" s="28">
        <f t="shared" si="0"/>
        <v>761591.0109289618</v>
      </c>
      <c r="D244" s="28">
        <f t="shared" si="1"/>
        <v>951988.76366120228</v>
      </c>
      <c r="E244" s="28">
        <f t="shared" si="2"/>
        <v>1142386.5163934426</v>
      </c>
      <c r="F244" s="28">
        <f t="shared" si="3"/>
        <v>1332784.2691256832</v>
      </c>
      <c r="G244" s="28">
        <f t="shared" si="4"/>
        <v>1523182.0218579236</v>
      </c>
      <c r="H244" s="28">
        <f t="shared" si="5"/>
        <v>1713579.774590164</v>
      </c>
      <c r="I244" s="28">
        <f t="shared" si="6"/>
        <v>1903977.5273224046</v>
      </c>
      <c r="J244" s="28">
        <f t="shared" si="7"/>
        <v>2094375.2800546449</v>
      </c>
      <c r="K244" s="28">
        <f t="shared" si="8"/>
        <v>2284773.0327868853</v>
      </c>
      <c r="L244" s="28">
        <f t="shared" si="9"/>
        <v>2475170.7855191259</v>
      </c>
      <c r="M244" s="28">
        <f t="shared" si="10"/>
        <v>2665568.5382513665</v>
      </c>
      <c r="N244" s="28">
        <f t="shared" si="11"/>
        <v>2855966.2909836066</v>
      </c>
      <c r="O244" s="28">
        <f t="shared" si="12"/>
        <v>3046364.0437158472</v>
      </c>
      <c r="P244" s="28">
        <f t="shared" si="13"/>
        <v>3236761.7964480878</v>
      </c>
      <c r="Q244" s="28">
        <f t="shared" si="14"/>
        <v>3427159.5491803279</v>
      </c>
      <c r="R244" s="28">
        <f t="shared" si="15"/>
        <v>3617557.3019125685</v>
      </c>
      <c r="S244" s="28">
        <f t="shared" si="16"/>
        <v>3807955.0546448091</v>
      </c>
      <c r="T244" s="28">
        <f t="shared" si="17"/>
        <v>3998352.8073770492</v>
      </c>
      <c r="U244" s="28">
        <f t="shared" si="18"/>
        <v>4188750.5601092898</v>
      </c>
      <c r="V244" s="28">
        <f t="shared" si="19"/>
        <v>4379148.31284153</v>
      </c>
      <c r="W244" s="28">
        <f t="shared" si="20"/>
        <v>4569546.0655737706</v>
      </c>
    </row>
    <row r="245" spans="1:23" x14ac:dyDescent="0.2">
      <c r="A245" s="28">
        <v>244</v>
      </c>
      <c r="B245" s="28">
        <v>77334.095238095237</v>
      </c>
      <c r="C245" s="28">
        <f t="shared" si="0"/>
        <v>773340.95238095243</v>
      </c>
      <c r="D245" s="28">
        <f t="shared" si="1"/>
        <v>966676.19047619053</v>
      </c>
      <c r="E245" s="28">
        <f t="shared" si="2"/>
        <v>1160011.4285714286</v>
      </c>
      <c r="F245" s="28">
        <f t="shared" si="3"/>
        <v>1353346.6666666667</v>
      </c>
      <c r="G245" s="28">
        <f t="shared" si="4"/>
        <v>1546681.9047619049</v>
      </c>
      <c r="H245" s="28">
        <f t="shared" si="5"/>
        <v>1740017.142857143</v>
      </c>
      <c r="I245" s="28">
        <f t="shared" si="6"/>
        <v>1933352.3809523811</v>
      </c>
      <c r="J245" s="28">
        <f t="shared" si="7"/>
        <v>2126687.6190476194</v>
      </c>
      <c r="K245" s="28">
        <f t="shared" si="8"/>
        <v>2320022.8571428573</v>
      </c>
      <c r="L245" s="28">
        <f t="shared" si="9"/>
        <v>2513358.0952380951</v>
      </c>
      <c r="M245" s="28">
        <f t="shared" si="10"/>
        <v>2706693.3333333335</v>
      </c>
      <c r="N245" s="28">
        <f t="shared" si="11"/>
        <v>2900028.5714285718</v>
      </c>
      <c r="O245" s="28">
        <f t="shared" si="12"/>
        <v>3093363.8095238097</v>
      </c>
      <c r="P245" s="28">
        <f t="shared" si="13"/>
        <v>3286699.0476190476</v>
      </c>
      <c r="Q245" s="28">
        <f t="shared" si="14"/>
        <v>3480034.2857142859</v>
      </c>
      <c r="R245" s="28">
        <f t="shared" si="15"/>
        <v>3673369.5238095243</v>
      </c>
      <c r="S245" s="28">
        <f t="shared" si="16"/>
        <v>3866704.7619047621</v>
      </c>
      <c r="T245" s="28">
        <f t="shared" si="17"/>
        <v>4060040</v>
      </c>
      <c r="U245" s="28">
        <f t="shared" si="18"/>
        <v>4253375.2380952388</v>
      </c>
      <c r="V245" s="28">
        <f t="shared" si="19"/>
        <v>4446710.4761904767</v>
      </c>
      <c r="W245" s="28">
        <f t="shared" si="20"/>
        <v>4640045.7142857146</v>
      </c>
    </row>
    <row r="246" spans="1:23" x14ac:dyDescent="0.2">
      <c r="A246" s="28">
        <v>245</v>
      </c>
      <c r="B246" s="28">
        <v>78499.536585365844</v>
      </c>
      <c r="C246" s="28">
        <f t="shared" si="0"/>
        <v>784995.36585365841</v>
      </c>
      <c r="D246" s="28">
        <f t="shared" si="1"/>
        <v>981244.20731707301</v>
      </c>
      <c r="E246" s="28">
        <f t="shared" si="2"/>
        <v>1177493.0487804876</v>
      </c>
      <c r="F246" s="28">
        <f t="shared" si="3"/>
        <v>1373741.8902439023</v>
      </c>
      <c r="G246" s="28">
        <f t="shared" si="4"/>
        <v>1569990.7317073168</v>
      </c>
      <c r="H246" s="28">
        <f t="shared" si="5"/>
        <v>1766239.5731707313</v>
      </c>
      <c r="I246" s="28">
        <f t="shared" si="6"/>
        <v>1962488.414634146</v>
      </c>
      <c r="J246" s="28">
        <f t="shared" si="7"/>
        <v>2158737.2560975607</v>
      </c>
      <c r="K246" s="28">
        <f t="shared" si="8"/>
        <v>2354986.0975609752</v>
      </c>
      <c r="L246" s="28">
        <f t="shared" si="9"/>
        <v>2551234.9390243897</v>
      </c>
      <c r="M246" s="28">
        <f t="shared" si="10"/>
        <v>2747483.7804878047</v>
      </c>
      <c r="N246" s="28">
        <f t="shared" si="11"/>
        <v>2943732.6219512192</v>
      </c>
      <c r="O246" s="28">
        <f t="shared" si="12"/>
        <v>3139981.4634146336</v>
      </c>
      <c r="P246" s="28">
        <f t="shared" si="13"/>
        <v>3336230.3048780481</v>
      </c>
      <c r="Q246" s="28">
        <f t="shared" si="14"/>
        <v>3532479.1463414626</v>
      </c>
      <c r="R246" s="28">
        <f t="shared" si="15"/>
        <v>3728727.9878048776</v>
      </c>
      <c r="S246" s="28">
        <f t="shared" si="16"/>
        <v>3924976.8292682921</v>
      </c>
      <c r="T246" s="28">
        <f t="shared" si="17"/>
        <v>4121225.6707317065</v>
      </c>
      <c r="U246" s="28">
        <f t="shared" si="18"/>
        <v>4317474.5121951215</v>
      </c>
      <c r="V246" s="28">
        <f t="shared" si="19"/>
        <v>4513723.3536585355</v>
      </c>
      <c r="W246" s="28">
        <f t="shared" si="20"/>
        <v>4709972.1951219505</v>
      </c>
    </row>
    <row r="247" spans="1:23" x14ac:dyDescent="0.2">
      <c r="A247" s="28">
        <v>246</v>
      </c>
      <c r="B247" s="28">
        <v>79706.399460188943</v>
      </c>
      <c r="C247" s="28">
        <f t="shared" si="0"/>
        <v>797063.9946018894</v>
      </c>
      <c r="D247" s="28">
        <f t="shared" si="1"/>
        <v>996329.99325236178</v>
      </c>
      <c r="E247" s="28">
        <f t="shared" si="2"/>
        <v>1195595.991902834</v>
      </c>
      <c r="F247" s="28">
        <f t="shared" si="3"/>
        <v>1394861.9905533064</v>
      </c>
      <c r="G247" s="28">
        <f t="shared" si="4"/>
        <v>1594127.9892037788</v>
      </c>
      <c r="H247" s="28">
        <f t="shared" si="5"/>
        <v>1793393.9878542512</v>
      </c>
      <c r="I247" s="28">
        <f t="shared" si="6"/>
        <v>1992659.9865047236</v>
      </c>
      <c r="J247" s="28">
        <f t="shared" si="7"/>
        <v>2191925.9851551959</v>
      </c>
      <c r="K247" s="28">
        <f t="shared" si="8"/>
        <v>2391191.9838056681</v>
      </c>
      <c r="L247" s="28">
        <f t="shared" si="9"/>
        <v>2590457.9824561407</v>
      </c>
      <c r="M247" s="28">
        <f t="shared" si="10"/>
        <v>2789723.9811066128</v>
      </c>
      <c r="N247" s="28">
        <f t="shared" si="11"/>
        <v>2988989.9797570854</v>
      </c>
      <c r="O247" s="28">
        <f t="shared" si="12"/>
        <v>3188255.9784075576</v>
      </c>
      <c r="P247" s="28">
        <f t="shared" si="13"/>
        <v>3387521.9770580297</v>
      </c>
      <c r="Q247" s="28">
        <f t="shared" si="14"/>
        <v>3586787.9757085023</v>
      </c>
      <c r="R247" s="28">
        <f t="shared" si="15"/>
        <v>3786053.9743589745</v>
      </c>
      <c r="S247" s="28">
        <f t="shared" si="16"/>
        <v>3985319.9730094471</v>
      </c>
      <c r="T247" s="28">
        <f t="shared" si="17"/>
        <v>4184585.9716599192</v>
      </c>
      <c r="U247" s="28">
        <f t="shared" si="18"/>
        <v>4383851.9703103919</v>
      </c>
      <c r="V247" s="28">
        <f t="shared" si="19"/>
        <v>4583117.9689608645</v>
      </c>
      <c r="W247" s="28">
        <f t="shared" si="20"/>
        <v>4782383.9676113361</v>
      </c>
    </row>
    <row r="248" spans="1:23" x14ac:dyDescent="0.2">
      <c r="A248" s="28">
        <v>247</v>
      </c>
      <c r="B248" s="28">
        <v>80903.529569892475</v>
      </c>
      <c r="C248" s="28">
        <f t="shared" si="0"/>
        <v>809035.29569892469</v>
      </c>
      <c r="D248" s="28">
        <f t="shared" si="1"/>
        <v>1011294.1196236559</v>
      </c>
      <c r="E248" s="28">
        <f t="shared" si="2"/>
        <v>1213552.9435483869</v>
      </c>
      <c r="F248" s="28">
        <f t="shared" si="3"/>
        <v>1415811.7674731181</v>
      </c>
      <c r="G248" s="28">
        <f t="shared" si="4"/>
        <v>1618070.5913978494</v>
      </c>
      <c r="H248" s="28">
        <f t="shared" si="5"/>
        <v>1820329.4153225806</v>
      </c>
      <c r="I248" s="28">
        <f t="shared" si="6"/>
        <v>2022588.2392473118</v>
      </c>
      <c r="J248" s="28">
        <f t="shared" si="7"/>
        <v>2224847.0631720428</v>
      </c>
      <c r="K248" s="28">
        <f t="shared" si="8"/>
        <v>2427105.8870967738</v>
      </c>
      <c r="L248" s="28">
        <f t="shared" si="9"/>
        <v>2629364.7110215053</v>
      </c>
      <c r="M248" s="28">
        <f t="shared" si="10"/>
        <v>2831623.5349462363</v>
      </c>
      <c r="N248" s="28">
        <f t="shared" si="11"/>
        <v>3033882.3588709678</v>
      </c>
      <c r="O248" s="28">
        <f t="shared" si="12"/>
        <v>3236141.1827956988</v>
      </c>
      <c r="P248" s="28">
        <f t="shared" si="13"/>
        <v>3438400.0067204298</v>
      </c>
      <c r="Q248" s="28">
        <f t="shared" si="14"/>
        <v>3640658.8306451612</v>
      </c>
      <c r="R248" s="28">
        <f t="shared" si="15"/>
        <v>3842917.6545698922</v>
      </c>
      <c r="S248" s="28">
        <f t="shared" si="16"/>
        <v>4045176.4784946237</v>
      </c>
      <c r="T248" s="28">
        <f t="shared" si="17"/>
        <v>4247435.3024193542</v>
      </c>
      <c r="U248" s="28">
        <f t="shared" si="18"/>
        <v>4449694.1263440857</v>
      </c>
      <c r="V248" s="28">
        <f t="shared" si="19"/>
        <v>4651952.9502688171</v>
      </c>
      <c r="W248" s="28">
        <f t="shared" si="20"/>
        <v>4854211.7741935477</v>
      </c>
    </row>
    <row r="249" spans="1:23" x14ac:dyDescent="0.2">
      <c r="A249" s="28">
        <v>248</v>
      </c>
      <c r="B249" s="28">
        <v>82134.219544846041</v>
      </c>
      <c r="C249" s="28">
        <f t="shared" si="0"/>
        <v>821342.19544846041</v>
      </c>
      <c r="D249" s="28">
        <f t="shared" si="1"/>
        <v>1026677.7443105755</v>
      </c>
      <c r="E249" s="28">
        <f t="shared" si="2"/>
        <v>1232013.2931726906</v>
      </c>
      <c r="F249" s="28">
        <f t="shared" si="3"/>
        <v>1437348.8420348058</v>
      </c>
      <c r="G249" s="28">
        <f t="shared" si="4"/>
        <v>1642684.3908969208</v>
      </c>
      <c r="H249" s="28">
        <f t="shared" si="5"/>
        <v>1848019.9397590358</v>
      </c>
      <c r="I249" s="28">
        <f t="shared" si="6"/>
        <v>2053355.4886211511</v>
      </c>
      <c r="J249" s="28">
        <f t="shared" si="7"/>
        <v>2258691.0374832661</v>
      </c>
      <c r="K249" s="28">
        <f t="shared" si="8"/>
        <v>2464026.5863453811</v>
      </c>
      <c r="L249" s="28">
        <f t="shared" si="9"/>
        <v>2669362.1352074961</v>
      </c>
      <c r="M249" s="28">
        <f t="shared" si="10"/>
        <v>2874697.6840696116</v>
      </c>
      <c r="N249" s="28">
        <f t="shared" si="11"/>
        <v>3080033.2329317266</v>
      </c>
      <c r="O249" s="28">
        <f t="shared" si="12"/>
        <v>3285368.7817938416</v>
      </c>
      <c r="P249" s="28">
        <f t="shared" si="13"/>
        <v>3490704.3306559566</v>
      </c>
      <c r="Q249" s="28">
        <f t="shared" si="14"/>
        <v>3696039.8795180717</v>
      </c>
      <c r="R249" s="28">
        <f t="shared" si="15"/>
        <v>3901375.4283801871</v>
      </c>
      <c r="S249" s="28">
        <f t="shared" si="16"/>
        <v>4106710.9772423021</v>
      </c>
      <c r="T249" s="28">
        <f t="shared" si="17"/>
        <v>4312046.5261044167</v>
      </c>
      <c r="U249" s="28">
        <f t="shared" si="18"/>
        <v>4517382.0749665322</v>
      </c>
      <c r="V249" s="28">
        <f t="shared" si="19"/>
        <v>4722717.6238286477</v>
      </c>
      <c r="W249" s="28">
        <f t="shared" si="20"/>
        <v>4928053.1726907622</v>
      </c>
    </row>
    <row r="250" spans="1:23" x14ac:dyDescent="0.2">
      <c r="A250" s="28">
        <v>249</v>
      </c>
      <c r="B250" s="28">
        <v>83364.19200000001</v>
      </c>
      <c r="C250" s="28">
        <f t="shared" si="0"/>
        <v>833641.92000000016</v>
      </c>
      <c r="D250" s="28">
        <f t="shared" si="1"/>
        <v>1042052.4000000001</v>
      </c>
      <c r="E250" s="28">
        <f t="shared" si="2"/>
        <v>1250462.8800000004</v>
      </c>
      <c r="F250" s="28">
        <f t="shared" si="3"/>
        <v>1458873.3600000003</v>
      </c>
      <c r="G250" s="28">
        <f t="shared" si="4"/>
        <v>1667283.8400000003</v>
      </c>
      <c r="H250" s="28">
        <f t="shared" si="5"/>
        <v>1875694.3200000003</v>
      </c>
      <c r="I250" s="28">
        <f t="shared" si="6"/>
        <v>2084104.8000000003</v>
      </c>
      <c r="J250" s="28">
        <f t="shared" si="7"/>
        <v>2292515.2800000003</v>
      </c>
      <c r="K250" s="28">
        <f t="shared" si="8"/>
        <v>2500925.7600000007</v>
      </c>
      <c r="L250" s="28">
        <f t="shared" si="9"/>
        <v>2709336.2400000007</v>
      </c>
      <c r="M250" s="28">
        <f t="shared" si="10"/>
        <v>2917746.7200000007</v>
      </c>
      <c r="N250" s="28">
        <f t="shared" si="11"/>
        <v>3126157.2000000007</v>
      </c>
      <c r="O250" s="28">
        <f t="shared" si="12"/>
        <v>3334567.6800000006</v>
      </c>
      <c r="P250" s="28">
        <f t="shared" si="13"/>
        <v>3542978.1600000006</v>
      </c>
      <c r="Q250" s="28">
        <f t="shared" si="14"/>
        <v>3751388.6400000006</v>
      </c>
      <c r="R250" s="28">
        <f t="shared" si="15"/>
        <v>3959799.1200000006</v>
      </c>
      <c r="S250" s="28">
        <f t="shared" si="16"/>
        <v>4168209.6000000006</v>
      </c>
      <c r="T250" s="28">
        <f t="shared" si="17"/>
        <v>4376620.080000001</v>
      </c>
      <c r="U250" s="28">
        <f t="shared" si="18"/>
        <v>4585030.5600000005</v>
      </c>
      <c r="V250" s="28">
        <f t="shared" si="19"/>
        <v>4793441.040000001</v>
      </c>
      <c r="W250" s="28">
        <f t="shared" si="20"/>
        <v>5001851.5200000014</v>
      </c>
    </row>
    <row r="251" spans="1:23" x14ac:dyDescent="0.2">
      <c r="A251" s="28">
        <v>250</v>
      </c>
      <c r="B251" s="28">
        <v>84627.195219123503</v>
      </c>
      <c r="C251" s="28">
        <f t="shared" si="0"/>
        <v>846271.95219123503</v>
      </c>
      <c r="D251" s="28">
        <f t="shared" si="1"/>
        <v>1057839.9402390439</v>
      </c>
      <c r="E251" s="28">
        <f t="shared" si="2"/>
        <v>1269407.9282868525</v>
      </c>
      <c r="F251" s="28">
        <f t="shared" si="3"/>
        <v>1480975.9163346612</v>
      </c>
      <c r="G251" s="28">
        <f t="shared" si="4"/>
        <v>1692543.9043824701</v>
      </c>
      <c r="H251" s="28">
        <f t="shared" si="5"/>
        <v>1904111.8924302789</v>
      </c>
      <c r="I251" s="28">
        <f t="shared" si="6"/>
        <v>2115679.8804780878</v>
      </c>
      <c r="J251" s="28">
        <f t="shared" si="7"/>
        <v>2327247.8685258962</v>
      </c>
      <c r="K251" s="28">
        <f t="shared" si="8"/>
        <v>2538815.8565737051</v>
      </c>
      <c r="L251" s="28">
        <f t="shared" si="9"/>
        <v>2750383.844621514</v>
      </c>
      <c r="M251" s="28">
        <f t="shared" si="10"/>
        <v>2961951.8326693224</v>
      </c>
      <c r="N251" s="28">
        <f t="shared" si="11"/>
        <v>3173519.8207171313</v>
      </c>
      <c r="O251" s="28">
        <f t="shared" si="12"/>
        <v>3385087.8087649401</v>
      </c>
      <c r="P251" s="28">
        <f t="shared" si="13"/>
        <v>3596655.796812749</v>
      </c>
      <c r="Q251" s="28">
        <f t="shared" si="14"/>
        <v>3808223.7848605579</v>
      </c>
      <c r="R251" s="28">
        <f t="shared" si="15"/>
        <v>4019791.7729083663</v>
      </c>
      <c r="S251" s="28">
        <f t="shared" si="16"/>
        <v>4231359.7609561756</v>
      </c>
      <c r="T251" s="28">
        <f t="shared" si="17"/>
        <v>4442927.749003984</v>
      </c>
      <c r="U251" s="28">
        <f t="shared" si="18"/>
        <v>4654495.7370517924</v>
      </c>
      <c r="V251" s="28">
        <f t="shared" si="19"/>
        <v>4866063.7250996018</v>
      </c>
      <c r="W251" s="28">
        <f t="shared" si="20"/>
        <v>5077631.7131474102</v>
      </c>
    </row>
    <row r="252" spans="1:23" x14ac:dyDescent="0.2">
      <c r="A252" s="28">
        <v>251</v>
      </c>
      <c r="B252" s="28">
        <v>85880.174603174615</v>
      </c>
      <c r="C252" s="28">
        <f t="shared" si="0"/>
        <v>858801.74603174615</v>
      </c>
      <c r="D252" s="28">
        <f t="shared" si="1"/>
        <v>1073502.1825396826</v>
      </c>
      <c r="E252" s="28">
        <f t="shared" si="2"/>
        <v>1288202.6190476192</v>
      </c>
      <c r="F252" s="28">
        <f t="shared" si="3"/>
        <v>1502903.0555555557</v>
      </c>
      <c r="G252" s="28">
        <f t="shared" si="4"/>
        <v>1717603.4920634923</v>
      </c>
      <c r="H252" s="28">
        <f t="shared" si="5"/>
        <v>1932303.9285714289</v>
      </c>
      <c r="I252" s="28">
        <f t="shared" si="6"/>
        <v>2147004.3650793652</v>
      </c>
      <c r="J252" s="28">
        <f t="shared" si="7"/>
        <v>2361704.8015873018</v>
      </c>
      <c r="K252" s="28">
        <f t="shared" si="8"/>
        <v>2576405.2380952383</v>
      </c>
      <c r="L252" s="28">
        <f t="shared" si="9"/>
        <v>2791105.6746031749</v>
      </c>
      <c r="M252" s="28">
        <f t="shared" si="10"/>
        <v>3005806.1111111115</v>
      </c>
      <c r="N252" s="28">
        <f t="shared" si="11"/>
        <v>3220506.547619048</v>
      </c>
      <c r="O252" s="28">
        <f t="shared" si="12"/>
        <v>3435206.9841269846</v>
      </c>
      <c r="P252" s="28">
        <f t="shared" si="13"/>
        <v>3649907.4206349212</v>
      </c>
      <c r="Q252" s="28">
        <f t="shared" si="14"/>
        <v>3864607.8571428577</v>
      </c>
      <c r="R252" s="28">
        <f t="shared" si="15"/>
        <v>4079308.2936507943</v>
      </c>
      <c r="S252" s="28">
        <f t="shared" si="16"/>
        <v>4294008.7301587304</v>
      </c>
      <c r="T252" s="28">
        <f t="shared" si="17"/>
        <v>4508709.166666667</v>
      </c>
      <c r="U252" s="28">
        <f t="shared" si="18"/>
        <v>4723409.6031746035</v>
      </c>
      <c r="V252" s="28">
        <f t="shared" si="19"/>
        <v>4938110.0396825401</v>
      </c>
      <c r="W252" s="28">
        <f t="shared" si="20"/>
        <v>5152810.4761904767</v>
      </c>
    </row>
    <row r="253" spans="1:23" x14ac:dyDescent="0.2">
      <c r="A253" s="28">
        <v>252</v>
      </c>
      <c r="B253" s="28">
        <v>87177.939393939392</v>
      </c>
      <c r="C253" s="28">
        <f t="shared" si="0"/>
        <v>871779.39393939392</v>
      </c>
      <c r="D253" s="28">
        <f t="shared" si="1"/>
        <v>1089724.2424242424</v>
      </c>
      <c r="E253" s="28">
        <f t="shared" si="2"/>
        <v>1307669.0909090908</v>
      </c>
      <c r="F253" s="28">
        <f t="shared" si="3"/>
        <v>1525613.9393939395</v>
      </c>
      <c r="G253" s="28">
        <f t="shared" si="4"/>
        <v>1743558.7878787878</v>
      </c>
      <c r="H253" s="28">
        <f t="shared" si="5"/>
        <v>1961503.6363636362</v>
      </c>
      <c r="I253" s="28">
        <f t="shared" si="6"/>
        <v>2179448.4848484849</v>
      </c>
      <c r="J253" s="28">
        <f t="shared" si="7"/>
        <v>2397393.3333333335</v>
      </c>
      <c r="K253" s="28">
        <f t="shared" si="8"/>
        <v>2615338.1818181816</v>
      </c>
      <c r="L253" s="28">
        <f t="shared" si="9"/>
        <v>2833283.0303030303</v>
      </c>
      <c r="M253" s="28">
        <f t="shared" si="10"/>
        <v>3051227.8787878789</v>
      </c>
      <c r="N253" s="28">
        <f t="shared" si="11"/>
        <v>3269172.7272727271</v>
      </c>
      <c r="O253" s="28">
        <f t="shared" si="12"/>
        <v>3487117.5757575757</v>
      </c>
      <c r="P253" s="28">
        <f t="shared" si="13"/>
        <v>3705062.4242424243</v>
      </c>
      <c r="Q253" s="28">
        <f t="shared" si="14"/>
        <v>3923007.2727272725</v>
      </c>
      <c r="R253" s="28">
        <f t="shared" si="15"/>
        <v>4140952.1212121211</v>
      </c>
      <c r="S253" s="28">
        <f t="shared" si="16"/>
        <v>4358896.9696969697</v>
      </c>
      <c r="T253" s="28">
        <f t="shared" si="17"/>
        <v>4576841.8181818184</v>
      </c>
      <c r="U253" s="28">
        <f t="shared" si="18"/>
        <v>4794786.666666667</v>
      </c>
      <c r="V253" s="28">
        <f t="shared" si="19"/>
        <v>5012731.5151515147</v>
      </c>
      <c r="W253" s="28">
        <f t="shared" si="20"/>
        <v>5230676.3636363633</v>
      </c>
    </row>
    <row r="254" spans="1:23" x14ac:dyDescent="0.2">
      <c r="A254" s="28">
        <v>253</v>
      </c>
      <c r="B254" s="28">
        <v>88465.485564304458</v>
      </c>
      <c r="C254" s="28">
        <f t="shared" si="0"/>
        <v>884654.85564304458</v>
      </c>
      <c r="D254" s="28">
        <f t="shared" si="1"/>
        <v>1105818.5695538057</v>
      </c>
      <c r="E254" s="28">
        <f t="shared" si="2"/>
        <v>1326982.2834645668</v>
      </c>
      <c r="F254" s="28">
        <f t="shared" si="3"/>
        <v>1548145.9973753281</v>
      </c>
      <c r="G254" s="28">
        <f t="shared" si="4"/>
        <v>1769309.7112860892</v>
      </c>
      <c r="H254" s="28">
        <f t="shared" si="5"/>
        <v>1990473.4251968502</v>
      </c>
      <c r="I254" s="28">
        <f t="shared" si="6"/>
        <v>2211637.1391076115</v>
      </c>
      <c r="J254" s="28">
        <f t="shared" si="7"/>
        <v>2432800.8530183728</v>
      </c>
      <c r="K254" s="28">
        <f t="shared" si="8"/>
        <v>2653964.5669291336</v>
      </c>
      <c r="L254" s="28">
        <f t="shared" si="9"/>
        <v>2875128.2808398949</v>
      </c>
      <c r="M254" s="28">
        <f t="shared" si="10"/>
        <v>3096291.9947506562</v>
      </c>
      <c r="N254" s="28">
        <f t="shared" si="11"/>
        <v>3317455.708661417</v>
      </c>
      <c r="O254" s="28">
        <f t="shared" si="12"/>
        <v>3538619.4225721783</v>
      </c>
      <c r="P254" s="28">
        <f t="shared" si="13"/>
        <v>3759783.1364829396</v>
      </c>
      <c r="Q254" s="28">
        <f t="shared" si="14"/>
        <v>3980946.8503937004</v>
      </c>
      <c r="R254" s="28">
        <f t="shared" si="15"/>
        <v>4202110.5643044617</v>
      </c>
      <c r="S254" s="28">
        <f t="shared" si="16"/>
        <v>4423274.278215223</v>
      </c>
      <c r="T254" s="28">
        <f t="shared" si="17"/>
        <v>4644437.9921259843</v>
      </c>
      <c r="U254" s="28">
        <f t="shared" si="18"/>
        <v>4865601.7060367456</v>
      </c>
      <c r="V254" s="28">
        <f t="shared" si="19"/>
        <v>5086765.4199475059</v>
      </c>
      <c r="W254" s="28">
        <f t="shared" si="20"/>
        <v>5307929.1338582672</v>
      </c>
    </row>
    <row r="255" spans="1:23" x14ac:dyDescent="0.2">
      <c r="A255" s="28">
        <v>254</v>
      </c>
      <c r="B255" s="28">
        <v>89787.526797385624</v>
      </c>
      <c r="C255" s="28">
        <f t="shared" si="0"/>
        <v>897875.2679738563</v>
      </c>
      <c r="D255" s="28">
        <f t="shared" si="1"/>
        <v>1122344.0849673203</v>
      </c>
      <c r="E255" s="28">
        <f t="shared" si="2"/>
        <v>1346812.9019607846</v>
      </c>
      <c r="F255" s="28">
        <f t="shared" si="3"/>
        <v>1571281.7189542486</v>
      </c>
      <c r="G255" s="28">
        <f t="shared" si="4"/>
        <v>1795750.5359477126</v>
      </c>
      <c r="H255" s="28">
        <f t="shared" si="5"/>
        <v>2020219.3529411766</v>
      </c>
      <c r="I255" s="28">
        <f t="shared" si="6"/>
        <v>2244688.1699346406</v>
      </c>
      <c r="J255" s="28">
        <f t="shared" si="7"/>
        <v>2469156.9869281049</v>
      </c>
      <c r="K255" s="28">
        <f t="shared" si="8"/>
        <v>2693625.8039215691</v>
      </c>
      <c r="L255" s="28">
        <f t="shared" si="9"/>
        <v>2918094.6209150329</v>
      </c>
      <c r="M255" s="28">
        <f t="shared" si="10"/>
        <v>3142563.4379084972</v>
      </c>
      <c r="N255" s="28">
        <f t="shared" si="11"/>
        <v>3367032.254901961</v>
      </c>
      <c r="O255" s="28">
        <f t="shared" si="12"/>
        <v>3591501.0718954252</v>
      </c>
      <c r="P255" s="28">
        <f t="shared" si="13"/>
        <v>3815969.8888888895</v>
      </c>
      <c r="Q255" s="28">
        <f t="shared" si="14"/>
        <v>4040438.7058823532</v>
      </c>
      <c r="R255" s="28">
        <f t="shared" si="15"/>
        <v>4264907.5228758175</v>
      </c>
      <c r="S255" s="28">
        <f t="shared" si="16"/>
        <v>4489376.3398692813</v>
      </c>
      <c r="T255" s="28">
        <f t="shared" si="17"/>
        <v>4713845.156862746</v>
      </c>
      <c r="U255" s="28">
        <f t="shared" si="18"/>
        <v>4938313.9738562098</v>
      </c>
      <c r="V255" s="28">
        <f t="shared" si="19"/>
        <v>5162782.7908496736</v>
      </c>
      <c r="W255" s="28">
        <f t="shared" si="20"/>
        <v>5387251.6078431383</v>
      </c>
    </row>
    <row r="256" spans="1:23" x14ac:dyDescent="0.2">
      <c r="A256" s="28">
        <v>255</v>
      </c>
      <c r="B256" s="28">
        <v>91108.869791666672</v>
      </c>
      <c r="C256" s="28">
        <f t="shared" si="0"/>
        <v>911088.69791666674</v>
      </c>
      <c r="D256" s="28">
        <f t="shared" si="1"/>
        <v>1138860.8723958335</v>
      </c>
      <c r="E256" s="28">
        <f t="shared" si="2"/>
        <v>1366633.046875</v>
      </c>
      <c r="F256" s="28">
        <f t="shared" si="3"/>
        <v>1594405.2213541667</v>
      </c>
      <c r="G256" s="28">
        <f t="shared" si="4"/>
        <v>1822177.3958333335</v>
      </c>
      <c r="H256" s="28">
        <f t="shared" si="5"/>
        <v>2049949.5703125002</v>
      </c>
      <c r="I256" s="28">
        <f t="shared" si="6"/>
        <v>2277721.744791667</v>
      </c>
      <c r="J256" s="28">
        <f t="shared" si="7"/>
        <v>2505493.9192708335</v>
      </c>
      <c r="K256" s="28">
        <f t="shared" si="8"/>
        <v>2733266.09375</v>
      </c>
      <c r="L256" s="28">
        <f t="shared" si="9"/>
        <v>2961038.268229167</v>
      </c>
      <c r="M256" s="28">
        <f t="shared" si="10"/>
        <v>3188810.4427083335</v>
      </c>
      <c r="N256" s="28">
        <f t="shared" si="11"/>
        <v>3416582.6171875005</v>
      </c>
      <c r="O256" s="28">
        <f t="shared" si="12"/>
        <v>3644354.791666667</v>
      </c>
      <c r="P256" s="28">
        <f t="shared" si="13"/>
        <v>3872126.9661458335</v>
      </c>
      <c r="Q256" s="28">
        <f t="shared" si="14"/>
        <v>4099899.1406250005</v>
      </c>
      <c r="R256" s="28">
        <f t="shared" si="15"/>
        <v>4327671.315104167</v>
      </c>
      <c r="S256" s="28">
        <f t="shared" si="16"/>
        <v>4555443.489583334</v>
      </c>
      <c r="T256" s="28">
        <f t="shared" si="17"/>
        <v>4783215.6640625</v>
      </c>
      <c r="U256" s="28">
        <f t="shared" si="18"/>
        <v>5010987.838541667</v>
      </c>
      <c r="V256" s="28">
        <f t="shared" si="19"/>
        <v>5238760.013020834</v>
      </c>
      <c r="W256" s="28">
        <f t="shared" si="20"/>
        <v>5466532.1875</v>
      </c>
    </row>
    <row r="257" spans="1:23" x14ac:dyDescent="0.2">
      <c r="A257" s="28">
        <v>256</v>
      </c>
      <c r="B257" s="28">
        <v>92466.181582360572</v>
      </c>
      <c r="C257" s="28">
        <f t="shared" ref="C257:C511" si="21">B257*10</f>
        <v>924661.81582360575</v>
      </c>
      <c r="D257" s="28">
        <f t="shared" ref="D257:D511" si="22">C257*125%</f>
        <v>1155827.2697795071</v>
      </c>
      <c r="E257" s="28">
        <f t="shared" ref="E257:E511" si="23">C257*150%</f>
        <v>1386992.7237354086</v>
      </c>
      <c r="F257" s="28">
        <f t="shared" ref="F257:F511" si="24">C257*175%</f>
        <v>1618158.1776913102</v>
      </c>
      <c r="G257" s="28">
        <f t="shared" ref="G257:G511" si="25">C257*200%</f>
        <v>1849323.6316472115</v>
      </c>
      <c r="H257" s="28">
        <f t="shared" ref="H257:H511" si="26">C257*225%</f>
        <v>2080489.0856031128</v>
      </c>
      <c r="I257" s="28">
        <f t="shared" ref="I257:I511" si="27">C257*250%</f>
        <v>2311654.5395590141</v>
      </c>
      <c r="J257" s="28">
        <f t="shared" ref="J257:J511" si="28">C257*275%</f>
        <v>2542819.9935149159</v>
      </c>
      <c r="K257" s="28">
        <f t="shared" ref="K257:K511" si="29">C257*300%</f>
        <v>2773985.4474708172</v>
      </c>
      <c r="L257" s="28">
        <f t="shared" ref="L257:L511" si="30">C257*325%</f>
        <v>3005150.9014267186</v>
      </c>
      <c r="M257" s="28">
        <f t="shared" ref="M257:M511" si="31">C257*350%</f>
        <v>3236316.3553826204</v>
      </c>
      <c r="N257" s="28">
        <f t="shared" ref="N257:N511" si="32">C257*375%</f>
        <v>3467481.8093385217</v>
      </c>
      <c r="O257" s="28">
        <f t="shared" ref="O257:O511" si="33">C257*400%</f>
        <v>3698647.263294423</v>
      </c>
      <c r="P257" s="28">
        <f t="shared" ref="P257:P511" si="34">C257*425%</f>
        <v>3929812.7172503243</v>
      </c>
      <c r="Q257" s="28">
        <f t="shared" ref="Q257:Q511" si="35">C257*450%</f>
        <v>4160978.1712062256</v>
      </c>
      <c r="R257" s="28">
        <f t="shared" ref="R257:R511" si="36">C257*475%</f>
        <v>4392143.6251621274</v>
      </c>
      <c r="S257" s="28">
        <f t="shared" ref="S257:S511" si="37">C257*500%</f>
        <v>4623309.0791180283</v>
      </c>
      <c r="T257" s="28">
        <f t="shared" ref="T257:T511" si="38">C257*525%</f>
        <v>4854474.5330739301</v>
      </c>
      <c r="U257" s="28">
        <f t="shared" ref="U257:U511" si="39">C257*550%</f>
        <v>5085639.9870298319</v>
      </c>
      <c r="V257" s="28">
        <f t="shared" ref="V257:V511" si="40">C257*575%</f>
        <v>5316805.4409857327</v>
      </c>
      <c r="W257" s="28">
        <f t="shared" ref="W257:W511" si="41">C257*600%</f>
        <v>5547970.8949416345</v>
      </c>
    </row>
    <row r="258" spans="1:23" x14ac:dyDescent="0.2">
      <c r="A258" s="28">
        <v>257</v>
      </c>
      <c r="B258" s="28">
        <v>93812.971576227399</v>
      </c>
      <c r="C258" s="28">
        <f t="shared" si="21"/>
        <v>938129.71576227399</v>
      </c>
      <c r="D258" s="28">
        <f t="shared" si="22"/>
        <v>1172662.1447028425</v>
      </c>
      <c r="E258" s="28">
        <f t="shared" si="23"/>
        <v>1407194.573643411</v>
      </c>
      <c r="F258" s="28">
        <f t="shared" si="24"/>
        <v>1641727.0025839794</v>
      </c>
      <c r="G258" s="28">
        <f t="shared" si="25"/>
        <v>1876259.431524548</v>
      </c>
      <c r="H258" s="28">
        <f t="shared" si="26"/>
        <v>2110791.8604651163</v>
      </c>
      <c r="I258" s="28">
        <f t="shared" si="27"/>
        <v>2345324.2894056849</v>
      </c>
      <c r="J258" s="28">
        <f t="shared" si="28"/>
        <v>2579856.7183462535</v>
      </c>
      <c r="K258" s="28">
        <f t="shared" si="29"/>
        <v>2814389.1472868221</v>
      </c>
      <c r="L258" s="28">
        <f t="shared" si="30"/>
        <v>3048921.5762273907</v>
      </c>
      <c r="M258" s="28">
        <f t="shared" si="31"/>
        <v>3283454.0051679588</v>
      </c>
      <c r="N258" s="28">
        <f t="shared" si="32"/>
        <v>3517986.4341085274</v>
      </c>
      <c r="O258" s="28">
        <f t="shared" si="33"/>
        <v>3752518.863049096</v>
      </c>
      <c r="P258" s="28">
        <f t="shared" si="34"/>
        <v>3987051.2919896645</v>
      </c>
      <c r="Q258" s="28">
        <f t="shared" si="35"/>
        <v>4221583.7209302327</v>
      </c>
      <c r="R258" s="28">
        <f t="shared" si="36"/>
        <v>4456116.1498708017</v>
      </c>
      <c r="S258" s="28">
        <f t="shared" si="37"/>
        <v>4690648.5788113698</v>
      </c>
      <c r="T258" s="28">
        <f t="shared" si="38"/>
        <v>4925181.0077519389</v>
      </c>
      <c r="U258" s="28">
        <f t="shared" si="39"/>
        <v>5159713.436692507</v>
      </c>
      <c r="V258" s="28">
        <f t="shared" si="40"/>
        <v>5394245.8656330751</v>
      </c>
      <c r="W258" s="28">
        <f t="shared" si="41"/>
        <v>5628778.2945736442</v>
      </c>
    </row>
    <row r="259" spans="1:23" x14ac:dyDescent="0.2">
      <c r="A259" s="28">
        <v>258</v>
      </c>
      <c r="B259" s="28">
        <v>95205.85070785071</v>
      </c>
      <c r="C259" s="28">
        <f t="shared" si="21"/>
        <v>952058.5070785071</v>
      </c>
      <c r="D259" s="28">
        <f t="shared" si="22"/>
        <v>1190073.133848134</v>
      </c>
      <c r="E259" s="28">
        <f t="shared" si="23"/>
        <v>1428087.7606177607</v>
      </c>
      <c r="F259" s="28">
        <f t="shared" si="24"/>
        <v>1666102.3873873875</v>
      </c>
      <c r="G259" s="28">
        <f t="shared" si="25"/>
        <v>1904117.0141570142</v>
      </c>
      <c r="H259" s="28">
        <f t="shared" si="26"/>
        <v>2142131.6409266409</v>
      </c>
      <c r="I259" s="28">
        <f t="shared" si="27"/>
        <v>2380146.2676962679</v>
      </c>
      <c r="J259" s="28">
        <f t="shared" si="28"/>
        <v>2618160.8944658944</v>
      </c>
      <c r="K259" s="28">
        <f t="shared" si="29"/>
        <v>2856175.5212355214</v>
      </c>
      <c r="L259" s="28">
        <f t="shared" si="30"/>
        <v>3094190.1480051479</v>
      </c>
      <c r="M259" s="28">
        <f t="shared" si="31"/>
        <v>3332204.7747747749</v>
      </c>
      <c r="N259" s="28">
        <f t="shared" si="32"/>
        <v>3570219.4015444014</v>
      </c>
      <c r="O259" s="28">
        <f t="shared" si="33"/>
        <v>3808234.0283140284</v>
      </c>
      <c r="P259" s="28">
        <f t="shared" si="34"/>
        <v>4046248.6550836554</v>
      </c>
      <c r="Q259" s="28">
        <f t="shared" si="35"/>
        <v>4284263.2818532819</v>
      </c>
      <c r="R259" s="28">
        <f t="shared" si="36"/>
        <v>4522277.9086229084</v>
      </c>
      <c r="S259" s="28">
        <f t="shared" si="37"/>
        <v>4760292.5353925359</v>
      </c>
      <c r="T259" s="28">
        <f t="shared" si="38"/>
        <v>4998307.1621621624</v>
      </c>
      <c r="U259" s="28">
        <f t="shared" si="39"/>
        <v>5236321.7889317889</v>
      </c>
      <c r="V259" s="28">
        <f t="shared" si="40"/>
        <v>5474336.4157014154</v>
      </c>
      <c r="W259" s="28">
        <f t="shared" si="41"/>
        <v>5712351.0424710428</v>
      </c>
    </row>
    <row r="260" spans="1:23" x14ac:dyDescent="0.2">
      <c r="A260" s="28">
        <v>259</v>
      </c>
      <c r="B260" s="28">
        <v>96588.015384615384</v>
      </c>
      <c r="C260" s="28">
        <f t="shared" si="21"/>
        <v>965880.15384615387</v>
      </c>
      <c r="D260" s="28">
        <f t="shared" si="22"/>
        <v>1207350.1923076923</v>
      </c>
      <c r="E260" s="28">
        <f t="shared" si="23"/>
        <v>1448820.2307692308</v>
      </c>
      <c r="F260" s="28">
        <f t="shared" si="24"/>
        <v>1690290.2692307692</v>
      </c>
      <c r="G260" s="28">
        <f t="shared" si="25"/>
        <v>1931760.3076923077</v>
      </c>
      <c r="H260" s="28">
        <f t="shared" si="26"/>
        <v>2173230.346153846</v>
      </c>
      <c r="I260" s="28">
        <f t="shared" si="27"/>
        <v>2414700.3846153845</v>
      </c>
      <c r="J260" s="28">
        <f t="shared" si="28"/>
        <v>2656170.423076923</v>
      </c>
      <c r="K260" s="28">
        <f t="shared" si="29"/>
        <v>2897640.4615384615</v>
      </c>
      <c r="L260" s="28">
        <f t="shared" si="30"/>
        <v>3139110.5</v>
      </c>
      <c r="M260" s="28">
        <f t="shared" si="31"/>
        <v>3380580.5384615385</v>
      </c>
      <c r="N260" s="28">
        <f t="shared" si="32"/>
        <v>3622050.576923077</v>
      </c>
      <c r="O260" s="28">
        <f t="shared" si="33"/>
        <v>3863520.6153846155</v>
      </c>
      <c r="P260" s="28">
        <f t="shared" si="34"/>
        <v>4104990.653846154</v>
      </c>
      <c r="Q260" s="28">
        <f t="shared" si="35"/>
        <v>4346460.692307692</v>
      </c>
      <c r="R260" s="28">
        <f t="shared" si="36"/>
        <v>4587930.730769231</v>
      </c>
      <c r="S260" s="28">
        <f t="shared" si="37"/>
        <v>4829400.769230769</v>
      </c>
      <c r="T260" s="28">
        <f t="shared" si="38"/>
        <v>5070870.807692308</v>
      </c>
      <c r="U260" s="28">
        <f t="shared" si="39"/>
        <v>5312340.846153846</v>
      </c>
      <c r="V260" s="28">
        <f t="shared" si="40"/>
        <v>5553810.884615385</v>
      </c>
      <c r="W260" s="28">
        <f t="shared" si="41"/>
        <v>5795280.923076923</v>
      </c>
    </row>
    <row r="261" spans="1:23" x14ac:dyDescent="0.2">
      <c r="A261" s="28">
        <v>260</v>
      </c>
      <c r="B261" s="28">
        <v>98007.634738186462</v>
      </c>
      <c r="C261" s="28">
        <f t="shared" si="21"/>
        <v>980076.34738186467</v>
      </c>
      <c r="D261" s="28">
        <f t="shared" si="22"/>
        <v>1225095.4342273308</v>
      </c>
      <c r="E261" s="28">
        <f t="shared" si="23"/>
        <v>1470114.521072797</v>
      </c>
      <c r="F261" s="28">
        <f t="shared" si="24"/>
        <v>1715133.6079182632</v>
      </c>
      <c r="G261" s="28">
        <f t="shared" si="25"/>
        <v>1960152.6947637293</v>
      </c>
      <c r="H261" s="28">
        <f t="shared" si="26"/>
        <v>2205171.7816091953</v>
      </c>
      <c r="I261" s="28">
        <f t="shared" si="27"/>
        <v>2450190.8684546617</v>
      </c>
      <c r="J261" s="28">
        <f t="shared" si="28"/>
        <v>2695209.9553001281</v>
      </c>
      <c r="K261" s="28">
        <f t="shared" si="29"/>
        <v>2940229.042145594</v>
      </c>
      <c r="L261" s="28">
        <f t="shared" si="30"/>
        <v>3185248.12899106</v>
      </c>
      <c r="M261" s="28">
        <f t="shared" si="31"/>
        <v>3430267.2158365264</v>
      </c>
      <c r="N261" s="28">
        <f t="shared" si="32"/>
        <v>3675286.3026819928</v>
      </c>
      <c r="O261" s="28">
        <f t="shared" si="33"/>
        <v>3920305.3895274587</v>
      </c>
      <c r="P261" s="28">
        <f t="shared" si="34"/>
        <v>4165324.4763729246</v>
      </c>
      <c r="Q261" s="28">
        <f t="shared" si="35"/>
        <v>4410343.5632183906</v>
      </c>
      <c r="R261" s="28">
        <f t="shared" si="36"/>
        <v>4655362.6500638574</v>
      </c>
      <c r="S261" s="28">
        <f t="shared" si="37"/>
        <v>4900381.7369093234</v>
      </c>
      <c r="T261" s="28">
        <f t="shared" si="38"/>
        <v>5145400.8237547893</v>
      </c>
      <c r="U261" s="28">
        <f t="shared" si="39"/>
        <v>5390419.9106002562</v>
      </c>
      <c r="V261" s="28">
        <f t="shared" si="40"/>
        <v>5635438.9974457221</v>
      </c>
      <c r="W261" s="28">
        <f t="shared" si="41"/>
        <v>5880458.084291188</v>
      </c>
    </row>
    <row r="262" spans="1:23" x14ac:dyDescent="0.2">
      <c r="A262" s="28">
        <v>261</v>
      </c>
      <c r="B262" s="28">
        <v>99426.529262086508</v>
      </c>
      <c r="C262" s="28">
        <f t="shared" si="21"/>
        <v>994265.29262086505</v>
      </c>
      <c r="D262" s="28">
        <f t="shared" si="22"/>
        <v>1242831.6157760813</v>
      </c>
      <c r="E262" s="28">
        <f t="shared" si="23"/>
        <v>1491397.9389312975</v>
      </c>
      <c r="F262" s="28">
        <f t="shared" si="24"/>
        <v>1739964.2620865139</v>
      </c>
      <c r="G262" s="28">
        <f t="shared" si="25"/>
        <v>1988530.5852417301</v>
      </c>
      <c r="H262" s="28">
        <f t="shared" si="26"/>
        <v>2237096.9083969463</v>
      </c>
      <c r="I262" s="28">
        <f t="shared" si="27"/>
        <v>2485663.2315521627</v>
      </c>
      <c r="J262" s="28">
        <f t="shared" si="28"/>
        <v>2734229.5547073791</v>
      </c>
      <c r="K262" s="28">
        <f t="shared" si="29"/>
        <v>2982795.877862595</v>
      </c>
      <c r="L262" s="28">
        <f t="shared" si="30"/>
        <v>3231362.2010178114</v>
      </c>
      <c r="M262" s="28">
        <f t="shared" si="31"/>
        <v>3479928.5241730278</v>
      </c>
      <c r="N262" s="28">
        <f t="shared" si="32"/>
        <v>3728494.8473282438</v>
      </c>
      <c r="O262" s="28">
        <f t="shared" si="33"/>
        <v>3977061.1704834602</v>
      </c>
      <c r="P262" s="28">
        <f t="shared" si="34"/>
        <v>4225627.4936386766</v>
      </c>
      <c r="Q262" s="28">
        <f t="shared" si="35"/>
        <v>4474193.8167938925</v>
      </c>
      <c r="R262" s="28">
        <f t="shared" si="36"/>
        <v>4722760.1399491094</v>
      </c>
      <c r="S262" s="28">
        <f t="shared" si="37"/>
        <v>4971326.4631043253</v>
      </c>
      <c r="T262" s="28">
        <f t="shared" si="38"/>
        <v>5219892.7862595413</v>
      </c>
      <c r="U262" s="28">
        <f t="shared" si="39"/>
        <v>5468459.1094147582</v>
      </c>
      <c r="V262" s="28">
        <f t="shared" si="40"/>
        <v>5717025.4325699741</v>
      </c>
      <c r="W262" s="28">
        <f t="shared" si="41"/>
        <v>5965591.75572519</v>
      </c>
    </row>
    <row r="263" spans="1:23" x14ac:dyDescent="0.2">
      <c r="A263" s="28">
        <v>262</v>
      </c>
      <c r="B263" s="28">
        <v>100882.31685678074</v>
      </c>
      <c r="C263" s="28">
        <f t="shared" si="21"/>
        <v>1008823.1685678074</v>
      </c>
      <c r="D263" s="28">
        <f t="shared" si="22"/>
        <v>1261028.9607097593</v>
      </c>
      <c r="E263" s="28">
        <f t="shared" si="23"/>
        <v>1513234.7528517111</v>
      </c>
      <c r="F263" s="28">
        <f t="shared" si="24"/>
        <v>1765440.544993663</v>
      </c>
      <c r="G263" s="28">
        <f t="shared" si="25"/>
        <v>2017646.3371356148</v>
      </c>
      <c r="H263" s="28">
        <f t="shared" si="26"/>
        <v>2269852.1292775664</v>
      </c>
      <c r="I263" s="28">
        <f t="shared" si="27"/>
        <v>2522057.9214195185</v>
      </c>
      <c r="J263" s="28">
        <f t="shared" si="28"/>
        <v>2774263.7135614706</v>
      </c>
      <c r="K263" s="28">
        <f t="shared" si="29"/>
        <v>3026469.5057034222</v>
      </c>
      <c r="L263" s="28">
        <f t="shared" si="30"/>
        <v>3278675.2978453739</v>
      </c>
      <c r="M263" s="28">
        <f t="shared" si="31"/>
        <v>3530881.0899873259</v>
      </c>
      <c r="N263" s="28">
        <f t="shared" si="32"/>
        <v>3783086.882129278</v>
      </c>
      <c r="O263" s="28">
        <f t="shared" si="33"/>
        <v>4035292.6742712297</v>
      </c>
      <c r="P263" s="28">
        <f t="shared" si="34"/>
        <v>4287498.4664131813</v>
      </c>
      <c r="Q263" s="28">
        <f t="shared" si="35"/>
        <v>4539704.2585551329</v>
      </c>
      <c r="R263" s="28">
        <f t="shared" si="36"/>
        <v>4791910.0506970854</v>
      </c>
      <c r="S263" s="28">
        <f t="shared" si="37"/>
        <v>5044115.8428390371</v>
      </c>
      <c r="T263" s="28">
        <f t="shared" si="38"/>
        <v>5296321.6349809887</v>
      </c>
      <c r="U263" s="28">
        <f t="shared" si="39"/>
        <v>5548527.4271229412</v>
      </c>
      <c r="V263" s="28">
        <f t="shared" si="40"/>
        <v>5800733.2192648929</v>
      </c>
      <c r="W263" s="28">
        <f t="shared" si="41"/>
        <v>6052939.0114068445</v>
      </c>
    </row>
    <row r="264" spans="1:23" x14ac:dyDescent="0.2">
      <c r="A264" s="28">
        <v>263</v>
      </c>
      <c r="B264" s="28">
        <v>102327.07575757576</v>
      </c>
      <c r="C264" s="28">
        <f t="shared" si="21"/>
        <v>1023270.7575757576</v>
      </c>
      <c r="D264" s="28">
        <f t="shared" si="22"/>
        <v>1279088.446969697</v>
      </c>
      <c r="E264" s="28">
        <f t="shared" si="23"/>
        <v>1534906.1363636362</v>
      </c>
      <c r="F264" s="28">
        <f t="shared" si="24"/>
        <v>1790723.8257575757</v>
      </c>
      <c r="G264" s="28">
        <f t="shared" si="25"/>
        <v>2046541.5151515151</v>
      </c>
      <c r="H264" s="28">
        <f t="shared" si="26"/>
        <v>2302359.2045454546</v>
      </c>
      <c r="I264" s="28">
        <f t="shared" si="27"/>
        <v>2558176.893939394</v>
      </c>
      <c r="J264" s="28">
        <f t="shared" si="28"/>
        <v>2813994.5833333335</v>
      </c>
      <c r="K264" s="28">
        <f t="shared" si="29"/>
        <v>3069812.2727272725</v>
      </c>
      <c r="L264" s="28">
        <f t="shared" si="30"/>
        <v>3325629.9621212119</v>
      </c>
      <c r="M264" s="28">
        <f t="shared" si="31"/>
        <v>3581447.6515151514</v>
      </c>
      <c r="N264" s="28">
        <f t="shared" si="32"/>
        <v>3837265.3409090908</v>
      </c>
      <c r="O264" s="28">
        <f t="shared" si="33"/>
        <v>4093083.0303030303</v>
      </c>
      <c r="P264" s="28">
        <f t="shared" si="34"/>
        <v>4348900.7196969697</v>
      </c>
      <c r="Q264" s="28">
        <f t="shared" si="35"/>
        <v>4604718.4090909092</v>
      </c>
      <c r="R264" s="28">
        <f t="shared" si="36"/>
        <v>4860536.0984848486</v>
      </c>
      <c r="S264" s="28">
        <f t="shared" si="37"/>
        <v>5116353.7878787881</v>
      </c>
      <c r="T264" s="28">
        <f t="shared" si="38"/>
        <v>5372171.4772727275</v>
      </c>
      <c r="U264" s="28">
        <f t="shared" si="39"/>
        <v>5627989.166666667</v>
      </c>
      <c r="V264" s="28">
        <f t="shared" si="40"/>
        <v>5883806.8560606064</v>
      </c>
      <c r="W264" s="28">
        <f t="shared" si="41"/>
        <v>6139624.5454545449</v>
      </c>
    </row>
    <row r="265" spans="1:23" x14ac:dyDescent="0.2">
      <c r="A265" s="28">
        <v>264</v>
      </c>
      <c r="B265" s="28">
        <v>103821.5220125786</v>
      </c>
      <c r="C265" s="28">
        <f t="shared" si="21"/>
        <v>1038215.220125786</v>
      </c>
      <c r="D265" s="28">
        <f t="shared" si="22"/>
        <v>1297769.0251572325</v>
      </c>
      <c r="E265" s="28">
        <f t="shared" si="23"/>
        <v>1557322.830188679</v>
      </c>
      <c r="F265" s="28">
        <f t="shared" si="24"/>
        <v>1816876.6352201256</v>
      </c>
      <c r="G265" s="28">
        <f t="shared" si="25"/>
        <v>2076430.4402515721</v>
      </c>
      <c r="H265" s="28">
        <f t="shared" si="26"/>
        <v>2335984.2452830188</v>
      </c>
      <c r="I265" s="28">
        <f t="shared" si="27"/>
        <v>2595538.0503144651</v>
      </c>
      <c r="J265" s="28">
        <f t="shared" si="28"/>
        <v>2855091.8553459113</v>
      </c>
      <c r="K265" s="28">
        <f t="shared" si="29"/>
        <v>3114645.6603773581</v>
      </c>
      <c r="L265" s="28">
        <f t="shared" si="30"/>
        <v>3374199.4654088048</v>
      </c>
      <c r="M265" s="28">
        <f t="shared" si="31"/>
        <v>3633753.2704402511</v>
      </c>
      <c r="N265" s="28">
        <f t="shared" si="32"/>
        <v>3893307.0754716974</v>
      </c>
      <c r="O265" s="28">
        <f t="shared" si="33"/>
        <v>4152860.8805031441</v>
      </c>
      <c r="P265" s="28">
        <f t="shared" si="34"/>
        <v>4412414.6855345909</v>
      </c>
      <c r="Q265" s="28">
        <f t="shared" si="35"/>
        <v>4671968.4905660376</v>
      </c>
      <c r="R265" s="28">
        <f t="shared" si="36"/>
        <v>4931522.2955974834</v>
      </c>
      <c r="S265" s="28">
        <f t="shared" si="37"/>
        <v>5191076.1006289301</v>
      </c>
      <c r="T265" s="28">
        <f t="shared" si="38"/>
        <v>5450629.9056603769</v>
      </c>
      <c r="U265" s="28">
        <f t="shared" si="39"/>
        <v>5710183.7106918227</v>
      </c>
      <c r="V265" s="28">
        <f t="shared" si="40"/>
        <v>5969737.5157232694</v>
      </c>
      <c r="W265" s="28">
        <f t="shared" si="41"/>
        <v>6229291.3207547162</v>
      </c>
    </row>
    <row r="266" spans="1:23" x14ac:dyDescent="0.2">
      <c r="A266" s="28">
        <v>265</v>
      </c>
      <c r="B266" s="28">
        <v>105304.73182957392</v>
      </c>
      <c r="C266" s="28">
        <f t="shared" si="21"/>
        <v>1053047.3182957391</v>
      </c>
      <c r="D266" s="28">
        <f t="shared" si="22"/>
        <v>1316309.147869674</v>
      </c>
      <c r="E266" s="28">
        <f t="shared" si="23"/>
        <v>1579570.9774436087</v>
      </c>
      <c r="F266" s="28">
        <f t="shared" si="24"/>
        <v>1842832.8070175434</v>
      </c>
      <c r="G266" s="28">
        <f t="shared" si="25"/>
        <v>2106094.6365914783</v>
      </c>
      <c r="H266" s="28">
        <f t="shared" si="26"/>
        <v>2369356.4661654131</v>
      </c>
      <c r="I266" s="28">
        <f t="shared" si="27"/>
        <v>2632618.295739348</v>
      </c>
      <c r="J266" s="28">
        <f t="shared" si="28"/>
        <v>2895880.1253132825</v>
      </c>
      <c r="K266" s="28">
        <f t="shared" si="29"/>
        <v>3159141.9548872174</v>
      </c>
      <c r="L266" s="28">
        <f t="shared" si="30"/>
        <v>3422403.7844611523</v>
      </c>
      <c r="M266" s="28">
        <f t="shared" si="31"/>
        <v>3685665.6140350867</v>
      </c>
      <c r="N266" s="28">
        <f t="shared" si="32"/>
        <v>3948927.4436090216</v>
      </c>
      <c r="O266" s="28">
        <f t="shared" si="33"/>
        <v>4212189.2731829565</v>
      </c>
      <c r="P266" s="28">
        <f t="shared" si="34"/>
        <v>4475451.1027568914</v>
      </c>
      <c r="Q266" s="28">
        <f t="shared" si="35"/>
        <v>4738712.9323308263</v>
      </c>
      <c r="R266" s="28">
        <f t="shared" si="36"/>
        <v>5001974.7619047612</v>
      </c>
      <c r="S266" s="28">
        <f t="shared" si="37"/>
        <v>5265236.5914786961</v>
      </c>
      <c r="T266" s="28">
        <f t="shared" si="38"/>
        <v>5528498.4210526301</v>
      </c>
      <c r="U266" s="28">
        <f t="shared" si="39"/>
        <v>5791760.250626565</v>
      </c>
      <c r="V266" s="28">
        <f t="shared" si="40"/>
        <v>6055022.0802004999</v>
      </c>
      <c r="W266" s="28">
        <f t="shared" si="41"/>
        <v>6318283.9097744348</v>
      </c>
    </row>
    <row r="267" spans="1:23" x14ac:dyDescent="0.2">
      <c r="A267" s="28">
        <v>266</v>
      </c>
      <c r="B267" s="28">
        <v>106826.47440699126</v>
      </c>
      <c r="C267" s="28">
        <f t="shared" si="21"/>
        <v>1068264.7440699125</v>
      </c>
      <c r="D267" s="28">
        <f t="shared" si="22"/>
        <v>1335330.9300873906</v>
      </c>
      <c r="E267" s="28">
        <f t="shared" si="23"/>
        <v>1602397.1161048687</v>
      </c>
      <c r="F267" s="28">
        <f t="shared" si="24"/>
        <v>1869463.3021223468</v>
      </c>
      <c r="G267" s="28">
        <f t="shared" si="25"/>
        <v>2136529.4881398249</v>
      </c>
      <c r="H267" s="28">
        <f t="shared" si="26"/>
        <v>2403595.6741573028</v>
      </c>
      <c r="I267" s="28">
        <f t="shared" si="27"/>
        <v>2670661.8601747812</v>
      </c>
      <c r="J267" s="28">
        <f t="shared" si="28"/>
        <v>2937728.0461922595</v>
      </c>
      <c r="K267" s="28">
        <f t="shared" si="29"/>
        <v>3204794.2322097374</v>
      </c>
      <c r="L267" s="28">
        <f t="shared" si="30"/>
        <v>3471860.4182272153</v>
      </c>
      <c r="M267" s="28">
        <f t="shared" si="31"/>
        <v>3738926.6042446936</v>
      </c>
      <c r="N267" s="28">
        <f t="shared" si="32"/>
        <v>4005992.790262172</v>
      </c>
      <c r="O267" s="28">
        <f t="shared" si="33"/>
        <v>4273058.9762796499</v>
      </c>
      <c r="P267" s="28">
        <f t="shared" si="34"/>
        <v>4540125.1622971278</v>
      </c>
      <c r="Q267" s="28">
        <f t="shared" si="35"/>
        <v>4807191.3483146057</v>
      </c>
      <c r="R267" s="28">
        <f t="shared" si="36"/>
        <v>5074257.5343320845</v>
      </c>
      <c r="S267" s="28">
        <f t="shared" si="37"/>
        <v>5341323.7203495624</v>
      </c>
      <c r="T267" s="28">
        <f t="shared" si="38"/>
        <v>5608389.9063670402</v>
      </c>
      <c r="U267" s="28">
        <f t="shared" si="39"/>
        <v>5875456.0923845191</v>
      </c>
      <c r="V267" s="28">
        <f t="shared" si="40"/>
        <v>6142522.2784019969</v>
      </c>
      <c r="W267" s="28">
        <f t="shared" si="41"/>
        <v>6409588.4644194748</v>
      </c>
    </row>
    <row r="268" spans="1:23" x14ac:dyDescent="0.2">
      <c r="A268" s="28">
        <v>267</v>
      </c>
      <c r="B268" s="28">
        <v>108347.31343283581</v>
      </c>
      <c r="C268" s="28">
        <f t="shared" si="21"/>
        <v>1083473.1343283581</v>
      </c>
      <c r="D268" s="28">
        <f t="shared" si="22"/>
        <v>1354341.4179104476</v>
      </c>
      <c r="E268" s="28">
        <f t="shared" si="23"/>
        <v>1625209.7014925373</v>
      </c>
      <c r="F268" s="28">
        <f t="shared" si="24"/>
        <v>1896077.9850746267</v>
      </c>
      <c r="G268" s="28">
        <f t="shared" si="25"/>
        <v>2166946.2686567162</v>
      </c>
      <c r="H268" s="28">
        <f t="shared" si="26"/>
        <v>2437814.5522388057</v>
      </c>
      <c r="I268" s="28">
        <f t="shared" si="27"/>
        <v>2708682.8358208952</v>
      </c>
      <c r="J268" s="28">
        <f t="shared" si="28"/>
        <v>2979551.1194029846</v>
      </c>
      <c r="K268" s="28">
        <f t="shared" si="29"/>
        <v>3250419.4029850746</v>
      </c>
      <c r="L268" s="28">
        <f t="shared" si="30"/>
        <v>3521287.686567164</v>
      </c>
      <c r="M268" s="28">
        <f t="shared" si="31"/>
        <v>3792155.9701492535</v>
      </c>
      <c r="N268" s="28">
        <f t="shared" si="32"/>
        <v>4063024.253731343</v>
      </c>
      <c r="O268" s="28">
        <f t="shared" si="33"/>
        <v>4333892.5373134324</v>
      </c>
      <c r="P268" s="28">
        <f t="shared" si="34"/>
        <v>4604760.8208955219</v>
      </c>
      <c r="Q268" s="28">
        <f t="shared" si="35"/>
        <v>4875629.1044776114</v>
      </c>
      <c r="R268" s="28">
        <f t="shared" si="36"/>
        <v>5146497.3880597008</v>
      </c>
      <c r="S268" s="28">
        <f t="shared" si="37"/>
        <v>5417365.6716417903</v>
      </c>
      <c r="T268" s="28">
        <f t="shared" si="38"/>
        <v>5688233.9552238798</v>
      </c>
      <c r="U268" s="28">
        <f t="shared" si="39"/>
        <v>5959102.2388059692</v>
      </c>
      <c r="V268" s="28">
        <f t="shared" si="40"/>
        <v>6229970.5223880587</v>
      </c>
      <c r="W268" s="28">
        <f t="shared" si="41"/>
        <v>6500838.8059701491</v>
      </c>
    </row>
    <row r="269" spans="1:23" x14ac:dyDescent="0.2">
      <c r="A269" s="28">
        <v>268</v>
      </c>
      <c r="B269" s="28">
        <v>109908.21065675341</v>
      </c>
      <c r="C269" s="28">
        <f t="shared" si="21"/>
        <v>1099082.1065675342</v>
      </c>
      <c r="D269" s="28">
        <f t="shared" si="22"/>
        <v>1373852.6332094176</v>
      </c>
      <c r="E269" s="28">
        <f t="shared" si="23"/>
        <v>1648623.1598513012</v>
      </c>
      <c r="F269" s="28">
        <f t="shared" si="24"/>
        <v>1923393.6864931849</v>
      </c>
      <c r="G269" s="28">
        <f t="shared" si="25"/>
        <v>2198164.2131350683</v>
      </c>
      <c r="H269" s="28">
        <f t="shared" si="26"/>
        <v>2472934.7397769517</v>
      </c>
      <c r="I269" s="28">
        <f t="shared" si="27"/>
        <v>2747705.2664188351</v>
      </c>
      <c r="J269" s="28">
        <f t="shared" si="28"/>
        <v>3022475.793060719</v>
      </c>
      <c r="K269" s="28">
        <f t="shared" si="29"/>
        <v>3297246.3197026025</v>
      </c>
      <c r="L269" s="28">
        <f t="shared" si="30"/>
        <v>3572016.8463444859</v>
      </c>
      <c r="M269" s="28">
        <f t="shared" si="31"/>
        <v>3846787.3729863698</v>
      </c>
      <c r="N269" s="28">
        <f t="shared" si="32"/>
        <v>4121557.8996282532</v>
      </c>
      <c r="O269" s="28">
        <f t="shared" si="33"/>
        <v>4396328.4262701366</v>
      </c>
      <c r="P269" s="28">
        <f t="shared" si="34"/>
        <v>4671098.9529120205</v>
      </c>
      <c r="Q269" s="28">
        <f t="shared" si="35"/>
        <v>4945869.4795539035</v>
      </c>
      <c r="R269" s="28">
        <f t="shared" si="36"/>
        <v>5220640.0061957873</v>
      </c>
      <c r="S269" s="28">
        <f t="shared" si="37"/>
        <v>5495410.5328376703</v>
      </c>
      <c r="T269" s="28">
        <f t="shared" si="38"/>
        <v>5770181.0594795542</v>
      </c>
      <c r="U269" s="28">
        <f t="shared" si="39"/>
        <v>6044951.5861214381</v>
      </c>
      <c r="V269" s="28">
        <f t="shared" si="40"/>
        <v>6319722.112763321</v>
      </c>
      <c r="W269" s="28">
        <f t="shared" si="41"/>
        <v>6594492.6394052049</v>
      </c>
    </row>
    <row r="270" spans="1:23" x14ac:dyDescent="0.2">
      <c r="A270" s="28">
        <v>269</v>
      </c>
      <c r="B270" s="28">
        <v>111457.54567901236</v>
      </c>
      <c r="C270" s="28">
        <f t="shared" si="21"/>
        <v>1114575.4567901236</v>
      </c>
      <c r="D270" s="28">
        <f t="shared" si="22"/>
        <v>1393219.3209876544</v>
      </c>
      <c r="E270" s="28">
        <f t="shared" si="23"/>
        <v>1671863.1851851854</v>
      </c>
      <c r="F270" s="28">
        <f t="shared" si="24"/>
        <v>1950507.0493827164</v>
      </c>
      <c r="G270" s="28">
        <f t="shared" si="25"/>
        <v>2229150.9135802472</v>
      </c>
      <c r="H270" s="28">
        <f t="shared" si="26"/>
        <v>2507794.777777778</v>
      </c>
      <c r="I270" s="28">
        <f t="shared" si="27"/>
        <v>2786438.6419753088</v>
      </c>
      <c r="J270" s="28">
        <f t="shared" si="28"/>
        <v>3065082.50617284</v>
      </c>
      <c r="K270" s="28">
        <f t="shared" si="29"/>
        <v>3343726.3703703708</v>
      </c>
      <c r="L270" s="28">
        <f t="shared" si="30"/>
        <v>3622370.2345679016</v>
      </c>
      <c r="M270" s="28">
        <f t="shared" si="31"/>
        <v>3901014.0987654328</v>
      </c>
      <c r="N270" s="28">
        <f t="shared" si="32"/>
        <v>4179657.9629629636</v>
      </c>
      <c r="O270" s="28">
        <f t="shared" si="33"/>
        <v>4458301.8271604944</v>
      </c>
      <c r="P270" s="28">
        <f t="shared" si="34"/>
        <v>4736945.6913580252</v>
      </c>
      <c r="Q270" s="28">
        <f t="shared" si="35"/>
        <v>5015589.555555556</v>
      </c>
      <c r="R270" s="28">
        <f t="shared" si="36"/>
        <v>5294233.4197530868</v>
      </c>
      <c r="S270" s="28">
        <f t="shared" si="37"/>
        <v>5572877.2839506175</v>
      </c>
      <c r="T270" s="28">
        <f t="shared" si="38"/>
        <v>5851521.1481481493</v>
      </c>
      <c r="U270" s="28">
        <f t="shared" si="39"/>
        <v>6130165.01234568</v>
      </c>
      <c r="V270" s="28">
        <f t="shared" si="40"/>
        <v>6408808.8765432108</v>
      </c>
      <c r="W270" s="28">
        <f t="shared" si="41"/>
        <v>6687452.7407407416</v>
      </c>
    </row>
    <row r="271" spans="1:23" x14ac:dyDescent="0.2">
      <c r="A271" s="28">
        <v>270</v>
      </c>
      <c r="B271" s="28">
        <v>113058.12054120541</v>
      </c>
      <c r="C271" s="28">
        <f t="shared" si="21"/>
        <v>1130581.2054120542</v>
      </c>
      <c r="D271" s="28">
        <f t="shared" si="22"/>
        <v>1413226.5067650678</v>
      </c>
      <c r="E271" s="28">
        <f t="shared" si="23"/>
        <v>1695871.8081180812</v>
      </c>
      <c r="F271" s="28">
        <f t="shared" si="24"/>
        <v>1978517.1094710948</v>
      </c>
      <c r="G271" s="28">
        <f t="shared" si="25"/>
        <v>2261162.4108241084</v>
      </c>
      <c r="H271" s="28">
        <f t="shared" si="26"/>
        <v>2543807.712177122</v>
      </c>
      <c r="I271" s="28">
        <f t="shared" si="27"/>
        <v>2826453.0135301356</v>
      </c>
      <c r="J271" s="28">
        <f t="shared" si="28"/>
        <v>3109098.3148831492</v>
      </c>
      <c r="K271" s="28">
        <f t="shared" si="29"/>
        <v>3391743.6162361624</v>
      </c>
      <c r="L271" s="28">
        <f t="shared" si="30"/>
        <v>3674388.917589176</v>
      </c>
      <c r="M271" s="28">
        <f t="shared" si="31"/>
        <v>3957034.2189421896</v>
      </c>
      <c r="N271" s="28">
        <f t="shared" si="32"/>
        <v>4239679.5202952037</v>
      </c>
      <c r="O271" s="28">
        <f t="shared" si="33"/>
        <v>4522324.8216482168</v>
      </c>
      <c r="P271" s="28">
        <f t="shared" si="34"/>
        <v>4804970.1230012299</v>
      </c>
      <c r="Q271" s="28">
        <f t="shared" si="35"/>
        <v>5087615.424354244</v>
      </c>
      <c r="R271" s="28">
        <f t="shared" si="36"/>
        <v>5370260.7257072572</v>
      </c>
      <c r="S271" s="28">
        <f t="shared" si="37"/>
        <v>5652906.0270602712</v>
      </c>
      <c r="T271" s="28">
        <f t="shared" si="38"/>
        <v>5935551.3284132844</v>
      </c>
      <c r="U271" s="28">
        <f t="shared" si="39"/>
        <v>6218196.6297662985</v>
      </c>
      <c r="V271" s="28">
        <f t="shared" si="40"/>
        <v>6500841.9311193116</v>
      </c>
      <c r="W271" s="28">
        <f t="shared" si="41"/>
        <v>6783487.2324723247</v>
      </c>
    </row>
    <row r="272" spans="1:23" x14ac:dyDescent="0.2">
      <c r="A272" s="28">
        <v>271</v>
      </c>
      <c r="B272" s="28">
        <v>114646.92647058822</v>
      </c>
      <c r="C272" s="28">
        <f t="shared" si="21"/>
        <v>1146469.2647058822</v>
      </c>
      <c r="D272" s="28">
        <f t="shared" si="22"/>
        <v>1433086.5808823528</v>
      </c>
      <c r="E272" s="28">
        <f t="shared" si="23"/>
        <v>1719703.8970588231</v>
      </c>
      <c r="F272" s="28">
        <f t="shared" si="24"/>
        <v>2006321.2132352937</v>
      </c>
      <c r="G272" s="28">
        <f t="shared" si="25"/>
        <v>2292938.5294117643</v>
      </c>
      <c r="H272" s="28">
        <f t="shared" si="26"/>
        <v>2579555.8455882347</v>
      </c>
      <c r="I272" s="28">
        <f t="shared" si="27"/>
        <v>2866173.1617647056</v>
      </c>
      <c r="J272" s="28">
        <f t="shared" si="28"/>
        <v>3152790.4779411759</v>
      </c>
      <c r="K272" s="28">
        <f t="shared" si="29"/>
        <v>3439407.7941176463</v>
      </c>
      <c r="L272" s="28">
        <f t="shared" si="30"/>
        <v>3726025.1102941171</v>
      </c>
      <c r="M272" s="28">
        <f t="shared" si="31"/>
        <v>4012642.4264705875</v>
      </c>
      <c r="N272" s="28">
        <f t="shared" si="32"/>
        <v>4299259.7426470583</v>
      </c>
      <c r="O272" s="28">
        <f t="shared" si="33"/>
        <v>4585877.0588235287</v>
      </c>
      <c r="P272" s="28">
        <f t="shared" si="34"/>
        <v>4872494.3749999991</v>
      </c>
      <c r="Q272" s="28">
        <f t="shared" si="35"/>
        <v>5159111.6911764694</v>
      </c>
      <c r="R272" s="28">
        <f t="shared" si="36"/>
        <v>5445729.0073529407</v>
      </c>
      <c r="S272" s="28">
        <f t="shared" si="37"/>
        <v>5732346.3235294111</v>
      </c>
      <c r="T272" s="28">
        <f t="shared" si="38"/>
        <v>6018963.6397058815</v>
      </c>
      <c r="U272" s="28">
        <f t="shared" si="39"/>
        <v>6305580.9558823518</v>
      </c>
      <c r="V272" s="28">
        <f t="shared" si="40"/>
        <v>6592198.2720588222</v>
      </c>
      <c r="W272" s="28">
        <f t="shared" si="41"/>
        <v>6878815.5882352926</v>
      </c>
    </row>
    <row r="273" spans="1:23" x14ac:dyDescent="0.2">
      <c r="A273" s="28">
        <v>272</v>
      </c>
      <c r="B273" s="28">
        <v>116277.48473748473</v>
      </c>
      <c r="C273" s="28">
        <f t="shared" si="21"/>
        <v>1162774.8473748474</v>
      </c>
      <c r="D273" s="28">
        <f t="shared" si="22"/>
        <v>1453468.5592185592</v>
      </c>
      <c r="E273" s="28">
        <f t="shared" si="23"/>
        <v>1744162.2710622712</v>
      </c>
      <c r="F273" s="28">
        <f t="shared" si="24"/>
        <v>2034855.982905983</v>
      </c>
      <c r="G273" s="28">
        <f t="shared" si="25"/>
        <v>2325549.6947496948</v>
      </c>
      <c r="H273" s="28">
        <f t="shared" si="26"/>
        <v>2616243.4065934066</v>
      </c>
      <c r="I273" s="28">
        <f t="shared" si="27"/>
        <v>2906937.1184371184</v>
      </c>
      <c r="J273" s="28">
        <f t="shared" si="28"/>
        <v>3197630.8302808302</v>
      </c>
      <c r="K273" s="28">
        <f t="shared" si="29"/>
        <v>3488324.5421245424</v>
      </c>
      <c r="L273" s="28">
        <f t="shared" si="30"/>
        <v>3779018.2539682542</v>
      </c>
      <c r="M273" s="28">
        <f t="shared" si="31"/>
        <v>4069711.965811966</v>
      </c>
      <c r="N273" s="28">
        <f t="shared" si="32"/>
        <v>4360405.6776556773</v>
      </c>
      <c r="O273" s="28">
        <f t="shared" si="33"/>
        <v>4651099.3894993896</v>
      </c>
      <c r="P273" s="28">
        <f t="shared" si="34"/>
        <v>4941793.1013431018</v>
      </c>
      <c r="Q273" s="28">
        <f t="shared" si="35"/>
        <v>5232486.8131868131</v>
      </c>
      <c r="R273" s="28">
        <f t="shared" si="36"/>
        <v>5523180.5250305254</v>
      </c>
      <c r="S273" s="28">
        <f t="shared" si="37"/>
        <v>5813874.2368742367</v>
      </c>
      <c r="T273" s="28">
        <f t="shared" si="38"/>
        <v>6104567.948717949</v>
      </c>
      <c r="U273" s="28">
        <f t="shared" si="39"/>
        <v>6395261.6605616603</v>
      </c>
      <c r="V273" s="28">
        <f t="shared" si="40"/>
        <v>6685955.3724053726</v>
      </c>
      <c r="W273" s="28">
        <f t="shared" si="41"/>
        <v>6976649.0842490848</v>
      </c>
    </row>
    <row r="274" spans="1:23" x14ac:dyDescent="0.2">
      <c r="A274" s="28">
        <v>273</v>
      </c>
      <c r="B274" s="28">
        <v>117907.12408759125</v>
      </c>
      <c r="C274" s="28">
        <f t="shared" si="21"/>
        <v>1179071.2408759124</v>
      </c>
      <c r="D274" s="28">
        <f t="shared" si="22"/>
        <v>1473839.0510948906</v>
      </c>
      <c r="E274" s="28">
        <f t="shared" si="23"/>
        <v>1768606.8613138685</v>
      </c>
      <c r="F274" s="28">
        <f t="shared" si="24"/>
        <v>2063374.6715328465</v>
      </c>
      <c r="G274" s="28">
        <f t="shared" si="25"/>
        <v>2358142.4817518247</v>
      </c>
      <c r="H274" s="28">
        <f t="shared" si="26"/>
        <v>2652910.2919708029</v>
      </c>
      <c r="I274" s="28">
        <f t="shared" si="27"/>
        <v>2947678.1021897811</v>
      </c>
      <c r="J274" s="28">
        <f t="shared" si="28"/>
        <v>3242445.9124087589</v>
      </c>
      <c r="K274" s="28">
        <f t="shared" si="29"/>
        <v>3537213.7226277371</v>
      </c>
      <c r="L274" s="28">
        <f t="shared" si="30"/>
        <v>3831981.5328467153</v>
      </c>
      <c r="M274" s="28">
        <f t="shared" si="31"/>
        <v>4126749.343065693</v>
      </c>
      <c r="N274" s="28">
        <f t="shared" si="32"/>
        <v>4421517.1532846717</v>
      </c>
      <c r="O274" s="28">
        <f t="shared" si="33"/>
        <v>4716284.9635036495</v>
      </c>
      <c r="P274" s="28">
        <f t="shared" si="34"/>
        <v>5011052.7737226272</v>
      </c>
      <c r="Q274" s="28">
        <f t="shared" si="35"/>
        <v>5305820.5839416059</v>
      </c>
      <c r="R274" s="28">
        <f t="shared" si="36"/>
        <v>5600588.3941605836</v>
      </c>
      <c r="S274" s="28">
        <f t="shared" si="37"/>
        <v>5895356.2043795623</v>
      </c>
      <c r="T274" s="28">
        <f t="shared" si="38"/>
        <v>6190124.01459854</v>
      </c>
      <c r="U274" s="28">
        <f t="shared" si="39"/>
        <v>6484891.8248175178</v>
      </c>
      <c r="V274" s="28">
        <f t="shared" si="40"/>
        <v>6779659.6350364964</v>
      </c>
      <c r="W274" s="28">
        <f t="shared" si="41"/>
        <v>7074427.4452554742</v>
      </c>
    </row>
    <row r="275" spans="1:23" x14ac:dyDescent="0.2">
      <c r="A275" s="28">
        <v>274</v>
      </c>
      <c r="B275" s="28">
        <v>119577.91272727273</v>
      </c>
      <c r="C275" s="28">
        <f t="shared" si="21"/>
        <v>1195779.1272727274</v>
      </c>
      <c r="D275" s="28">
        <f t="shared" si="22"/>
        <v>1494723.9090909092</v>
      </c>
      <c r="E275" s="28">
        <f t="shared" si="23"/>
        <v>1793668.6909090912</v>
      </c>
      <c r="F275" s="28">
        <f t="shared" si="24"/>
        <v>2092613.4727272731</v>
      </c>
      <c r="G275" s="28">
        <f t="shared" si="25"/>
        <v>2391558.2545454549</v>
      </c>
      <c r="H275" s="28">
        <f t="shared" si="26"/>
        <v>2690503.0363636366</v>
      </c>
      <c r="I275" s="28">
        <f t="shared" si="27"/>
        <v>2989447.8181818184</v>
      </c>
      <c r="J275" s="28">
        <f t="shared" si="28"/>
        <v>3288392.6000000006</v>
      </c>
      <c r="K275" s="28">
        <f t="shared" si="29"/>
        <v>3587337.3818181823</v>
      </c>
      <c r="L275" s="28">
        <f t="shared" si="30"/>
        <v>3886282.163636364</v>
      </c>
      <c r="M275" s="28">
        <f t="shared" si="31"/>
        <v>4185226.9454545463</v>
      </c>
      <c r="N275" s="28">
        <f t="shared" si="32"/>
        <v>4484171.7272727275</v>
      </c>
      <c r="O275" s="28">
        <f t="shared" si="33"/>
        <v>4783116.5090909097</v>
      </c>
      <c r="P275" s="28">
        <f t="shared" si="34"/>
        <v>5082061.2909090919</v>
      </c>
      <c r="Q275" s="28">
        <f t="shared" si="35"/>
        <v>5381006.0727272732</v>
      </c>
      <c r="R275" s="28">
        <f t="shared" si="36"/>
        <v>5679950.8545454554</v>
      </c>
      <c r="S275" s="28">
        <f t="shared" si="37"/>
        <v>5978895.6363636367</v>
      </c>
      <c r="T275" s="28">
        <f t="shared" si="38"/>
        <v>6277840.4181818189</v>
      </c>
      <c r="U275" s="28">
        <f t="shared" si="39"/>
        <v>6576785.2000000011</v>
      </c>
      <c r="V275" s="28">
        <f t="shared" si="40"/>
        <v>6875729.9818181824</v>
      </c>
      <c r="W275" s="28">
        <f t="shared" si="41"/>
        <v>7174674.7636363646</v>
      </c>
    </row>
    <row r="276" spans="1:23" x14ac:dyDescent="0.2">
      <c r="A276" s="28">
        <v>275</v>
      </c>
      <c r="B276" s="28">
        <v>121236.59420289854</v>
      </c>
      <c r="C276" s="28">
        <f t="shared" si="21"/>
        <v>1212365.9420289854</v>
      </c>
      <c r="D276" s="28">
        <f t="shared" si="22"/>
        <v>1515457.4275362317</v>
      </c>
      <c r="E276" s="28">
        <f t="shared" si="23"/>
        <v>1818548.913043478</v>
      </c>
      <c r="F276" s="28">
        <f t="shared" si="24"/>
        <v>2121640.3985507246</v>
      </c>
      <c r="G276" s="28">
        <f t="shared" si="25"/>
        <v>2424731.8840579707</v>
      </c>
      <c r="H276" s="28">
        <f t="shared" si="26"/>
        <v>2727823.3695652168</v>
      </c>
      <c r="I276" s="28">
        <f t="shared" si="27"/>
        <v>3030914.8550724634</v>
      </c>
      <c r="J276" s="28">
        <f t="shared" si="28"/>
        <v>3334006.34057971</v>
      </c>
      <c r="K276" s="28">
        <f t="shared" si="29"/>
        <v>3637097.8260869561</v>
      </c>
      <c r="L276" s="28">
        <f t="shared" si="30"/>
        <v>3940189.3115942022</v>
      </c>
      <c r="M276" s="28">
        <f t="shared" si="31"/>
        <v>4243280.7971014492</v>
      </c>
      <c r="N276" s="28">
        <f t="shared" si="32"/>
        <v>4546372.2826086953</v>
      </c>
      <c r="O276" s="28">
        <f t="shared" si="33"/>
        <v>4849463.7681159414</v>
      </c>
      <c r="P276" s="28">
        <f t="shared" si="34"/>
        <v>5152555.2536231875</v>
      </c>
      <c r="Q276" s="28">
        <f t="shared" si="35"/>
        <v>5455646.7391304336</v>
      </c>
      <c r="R276" s="28">
        <f t="shared" si="36"/>
        <v>5758738.2246376807</v>
      </c>
      <c r="S276" s="28">
        <f t="shared" si="37"/>
        <v>6061829.7101449268</v>
      </c>
      <c r="T276" s="28">
        <f t="shared" si="38"/>
        <v>6364921.1956521729</v>
      </c>
      <c r="U276" s="28">
        <f t="shared" si="39"/>
        <v>6668012.6811594199</v>
      </c>
      <c r="V276" s="28">
        <f t="shared" si="40"/>
        <v>6971104.166666666</v>
      </c>
      <c r="W276" s="28">
        <f t="shared" si="41"/>
        <v>7274195.6521739122</v>
      </c>
    </row>
    <row r="277" spans="1:23" x14ac:dyDescent="0.2">
      <c r="A277" s="28">
        <v>276</v>
      </c>
      <c r="B277" s="28">
        <v>122950.22382671481</v>
      </c>
      <c r="C277" s="28">
        <f t="shared" si="21"/>
        <v>1229502.2382671481</v>
      </c>
      <c r="D277" s="28">
        <f t="shared" si="22"/>
        <v>1536877.7978339351</v>
      </c>
      <c r="E277" s="28">
        <f t="shared" si="23"/>
        <v>1844253.3574007223</v>
      </c>
      <c r="F277" s="28">
        <f t="shared" si="24"/>
        <v>2151628.9169675093</v>
      </c>
      <c r="G277" s="28">
        <f t="shared" si="25"/>
        <v>2459004.4765342963</v>
      </c>
      <c r="H277" s="28">
        <f t="shared" si="26"/>
        <v>2766380.0361010833</v>
      </c>
      <c r="I277" s="28">
        <f t="shared" si="27"/>
        <v>3073755.5956678702</v>
      </c>
      <c r="J277" s="28">
        <f t="shared" si="28"/>
        <v>3381131.1552346572</v>
      </c>
      <c r="K277" s="28">
        <f t="shared" si="29"/>
        <v>3688506.7148014447</v>
      </c>
      <c r="L277" s="28">
        <f t="shared" si="30"/>
        <v>3995882.2743682317</v>
      </c>
      <c r="M277" s="28">
        <f t="shared" si="31"/>
        <v>4303257.8339350186</v>
      </c>
      <c r="N277" s="28">
        <f t="shared" si="32"/>
        <v>4610633.3935018051</v>
      </c>
      <c r="O277" s="28">
        <f t="shared" si="33"/>
        <v>4918008.9530685926</v>
      </c>
      <c r="P277" s="28">
        <f t="shared" si="34"/>
        <v>5225384.51263538</v>
      </c>
      <c r="Q277" s="28">
        <f t="shared" si="35"/>
        <v>5532760.0722021665</v>
      </c>
      <c r="R277" s="28">
        <f t="shared" si="36"/>
        <v>5840135.631768954</v>
      </c>
      <c r="S277" s="28">
        <f t="shared" si="37"/>
        <v>6147511.1913357405</v>
      </c>
      <c r="T277" s="28">
        <f t="shared" si="38"/>
        <v>6454886.7509025279</v>
      </c>
      <c r="U277" s="28">
        <f t="shared" si="39"/>
        <v>6762262.3104693145</v>
      </c>
      <c r="V277" s="28">
        <f t="shared" si="40"/>
        <v>7069637.8700361019</v>
      </c>
      <c r="W277" s="28">
        <f t="shared" si="41"/>
        <v>7377013.4296028893</v>
      </c>
    </row>
    <row r="278" spans="1:23" x14ac:dyDescent="0.2">
      <c r="A278" s="28">
        <v>277</v>
      </c>
      <c r="B278" s="28">
        <v>124651.52517985611</v>
      </c>
      <c r="C278" s="28">
        <f t="shared" si="21"/>
        <v>1246515.2517985611</v>
      </c>
      <c r="D278" s="28">
        <f t="shared" si="22"/>
        <v>1558144.0647482013</v>
      </c>
      <c r="E278" s="28">
        <f t="shared" si="23"/>
        <v>1869772.8776978417</v>
      </c>
      <c r="F278" s="28">
        <f t="shared" si="24"/>
        <v>2181401.6906474819</v>
      </c>
      <c r="G278" s="28">
        <f t="shared" si="25"/>
        <v>2493030.5035971222</v>
      </c>
      <c r="H278" s="28">
        <f t="shared" si="26"/>
        <v>2804659.3165467624</v>
      </c>
      <c r="I278" s="28">
        <f t="shared" si="27"/>
        <v>3116288.1294964026</v>
      </c>
      <c r="J278" s="28">
        <f t="shared" si="28"/>
        <v>3427916.9424460428</v>
      </c>
      <c r="K278" s="28">
        <f t="shared" si="29"/>
        <v>3739545.7553956835</v>
      </c>
      <c r="L278" s="28">
        <f t="shared" si="30"/>
        <v>4051174.5683453237</v>
      </c>
      <c r="M278" s="28">
        <f t="shared" si="31"/>
        <v>4362803.3812949639</v>
      </c>
      <c r="N278" s="28">
        <f t="shared" si="32"/>
        <v>4674432.1942446036</v>
      </c>
      <c r="O278" s="28">
        <f t="shared" si="33"/>
        <v>4986061.0071942443</v>
      </c>
      <c r="P278" s="28">
        <f t="shared" si="34"/>
        <v>5297689.820143885</v>
      </c>
      <c r="Q278" s="28">
        <f t="shared" si="35"/>
        <v>5609318.6330935247</v>
      </c>
      <c r="R278" s="28">
        <f t="shared" si="36"/>
        <v>5920947.4460431654</v>
      </c>
      <c r="S278" s="28">
        <f t="shared" si="37"/>
        <v>6232576.2589928051</v>
      </c>
      <c r="T278" s="28">
        <f t="shared" si="38"/>
        <v>6544205.0719424458</v>
      </c>
      <c r="U278" s="28">
        <f t="shared" si="39"/>
        <v>6855833.8848920856</v>
      </c>
      <c r="V278" s="28">
        <f t="shared" si="40"/>
        <v>7167462.6978417262</v>
      </c>
      <c r="W278" s="28">
        <f t="shared" si="41"/>
        <v>7479091.5107913669</v>
      </c>
    </row>
    <row r="279" spans="1:23" x14ac:dyDescent="0.2">
      <c r="A279" s="28">
        <v>278</v>
      </c>
      <c r="B279" s="28">
        <v>126395.6798088411</v>
      </c>
      <c r="C279" s="28">
        <f t="shared" si="21"/>
        <v>1263956.7980884111</v>
      </c>
      <c r="D279" s="28">
        <f t="shared" si="22"/>
        <v>1579945.9976105138</v>
      </c>
      <c r="E279" s="28">
        <f t="shared" si="23"/>
        <v>1895935.1971326168</v>
      </c>
      <c r="F279" s="28">
        <f t="shared" si="24"/>
        <v>2211924.3966547195</v>
      </c>
      <c r="G279" s="28">
        <f t="shared" si="25"/>
        <v>2527913.5961768222</v>
      </c>
      <c r="H279" s="28">
        <f t="shared" si="26"/>
        <v>2843902.7956989249</v>
      </c>
      <c r="I279" s="28">
        <f t="shared" si="27"/>
        <v>3159891.9952210276</v>
      </c>
      <c r="J279" s="28">
        <f t="shared" si="28"/>
        <v>3475881.1947431304</v>
      </c>
      <c r="K279" s="28">
        <f t="shared" si="29"/>
        <v>3791870.3942652335</v>
      </c>
      <c r="L279" s="28">
        <f t="shared" si="30"/>
        <v>4107859.5937873363</v>
      </c>
      <c r="M279" s="28">
        <f t="shared" si="31"/>
        <v>4423848.793309439</v>
      </c>
      <c r="N279" s="28">
        <f t="shared" si="32"/>
        <v>4739837.9928315412</v>
      </c>
      <c r="O279" s="28">
        <f t="shared" si="33"/>
        <v>5055827.1923536444</v>
      </c>
      <c r="P279" s="28">
        <f t="shared" si="34"/>
        <v>5371816.3918757476</v>
      </c>
      <c r="Q279" s="28">
        <f t="shared" si="35"/>
        <v>5687805.5913978498</v>
      </c>
      <c r="R279" s="28">
        <f t="shared" si="36"/>
        <v>6003794.790919953</v>
      </c>
      <c r="S279" s="28">
        <f t="shared" si="37"/>
        <v>6319783.9904420553</v>
      </c>
      <c r="T279" s="28">
        <f t="shared" si="38"/>
        <v>6635773.1899641585</v>
      </c>
      <c r="U279" s="28">
        <f t="shared" si="39"/>
        <v>6951762.3894862607</v>
      </c>
      <c r="V279" s="28">
        <f t="shared" si="40"/>
        <v>7267751.5890083639</v>
      </c>
      <c r="W279" s="28">
        <f t="shared" si="41"/>
        <v>7583740.7885304671</v>
      </c>
    </row>
    <row r="280" spans="1:23" x14ac:dyDescent="0.2">
      <c r="A280" s="28">
        <v>279</v>
      </c>
      <c r="B280" s="28">
        <v>128138.91428571429</v>
      </c>
      <c r="C280" s="28">
        <f t="shared" si="21"/>
        <v>1281389.142857143</v>
      </c>
      <c r="D280" s="28">
        <f t="shared" si="22"/>
        <v>1601736.4285714286</v>
      </c>
      <c r="E280" s="28">
        <f t="shared" si="23"/>
        <v>1922083.7142857146</v>
      </c>
      <c r="F280" s="28">
        <f t="shared" si="24"/>
        <v>2242431</v>
      </c>
      <c r="G280" s="28">
        <f t="shared" si="25"/>
        <v>2562778.2857142859</v>
      </c>
      <c r="H280" s="28">
        <f t="shared" si="26"/>
        <v>2883125.5714285718</v>
      </c>
      <c r="I280" s="28">
        <f t="shared" si="27"/>
        <v>3203472.8571428573</v>
      </c>
      <c r="J280" s="28">
        <f t="shared" si="28"/>
        <v>3523820.1428571432</v>
      </c>
      <c r="K280" s="28">
        <f t="shared" si="29"/>
        <v>3844167.4285714291</v>
      </c>
      <c r="L280" s="28">
        <f t="shared" si="30"/>
        <v>4164514.7142857146</v>
      </c>
      <c r="M280" s="28">
        <f t="shared" si="31"/>
        <v>4484862</v>
      </c>
      <c r="N280" s="28">
        <f t="shared" si="32"/>
        <v>4805209.2857142864</v>
      </c>
      <c r="O280" s="28">
        <f t="shared" si="33"/>
        <v>5125556.5714285718</v>
      </c>
      <c r="P280" s="28">
        <f t="shared" si="34"/>
        <v>5445903.8571428573</v>
      </c>
      <c r="Q280" s="28">
        <f t="shared" si="35"/>
        <v>5766251.1428571437</v>
      </c>
      <c r="R280" s="28">
        <f t="shared" si="36"/>
        <v>6086598.4285714291</v>
      </c>
      <c r="S280" s="28">
        <f t="shared" si="37"/>
        <v>6406945.7142857146</v>
      </c>
      <c r="T280" s="28">
        <f t="shared" si="38"/>
        <v>6727293.0000000009</v>
      </c>
      <c r="U280" s="28">
        <f t="shared" si="39"/>
        <v>7047640.2857142864</v>
      </c>
      <c r="V280" s="28">
        <f t="shared" si="40"/>
        <v>7367987.5714285718</v>
      </c>
      <c r="W280" s="28">
        <f t="shared" si="41"/>
        <v>7688334.8571428582</v>
      </c>
    </row>
    <row r="281" spans="1:23" x14ac:dyDescent="0.2">
      <c r="A281" s="28">
        <v>280</v>
      </c>
      <c r="B281" s="28">
        <v>129926.72123368921</v>
      </c>
      <c r="C281" s="28">
        <f t="shared" si="21"/>
        <v>1299267.212336892</v>
      </c>
      <c r="D281" s="28">
        <f t="shared" si="22"/>
        <v>1624084.0154211151</v>
      </c>
      <c r="E281" s="28">
        <f t="shared" si="23"/>
        <v>1948900.8185053379</v>
      </c>
      <c r="F281" s="28">
        <f t="shared" si="24"/>
        <v>2273717.621589561</v>
      </c>
      <c r="G281" s="28">
        <f t="shared" si="25"/>
        <v>2598534.4246737841</v>
      </c>
      <c r="H281" s="28">
        <f t="shared" si="26"/>
        <v>2923351.2277580071</v>
      </c>
      <c r="I281" s="28">
        <f t="shared" si="27"/>
        <v>3248168.0308422302</v>
      </c>
      <c r="J281" s="28">
        <f t="shared" si="28"/>
        <v>3572984.8339264533</v>
      </c>
      <c r="K281" s="28">
        <f t="shared" si="29"/>
        <v>3897801.6370106759</v>
      </c>
      <c r="L281" s="28">
        <f t="shared" si="30"/>
        <v>4222618.4400948994</v>
      </c>
      <c r="M281" s="28">
        <f t="shared" si="31"/>
        <v>4547435.243179122</v>
      </c>
      <c r="N281" s="28">
        <f t="shared" si="32"/>
        <v>4872252.0462633455</v>
      </c>
      <c r="O281" s="28">
        <f t="shared" si="33"/>
        <v>5197068.8493475681</v>
      </c>
      <c r="P281" s="28">
        <f t="shared" si="34"/>
        <v>5521885.6524317907</v>
      </c>
      <c r="Q281" s="28">
        <f t="shared" si="35"/>
        <v>5846702.4555160142</v>
      </c>
      <c r="R281" s="28">
        <f t="shared" si="36"/>
        <v>6171519.2586002368</v>
      </c>
      <c r="S281" s="28">
        <f t="shared" si="37"/>
        <v>6496336.0616844604</v>
      </c>
      <c r="T281" s="28">
        <f t="shared" si="38"/>
        <v>6821152.864768683</v>
      </c>
      <c r="U281" s="28">
        <f t="shared" si="39"/>
        <v>7145969.6678529065</v>
      </c>
      <c r="V281" s="28">
        <f t="shared" si="40"/>
        <v>7470786.4709371291</v>
      </c>
      <c r="W281" s="28">
        <f t="shared" si="41"/>
        <v>7795603.2740213517</v>
      </c>
    </row>
    <row r="282" spans="1:23" x14ac:dyDescent="0.2">
      <c r="A282" s="28">
        <v>281</v>
      </c>
      <c r="B282" s="28">
        <v>131701.84869976359</v>
      </c>
      <c r="C282" s="28">
        <f t="shared" si="21"/>
        <v>1317018.486997636</v>
      </c>
      <c r="D282" s="28">
        <f t="shared" si="22"/>
        <v>1646273.108747045</v>
      </c>
      <c r="E282" s="28">
        <f t="shared" si="23"/>
        <v>1975527.7304964541</v>
      </c>
      <c r="F282" s="28">
        <f t="shared" si="24"/>
        <v>2304782.3522458631</v>
      </c>
      <c r="G282" s="28">
        <f t="shared" si="25"/>
        <v>2634036.9739952721</v>
      </c>
      <c r="H282" s="28">
        <f t="shared" si="26"/>
        <v>2963291.5957446811</v>
      </c>
      <c r="I282" s="28">
        <f t="shared" si="27"/>
        <v>3292546.2174940901</v>
      </c>
      <c r="J282" s="28">
        <f t="shared" si="28"/>
        <v>3621800.8392434991</v>
      </c>
      <c r="K282" s="28">
        <f t="shared" si="29"/>
        <v>3951055.4609929081</v>
      </c>
      <c r="L282" s="28">
        <f t="shared" si="30"/>
        <v>4280310.0827423166</v>
      </c>
      <c r="M282" s="28">
        <f t="shared" si="31"/>
        <v>4609564.7044917261</v>
      </c>
      <c r="N282" s="28">
        <f t="shared" si="32"/>
        <v>4938819.3262411356</v>
      </c>
      <c r="O282" s="28">
        <f t="shared" si="33"/>
        <v>5268073.9479905441</v>
      </c>
      <c r="P282" s="28">
        <f t="shared" si="34"/>
        <v>5597328.5697399527</v>
      </c>
      <c r="Q282" s="28">
        <f t="shared" si="35"/>
        <v>5926583.1914893622</v>
      </c>
      <c r="R282" s="28">
        <f t="shared" si="36"/>
        <v>6255837.8132387716</v>
      </c>
      <c r="S282" s="28">
        <f t="shared" si="37"/>
        <v>6585092.4349881802</v>
      </c>
      <c r="T282" s="28">
        <f t="shared" si="38"/>
        <v>6914347.0567375887</v>
      </c>
      <c r="U282" s="28">
        <f t="shared" si="39"/>
        <v>7243601.6784869982</v>
      </c>
      <c r="V282" s="28">
        <f t="shared" si="40"/>
        <v>7572856.3002364077</v>
      </c>
      <c r="W282" s="28">
        <f t="shared" si="41"/>
        <v>7902110.9219858162</v>
      </c>
    </row>
    <row r="283" spans="1:23" x14ac:dyDescent="0.2">
      <c r="A283" s="28">
        <v>282</v>
      </c>
      <c r="B283" s="28">
        <v>133533.61837455831</v>
      </c>
      <c r="C283" s="28">
        <f t="shared" si="21"/>
        <v>1335336.1837455831</v>
      </c>
      <c r="D283" s="28">
        <f t="shared" si="22"/>
        <v>1669170.2296819789</v>
      </c>
      <c r="E283" s="28">
        <f t="shared" si="23"/>
        <v>2003004.2756183746</v>
      </c>
      <c r="F283" s="28">
        <f t="shared" si="24"/>
        <v>2336838.3215547702</v>
      </c>
      <c r="G283" s="28">
        <f t="shared" si="25"/>
        <v>2670672.3674911661</v>
      </c>
      <c r="H283" s="28">
        <f t="shared" si="26"/>
        <v>3004506.413427562</v>
      </c>
      <c r="I283" s="28">
        <f t="shared" si="27"/>
        <v>3338340.4593639579</v>
      </c>
      <c r="J283" s="28">
        <f t="shared" si="28"/>
        <v>3672174.5053003533</v>
      </c>
      <c r="K283" s="28">
        <f t="shared" si="29"/>
        <v>4006008.5512367492</v>
      </c>
      <c r="L283" s="28">
        <f t="shared" si="30"/>
        <v>4339842.597173145</v>
      </c>
      <c r="M283" s="28">
        <f t="shared" si="31"/>
        <v>4673676.6431095405</v>
      </c>
      <c r="N283" s="28">
        <f t="shared" si="32"/>
        <v>5007510.6890459368</v>
      </c>
      <c r="O283" s="28">
        <f t="shared" si="33"/>
        <v>5341344.7349823322</v>
      </c>
      <c r="P283" s="28">
        <f t="shared" si="34"/>
        <v>5675178.7809187276</v>
      </c>
      <c r="Q283" s="28">
        <f t="shared" si="35"/>
        <v>6009012.826855124</v>
      </c>
      <c r="R283" s="28">
        <f t="shared" si="36"/>
        <v>6342846.8727915194</v>
      </c>
      <c r="S283" s="28">
        <f t="shared" si="37"/>
        <v>6676680.9187279157</v>
      </c>
      <c r="T283" s="28">
        <f t="shared" si="38"/>
        <v>7010514.9646643111</v>
      </c>
      <c r="U283" s="28">
        <f t="shared" si="39"/>
        <v>7344349.0106007066</v>
      </c>
      <c r="V283" s="28">
        <f t="shared" si="40"/>
        <v>7678183.0565371029</v>
      </c>
      <c r="W283" s="28">
        <f t="shared" si="41"/>
        <v>8012017.1024734983</v>
      </c>
    </row>
    <row r="284" spans="1:23" x14ac:dyDescent="0.2">
      <c r="A284" s="28">
        <v>283</v>
      </c>
      <c r="B284" s="28">
        <v>135352.48826291077</v>
      </c>
      <c r="C284" s="28">
        <f t="shared" si="21"/>
        <v>1353524.8826291077</v>
      </c>
      <c r="D284" s="28">
        <f t="shared" si="22"/>
        <v>1691906.1032863846</v>
      </c>
      <c r="E284" s="28">
        <f t="shared" si="23"/>
        <v>2030287.3239436615</v>
      </c>
      <c r="F284" s="28">
        <f t="shared" si="24"/>
        <v>2368668.5446009384</v>
      </c>
      <c r="G284" s="28">
        <f t="shared" si="25"/>
        <v>2707049.7652582154</v>
      </c>
      <c r="H284" s="28">
        <f t="shared" si="26"/>
        <v>3045430.9859154923</v>
      </c>
      <c r="I284" s="28">
        <f t="shared" si="27"/>
        <v>3383812.2065727692</v>
      </c>
      <c r="J284" s="28">
        <f t="shared" si="28"/>
        <v>3722193.4272300461</v>
      </c>
      <c r="K284" s="28">
        <f t="shared" si="29"/>
        <v>4060574.6478873231</v>
      </c>
      <c r="L284" s="28">
        <f t="shared" si="30"/>
        <v>4398955.8685446</v>
      </c>
      <c r="M284" s="28">
        <f t="shared" si="31"/>
        <v>4737337.0892018769</v>
      </c>
      <c r="N284" s="28">
        <f t="shared" si="32"/>
        <v>5075718.3098591538</v>
      </c>
      <c r="O284" s="28">
        <f t="shared" si="33"/>
        <v>5414099.5305164307</v>
      </c>
      <c r="P284" s="28">
        <f t="shared" si="34"/>
        <v>5752480.7511737077</v>
      </c>
      <c r="Q284" s="28">
        <f t="shared" si="35"/>
        <v>6090861.9718309846</v>
      </c>
      <c r="R284" s="28">
        <f t="shared" si="36"/>
        <v>6429243.1924882615</v>
      </c>
      <c r="S284" s="28">
        <f t="shared" si="37"/>
        <v>6767624.4131455384</v>
      </c>
      <c r="T284" s="28">
        <f t="shared" si="38"/>
        <v>7106005.6338028153</v>
      </c>
      <c r="U284" s="28">
        <f t="shared" si="39"/>
        <v>7444386.8544600923</v>
      </c>
      <c r="V284" s="28">
        <f t="shared" si="40"/>
        <v>7782768.0751173692</v>
      </c>
      <c r="W284" s="28">
        <f t="shared" si="41"/>
        <v>8121149.2957746461</v>
      </c>
    </row>
    <row r="285" spans="1:23" x14ac:dyDescent="0.2">
      <c r="A285" s="28">
        <v>284</v>
      </c>
      <c r="B285" s="28">
        <v>137217.65614035088</v>
      </c>
      <c r="C285" s="28">
        <f t="shared" si="21"/>
        <v>1372176.5614035088</v>
      </c>
      <c r="D285" s="28">
        <f t="shared" si="22"/>
        <v>1715220.7017543861</v>
      </c>
      <c r="E285" s="28">
        <f t="shared" si="23"/>
        <v>2058264.8421052631</v>
      </c>
      <c r="F285" s="28">
        <f t="shared" si="24"/>
        <v>2401308.9824561402</v>
      </c>
      <c r="G285" s="28">
        <f t="shared" si="25"/>
        <v>2744353.1228070175</v>
      </c>
      <c r="H285" s="28">
        <f t="shared" si="26"/>
        <v>3087397.2631578948</v>
      </c>
      <c r="I285" s="28">
        <f t="shared" si="27"/>
        <v>3430441.4035087721</v>
      </c>
      <c r="J285" s="28">
        <f t="shared" si="28"/>
        <v>3773485.543859649</v>
      </c>
      <c r="K285" s="28">
        <f t="shared" si="29"/>
        <v>4116529.6842105263</v>
      </c>
      <c r="L285" s="28">
        <f t="shared" si="30"/>
        <v>4459573.8245614031</v>
      </c>
      <c r="M285" s="28">
        <f t="shared" si="31"/>
        <v>4802617.9649122804</v>
      </c>
      <c r="N285" s="28">
        <f t="shared" si="32"/>
        <v>5145662.1052631577</v>
      </c>
      <c r="O285" s="28">
        <f t="shared" si="33"/>
        <v>5488706.2456140351</v>
      </c>
      <c r="P285" s="28">
        <f t="shared" si="34"/>
        <v>5831750.3859649124</v>
      </c>
      <c r="Q285" s="28">
        <f t="shared" si="35"/>
        <v>6174794.5263157897</v>
      </c>
      <c r="R285" s="28">
        <f t="shared" si="36"/>
        <v>6517838.666666667</v>
      </c>
      <c r="S285" s="28">
        <f t="shared" si="37"/>
        <v>6860882.8070175443</v>
      </c>
      <c r="T285" s="28">
        <f t="shared" si="38"/>
        <v>7203926.9473684207</v>
      </c>
      <c r="U285" s="28">
        <f t="shared" si="39"/>
        <v>7546971.087719298</v>
      </c>
      <c r="V285" s="28">
        <f t="shared" si="40"/>
        <v>7890015.2280701753</v>
      </c>
      <c r="W285" s="28">
        <f t="shared" si="41"/>
        <v>8233059.3684210526</v>
      </c>
    </row>
    <row r="286" spans="1:23" x14ac:dyDescent="0.2">
      <c r="A286" s="28">
        <v>285</v>
      </c>
      <c r="B286" s="28">
        <v>139081.66899766898</v>
      </c>
      <c r="C286" s="28">
        <f t="shared" si="21"/>
        <v>1390816.6899766899</v>
      </c>
      <c r="D286" s="28">
        <f t="shared" si="22"/>
        <v>1738520.8624708625</v>
      </c>
      <c r="E286" s="28">
        <f t="shared" si="23"/>
        <v>2086225.0349650348</v>
      </c>
      <c r="F286" s="28">
        <f t="shared" si="24"/>
        <v>2433929.2074592072</v>
      </c>
      <c r="G286" s="28">
        <f t="shared" si="25"/>
        <v>2781633.3799533797</v>
      </c>
      <c r="H286" s="28">
        <f t="shared" si="26"/>
        <v>3129337.5524475523</v>
      </c>
      <c r="I286" s="28">
        <f t="shared" si="27"/>
        <v>3477041.7249417249</v>
      </c>
      <c r="J286" s="28">
        <f t="shared" si="28"/>
        <v>3824745.897435897</v>
      </c>
      <c r="K286" s="28">
        <f t="shared" si="29"/>
        <v>4172450.0699300696</v>
      </c>
      <c r="L286" s="28">
        <f t="shared" si="30"/>
        <v>4520154.2424242422</v>
      </c>
      <c r="M286" s="28">
        <f t="shared" si="31"/>
        <v>4867858.4149184143</v>
      </c>
      <c r="N286" s="28">
        <f t="shared" si="32"/>
        <v>5215562.5874125874</v>
      </c>
      <c r="O286" s="28">
        <f t="shared" si="33"/>
        <v>5563266.7599067595</v>
      </c>
      <c r="P286" s="28">
        <f t="shared" si="34"/>
        <v>5910970.9324009316</v>
      </c>
      <c r="Q286" s="28">
        <f t="shared" si="35"/>
        <v>6258675.1048951047</v>
      </c>
      <c r="R286" s="28">
        <f t="shared" si="36"/>
        <v>6606379.2773892768</v>
      </c>
      <c r="S286" s="28">
        <f t="shared" si="37"/>
        <v>6954083.4498834498</v>
      </c>
      <c r="T286" s="28">
        <f t="shared" si="38"/>
        <v>7301787.6223776219</v>
      </c>
      <c r="U286" s="28">
        <f t="shared" si="39"/>
        <v>7649491.7948717941</v>
      </c>
      <c r="V286" s="28">
        <f t="shared" si="40"/>
        <v>7997195.9673659671</v>
      </c>
      <c r="W286" s="28">
        <f t="shared" si="41"/>
        <v>8344900.1398601392</v>
      </c>
    </row>
    <row r="287" spans="1:23" x14ac:dyDescent="0.2">
      <c r="A287" s="28">
        <v>286</v>
      </c>
      <c r="B287" s="28">
        <v>140991.34262485482</v>
      </c>
      <c r="C287" s="28">
        <f t="shared" si="21"/>
        <v>1409913.4262485481</v>
      </c>
      <c r="D287" s="28">
        <f t="shared" si="22"/>
        <v>1762391.7828106852</v>
      </c>
      <c r="E287" s="28">
        <f t="shared" si="23"/>
        <v>2114870.1393728219</v>
      </c>
      <c r="F287" s="28">
        <f t="shared" si="24"/>
        <v>2467348.495934959</v>
      </c>
      <c r="G287" s="28">
        <f t="shared" si="25"/>
        <v>2819826.8524970962</v>
      </c>
      <c r="H287" s="28">
        <f t="shared" si="26"/>
        <v>3172305.2090592333</v>
      </c>
      <c r="I287" s="28">
        <f t="shared" si="27"/>
        <v>3524783.5656213704</v>
      </c>
      <c r="J287" s="28">
        <f t="shared" si="28"/>
        <v>3877261.9221835071</v>
      </c>
      <c r="K287" s="28">
        <f t="shared" si="29"/>
        <v>4229740.2787456438</v>
      </c>
      <c r="L287" s="28">
        <f t="shared" si="30"/>
        <v>4582218.6353077814</v>
      </c>
      <c r="M287" s="28">
        <f t="shared" si="31"/>
        <v>4934696.9918699181</v>
      </c>
      <c r="N287" s="28">
        <f t="shared" si="32"/>
        <v>5287175.3484320557</v>
      </c>
      <c r="O287" s="28">
        <f t="shared" si="33"/>
        <v>5639653.7049941923</v>
      </c>
      <c r="P287" s="28">
        <f t="shared" si="34"/>
        <v>5992132.061556329</v>
      </c>
      <c r="Q287" s="28">
        <f t="shared" si="35"/>
        <v>6344610.4181184666</v>
      </c>
      <c r="R287" s="28">
        <f t="shared" si="36"/>
        <v>6697088.7746806033</v>
      </c>
      <c r="S287" s="28">
        <f t="shared" si="37"/>
        <v>7049567.1312427409</v>
      </c>
      <c r="T287" s="28">
        <f t="shared" si="38"/>
        <v>7402045.4878048776</v>
      </c>
      <c r="U287" s="28">
        <f t="shared" si="39"/>
        <v>7754523.8443670142</v>
      </c>
      <c r="V287" s="28">
        <f t="shared" si="40"/>
        <v>8107002.2009291518</v>
      </c>
      <c r="W287" s="28">
        <f t="shared" si="41"/>
        <v>8459480.5574912876</v>
      </c>
    </row>
    <row r="288" spans="1:23" x14ac:dyDescent="0.2">
      <c r="A288" s="28">
        <v>287</v>
      </c>
      <c r="B288" s="28">
        <v>142887.75462962964</v>
      </c>
      <c r="C288" s="28">
        <f t="shared" si="21"/>
        <v>1428877.5462962964</v>
      </c>
      <c r="D288" s="28">
        <f t="shared" si="22"/>
        <v>1786096.9328703706</v>
      </c>
      <c r="E288" s="28">
        <f t="shared" si="23"/>
        <v>2143316.3194444445</v>
      </c>
      <c r="F288" s="28">
        <f t="shared" si="24"/>
        <v>2500535.7060185187</v>
      </c>
      <c r="G288" s="28">
        <f t="shared" si="25"/>
        <v>2857755.0925925928</v>
      </c>
      <c r="H288" s="28">
        <f t="shared" si="26"/>
        <v>3214974.479166667</v>
      </c>
      <c r="I288" s="28">
        <f t="shared" si="27"/>
        <v>3572193.8657407411</v>
      </c>
      <c r="J288" s="28">
        <f t="shared" si="28"/>
        <v>3929413.2523148153</v>
      </c>
      <c r="K288" s="28">
        <f t="shared" si="29"/>
        <v>4286632.638888889</v>
      </c>
      <c r="L288" s="28">
        <f t="shared" si="30"/>
        <v>4643852.0254629636</v>
      </c>
      <c r="M288" s="28">
        <f t="shared" si="31"/>
        <v>5001071.4120370373</v>
      </c>
      <c r="N288" s="28">
        <f t="shared" si="32"/>
        <v>5358290.7986111119</v>
      </c>
      <c r="O288" s="28">
        <f t="shared" si="33"/>
        <v>5715510.1851851856</v>
      </c>
      <c r="P288" s="28">
        <f t="shared" si="34"/>
        <v>6072729.5717592593</v>
      </c>
      <c r="Q288" s="28">
        <f t="shared" si="35"/>
        <v>6429948.958333334</v>
      </c>
      <c r="R288" s="28">
        <f t="shared" si="36"/>
        <v>6787168.3449074076</v>
      </c>
      <c r="S288" s="28">
        <f t="shared" si="37"/>
        <v>7144387.7314814823</v>
      </c>
      <c r="T288" s="28">
        <f t="shared" si="38"/>
        <v>7501607.118055556</v>
      </c>
      <c r="U288" s="28">
        <f t="shared" si="39"/>
        <v>7858826.5046296306</v>
      </c>
      <c r="V288" s="28">
        <f t="shared" si="40"/>
        <v>8216045.8912037043</v>
      </c>
      <c r="W288" s="28">
        <f t="shared" si="41"/>
        <v>8573265.277777778</v>
      </c>
    </row>
    <row r="289" spans="1:23" x14ac:dyDescent="0.2">
      <c r="A289" s="28">
        <v>288</v>
      </c>
      <c r="B289" s="28">
        <v>144845.02652825834</v>
      </c>
      <c r="C289" s="28">
        <f t="shared" si="21"/>
        <v>1448450.2652825834</v>
      </c>
      <c r="D289" s="28">
        <f t="shared" si="22"/>
        <v>1810562.8316032293</v>
      </c>
      <c r="E289" s="28">
        <f t="shared" si="23"/>
        <v>2172675.3979238751</v>
      </c>
      <c r="F289" s="28">
        <f t="shared" si="24"/>
        <v>2534787.9642445212</v>
      </c>
      <c r="G289" s="28">
        <f t="shared" si="25"/>
        <v>2896900.5305651668</v>
      </c>
      <c r="H289" s="28">
        <f t="shared" si="26"/>
        <v>3259013.0968858125</v>
      </c>
      <c r="I289" s="28">
        <f t="shared" si="27"/>
        <v>3621125.6632064586</v>
      </c>
      <c r="J289" s="28">
        <f t="shared" si="28"/>
        <v>3983238.2295271046</v>
      </c>
      <c r="K289" s="28">
        <f t="shared" si="29"/>
        <v>4345350.7958477503</v>
      </c>
      <c r="L289" s="28">
        <f t="shared" si="30"/>
        <v>4707463.3621683959</v>
      </c>
      <c r="M289" s="28">
        <f t="shared" si="31"/>
        <v>5069575.9284890424</v>
      </c>
      <c r="N289" s="28">
        <f t="shared" si="32"/>
        <v>5431688.4948096881</v>
      </c>
      <c r="O289" s="28">
        <f t="shared" si="33"/>
        <v>5793801.0611303337</v>
      </c>
      <c r="P289" s="28">
        <f t="shared" si="34"/>
        <v>6155913.6274509793</v>
      </c>
      <c r="Q289" s="28">
        <f t="shared" si="35"/>
        <v>6518026.1937716249</v>
      </c>
      <c r="R289" s="28">
        <f t="shared" si="36"/>
        <v>6880138.7600922715</v>
      </c>
      <c r="S289" s="28">
        <f t="shared" si="37"/>
        <v>7242251.3264129171</v>
      </c>
      <c r="T289" s="28">
        <f t="shared" si="38"/>
        <v>7604363.8927335627</v>
      </c>
      <c r="U289" s="28">
        <f t="shared" si="39"/>
        <v>7966476.4590542093</v>
      </c>
      <c r="V289" s="28">
        <f t="shared" si="40"/>
        <v>8328589.0253748549</v>
      </c>
      <c r="W289" s="28">
        <f t="shared" si="41"/>
        <v>8690701.5916955005</v>
      </c>
    </row>
    <row r="290" spans="1:23" x14ac:dyDescent="0.2">
      <c r="A290" s="28">
        <v>289</v>
      </c>
      <c r="B290" s="28">
        <v>146788.79999999999</v>
      </c>
      <c r="C290" s="28">
        <f t="shared" si="21"/>
        <v>1467888</v>
      </c>
      <c r="D290" s="28">
        <f t="shared" si="22"/>
        <v>1834860</v>
      </c>
      <c r="E290" s="28">
        <f t="shared" si="23"/>
        <v>2201832</v>
      </c>
      <c r="F290" s="28">
        <f t="shared" si="24"/>
        <v>2568804</v>
      </c>
      <c r="G290" s="28">
        <f t="shared" si="25"/>
        <v>2935776</v>
      </c>
      <c r="H290" s="28">
        <f t="shared" si="26"/>
        <v>3302748</v>
      </c>
      <c r="I290" s="28">
        <f t="shared" si="27"/>
        <v>3669720</v>
      </c>
      <c r="J290" s="28">
        <f t="shared" si="28"/>
        <v>4036692</v>
      </c>
      <c r="K290" s="28">
        <f t="shared" si="29"/>
        <v>4403664</v>
      </c>
      <c r="L290" s="28">
        <f t="shared" si="30"/>
        <v>4770636</v>
      </c>
      <c r="M290" s="28">
        <f t="shared" si="31"/>
        <v>5137608</v>
      </c>
      <c r="N290" s="28">
        <f t="shared" si="32"/>
        <v>5504580</v>
      </c>
      <c r="O290" s="28">
        <f t="shared" si="33"/>
        <v>5871552</v>
      </c>
      <c r="P290" s="28">
        <f t="shared" si="34"/>
        <v>6238524</v>
      </c>
      <c r="Q290" s="28">
        <f t="shared" si="35"/>
        <v>6605496</v>
      </c>
      <c r="R290" s="28">
        <f t="shared" si="36"/>
        <v>6972468</v>
      </c>
      <c r="S290" s="28">
        <f t="shared" si="37"/>
        <v>7339440</v>
      </c>
      <c r="T290" s="28">
        <f t="shared" si="38"/>
        <v>7706412</v>
      </c>
      <c r="U290" s="28">
        <f t="shared" si="39"/>
        <v>8073384</v>
      </c>
      <c r="V290" s="28">
        <f t="shared" si="40"/>
        <v>8440356</v>
      </c>
      <c r="W290" s="28">
        <f t="shared" si="41"/>
        <v>8807328</v>
      </c>
    </row>
    <row r="291" spans="1:23" x14ac:dyDescent="0.2">
      <c r="A291" s="28">
        <v>290</v>
      </c>
      <c r="B291" s="28">
        <v>148780.15807560139</v>
      </c>
      <c r="C291" s="28">
        <f t="shared" si="21"/>
        <v>1487801.5807560137</v>
      </c>
      <c r="D291" s="28">
        <f t="shared" si="22"/>
        <v>1859751.9759450173</v>
      </c>
      <c r="E291" s="28">
        <f t="shared" si="23"/>
        <v>2231702.3711340204</v>
      </c>
      <c r="F291" s="28">
        <f t="shared" si="24"/>
        <v>2603652.7663230239</v>
      </c>
      <c r="G291" s="28">
        <f t="shared" si="25"/>
        <v>2975603.1615120275</v>
      </c>
      <c r="H291" s="28">
        <f t="shared" si="26"/>
        <v>3347553.556701031</v>
      </c>
      <c r="I291" s="28">
        <f t="shared" si="27"/>
        <v>3719503.9518900346</v>
      </c>
      <c r="J291" s="28">
        <f t="shared" si="28"/>
        <v>4091454.3470790377</v>
      </c>
      <c r="K291" s="28">
        <f t="shared" si="29"/>
        <v>4463404.7422680408</v>
      </c>
      <c r="L291" s="28">
        <f t="shared" si="30"/>
        <v>4835355.1374570448</v>
      </c>
      <c r="M291" s="28">
        <f t="shared" si="31"/>
        <v>5207305.5326460479</v>
      </c>
      <c r="N291" s="28">
        <f t="shared" si="32"/>
        <v>5579255.9278350519</v>
      </c>
      <c r="O291" s="28">
        <f t="shared" si="33"/>
        <v>5951206.323024055</v>
      </c>
      <c r="P291" s="28">
        <f t="shared" si="34"/>
        <v>6323156.7182130581</v>
      </c>
      <c r="Q291" s="28">
        <f t="shared" si="35"/>
        <v>6695107.1134020621</v>
      </c>
      <c r="R291" s="28">
        <f t="shared" si="36"/>
        <v>7067057.5085910652</v>
      </c>
      <c r="S291" s="28">
        <f t="shared" si="37"/>
        <v>7439007.9037800692</v>
      </c>
      <c r="T291" s="28">
        <f t="shared" si="38"/>
        <v>7810958.2989690723</v>
      </c>
      <c r="U291" s="28">
        <f t="shared" si="39"/>
        <v>8182908.6941580754</v>
      </c>
      <c r="V291" s="28">
        <f t="shared" si="40"/>
        <v>8554859.0893470794</v>
      </c>
      <c r="W291" s="28">
        <f t="shared" si="41"/>
        <v>8926809.4845360816</v>
      </c>
    </row>
    <row r="292" spans="1:23" x14ac:dyDescent="0.2">
      <c r="A292" s="28">
        <v>291</v>
      </c>
      <c r="B292" s="28">
        <v>150770.36757990866</v>
      </c>
      <c r="C292" s="28">
        <f t="shared" si="21"/>
        <v>1507703.6757990867</v>
      </c>
      <c r="D292" s="28">
        <f t="shared" si="22"/>
        <v>1884629.5947488584</v>
      </c>
      <c r="E292" s="28">
        <f t="shared" si="23"/>
        <v>2261555.51369863</v>
      </c>
      <c r="F292" s="28">
        <f t="shared" si="24"/>
        <v>2638481.4326484017</v>
      </c>
      <c r="G292" s="28">
        <f t="shared" si="25"/>
        <v>3015407.3515981734</v>
      </c>
      <c r="H292" s="28">
        <f t="shared" si="26"/>
        <v>3392333.2705479451</v>
      </c>
      <c r="I292" s="28">
        <f t="shared" si="27"/>
        <v>3769259.1894977167</v>
      </c>
      <c r="J292" s="28">
        <f t="shared" si="28"/>
        <v>4146185.1084474884</v>
      </c>
      <c r="K292" s="28">
        <f t="shared" si="29"/>
        <v>4523111.0273972601</v>
      </c>
      <c r="L292" s="28">
        <f t="shared" si="30"/>
        <v>4900036.9463470317</v>
      </c>
      <c r="M292" s="28">
        <f t="shared" si="31"/>
        <v>5276962.8652968034</v>
      </c>
      <c r="N292" s="28">
        <f t="shared" si="32"/>
        <v>5653888.7842465751</v>
      </c>
      <c r="O292" s="28">
        <f t="shared" si="33"/>
        <v>6030814.7031963468</v>
      </c>
      <c r="P292" s="28">
        <f t="shared" si="34"/>
        <v>6407740.6221461184</v>
      </c>
      <c r="Q292" s="28">
        <f t="shared" si="35"/>
        <v>6784666.5410958901</v>
      </c>
      <c r="R292" s="28">
        <f t="shared" si="36"/>
        <v>7161592.4600456618</v>
      </c>
      <c r="S292" s="28">
        <f t="shared" si="37"/>
        <v>7538518.3789954334</v>
      </c>
      <c r="T292" s="28">
        <f t="shared" si="38"/>
        <v>7915444.2979452051</v>
      </c>
      <c r="U292" s="28">
        <f t="shared" si="39"/>
        <v>8292370.2168949768</v>
      </c>
      <c r="V292" s="28">
        <f t="shared" si="40"/>
        <v>8669296.1358447485</v>
      </c>
      <c r="W292" s="28">
        <f t="shared" si="41"/>
        <v>9046222.0547945201</v>
      </c>
    </row>
    <row r="293" spans="1:23" x14ac:dyDescent="0.2">
      <c r="A293" s="28">
        <v>292</v>
      </c>
      <c r="B293" s="28">
        <v>152809.94766780431</v>
      </c>
      <c r="C293" s="28">
        <f t="shared" si="21"/>
        <v>1528099.4766780431</v>
      </c>
      <c r="D293" s="28">
        <f t="shared" si="22"/>
        <v>1910124.345847554</v>
      </c>
      <c r="E293" s="28">
        <f t="shared" si="23"/>
        <v>2292149.2150170645</v>
      </c>
      <c r="F293" s="28">
        <f t="shared" si="24"/>
        <v>2674174.0841865754</v>
      </c>
      <c r="G293" s="28">
        <f t="shared" si="25"/>
        <v>3056198.9533560863</v>
      </c>
      <c r="H293" s="28">
        <f t="shared" si="26"/>
        <v>3438223.8225255972</v>
      </c>
      <c r="I293" s="28">
        <f t="shared" si="27"/>
        <v>3820248.6916951081</v>
      </c>
      <c r="J293" s="28">
        <f t="shared" si="28"/>
        <v>4202273.560864619</v>
      </c>
      <c r="K293" s="28">
        <f t="shared" si="29"/>
        <v>4584298.4300341289</v>
      </c>
      <c r="L293" s="28">
        <f t="shared" si="30"/>
        <v>4966323.2992036399</v>
      </c>
      <c r="M293" s="28">
        <f t="shared" si="31"/>
        <v>5348348.1683731508</v>
      </c>
      <c r="N293" s="28">
        <f t="shared" si="32"/>
        <v>5730373.0375426617</v>
      </c>
      <c r="O293" s="28">
        <f t="shared" si="33"/>
        <v>6112397.9067121726</v>
      </c>
      <c r="P293" s="28">
        <f t="shared" si="34"/>
        <v>6494422.7758816835</v>
      </c>
      <c r="Q293" s="28">
        <f t="shared" si="35"/>
        <v>6876447.6450511944</v>
      </c>
      <c r="R293" s="28">
        <f t="shared" si="36"/>
        <v>7258472.5142207053</v>
      </c>
      <c r="S293" s="28">
        <f t="shared" si="37"/>
        <v>7640497.3833902162</v>
      </c>
      <c r="T293" s="28">
        <f t="shared" si="38"/>
        <v>8022522.2525597261</v>
      </c>
      <c r="U293" s="28">
        <f t="shared" si="39"/>
        <v>8404547.121729238</v>
      </c>
      <c r="V293" s="28">
        <f t="shared" si="40"/>
        <v>8786571.9908987489</v>
      </c>
      <c r="W293" s="28">
        <f t="shared" si="41"/>
        <v>9168596.8600682579</v>
      </c>
    </row>
    <row r="294" spans="1:23" x14ac:dyDescent="0.2">
      <c r="A294" s="28">
        <v>293</v>
      </c>
      <c r="B294" s="28">
        <v>154835.6530612245</v>
      </c>
      <c r="C294" s="28">
        <f t="shared" si="21"/>
        <v>1548356.530612245</v>
      </c>
      <c r="D294" s="28">
        <f t="shared" si="22"/>
        <v>1935445.6632653063</v>
      </c>
      <c r="E294" s="28">
        <f t="shared" si="23"/>
        <v>2322534.7959183673</v>
      </c>
      <c r="F294" s="28">
        <f t="shared" si="24"/>
        <v>2709623.9285714286</v>
      </c>
      <c r="G294" s="28">
        <f t="shared" si="25"/>
        <v>3096713.0612244899</v>
      </c>
      <c r="H294" s="28">
        <f t="shared" si="26"/>
        <v>3483802.1938775512</v>
      </c>
      <c r="I294" s="28">
        <f t="shared" si="27"/>
        <v>3870891.3265306125</v>
      </c>
      <c r="J294" s="28">
        <f t="shared" si="28"/>
        <v>4257980.4591836734</v>
      </c>
      <c r="K294" s="28">
        <f t="shared" si="29"/>
        <v>4645069.5918367347</v>
      </c>
      <c r="L294" s="28">
        <f t="shared" si="30"/>
        <v>5032158.724489796</v>
      </c>
      <c r="M294" s="28">
        <f t="shared" si="31"/>
        <v>5419247.8571428573</v>
      </c>
      <c r="N294" s="28">
        <f t="shared" si="32"/>
        <v>5806336.9897959186</v>
      </c>
      <c r="O294" s="28">
        <f t="shared" si="33"/>
        <v>6193426.1224489799</v>
      </c>
      <c r="P294" s="28">
        <f t="shared" si="34"/>
        <v>6580515.2551020412</v>
      </c>
      <c r="Q294" s="28">
        <f t="shared" si="35"/>
        <v>6967604.3877551025</v>
      </c>
      <c r="R294" s="28">
        <f t="shared" si="36"/>
        <v>7354693.5204081638</v>
      </c>
      <c r="S294" s="28">
        <f t="shared" si="37"/>
        <v>7741782.6530612251</v>
      </c>
      <c r="T294" s="28">
        <f t="shared" si="38"/>
        <v>8128871.7857142864</v>
      </c>
      <c r="U294" s="28">
        <f t="shared" si="39"/>
        <v>8515960.9183673467</v>
      </c>
      <c r="V294" s="28">
        <f t="shared" si="40"/>
        <v>8903050.051020408</v>
      </c>
      <c r="W294" s="28">
        <f t="shared" si="41"/>
        <v>9290139.1836734693</v>
      </c>
    </row>
    <row r="295" spans="1:23" x14ac:dyDescent="0.2">
      <c r="A295" s="28">
        <v>294</v>
      </c>
      <c r="B295" s="28">
        <v>156923.80564971751</v>
      </c>
      <c r="C295" s="28">
        <f t="shared" si="21"/>
        <v>1569238.0564971752</v>
      </c>
      <c r="D295" s="28">
        <f t="shared" si="22"/>
        <v>1961547.5706214691</v>
      </c>
      <c r="E295" s="28">
        <f t="shared" si="23"/>
        <v>2353857.0847457629</v>
      </c>
      <c r="F295" s="28">
        <f t="shared" si="24"/>
        <v>2746166.5988700567</v>
      </c>
      <c r="G295" s="28">
        <f t="shared" si="25"/>
        <v>3138476.1129943505</v>
      </c>
      <c r="H295" s="28">
        <f t="shared" si="26"/>
        <v>3530785.6271186443</v>
      </c>
      <c r="I295" s="28">
        <f t="shared" si="27"/>
        <v>3923095.1412429381</v>
      </c>
      <c r="J295" s="28">
        <f t="shared" si="28"/>
        <v>4315404.6553672319</v>
      </c>
      <c r="K295" s="28">
        <f t="shared" si="29"/>
        <v>4707714.1694915257</v>
      </c>
      <c r="L295" s="28">
        <f t="shared" si="30"/>
        <v>5100023.6836158196</v>
      </c>
      <c r="M295" s="28">
        <f t="shared" si="31"/>
        <v>5492333.1977401134</v>
      </c>
      <c r="N295" s="28">
        <f t="shared" si="32"/>
        <v>5884642.7118644072</v>
      </c>
      <c r="O295" s="28">
        <f t="shared" si="33"/>
        <v>6276952.225988701</v>
      </c>
      <c r="P295" s="28">
        <f t="shared" si="34"/>
        <v>6669261.7401129948</v>
      </c>
      <c r="Q295" s="28">
        <f t="shared" si="35"/>
        <v>7061571.2542372886</v>
      </c>
      <c r="R295" s="28">
        <f t="shared" si="36"/>
        <v>7453880.7683615824</v>
      </c>
      <c r="S295" s="28">
        <f t="shared" si="37"/>
        <v>7846190.2824858762</v>
      </c>
      <c r="T295" s="28">
        <f t="shared" si="38"/>
        <v>8238499.79661017</v>
      </c>
      <c r="U295" s="28">
        <f t="shared" si="39"/>
        <v>8630809.3107344639</v>
      </c>
      <c r="V295" s="28">
        <f t="shared" si="40"/>
        <v>9023118.8248587586</v>
      </c>
      <c r="W295" s="28">
        <f t="shared" si="41"/>
        <v>9415428.3389830515</v>
      </c>
    </row>
    <row r="296" spans="1:23" x14ac:dyDescent="0.2">
      <c r="A296" s="28">
        <v>295</v>
      </c>
      <c r="B296" s="28">
        <v>158997.84909909908</v>
      </c>
      <c r="C296" s="28">
        <f t="shared" si="21"/>
        <v>1589978.4909909908</v>
      </c>
      <c r="D296" s="28">
        <f t="shared" si="22"/>
        <v>1987473.1137387385</v>
      </c>
      <c r="E296" s="28">
        <f t="shared" si="23"/>
        <v>2384967.7364864862</v>
      </c>
      <c r="F296" s="28">
        <f t="shared" si="24"/>
        <v>2782462.3592342339</v>
      </c>
      <c r="G296" s="28">
        <f t="shared" si="25"/>
        <v>3179956.9819819815</v>
      </c>
      <c r="H296" s="28">
        <f t="shared" si="26"/>
        <v>3577451.6047297292</v>
      </c>
      <c r="I296" s="28">
        <f t="shared" si="27"/>
        <v>3974946.2274774769</v>
      </c>
      <c r="J296" s="28">
        <f t="shared" si="28"/>
        <v>4372440.8502252251</v>
      </c>
      <c r="K296" s="28">
        <f t="shared" si="29"/>
        <v>4769935.4729729723</v>
      </c>
      <c r="L296" s="28">
        <f t="shared" si="30"/>
        <v>5167430.0957207195</v>
      </c>
      <c r="M296" s="28">
        <f t="shared" si="31"/>
        <v>5564924.7184684677</v>
      </c>
      <c r="N296" s="28">
        <f t="shared" si="32"/>
        <v>5962419.3412162159</v>
      </c>
      <c r="O296" s="28">
        <f t="shared" si="33"/>
        <v>6359913.9639639631</v>
      </c>
      <c r="P296" s="28">
        <f t="shared" si="34"/>
        <v>6757408.5867117103</v>
      </c>
      <c r="Q296" s="28">
        <f t="shared" si="35"/>
        <v>7154903.2094594585</v>
      </c>
      <c r="R296" s="28">
        <f t="shared" si="36"/>
        <v>7552397.8322072066</v>
      </c>
      <c r="S296" s="28">
        <f t="shared" si="37"/>
        <v>7949892.4549549539</v>
      </c>
      <c r="T296" s="28">
        <f t="shared" si="38"/>
        <v>8347387.0777027011</v>
      </c>
      <c r="U296" s="28">
        <f t="shared" si="39"/>
        <v>8744881.7004504502</v>
      </c>
      <c r="V296" s="28">
        <f t="shared" si="40"/>
        <v>9142376.3231981974</v>
      </c>
      <c r="W296" s="28">
        <f t="shared" si="41"/>
        <v>9539870.9459459446</v>
      </c>
    </row>
    <row r="297" spans="1:23" x14ac:dyDescent="0.2">
      <c r="A297" s="28">
        <v>296</v>
      </c>
      <c r="B297" s="28">
        <v>161123.21885521885</v>
      </c>
      <c r="C297" s="28">
        <f t="shared" si="21"/>
        <v>1611232.1885521885</v>
      </c>
      <c r="D297" s="28">
        <f t="shared" si="22"/>
        <v>2014040.2356902356</v>
      </c>
      <c r="E297" s="28">
        <f t="shared" si="23"/>
        <v>2416848.2828282826</v>
      </c>
      <c r="F297" s="28">
        <f t="shared" si="24"/>
        <v>2819656.32996633</v>
      </c>
      <c r="G297" s="28">
        <f t="shared" si="25"/>
        <v>3222464.3771043769</v>
      </c>
      <c r="H297" s="28">
        <f t="shared" si="26"/>
        <v>3625272.4242424238</v>
      </c>
      <c r="I297" s="28">
        <f t="shared" si="27"/>
        <v>4028080.4713804713</v>
      </c>
      <c r="J297" s="28">
        <f t="shared" si="28"/>
        <v>4430888.5185185187</v>
      </c>
      <c r="K297" s="28">
        <f t="shared" si="29"/>
        <v>4833696.5656565651</v>
      </c>
      <c r="L297" s="28">
        <f t="shared" si="30"/>
        <v>5236504.6127946125</v>
      </c>
      <c r="M297" s="28">
        <f t="shared" si="31"/>
        <v>5639312.6599326599</v>
      </c>
      <c r="N297" s="28">
        <f t="shared" si="32"/>
        <v>6042120.7070707064</v>
      </c>
      <c r="O297" s="28">
        <f t="shared" si="33"/>
        <v>6444928.7542087538</v>
      </c>
      <c r="P297" s="28">
        <f t="shared" si="34"/>
        <v>6847736.8013468012</v>
      </c>
      <c r="Q297" s="28">
        <f t="shared" si="35"/>
        <v>7250544.8484848477</v>
      </c>
      <c r="R297" s="28">
        <f t="shared" si="36"/>
        <v>7653352.8956228951</v>
      </c>
      <c r="S297" s="28">
        <f t="shared" si="37"/>
        <v>8056160.9427609425</v>
      </c>
      <c r="T297" s="28">
        <f t="shared" si="38"/>
        <v>8458968.989898989</v>
      </c>
      <c r="U297" s="28">
        <f t="shared" si="39"/>
        <v>8861777.0370370373</v>
      </c>
      <c r="V297" s="28">
        <f t="shared" si="40"/>
        <v>9264585.0841750838</v>
      </c>
      <c r="W297" s="28">
        <f t="shared" si="41"/>
        <v>9667393.1313131303</v>
      </c>
    </row>
    <row r="298" spans="1:23" x14ac:dyDescent="0.2">
      <c r="A298" s="28">
        <v>297</v>
      </c>
      <c r="B298" s="28">
        <v>163247.4004474273</v>
      </c>
      <c r="C298" s="28">
        <f t="shared" si="21"/>
        <v>1632474.004474273</v>
      </c>
      <c r="D298" s="28">
        <f t="shared" si="22"/>
        <v>2040592.5055928412</v>
      </c>
      <c r="E298" s="28">
        <f t="shared" si="23"/>
        <v>2448711.0067114094</v>
      </c>
      <c r="F298" s="28">
        <f t="shared" si="24"/>
        <v>2856829.5078299777</v>
      </c>
      <c r="G298" s="28">
        <f t="shared" si="25"/>
        <v>3264948.0089485459</v>
      </c>
      <c r="H298" s="28">
        <f t="shared" si="26"/>
        <v>3673066.5100671141</v>
      </c>
      <c r="I298" s="28">
        <f t="shared" si="27"/>
        <v>4081185.0111856824</v>
      </c>
      <c r="J298" s="28">
        <f t="shared" si="28"/>
        <v>4489303.5123042502</v>
      </c>
      <c r="K298" s="28">
        <f t="shared" si="29"/>
        <v>4897422.0134228189</v>
      </c>
      <c r="L298" s="28">
        <f t="shared" si="30"/>
        <v>5305540.5145413876</v>
      </c>
      <c r="M298" s="28">
        <f t="shared" si="31"/>
        <v>5713659.0156599553</v>
      </c>
      <c r="N298" s="28">
        <f t="shared" si="32"/>
        <v>6121777.5167785231</v>
      </c>
      <c r="O298" s="28">
        <f t="shared" si="33"/>
        <v>6529896.0178970918</v>
      </c>
      <c r="P298" s="28">
        <f t="shared" si="34"/>
        <v>6938014.5190156605</v>
      </c>
      <c r="Q298" s="28">
        <f t="shared" si="35"/>
        <v>7346133.0201342283</v>
      </c>
      <c r="R298" s="28">
        <f t="shared" si="36"/>
        <v>7754251.5212527961</v>
      </c>
      <c r="S298" s="28">
        <f t="shared" si="37"/>
        <v>8162370.0223713648</v>
      </c>
      <c r="T298" s="28">
        <f t="shared" si="38"/>
        <v>8570488.5234899335</v>
      </c>
      <c r="U298" s="28">
        <f t="shared" si="39"/>
        <v>8978607.0246085003</v>
      </c>
      <c r="V298" s="28">
        <f t="shared" si="40"/>
        <v>9386725.525727069</v>
      </c>
      <c r="W298" s="28">
        <f t="shared" si="41"/>
        <v>9794844.0268456377</v>
      </c>
    </row>
    <row r="299" spans="1:23" x14ac:dyDescent="0.2">
      <c r="A299" s="28">
        <v>298</v>
      </c>
      <c r="B299" s="28">
        <v>165422.22965440355</v>
      </c>
      <c r="C299" s="28">
        <f t="shared" si="21"/>
        <v>1654222.2965440354</v>
      </c>
      <c r="D299" s="28">
        <f t="shared" si="22"/>
        <v>2067777.8706800444</v>
      </c>
      <c r="E299" s="28">
        <f t="shared" si="23"/>
        <v>2481333.4448160529</v>
      </c>
      <c r="F299" s="28">
        <f t="shared" si="24"/>
        <v>2894889.0189520619</v>
      </c>
      <c r="G299" s="28">
        <f t="shared" si="25"/>
        <v>3308444.5930880709</v>
      </c>
      <c r="H299" s="28">
        <f t="shared" si="26"/>
        <v>3722000.1672240798</v>
      </c>
      <c r="I299" s="28">
        <f t="shared" si="27"/>
        <v>4135555.7413600888</v>
      </c>
      <c r="J299" s="28">
        <f t="shared" si="28"/>
        <v>4549111.3154960973</v>
      </c>
      <c r="K299" s="28">
        <f t="shared" si="29"/>
        <v>4962666.8896321058</v>
      </c>
      <c r="L299" s="28">
        <f t="shared" si="30"/>
        <v>5376222.4637681153</v>
      </c>
      <c r="M299" s="28">
        <f t="shared" si="31"/>
        <v>5789778.0379041238</v>
      </c>
      <c r="N299" s="28">
        <f t="shared" si="32"/>
        <v>6203333.6120401332</v>
      </c>
      <c r="O299" s="28">
        <f t="shared" si="33"/>
        <v>6616889.1861761417</v>
      </c>
      <c r="P299" s="28">
        <f t="shared" si="34"/>
        <v>7030444.7603121502</v>
      </c>
      <c r="Q299" s="28">
        <f t="shared" si="35"/>
        <v>7444000.3344481597</v>
      </c>
      <c r="R299" s="28">
        <f t="shared" si="36"/>
        <v>7857555.9085841682</v>
      </c>
      <c r="S299" s="28">
        <f t="shared" si="37"/>
        <v>8271111.4827201776</v>
      </c>
      <c r="T299" s="28">
        <f t="shared" si="38"/>
        <v>8684667.0568561852</v>
      </c>
      <c r="U299" s="28">
        <f t="shared" si="39"/>
        <v>9098222.6309921946</v>
      </c>
      <c r="V299" s="28">
        <f t="shared" si="40"/>
        <v>9511778.2051282041</v>
      </c>
      <c r="W299" s="28">
        <f t="shared" si="41"/>
        <v>9925333.7792642117</v>
      </c>
    </row>
    <row r="300" spans="1:23" x14ac:dyDescent="0.2">
      <c r="A300" s="28">
        <v>299</v>
      </c>
      <c r="B300" s="28">
        <v>167582.56</v>
      </c>
      <c r="C300" s="28">
        <f t="shared" si="21"/>
        <v>1675825.6</v>
      </c>
      <c r="D300" s="28">
        <f t="shared" si="22"/>
        <v>2094782</v>
      </c>
      <c r="E300" s="28">
        <f t="shared" si="23"/>
        <v>2513738.4000000004</v>
      </c>
      <c r="F300" s="28">
        <f t="shared" si="24"/>
        <v>2932694.8000000003</v>
      </c>
      <c r="G300" s="28">
        <f t="shared" si="25"/>
        <v>3351651.2</v>
      </c>
      <c r="H300" s="28">
        <f t="shared" si="26"/>
        <v>3770607.6</v>
      </c>
      <c r="I300" s="28">
        <f t="shared" si="27"/>
        <v>4189564</v>
      </c>
      <c r="J300" s="28">
        <f t="shared" si="28"/>
        <v>4608520.4000000004</v>
      </c>
      <c r="K300" s="28">
        <f t="shared" si="29"/>
        <v>5027476.8000000007</v>
      </c>
      <c r="L300" s="28">
        <f t="shared" si="30"/>
        <v>5446433.2000000002</v>
      </c>
      <c r="M300" s="28">
        <f t="shared" si="31"/>
        <v>5865389.6000000006</v>
      </c>
      <c r="N300" s="28">
        <f t="shared" si="32"/>
        <v>6284346</v>
      </c>
      <c r="O300" s="28">
        <f t="shared" si="33"/>
        <v>6703302.4000000004</v>
      </c>
      <c r="P300" s="28">
        <f t="shared" si="34"/>
        <v>7122258.8000000007</v>
      </c>
      <c r="Q300" s="28">
        <f t="shared" si="35"/>
        <v>7541215.2000000002</v>
      </c>
      <c r="R300" s="28">
        <f t="shared" si="36"/>
        <v>7960171.6000000006</v>
      </c>
      <c r="S300" s="28">
        <f t="shared" si="37"/>
        <v>8379128</v>
      </c>
      <c r="T300" s="28">
        <f t="shared" si="38"/>
        <v>8798084.4000000004</v>
      </c>
      <c r="U300" s="28">
        <f t="shared" si="39"/>
        <v>9217040.8000000007</v>
      </c>
      <c r="V300" s="28">
        <f t="shared" si="40"/>
        <v>9635997.2000000011</v>
      </c>
      <c r="W300" s="28">
        <f t="shared" si="41"/>
        <v>10054953.600000001</v>
      </c>
    </row>
    <row r="301" spans="1:23" x14ac:dyDescent="0.2">
      <c r="A301" s="28">
        <v>300</v>
      </c>
      <c r="B301" s="28">
        <v>169809.83167220376</v>
      </c>
      <c r="C301" s="28">
        <f t="shared" si="21"/>
        <v>1698098.3167220375</v>
      </c>
      <c r="D301" s="28">
        <f t="shared" si="22"/>
        <v>2122622.8959025471</v>
      </c>
      <c r="E301" s="28">
        <f t="shared" si="23"/>
        <v>2547147.4750830564</v>
      </c>
      <c r="F301" s="28">
        <f t="shared" si="24"/>
        <v>2971672.0542635657</v>
      </c>
      <c r="G301" s="28">
        <f t="shared" si="25"/>
        <v>3396196.633444075</v>
      </c>
      <c r="H301" s="28">
        <f t="shared" si="26"/>
        <v>3820721.2126245843</v>
      </c>
      <c r="I301" s="28">
        <f t="shared" si="27"/>
        <v>4245245.7918050941</v>
      </c>
      <c r="J301" s="28">
        <f t="shared" si="28"/>
        <v>4669770.370985603</v>
      </c>
      <c r="K301" s="28">
        <f t="shared" si="29"/>
        <v>5094294.9501661127</v>
      </c>
      <c r="L301" s="28">
        <f t="shared" si="30"/>
        <v>5518819.5293466216</v>
      </c>
      <c r="M301" s="28">
        <f t="shared" si="31"/>
        <v>5943344.1085271314</v>
      </c>
      <c r="N301" s="28">
        <f t="shared" si="32"/>
        <v>6367868.6877076402</v>
      </c>
      <c r="O301" s="28">
        <f t="shared" si="33"/>
        <v>6792393.26688815</v>
      </c>
      <c r="P301" s="28">
        <f t="shared" si="34"/>
        <v>7216917.8460686598</v>
      </c>
      <c r="Q301" s="28">
        <f t="shared" si="35"/>
        <v>7641442.4252491686</v>
      </c>
      <c r="R301" s="28">
        <f t="shared" si="36"/>
        <v>8065967.0044296784</v>
      </c>
      <c r="S301" s="28">
        <f t="shared" si="37"/>
        <v>8490491.5836101882</v>
      </c>
      <c r="T301" s="28">
        <f t="shared" si="38"/>
        <v>8915016.1627906971</v>
      </c>
      <c r="U301" s="28">
        <f t="shared" si="39"/>
        <v>9339540.7419712059</v>
      </c>
      <c r="V301" s="28">
        <f t="shared" si="40"/>
        <v>9764065.3211517148</v>
      </c>
      <c r="W301" s="28">
        <f t="shared" si="41"/>
        <v>10188589.900332225</v>
      </c>
    </row>
    <row r="302" spans="1:23" x14ac:dyDescent="0.2">
      <c r="A302" s="28">
        <v>301</v>
      </c>
      <c r="B302" s="28">
        <v>172022.35320088302</v>
      </c>
      <c r="C302" s="28">
        <f t="shared" si="21"/>
        <v>1720223.5320088302</v>
      </c>
      <c r="D302" s="28">
        <f t="shared" si="22"/>
        <v>2150279.4150110376</v>
      </c>
      <c r="E302" s="28">
        <f t="shared" si="23"/>
        <v>2580335.2980132452</v>
      </c>
      <c r="F302" s="28">
        <f t="shared" si="24"/>
        <v>3010391.1810154528</v>
      </c>
      <c r="G302" s="28">
        <f t="shared" si="25"/>
        <v>3440447.0640176605</v>
      </c>
      <c r="H302" s="28">
        <f t="shared" si="26"/>
        <v>3870502.9470198681</v>
      </c>
      <c r="I302" s="28">
        <f t="shared" si="27"/>
        <v>4300558.8300220752</v>
      </c>
      <c r="J302" s="28">
        <f t="shared" si="28"/>
        <v>4730614.7130242828</v>
      </c>
      <c r="K302" s="28">
        <f t="shared" si="29"/>
        <v>5160670.5960264904</v>
      </c>
      <c r="L302" s="28">
        <f t="shared" si="30"/>
        <v>5590726.4790286981</v>
      </c>
      <c r="M302" s="28">
        <f t="shared" si="31"/>
        <v>6020782.3620309057</v>
      </c>
      <c r="N302" s="28">
        <f t="shared" si="32"/>
        <v>6450838.2450331133</v>
      </c>
      <c r="O302" s="28">
        <f t="shared" si="33"/>
        <v>6880894.1280353209</v>
      </c>
      <c r="P302" s="28">
        <f t="shared" si="34"/>
        <v>7310950.0110375285</v>
      </c>
      <c r="Q302" s="28">
        <f t="shared" si="35"/>
        <v>7741005.8940397361</v>
      </c>
      <c r="R302" s="28">
        <f t="shared" si="36"/>
        <v>8171061.7770419437</v>
      </c>
      <c r="S302" s="28">
        <f t="shared" si="37"/>
        <v>8601117.6600441504</v>
      </c>
      <c r="T302" s="28">
        <f t="shared" si="38"/>
        <v>9031173.543046359</v>
      </c>
      <c r="U302" s="28">
        <f t="shared" si="39"/>
        <v>9461229.4260485657</v>
      </c>
      <c r="V302" s="28">
        <f t="shared" si="40"/>
        <v>9891285.3090507742</v>
      </c>
      <c r="W302" s="28">
        <f t="shared" si="41"/>
        <v>10321341.192052981</v>
      </c>
    </row>
    <row r="303" spans="1:23" x14ac:dyDescent="0.2">
      <c r="A303" s="28">
        <v>302</v>
      </c>
      <c r="B303" s="28">
        <v>174287.49174917492</v>
      </c>
      <c r="C303" s="28">
        <f t="shared" si="21"/>
        <v>1742874.9174917492</v>
      </c>
      <c r="D303" s="28">
        <f t="shared" si="22"/>
        <v>2178593.6468646866</v>
      </c>
      <c r="E303" s="28">
        <f t="shared" si="23"/>
        <v>2614312.3762376239</v>
      </c>
      <c r="F303" s="28">
        <f t="shared" si="24"/>
        <v>3050031.1056105611</v>
      </c>
      <c r="G303" s="28">
        <f t="shared" si="25"/>
        <v>3485749.8349834983</v>
      </c>
      <c r="H303" s="28">
        <f t="shared" si="26"/>
        <v>3921468.5643564356</v>
      </c>
      <c r="I303" s="28">
        <f t="shared" si="27"/>
        <v>4357187.2937293733</v>
      </c>
      <c r="J303" s="28">
        <f t="shared" si="28"/>
        <v>4792906.0231023105</v>
      </c>
      <c r="K303" s="28">
        <f t="shared" si="29"/>
        <v>5228624.7524752477</v>
      </c>
      <c r="L303" s="28">
        <f t="shared" si="30"/>
        <v>5664343.481848185</v>
      </c>
      <c r="M303" s="28">
        <f t="shared" si="31"/>
        <v>6100062.2112211222</v>
      </c>
      <c r="N303" s="28">
        <f t="shared" si="32"/>
        <v>6535780.9405940594</v>
      </c>
      <c r="O303" s="28">
        <f t="shared" si="33"/>
        <v>6971499.6699669966</v>
      </c>
      <c r="P303" s="28">
        <f t="shared" si="34"/>
        <v>7407218.3993399339</v>
      </c>
      <c r="Q303" s="28">
        <f t="shared" si="35"/>
        <v>7842937.1287128711</v>
      </c>
      <c r="R303" s="28">
        <f t="shared" si="36"/>
        <v>8278655.8580858083</v>
      </c>
      <c r="S303" s="28">
        <f t="shared" si="37"/>
        <v>8714374.5874587465</v>
      </c>
      <c r="T303" s="28">
        <f t="shared" si="38"/>
        <v>9150093.3168316837</v>
      </c>
      <c r="U303" s="28">
        <f t="shared" si="39"/>
        <v>9585812.046204621</v>
      </c>
      <c r="V303" s="28">
        <f t="shared" si="40"/>
        <v>10021530.775577558</v>
      </c>
      <c r="W303" s="28">
        <f t="shared" si="41"/>
        <v>10457249.504950495</v>
      </c>
    </row>
    <row r="304" spans="1:23" x14ac:dyDescent="0.2">
      <c r="A304" s="28">
        <v>303</v>
      </c>
      <c r="B304" s="28">
        <v>176551.22149122809</v>
      </c>
      <c r="C304" s="28">
        <f t="shared" si="21"/>
        <v>1765512.2149122809</v>
      </c>
      <c r="D304" s="28">
        <f t="shared" si="22"/>
        <v>2206890.268640351</v>
      </c>
      <c r="E304" s="28">
        <f t="shared" si="23"/>
        <v>2648268.3223684216</v>
      </c>
      <c r="F304" s="28">
        <f t="shared" si="24"/>
        <v>3089646.3760964917</v>
      </c>
      <c r="G304" s="28">
        <f t="shared" si="25"/>
        <v>3531024.4298245618</v>
      </c>
      <c r="H304" s="28">
        <f t="shared" si="26"/>
        <v>3972402.4835526319</v>
      </c>
      <c r="I304" s="28">
        <f t="shared" si="27"/>
        <v>4413780.537280702</v>
      </c>
      <c r="J304" s="28">
        <f t="shared" si="28"/>
        <v>4855158.5910087721</v>
      </c>
      <c r="K304" s="28">
        <f t="shared" si="29"/>
        <v>5296536.6447368432</v>
      </c>
      <c r="L304" s="28">
        <f t="shared" si="30"/>
        <v>5737914.6984649133</v>
      </c>
      <c r="M304" s="28">
        <f t="shared" si="31"/>
        <v>6179292.7521929834</v>
      </c>
      <c r="N304" s="28">
        <f t="shared" si="32"/>
        <v>6620670.8059210535</v>
      </c>
      <c r="O304" s="28">
        <f t="shared" si="33"/>
        <v>7062048.8596491236</v>
      </c>
      <c r="P304" s="28">
        <f t="shared" si="34"/>
        <v>7503426.9133771937</v>
      </c>
      <c r="Q304" s="28">
        <f t="shared" si="35"/>
        <v>7944804.9671052638</v>
      </c>
      <c r="R304" s="28">
        <f t="shared" si="36"/>
        <v>8386183.020833334</v>
      </c>
      <c r="S304" s="28">
        <f t="shared" si="37"/>
        <v>8827561.0745614041</v>
      </c>
      <c r="T304" s="28">
        <f t="shared" si="38"/>
        <v>9268939.1282894742</v>
      </c>
      <c r="U304" s="28">
        <f t="shared" si="39"/>
        <v>9710317.1820175443</v>
      </c>
      <c r="V304" s="28">
        <f t="shared" si="40"/>
        <v>10151695.235745614</v>
      </c>
      <c r="W304" s="28">
        <f t="shared" si="41"/>
        <v>10593073.289473686</v>
      </c>
    </row>
    <row r="305" spans="1:23" x14ac:dyDescent="0.2">
      <c r="A305" s="28">
        <v>304</v>
      </c>
      <c r="B305" s="28">
        <v>178869.57595628413</v>
      </c>
      <c r="C305" s="28">
        <f t="shared" si="21"/>
        <v>1788695.7595628412</v>
      </c>
      <c r="D305" s="28">
        <f t="shared" si="22"/>
        <v>2235869.6994535513</v>
      </c>
      <c r="E305" s="28">
        <f t="shared" si="23"/>
        <v>2683043.639344262</v>
      </c>
      <c r="F305" s="28">
        <f t="shared" si="24"/>
        <v>3130217.5792349721</v>
      </c>
      <c r="G305" s="28">
        <f t="shared" si="25"/>
        <v>3577391.5191256823</v>
      </c>
      <c r="H305" s="28">
        <f t="shared" si="26"/>
        <v>4024565.4590163925</v>
      </c>
      <c r="I305" s="28">
        <f t="shared" si="27"/>
        <v>4471739.3989071026</v>
      </c>
      <c r="J305" s="28">
        <f t="shared" si="28"/>
        <v>4918913.3387978133</v>
      </c>
      <c r="K305" s="28">
        <f t="shared" si="29"/>
        <v>5366087.2786885239</v>
      </c>
      <c r="L305" s="28">
        <f t="shared" si="30"/>
        <v>5813261.2185792336</v>
      </c>
      <c r="M305" s="28">
        <f t="shared" si="31"/>
        <v>6260435.1584699443</v>
      </c>
      <c r="N305" s="28">
        <f t="shared" si="32"/>
        <v>6707609.098360654</v>
      </c>
      <c r="O305" s="28">
        <f t="shared" si="33"/>
        <v>7154783.0382513646</v>
      </c>
      <c r="P305" s="28">
        <f t="shared" si="34"/>
        <v>7601956.9781420752</v>
      </c>
      <c r="Q305" s="28">
        <f t="shared" si="35"/>
        <v>8049130.9180327849</v>
      </c>
      <c r="R305" s="28">
        <f t="shared" si="36"/>
        <v>8496304.8579234947</v>
      </c>
      <c r="S305" s="28">
        <f t="shared" si="37"/>
        <v>8943478.7978142053</v>
      </c>
      <c r="T305" s="28">
        <f t="shared" si="38"/>
        <v>9390652.7377049159</v>
      </c>
      <c r="U305" s="28">
        <f t="shared" si="39"/>
        <v>9837826.6775956266</v>
      </c>
      <c r="V305" s="28">
        <f t="shared" si="40"/>
        <v>10285000.617486337</v>
      </c>
      <c r="W305" s="28">
        <f t="shared" si="41"/>
        <v>10732174.557377048</v>
      </c>
    </row>
    <row r="306" spans="1:23" x14ac:dyDescent="0.2">
      <c r="A306" s="28">
        <v>305</v>
      </c>
      <c r="B306" s="28">
        <v>181172.77777777778</v>
      </c>
      <c r="C306" s="28">
        <f t="shared" si="21"/>
        <v>1811727.7777777778</v>
      </c>
      <c r="D306" s="28">
        <f t="shared" si="22"/>
        <v>2264659.722222222</v>
      </c>
      <c r="E306" s="28">
        <f t="shared" si="23"/>
        <v>2717591.6666666665</v>
      </c>
      <c r="F306" s="28">
        <f t="shared" si="24"/>
        <v>3170523.611111111</v>
      </c>
      <c r="G306" s="28">
        <f t="shared" si="25"/>
        <v>3623455.5555555555</v>
      </c>
      <c r="H306" s="28">
        <f t="shared" si="26"/>
        <v>4076387.5</v>
      </c>
      <c r="I306" s="28">
        <f t="shared" si="27"/>
        <v>4529319.444444444</v>
      </c>
      <c r="J306" s="28">
        <f t="shared" si="28"/>
        <v>4982251.388888889</v>
      </c>
      <c r="K306" s="28">
        <f t="shared" si="29"/>
        <v>5435183.333333333</v>
      </c>
      <c r="L306" s="28">
        <f t="shared" si="30"/>
        <v>5888115.277777778</v>
      </c>
      <c r="M306" s="28">
        <f t="shared" si="31"/>
        <v>6341047.222222222</v>
      </c>
      <c r="N306" s="28">
        <f t="shared" si="32"/>
        <v>6793979.166666667</v>
      </c>
      <c r="O306" s="28">
        <f t="shared" si="33"/>
        <v>7246911.111111111</v>
      </c>
      <c r="P306" s="28">
        <f t="shared" si="34"/>
        <v>7699843.055555555</v>
      </c>
      <c r="Q306" s="28">
        <f t="shared" si="35"/>
        <v>8152775</v>
      </c>
      <c r="R306" s="28">
        <f t="shared" si="36"/>
        <v>8605706.944444444</v>
      </c>
      <c r="S306" s="28">
        <f t="shared" si="37"/>
        <v>9058638.8888888881</v>
      </c>
      <c r="T306" s="28">
        <f t="shared" si="38"/>
        <v>9511570.833333334</v>
      </c>
      <c r="U306" s="28">
        <f t="shared" si="39"/>
        <v>9964502.777777778</v>
      </c>
      <c r="V306" s="28">
        <f t="shared" si="40"/>
        <v>10417434.722222222</v>
      </c>
      <c r="W306" s="28">
        <f t="shared" si="41"/>
        <v>10870366.666666666</v>
      </c>
    </row>
    <row r="307" spans="1:23" x14ac:dyDescent="0.2">
      <c r="A307" s="28">
        <v>306</v>
      </c>
      <c r="B307" s="28">
        <v>183544.93593919653</v>
      </c>
      <c r="C307" s="28">
        <f t="shared" si="21"/>
        <v>1835449.3593919652</v>
      </c>
      <c r="D307" s="28">
        <f t="shared" si="22"/>
        <v>2294311.6992399567</v>
      </c>
      <c r="E307" s="28">
        <f t="shared" si="23"/>
        <v>2753174.0390879479</v>
      </c>
      <c r="F307" s="28">
        <f t="shared" si="24"/>
        <v>3212036.3789359392</v>
      </c>
      <c r="G307" s="28">
        <f t="shared" si="25"/>
        <v>3670898.7187839304</v>
      </c>
      <c r="H307" s="28">
        <f t="shared" si="26"/>
        <v>4129761.0586319217</v>
      </c>
      <c r="I307" s="28">
        <f t="shared" si="27"/>
        <v>4588623.3984799134</v>
      </c>
      <c r="J307" s="28">
        <f t="shared" si="28"/>
        <v>5047485.7383279046</v>
      </c>
      <c r="K307" s="28">
        <f t="shared" si="29"/>
        <v>5506348.0781758958</v>
      </c>
      <c r="L307" s="28">
        <f t="shared" si="30"/>
        <v>5965210.4180238871</v>
      </c>
      <c r="M307" s="28">
        <f t="shared" si="31"/>
        <v>6424072.7578718783</v>
      </c>
      <c r="N307" s="28">
        <f t="shared" si="32"/>
        <v>6882935.0977198696</v>
      </c>
      <c r="O307" s="28">
        <f t="shared" si="33"/>
        <v>7341797.4375678608</v>
      </c>
      <c r="P307" s="28">
        <f t="shared" si="34"/>
        <v>7800659.7774158521</v>
      </c>
      <c r="Q307" s="28">
        <f t="shared" si="35"/>
        <v>8259522.1172638433</v>
      </c>
      <c r="R307" s="28">
        <f t="shared" si="36"/>
        <v>8718384.4571118355</v>
      </c>
      <c r="S307" s="28">
        <f t="shared" si="37"/>
        <v>9177246.7969598267</v>
      </c>
      <c r="T307" s="28">
        <f t="shared" si="38"/>
        <v>9636109.136807818</v>
      </c>
      <c r="U307" s="28">
        <f t="shared" si="39"/>
        <v>10094971.476655809</v>
      </c>
      <c r="V307" s="28">
        <f t="shared" si="40"/>
        <v>10553833.8165038</v>
      </c>
      <c r="W307" s="28">
        <f t="shared" si="41"/>
        <v>11012696.156351792</v>
      </c>
    </row>
    <row r="308" spans="1:23" x14ac:dyDescent="0.2">
      <c r="A308" s="28">
        <v>307</v>
      </c>
      <c r="B308" s="28">
        <v>185901.69047619047</v>
      </c>
      <c r="C308" s="28">
        <f t="shared" si="21"/>
        <v>1859016.9047619049</v>
      </c>
      <c r="D308" s="28">
        <f t="shared" si="22"/>
        <v>2323771.1309523811</v>
      </c>
      <c r="E308" s="28">
        <f t="shared" si="23"/>
        <v>2788525.3571428573</v>
      </c>
      <c r="F308" s="28">
        <f t="shared" si="24"/>
        <v>3253279.5833333335</v>
      </c>
      <c r="G308" s="28">
        <f t="shared" si="25"/>
        <v>3718033.8095238097</v>
      </c>
      <c r="H308" s="28">
        <f t="shared" si="26"/>
        <v>4182788.0357142859</v>
      </c>
      <c r="I308" s="28">
        <f t="shared" si="27"/>
        <v>4647542.2619047621</v>
      </c>
      <c r="J308" s="28">
        <f t="shared" si="28"/>
        <v>5112296.4880952388</v>
      </c>
      <c r="K308" s="28">
        <f t="shared" si="29"/>
        <v>5577050.7142857146</v>
      </c>
      <c r="L308" s="28">
        <f t="shared" si="30"/>
        <v>6041804.9404761903</v>
      </c>
      <c r="M308" s="28">
        <f t="shared" si="31"/>
        <v>6506559.166666667</v>
      </c>
      <c r="N308" s="28">
        <f t="shared" si="32"/>
        <v>6971313.3928571437</v>
      </c>
      <c r="O308" s="28">
        <f t="shared" si="33"/>
        <v>7436067.6190476194</v>
      </c>
      <c r="P308" s="28">
        <f t="shared" si="34"/>
        <v>7900821.8452380951</v>
      </c>
      <c r="Q308" s="28">
        <f t="shared" si="35"/>
        <v>8365576.0714285718</v>
      </c>
      <c r="R308" s="28">
        <f t="shared" si="36"/>
        <v>8830330.2976190485</v>
      </c>
      <c r="S308" s="28">
        <f t="shared" si="37"/>
        <v>9295084.5238095243</v>
      </c>
      <c r="T308" s="28">
        <f t="shared" si="38"/>
        <v>9759838.75</v>
      </c>
      <c r="U308" s="28">
        <f t="shared" si="39"/>
        <v>10224592.976190478</v>
      </c>
      <c r="V308" s="28">
        <f t="shared" si="40"/>
        <v>10689347.202380953</v>
      </c>
      <c r="W308" s="28">
        <f t="shared" si="41"/>
        <v>11154101.428571429</v>
      </c>
    </row>
    <row r="309" spans="1:23" x14ac:dyDescent="0.2">
      <c r="A309" s="28">
        <v>308</v>
      </c>
      <c r="B309" s="28">
        <v>188315.09385113267</v>
      </c>
      <c r="C309" s="28">
        <f t="shared" si="21"/>
        <v>1883150.9385113267</v>
      </c>
      <c r="D309" s="28">
        <f t="shared" si="22"/>
        <v>2353938.6731391582</v>
      </c>
      <c r="E309" s="28">
        <f t="shared" si="23"/>
        <v>2824726.4077669899</v>
      </c>
      <c r="F309" s="28">
        <f t="shared" si="24"/>
        <v>3295514.1423948216</v>
      </c>
      <c r="G309" s="28">
        <f t="shared" si="25"/>
        <v>3766301.8770226534</v>
      </c>
      <c r="H309" s="28">
        <f t="shared" si="26"/>
        <v>4237089.6116504846</v>
      </c>
      <c r="I309" s="28">
        <f t="shared" si="27"/>
        <v>4707877.3462783163</v>
      </c>
      <c r="J309" s="28">
        <f t="shared" si="28"/>
        <v>5178665.0809061481</v>
      </c>
      <c r="K309" s="28">
        <f t="shared" si="29"/>
        <v>5649452.8155339798</v>
      </c>
      <c r="L309" s="28">
        <f t="shared" si="30"/>
        <v>6120240.5501618115</v>
      </c>
      <c r="M309" s="28">
        <f t="shared" si="31"/>
        <v>6591028.2847896433</v>
      </c>
      <c r="N309" s="28">
        <f t="shared" si="32"/>
        <v>7061816.019417475</v>
      </c>
      <c r="O309" s="28">
        <f t="shared" si="33"/>
        <v>7532603.7540453067</v>
      </c>
      <c r="P309" s="28">
        <f t="shared" si="34"/>
        <v>8003391.4886731384</v>
      </c>
      <c r="Q309" s="28">
        <f t="shared" si="35"/>
        <v>8474179.2233009692</v>
      </c>
      <c r="R309" s="28">
        <f t="shared" si="36"/>
        <v>8944966.957928801</v>
      </c>
      <c r="S309" s="28">
        <f t="shared" si="37"/>
        <v>9415754.6925566327</v>
      </c>
      <c r="T309" s="28">
        <f t="shared" si="38"/>
        <v>9886542.4271844644</v>
      </c>
      <c r="U309" s="28">
        <f t="shared" si="39"/>
        <v>10357330.161812296</v>
      </c>
      <c r="V309" s="28">
        <f t="shared" si="40"/>
        <v>10828117.896440128</v>
      </c>
      <c r="W309" s="28">
        <f t="shared" si="41"/>
        <v>11298905.63106796</v>
      </c>
    </row>
    <row r="310" spans="1:23" x14ac:dyDescent="0.2">
      <c r="A310" s="28">
        <v>309</v>
      </c>
      <c r="B310" s="28">
        <v>190727.04731182798</v>
      </c>
      <c r="C310" s="28">
        <f t="shared" si="21"/>
        <v>1907270.4731182798</v>
      </c>
      <c r="D310" s="28">
        <f t="shared" si="22"/>
        <v>2384088.0913978498</v>
      </c>
      <c r="E310" s="28">
        <f t="shared" si="23"/>
        <v>2860905.7096774196</v>
      </c>
      <c r="F310" s="28">
        <f t="shared" si="24"/>
        <v>3337723.3279569899</v>
      </c>
      <c r="G310" s="28">
        <f t="shared" si="25"/>
        <v>3814540.9462365597</v>
      </c>
      <c r="H310" s="28">
        <f t="shared" si="26"/>
        <v>4291358.5645161299</v>
      </c>
      <c r="I310" s="28">
        <f t="shared" si="27"/>
        <v>4768176.1827956997</v>
      </c>
      <c r="J310" s="28">
        <f t="shared" si="28"/>
        <v>5244993.8010752695</v>
      </c>
      <c r="K310" s="28">
        <f t="shared" si="29"/>
        <v>5721811.4193548393</v>
      </c>
      <c r="L310" s="28">
        <f t="shared" si="30"/>
        <v>6198629.037634409</v>
      </c>
      <c r="M310" s="28">
        <f t="shared" si="31"/>
        <v>6675446.6559139797</v>
      </c>
      <c r="N310" s="28">
        <f t="shared" si="32"/>
        <v>7152264.2741935495</v>
      </c>
      <c r="O310" s="28">
        <f t="shared" si="33"/>
        <v>7629081.8924731193</v>
      </c>
      <c r="P310" s="28">
        <f t="shared" si="34"/>
        <v>8105899.5107526891</v>
      </c>
      <c r="Q310" s="28">
        <f t="shared" si="35"/>
        <v>8582717.1290322598</v>
      </c>
      <c r="R310" s="28">
        <f t="shared" si="36"/>
        <v>9059534.7473118287</v>
      </c>
      <c r="S310" s="28">
        <f t="shared" si="37"/>
        <v>9536352.3655913994</v>
      </c>
      <c r="T310" s="28">
        <f t="shared" si="38"/>
        <v>10013169.983870968</v>
      </c>
      <c r="U310" s="28">
        <f t="shared" si="39"/>
        <v>10489987.602150539</v>
      </c>
      <c r="V310" s="28">
        <f t="shared" si="40"/>
        <v>10966805.22043011</v>
      </c>
      <c r="W310" s="28">
        <f t="shared" si="41"/>
        <v>11443622.838709679</v>
      </c>
    </row>
    <row r="311" spans="1:23" x14ac:dyDescent="0.2">
      <c r="A311" s="28">
        <v>310</v>
      </c>
      <c r="B311" s="28">
        <v>193194.93247588424</v>
      </c>
      <c r="C311" s="28">
        <f t="shared" si="21"/>
        <v>1931949.3247588424</v>
      </c>
      <c r="D311" s="28">
        <f t="shared" si="22"/>
        <v>2414936.6559485528</v>
      </c>
      <c r="E311" s="28">
        <f t="shared" si="23"/>
        <v>2897923.9871382634</v>
      </c>
      <c r="F311" s="28">
        <f t="shared" si="24"/>
        <v>3380911.3183279741</v>
      </c>
      <c r="G311" s="28">
        <f t="shared" si="25"/>
        <v>3863898.6495176847</v>
      </c>
      <c r="H311" s="28">
        <f t="shared" si="26"/>
        <v>4346885.9807073949</v>
      </c>
      <c r="I311" s="28">
        <f t="shared" si="27"/>
        <v>4829873.3118971055</v>
      </c>
      <c r="J311" s="28">
        <f t="shared" si="28"/>
        <v>5312860.6430868162</v>
      </c>
      <c r="K311" s="28">
        <f t="shared" si="29"/>
        <v>5795847.9742765268</v>
      </c>
      <c r="L311" s="28">
        <f t="shared" si="30"/>
        <v>6278835.3054662375</v>
      </c>
      <c r="M311" s="28">
        <f t="shared" si="31"/>
        <v>6761822.6366559481</v>
      </c>
      <c r="N311" s="28">
        <f t="shared" si="32"/>
        <v>7244809.9678456588</v>
      </c>
      <c r="O311" s="28">
        <f t="shared" si="33"/>
        <v>7727797.2990353694</v>
      </c>
      <c r="P311" s="28">
        <f t="shared" si="34"/>
        <v>8210784.6302250801</v>
      </c>
      <c r="Q311" s="28">
        <f t="shared" si="35"/>
        <v>8693771.9614147898</v>
      </c>
      <c r="R311" s="28">
        <f t="shared" si="36"/>
        <v>9176759.2926045004</v>
      </c>
      <c r="S311" s="28">
        <f t="shared" si="37"/>
        <v>9659746.6237942111</v>
      </c>
      <c r="T311" s="28">
        <f t="shared" si="38"/>
        <v>10142733.954983922</v>
      </c>
      <c r="U311" s="28">
        <f t="shared" si="39"/>
        <v>10625721.286173632</v>
      </c>
      <c r="V311" s="28">
        <f t="shared" si="40"/>
        <v>11108708.617363343</v>
      </c>
      <c r="W311" s="28">
        <f t="shared" si="41"/>
        <v>11591695.948553054</v>
      </c>
    </row>
    <row r="312" spans="1:23" x14ac:dyDescent="0.2">
      <c r="A312" s="28">
        <v>311</v>
      </c>
      <c r="B312" s="28">
        <v>195646.99786324785</v>
      </c>
      <c r="C312" s="28">
        <f t="shared" si="21"/>
        <v>1956469.9786324785</v>
      </c>
      <c r="D312" s="28">
        <f t="shared" si="22"/>
        <v>2445587.473290598</v>
      </c>
      <c r="E312" s="28">
        <f t="shared" si="23"/>
        <v>2934704.967948718</v>
      </c>
      <c r="F312" s="28">
        <f t="shared" si="24"/>
        <v>3423822.4626068375</v>
      </c>
      <c r="G312" s="28">
        <f t="shared" si="25"/>
        <v>3912939.957264957</v>
      </c>
      <c r="H312" s="28">
        <f t="shared" si="26"/>
        <v>4402057.451923077</v>
      </c>
      <c r="I312" s="28">
        <f t="shared" si="27"/>
        <v>4891174.946581196</v>
      </c>
      <c r="J312" s="28">
        <f t="shared" si="28"/>
        <v>5380292.441239316</v>
      </c>
      <c r="K312" s="28">
        <f t="shared" si="29"/>
        <v>5869409.935897436</v>
      </c>
      <c r="L312" s="28">
        <f t="shared" si="30"/>
        <v>6358527.430555555</v>
      </c>
      <c r="M312" s="28">
        <f t="shared" si="31"/>
        <v>6847644.925213675</v>
      </c>
      <c r="N312" s="28">
        <f t="shared" si="32"/>
        <v>7336762.4198717941</v>
      </c>
      <c r="O312" s="28">
        <f t="shared" si="33"/>
        <v>7825879.914529914</v>
      </c>
      <c r="P312" s="28">
        <f t="shared" si="34"/>
        <v>8314997.409188034</v>
      </c>
      <c r="Q312" s="28">
        <f t="shared" si="35"/>
        <v>8804114.903846154</v>
      </c>
      <c r="R312" s="28">
        <f t="shared" si="36"/>
        <v>9293232.3985042721</v>
      </c>
      <c r="S312" s="28">
        <f t="shared" si="37"/>
        <v>9782349.8931623921</v>
      </c>
      <c r="T312" s="28">
        <f t="shared" si="38"/>
        <v>10271467.387820512</v>
      </c>
      <c r="U312" s="28">
        <f t="shared" si="39"/>
        <v>10760584.882478632</v>
      </c>
      <c r="V312" s="28">
        <f t="shared" si="40"/>
        <v>11249702.377136752</v>
      </c>
      <c r="W312" s="28">
        <f t="shared" si="41"/>
        <v>11738819.871794872</v>
      </c>
    </row>
    <row r="313" spans="1:23" x14ac:dyDescent="0.2">
      <c r="A313" s="28">
        <v>312</v>
      </c>
      <c r="B313" s="28">
        <v>198172.65175718849</v>
      </c>
      <c r="C313" s="28">
        <f t="shared" si="21"/>
        <v>1981726.5175718849</v>
      </c>
      <c r="D313" s="28">
        <f t="shared" si="22"/>
        <v>2477158.146964856</v>
      </c>
      <c r="E313" s="28">
        <f t="shared" si="23"/>
        <v>2972589.7763578272</v>
      </c>
      <c r="F313" s="28">
        <f t="shared" si="24"/>
        <v>3468021.4057507985</v>
      </c>
      <c r="G313" s="28">
        <f t="shared" si="25"/>
        <v>3963453.0351437698</v>
      </c>
      <c r="H313" s="28">
        <f t="shared" si="26"/>
        <v>4458884.6645367406</v>
      </c>
      <c r="I313" s="28">
        <f t="shared" si="27"/>
        <v>4954316.2939297119</v>
      </c>
      <c r="J313" s="28">
        <f t="shared" si="28"/>
        <v>5449747.9233226832</v>
      </c>
      <c r="K313" s="28">
        <f t="shared" si="29"/>
        <v>5945179.5527156545</v>
      </c>
      <c r="L313" s="28">
        <f t="shared" si="30"/>
        <v>6440611.1821086258</v>
      </c>
      <c r="M313" s="28">
        <f t="shared" si="31"/>
        <v>6936042.8115015971</v>
      </c>
      <c r="N313" s="28">
        <f t="shared" si="32"/>
        <v>7431474.4408945683</v>
      </c>
      <c r="O313" s="28">
        <f t="shared" si="33"/>
        <v>7926906.0702875396</v>
      </c>
      <c r="P313" s="28">
        <f t="shared" si="34"/>
        <v>8422337.6996805109</v>
      </c>
      <c r="Q313" s="28">
        <f t="shared" si="35"/>
        <v>8917769.3290734813</v>
      </c>
      <c r="R313" s="28">
        <f t="shared" si="36"/>
        <v>9413200.9584664535</v>
      </c>
      <c r="S313" s="28">
        <f t="shared" si="37"/>
        <v>9908632.5878594238</v>
      </c>
      <c r="T313" s="28">
        <f t="shared" si="38"/>
        <v>10404064.217252396</v>
      </c>
      <c r="U313" s="28">
        <f t="shared" si="39"/>
        <v>10899495.846645366</v>
      </c>
      <c r="V313" s="28">
        <f t="shared" si="40"/>
        <v>11394927.476038339</v>
      </c>
      <c r="W313" s="28">
        <f t="shared" si="41"/>
        <v>11890359.105431309</v>
      </c>
    </row>
    <row r="314" spans="1:23" x14ac:dyDescent="0.2">
      <c r="A314" s="28">
        <v>313</v>
      </c>
      <c r="B314" s="28">
        <v>200682.21868365179</v>
      </c>
      <c r="C314" s="28">
        <f t="shared" si="21"/>
        <v>2006822.1868365179</v>
      </c>
      <c r="D314" s="28">
        <f t="shared" si="22"/>
        <v>2508527.7335456475</v>
      </c>
      <c r="E314" s="28">
        <f t="shared" si="23"/>
        <v>3010233.2802547766</v>
      </c>
      <c r="F314" s="28">
        <f t="shared" si="24"/>
        <v>3511938.8269639062</v>
      </c>
      <c r="G314" s="28">
        <f t="shared" si="25"/>
        <v>4013644.3736730358</v>
      </c>
      <c r="H314" s="28">
        <f t="shared" si="26"/>
        <v>4515349.9203821654</v>
      </c>
      <c r="I314" s="28">
        <f t="shared" si="27"/>
        <v>5017055.4670912949</v>
      </c>
      <c r="J314" s="28">
        <f t="shared" si="28"/>
        <v>5518761.0138004245</v>
      </c>
      <c r="K314" s="28">
        <f t="shared" si="29"/>
        <v>6020466.5605095532</v>
      </c>
      <c r="L314" s="28">
        <f t="shared" si="30"/>
        <v>6522172.1072186828</v>
      </c>
      <c r="M314" s="28">
        <f t="shared" si="31"/>
        <v>7023877.6539278124</v>
      </c>
      <c r="N314" s="28">
        <f t="shared" si="32"/>
        <v>7525583.2006369419</v>
      </c>
      <c r="O314" s="28">
        <f t="shared" si="33"/>
        <v>8027288.7473460715</v>
      </c>
      <c r="P314" s="28">
        <f t="shared" si="34"/>
        <v>8528994.2940552011</v>
      </c>
      <c r="Q314" s="28">
        <f t="shared" si="35"/>
        <v>9030699.8407643307</v>
      </c>
      <c r="R314" s="28">
        <f t="shared" si="36"/>
        <v>9532405.3874734603</v>
      </c>
      <c r="S314" s="28">
        <f t="shared" si="37"/>
        <v>10034110.93418259</v>
      </c>
      <c r="T314" s="28">
        <f t="shared" si="38"/>
        <v>10535816.480891719</v>
      </c>
      <c r="U314" s="28">
        <f t="shared" si="39"/>
        <v>11037522.027600849</v>
      </c>
      <c r="V314" s="28">
        <f t="shared" si="40"/>
        <v>11539227.574309979</v>
      </c>
      <c r="W314" s="28">
        <f t="shared" si="41"/>
        <v>12040933.121019106</v>
      </c>
    </row>
    <row r="315" spans="1:23" x14ac:dyDescent="0.2">
      <c r="A315" s="28">
        <v>314</v>
      </c>
      <c r="B315" s="28">
        <v>203249.92380952378</v>
      </c>
      <c r="C315" s="28">
        <f t="shared" si="21"/>
        <v>2032499.2380952379</v>
      </c>
      <c r="D315" s="28">
        <f t="shared" si="22"/>
        <v>2540624.0476190476</v>
      </c>
      <c r="E315" s="28">
        <f t="shared" si="23"/>
        <v>3048748.8571428568</v>
      </c>
      <c r="F315" s="28">
        <f t="shared" si="24"/>
        <v>3556873.666666666</v>
      </c>
      <c r="G315" s="28">
        <f t="shared" si="25"/>
        <v>4064998.4761904757</v>
      </c>
      <c r="H315" s="28">
        <f t="shared" si="26"/>
        <v>4573123.2857142854</v>
      </c>
      <c r="I315" s="28">
        <f t="shared" si="27"/>
        <v>5081248.0952380951</v>
      </c>
      <c r="J315" s="28">
        <f t="shared" si="28"/>
        <v>5589372.9047619039</v>
      </c>
      <c r="K315" s="28">
        <f t="shared" si="29"/>
        <v>6097497.7142857136</v>
      </c>
      <c r="L315" s="28">
        <f t="shared" si="30"/>
        <v>6605622.5238095233</v>
      </c>
      <c r="M315" s="28">
        <f t="shared" si="31"/>
        <v>7113747.3333333321</v>
      </c>
      <c r="N315" s="28">
        <f t="shared" si="32"/>
        <v>7621872.1428571418</v>
      </c>
      <c r="O315" s="28">
        <f t="shared" si="33"/>
        <v>8129996.9523809515</v>
      </c>
      <c r="P315" s="28">
        <f t="shared" si="34"/>
        <v>8638121.7619047612</v>
      </c>
      <c r="Q315" s="28">
        <f t="shared" si="35"/>
        <v>9146246.5714285709</v>
      </c>
      <c r="R315" s="28">
        <f t="shared" si="36"/>
        <v>9654371.3809523806</v>
      </c>
      <c r="S315" s="28">
        <f t="shared" si="37"/>
        <v>10162496.19047619</v>
      </c>
      <c r="T315" s="28">
        <f t="shared" si="38"/>
        <v>10670620.999999998</v>
      </c>
      <c r="U315" s="28">
        <f t="shared" si="39"/>
        <v>11178745.809523808</v>
      </c>
      <c r="V315" s="28">
        <f t="shared" si="40"/>
        <v>11686870.619047618</v>
      </c>
      <c r="W315" s="28">
        <f t="shared" si="41"/>
        <v>12194995.428571427</v>
      </c>
    </row>
    <row r="316" spans="1:23" x14ac:dyDescent="0.2">
      <c r="A316" s="28">
        <v>315</v>
      </c>
      <c r="B316" s="28">
        <v>205816.15611814347</v>
      </c>
      <c r="C316" s="28">
        <f t="shared" si="21"/>
        <v>2058161.5611814347</v>
      </c>
      <c r="D316" s="28">
        <f t="shared" si="22"/>
        <v>2572701.9514767933</v>
      </c>
      <c r="E316" s="28">
        <f t="shared" si="23"/>
        <v>3087242.3417721521</v>
      </c>
      <c r="F316" s="28">
        <f t="shared" si="24"/>
        <v>3601782.7320675105</v>
      </c>
      <c r="G316" s="28">
        <f t="shared" si="25"/>
        <v>4116323.1223628693</v>
      </c>
      <c r="H316" s="28">
        <f t="shared" si="26"/>
        <v>4630863.5126582282</v>
      </c>
      <c r="I316" s="28">
        <f t="shared" si="27"/>
        <v>5145403.9029535865</v>
      </c>
      <c r="J316" s="28">
        <f t="shared" si="28"/>
        <v>5659944.2932489449</v>
      </c>
      <c r="K316" s="28">
        <f t="shared" si="29"/>
        <v>6174484.6835443042</v>
      </c>
      <c r="L316" s="28">
        <f t="shared" si="30"/>
        <v>6689025.0738396626</v>
      </c>
      <c r="M316" s="28">
        <f t="shared" si="31"/>
        <v>7203565.464135021</v>
      </c>
      <c r="N316" s="28">
        <f t="shared" si="32"/>
        <v>7718105.8544303803</v>
      </c>
      <c r="O316" s="28">
        <f t="shared" si="33"/>
        <v>8232646.2447257387</v>
      </c>
      <c r="P316" s="28">
        <f t="shared" si="34"/>
        <v>8747186.635021098</v>
      </c>
      <c r="Q316" s="28">
        <f t="shared" si="35"/>
        <v>9261727.0253164563</v>
      </c>
      <c r="R316" s="28">
        <f t="shared" si="36"/>
        <v>9776267.4156118147</v>
      </c>
      <c r="S316" s="28">
        <f t="shared" si="37"/>
        <v>10290807.805907173</v>
      </c>
      <c r="T316" s="28">
        <f t="shared" si="38"/>
        <v>10805348.196202531</v>
      </c>
      <c r="U316" s="28">
        <f t="shared" si="39"/>
        <v>11319888.58649789</v>
      </c>
      <c r="V316" s="28">
        <f t="shared" si="40"/>
        <v>11834428.97679325</v>
      </c>
      <c r="W316" s="28">
        <f t="shared" si="41"/>
        <v>12348969.367088608</v>
      </c>
    </row>
    <row r="317" spans="1:23" x14ac:dyDescent="0.2">
      <c r="A317" s="28">
        <v>316</v>
      </c>
      <c r="B317" s="28">
        <v>208442.59936908516</v>
      </c>
      <c r="C317" s="28">
        <f t="shared" si="21"/>
        <v>2084425.9936908516</v>
      </c>
      <c r="D317" s="28">
        <f t="shared" si="22"/>
        <v>2605532.4921135646</v>
      </c>
      <c r="E317" s="28">
        <f t="shared" si="23"/>
        <v>3126638.9905362772</v>
      </c>
      <c r="F317" s="28">
        <f t="shared" si="24"/>
        <v>3647745.4889589902</v>
      </c>
      <c r="G317" s="28">
        <f t="shared" si="25"/>
        <v>4168851.9873817032</v>
      </c>
      <c r="H317" s="28">
        <f t="shared" si="26"/>
        <v>4689958.4858044162</v>
      </c>
      <c r="I317" s="28">
        <f t="shared" si="27"/>
        <v>5211064.9842271293</v>
      </c>
      <c r="J317" s="28">
        <f t="shared" si="28"/>
        <v>5732171.4826498423</v>
      </c>
      <c r="K317" s="28">
        <f t="shared" si="29"/>
        <v>6253277.9810725544</v>
      </c>
      <c r="L317" s="28">
        <f t="shared" si="30"/>
        <v>6774384.4794952674</v>
      </c>
      <c r="M317" s="28">
        <f t="shared" si="31"/>
        <v>7295490.9779179804</v>
      </c>
      <c r="N317" s="28">
        <f t="shared" si="32"/>
        <v>7816597.4763406934</v>
      </c>
      <c r="O317" s="28">
        <f t="shared" si="33"/>
        <v>8337703.9747634064</v>
      </c>
      <c r="P317" s="28">
        <f t="shared" si="34"/>
        <v>8858810.4731861185</v>
      </c>
      <c r="Q317" s="28">
        <f t="shared" si="35"/>
        <v>9379916.9716088325</v>
      </c>
      <c r="R317" s="28">
        <f t="shared" si="36"/>
        <v>9901023.4700315446</v>
      </c>
      <c r="S317" s="28">
        <f t="shared" si="37"/>
        <v>10422129.968454259</v>
      </c>
      <c r="T317" s="28">
        <f t="shared" si="38"/>
        <v>10943236.466876971</v>
      </c>
      <c r="U317" s="28">
        <f t="shared" si="39"/>
        <v>11464342.965299685</v>
      </c>
      <c r="V317" s="28">
        <f t="shared" si="40"/>
        <v>11985449.463722397</v>
      </c>
      <c r="W317" s="28">
        <f t="shared" si="41"/>
        <v>12506555.962145109</v>
      </c>
    </row>
    <row r="318" spans="1:23" x14ac:dyDescent="0.2">
      <c r="A318" s="28">
        <v>317</v>
      </c>
      <c r="B318" s="28">
        <v>211052.52410901469</v>
      </c>
      <c r="C318" s="28">
        <f t="shared" si="21"/>
        <v>2110525.2410901468</v>
      </c>
      <c r="D318" s="28">
        <f t="shared" si="22"/>
        <v>2638156.5513626835</v>
      </c>
      <c r="E318" s="28">
        <f t="shared" si="23"/>
        <v>3165787.8616352202</v>
      </c>
      <c r="F318" s="28">
        <f t="shared" si="24"/>
        <v>3693419.1719077569</v>
      </c>
      <c r="G318" s="28">
        <f t="shared" si="25"/>
        <v>4221050.4821802936</v>
      </c>
      <c r="H318" s="28">
        <f t="shared" si="26"/>
        <v>4748681.7924528308</v>
      </c>
      <c r="I318" s="28">
        <f t="shared" si="27"/>
        <v>5276313.1027253671</v>
      </c>
      <c r="J318" s="28">
        <f t="shared" si="28"/>
        <v>5803944.4129979033</v>
      </c>
      <c r="K318" s="28">
        <f t="shared" si="29"/>
        <v>6331575.7232704405</v>
      </c>
      <c r="L318" s="28">
        <f t="shared" si="30"/>
        <v>6859207.0335429776</v>
      </c>
      <c r="M318" s="28">
        <f t="shared" si="31"/>
        <v>7386838.3438155139</v>
      </c>
      <c r="N318" s="28">
        <f t="shared" si="32"/>
        <v>7914469.6540880501</v>
      </c>
      <c r="O318" s="28">
        <f t="shared" si="33"/>
        <v>8442100.9643605873</v>
      </c>
      <c r="P318" s="28">
        <f t="shared" si="34"/>
        <v>8969732.2746331245</v>
      </c>
      <c r="Q318" s="28">
        <f t="shared" si="35"/>
        <v>9497363.5849056616</v>
      </c>
      <c r="R318" s="28">
        <f t="shared" si="36"/>
        <v>10024994.895178197</v>
      </c>
      <c r="S318" s="28">
        <f t="shared" si="37"/>
        <v>10552626.205450734</v>
      </c>
      <c r="T318" s="28">
        <f t="shared" si="38"/>
        <v>11080257.515723271</v>
      </c>
      <c r="U318" s="28">
        <f t="shared" si="39"/>
        <v>11607888.825995807</v>
      </c>
      <c r="V318" s="28">
        <f t="shared" si="40"/>
        <v>12135520.136268344</v>
      </c>
      <c r="W318" s="28">
        <f t="shared" si="41"/>
        <v>12663151.446540881</v>
      </c>
    </row>
    <row r="319" spans="1:23" x14ac:dyDescent="0.2">
      <c r="A319" s="28">
        <v>318</v>
      </c>
      <c r="B319" s="28">
        <v>213738.07314524558</v>
      </c>
      <c r="C319" s="28">
        <f t="shared" si="21"/>
        <v>2137380.7314524557</v>
      </c>
      <c r="D319" s="28">
        <f t="shared" si="22"/>
        <v>2671725.9143155697</v>
      </c>
      <c r="E319" s="28">
        <f t="shared" si="23"/>
        <v>3206071.0971786836</v>
      </c>
      <c r="F319" s="28">
        <f t="shared" si="24"/>
        <v>3740416.2800417976</v>
      </c>
      <c r="G319" s="28">
        <f t="shared" si="25"/>
        <v>4274761.4629049115</v>
      </c>
      <c r="H319" s="28">
        <f t="shared" si="26"/>
        <v>4809106.6457680259</v>
      </c>
      <c r="I319" s="28">
        <f t="shared" si="27"/>
        <v>5343451.8286311394</v>
      </c>
      <c r="J319" s="28">
        <f t="shared" si="28"/>
        <v>5877797.0114942528</v>
      </c>
      <c r="K319" s="28">
        <f t="shared" si="29"/>
        <v>6412142.1943573672</v>
      </c>
      <c r="L319" s="28">
        <f t="shared" si="30"/>
        <v>6946487.3772204816</v>
      </c>
      <c r="M319" s="28">
        <f t="shared" si="31"/>
        <v>7480832.5600835951</v>
      </c>
      <c r="N319" s="28">
        <f t="shared" si="32"/>
        <v>8015177.7429467086</v>
      </c>
      <c r="O319" s="28">
        <f t="shared" si="33"/>
        <v>8549522.925809823</v>
      </c>
      <c r="P319" s="28">
        <f t="shared" si="34"/>
        <v>9083868.1086729374</v>
      </c>
      <c r="Q319" s="28">
        <f t="shared" si="35"/>
        <v>9618213.2915360518</v>
      </c>
      <c r="R319" s="28">
        <f t="shared" si="36"/>
        <v>10152558.474399164</v>
      </c>
      <c r="S319" s="28">
        <f t="shared" si="37"/>
        <v>10686903.657262279</v>
      </c>
      <c r="T319" s="28">
        <f t="shared" si="38"/>
        <v>11221248.840125393</v>
      </c>
      <c r="U319" s="28">
        <f t="shared" si="39"/>
        <v>11755594.022988506</v>
      </c>
      <c r="V319" s="28">
        <f t="shared" si="40"/>
        <v>12289939.20585162</v>
      </c>
      <c r="W319" s="28">
        <f t="shared" si="41"/>
        <v>12824284.388714734</v>
      </c>
    </row>
    <row r="320" spans="1:23" x14ac:dyDescent="0.2">
      <c r="A320" s="28">
        <v>319</v>
      </c>
      <c r="B320" s="28">
        <v>216406.83749999999</v>
      </c>
      <c r="C320" s="28">
        <f t="shared" si="21"/>
        <v>2164068.375</v>
      </c>
      <c r="D320" s="28">
        <f t="shared" si="22"/>
        <v>2705085.46875</v>
      </c>
      <c r="E320" s="28">
        <f t="shared" si="23"/>
        <v>3246102.5625</v>
      </c>
      <c r="F320" s="28">
        <f t="shared" si="24"/>
        <v>3787119.65625</v>
      </c>
      <c r="G320" s="28">
        <f t="shared" si="25"/>
        <v>4328136.75</v>
      </c>
      <c r="H320" s="28">
        <f t="shared" si="26"/>
        <v>4869153.84375</v>
      </c>
      <c r="I320" s="28">
        <f t="shared" si="27"/>
        <v>5410170.9375</v>
      </c>
      <c r="J320" s="28">
        <f t="shared" si="28"/>
        <v>5951188.03125</v>
      </c>
      <c r="K320" s="28">
        <f t="shared" si="29"/>
        <v>6492205.125</v>
      </c>
      <c r="L320" s="28">
        <f t="shared" si="30"/>
        <v>7033222.21875</v>
      </c>
      <c r="M320" s="28">
        <f t="shared" si="31"/>
        <v>7574239.3125</v>
      </c>
      <c r="N320" s="28">
        <f t="shared" si="32"/>
        <v>8115256.40625</v>
      </c>
      <c r="O320" s="28">
        <f t="shared" si="33"/>
        <v>8656273.5</v>
      </c>
      <c r="P320" s="28">
        <f t="shared" si="34"/>
        <v>9197290.59375</v>
      </c>
      <c r="Q320" s="28">
        <f t="shared" si="35"/>
        <v>9738307.6875</v>
      </c>
      <c r="R320" s="28">
        <f t="shared" si="36"/>
        <v>10279324.78125</v>
      </c>
      <c r="S320" s="28">
        <f t="shared" si="37"/>
        <v>10820341.875</v>
      </c>
      <c r="T320" s="28">
        <f t="shared" si="38"/>
        <v>11361358.96875</v>
      </c>
      <c r="U320" s="28">
        <f t="shared" si="39"/>
        <v>11902376.0625</v>
      </c>
      <c r="V320" s="28">
        <f t="shared" si="40"/>
        <v>12443393.15625</v>
      </c>
      <c r="W320" s="28">
        <f t="shared" si="41"/>
        <v>12984410.25</v>
      </c>
    </row>
    <row r="321" spans="1:23" x14ac:dyDescent="0.2">
      <c r="A321" s="28">
        <v>320</v>
      </c>
      <c r="B321" s="28">
        <v>219138.06438213916</v>
      </c>
      <c r="C321" s="28">
        <f t="shared" si="21"/>
        <v>2191380.6438213917</v>
      </c>
      <c r="D321" s="28">
        <f t="shared" si="22"/>
        <v>2739225.8047767398</v>
      </c>
      <c r="E321" s="28">
        <f t="shared" si="23"/>
        <v>3287070.9657320874</v>
      </c>
      <c r="F321" s="28">
        <f t="shared" si="24"/>
        <v>3834916.1266874354</v>
      </c>
      <c r="G321" s="28">
        <f t="shared" si="25"/>
        <v>4382761.2876427835</v>
      </c>
      <c r="H321" s="28">
        <f t="shared" si="26"/>
        <v>4930606.4485981315</v>
      </c>
      <c r="I321" s="28">
        <f t="shared" si="27"/>
        <v>5478451.6095534796</v>
      </c>
      <c r="J321" s="28">
        <f t="shared" si="28"/>
        <v>6026296.7705088276</v>
      </c>
      <c r="K321" s="28">
        <f t="shared" si="29"/>
        <v>6574141.9314641748</v>
      </c>
      <c r="L321" s="28">
        <f t="shared" si="30"/>
        <v>7121987.0924195228</v>
      </c>
      <c r="M321" s="28">
        <f t="shared" si="31"/>
        <v>7669832.2533748709</v>
      </c>
      <c r="N321" s="28">
        <f t="shared" si="32"/>
        <v>8217677.4143302189</v>
      </c>
      <c r="O321" s="28">
        <f t="shared" si="33"/>
        <v>8765522.575285567</v>
      </c>
      <c r="P321" s="28">
        <f t="shared" si="34"/>
        <v>9313367.7362409141</v>
      </c>
      <c r="Q321" s="28">
        <f t="shared" si="35"/>
        <v>9861212.8971962631</v>
      </c>
      <c r="R321" s="28">
        <f t="shared" si="36"/>
        <v>10409058.05815161</v>
      </c>
      <c r="S321" s="28">
        <f t="shared" si="37"/>
        <v>10956903.219106959</v>
      </c>
      <c r="T321" s="28">
        <f t="shared" si="38"/>
        <v>11504748.380062306</v>
      </c>
      <c r="U321" s="28">
        <f t="shared" si="39"/>
        <v>12052593.541017655</v>
      </c>
      <c r="V321" s="28">
        <f t="shared" si="40"/>
        <v>12600438.701973002</v>
      </c>
      <c r="W321" s="28">
        <f t="shared" si="41"/>
        <v>13148283.86292835</v>
      </c>
    </row>
    <row r="322" spans="1:23" x14ac:dyDescent="0.2">
      <c r="A322" s="28">
        <v>321</v>
      </c>
      <c r="B322" s="28">
        <v>221867.53623188406</v>
      </c>
      <c r="C322" s="28">
        <f t="shared" si="21"/>
        <v>2218675.3623188408</v>
      </c>
      <c r="D322" s="28">
        <f t="shared" si="22"/>
        <v>2773344.2028985508</v>
      </c>
      <c r="E322" s="28">
        <f t="shared" si="23"/>
        <v>3328013.0434782612</v>
      </c>
      <c r="F322" s="28">
        <f t="shared" si="24"/>
        <v>3882681.8840579716</v>
      </c>
      <c r="G322" s="28">
        <f t="shared" si="25"/>
        <v>4437350.7246376816</v>
      </c>
      <c r="H322" s="28">
        <f t="shared" si="26"/>
        <v>4992019.5652173916</v>
      </c>
      <c r="I322" s="28">
        <f t="shared" si="27"/>
        <v>5546688.4057971016</v>
      </c>
      <c r="J322" s="28">
        <f t="shared" si="28"/>
        <v>6101357.2463768125</v>
      </c>
      <c r="K322" s="28">
        <f t="shared" si="29"/>
        <v>6656026.0869565224</v>
      </c>
      <c r="L322" s="28">
        <f t="shared" si="30"/>
        <v>7210694.9275362324</v>
      </c>
      <c r="M322" s="28">
        <f t="shared" si="31"/>
        <v>7765363.7681159433</v>
      </c>
      <c r="N322" s="28">
        <f t="shared" si="32"/>
        <v>8320032.6086956533</v>
      </c>
      <c r="O322" s="28">
        <f t="shared" si="33"/>
        <v>8874701.4492753632</v>
      </c>
      <c r="P322" s="28">
        <f t="shared" si="34"/>
        <v>9429370.2898550741</v>
      </c>
      <c r="Q322" s="28">
        <f t="shared" si="35"/>
        <v>9984039.1304347832</v>
      </c>
      <c r="R322" s="28">
        <f t="shared" si="36"/>
        <v>10538707.971014494</v>
      </c>
      <c r="S322" s="28">
        <f t="shared" si="37"/>
        <v>11093376.811594203</v>
      </c>
      <c r="T322" s="28">
        <f t="shared" si="38"/>
        <v>11648045.652173914</v>
      </c>
      <c r="U322" s="28">
        <f t="shared" si="39"/>
        <v>12202714.492753625</v>
      </c>
      <c r="V322" s="28">
        <f t="shared" si="40"/>
        <v>12757383.333333334</v>
      </c>
      <c r="W322" s="28">
        <f t="shared" si="41"/>
        <v>13312052.173913045</v>
      </c>
    </row>
    <row r="323" spans="1:23" x14ac:dyDescent="0.2">
      <c r="A323" s="28">
        <v>322</v>
      </c>
      <c r="B323" s="28">
        <v>224658.71001031992</v>
      </c>
      <c r="C323" s="28">
        <f t="shared" si="21"/>
        <v>2246587.100103199</v>
      </c>
      <c r="D323" s="28">
        <f t="shared" si="22"/>
        <v>2808233.8751289989</v>
      </c>
      <c r="E323" s="28">
        <f t="shared" si="23"/>
        <v>3369880.6501547983</v>
      </c>
      <c r="F323" s="28">
        <f t="shared" si="24"/>
        <v>3931527.4251805982</v>
      </c>
      <c r="G323" s="28">
        <f t="shared" si="25"/>
        <v>4493174.200206398</v>
      </c>
      <c r="H323" s="28">
        <f t="shared" si="26"/>
        <v>5054820.9752321979</v>
      </c>
      <c r="I323" s="28">
        <f t="shared" si="27"/>
        <v>5616467.7502579978</v>
      </c>
      <c r="J323" s="28">
        <f t="shared" si="28"/>
        <v>6178114.5252837976</v>
      </c>
      <c r="K323" s="28">
        <f t="shared" si="29"/>
        <v>6739761.3003095966</v>
      </c>
      <c r="L323" s="28">
        <f t="shared" si="30"/>
        <v>7301408.0753353965</v>
      </c>
      <c r="M323" s="28">
        <f t="shared" si="31"/>
        <v>7863054.8503611963</v>
      </c>
      <c r="N323" s="28">
        <f t="shared" si="32"/>
        <v>8424701.6253869962</v>
      </c>
      <c r="O323" s="28">
        <f t="shared" si="33"/>
        <v>8986348.4004127961</v>
      </c>
      <c r="P323" s="28">
        <f t="shared" si="34"/>
        <v>9547995.1754385959</v>
      </c>
      <c r="Q323" s="28">
        <f t="shared" si="35"/>
        <v>10109641.950464396</v>
      </c>
      <c r="R323" s="28">
        <f t="shared" si="36"/>
        <v>10671288.725490196</v>
      </c>
      <c r="S323" s="28">
        <f t="shared" si="37"/>
        <v>11232935.500515996</v>
      </c>
      <c r="T323" s="28">
        <f t="shared" si="38"/>
        <v>11794582.275541795</v>
      </c>
      <c r="U323" s="28">
        <f t="shared" si="39"/>
        <v>12356229.050567595</v>
      </c>
      <c r="V323" s="28">
        <f t="shared" si="40"/>
        <v>12917875.825593395</v>
      </c>
      <c r="W323" s="28">
        <f t="shared" si="41"/>
        <v>13479522.600619193</v>
      </c>
    </row>
    <row r="324" spans="1:23" x14ac:dyDescent="0.2">
      <c r="A324" s="28">
        <v>323</v>
      </c>
      <c r="B324" s="28">
        <v>227432.65432098764</v>
      </c>
      <c r="C324" s="28">
        <f t="shared" si="21"/>
        <v>2274326.5432098764</v>
      </c>
      <c r="D324" s="28">
        <f t="shared" si="22"/>
        <v>2842908.1790123456</v>
      </c>
      <c r="E324" s="28">
        <f t="shared" si="23"/>
        <v>3411489.8148148144</v>
      </c>
      <c r="F324" s="28">
        <f t="shared" si="24"/>
        <v>3980071.4506172836</v>
      </c>
      <c r="G324" s="28">
        <f t="shared" si="25"/>
        <v>4548653.0864197528</v>
      </c>
      <c r="H324" s="28">
        <f t="shared" si="26"/>
        <v>5117234.722222222</v>
      </c>
      <c r="I324" s="28">
        <f t="shared" si="27"/>
        <v>5685816.3580246912</v>
      </c>
      <c r="J324" s="28">
        <f t="shared" si="28"/>
        <v>6254397.9938271604</v>
      </c>
      <c r="K324" s="28">
        <f t="shared" si="29"/>
        <v>6822979.6296296287</v>
      </c>
      <c r="L324" s="28">
        <f t="shared" si="30"/>
        <v>7391561.2654320979</v>
      </c>
      <c r="M324" s="28">
        <f t="shared" si="31"/>
        <v>7960142.9012345672</v>
      </c>
      <c r="N324" s="28">
        <f t="shared" si="32"/>
        <v>8528724.5370370373</v>
      </c>
      <c r="O324" s="28">
        <f t="shared" si="33"/>
        <v>9097306.1728395056</v>
      </c>
      <c r="P324" s="28">
        <f t="shared" si="34"/>
        <v>9665887.8086419739</v>
      </c>
      <c r="Q324" s="28">
        <f t="shared" si="35"/>
        <v>10234469.444444444</v>
      </c>
      <c r="R324" s="28">
        <f t="shared" si="36"/>
        <v>10803051.080246912</v>
      </c>
      <c r="S324" s="28">
        <f t="shared" si="37"/>
        <v>11371632.716049382</v>
      </c>
      <c r="T324" s="28">
        <f t="shared" si="38"/>
        <v>11940214.351851851</v>
      </c>
      <c r="U324" s="28">
        <f t="shared" si="39"/>
        <v>12508795.987654321</v>
      </c>
      <c r="V324" s="28">
        <f t="shared" si="40"/>
        <v>13077377.623456789</v>
      </c>
      <c r="W324" s="28">
        <f t="shared" si="41"/>
        <v>13645959.259259257</v>
      </c>
    </row>
    <row r="325" spans="1:23" x14ac:dyDescent="0.2">
      <c r="A325" s="28">
        <v>324</v>
      </c>
      <c r="B325" s="28">
        <v>230287.4482051282</v>
      </c>
      <c r="C325" s="28">
        <f t="shared" si="21"/>
        <v>2302874.4820512822</v>
      </c>
      <c r="D325" s="28">
        <f t="shared" si="22"/>
        <v>2878593.102564103</v>
      </c>
      <c r="E325" s="28">
        <f t="shared" si="23"/>
        <v>3454311.7230769233</v>
      </c>
      <c r="F325" s="28">
        <f t="shared" si="24"/>
        <v>4030030.3435897436</v>
      </c>
      <c r="G325" s="28">
        <f t="shared" si="25"/>
        <v>4605748.9641025644</v>
      </c>
      <c r="H325" s="28">
        <f t="shared" si="26"/>
        <v>5181467.5846153852</v>
      </c>
      <c r="I325" s="28">
        <f t="shared" si="27"/>
        <v>5757186.2051282059</v>
      </c>
      <c r="J325" s="28">
        <f t="shared" si="28"/>
        <v>6332904.8256410258</v>
      </c>
      <c r="K325" s="28">
        <f t="shared" si="29"/>
        <v>6908623.4461538466</v>
      </c>
      <c r="L325" s="28">
        <f t="shared" si="30"/>
        <v>7484342.0666666673</v>
      </c>
      <c r="M325" s="28">
        <f t="shared" si="31"/>
        <v>8060060.6871794872</v>
      </c>
      <c r="N325" s="28">
        <f t="shared" si="32"/>
        <v>8635779.307692308</v>
      </c>
      <c r="O325" s="28">
        <f t="shared" si="33"/>
        <v>9211497.9282051288</v>
      </c>
      <c r="P325" s="28">
        <f t="shared" si="34"/>
        <v>9787216.5487179495</v>
      </c>
      <c r="Q325" s="28">
        <f t="shared" si="35"/>
        <v>10362935.16923077</v>
      </c>
      <c r="R325" s="28">
        <f t="shared" si="36"/>
        <v>10938653.789743591</v>
      </c>
      <c r="S325" s="28">
        <f t="shared" si="37"/>
        <v>11514372.410256412</v>
      </c>
      <c r="T325" s="28">
        <f t="shared" si="38"/>
        <v>12090091.030769231</v>
      </c>
      <c r="U325" s="28">
        <f t="shared" si="39"/>
        <v>12665809.651282052</v>
      </c>
      <c r="V325" s="28">
        <f t="shared" si="40"/>
        <v>13241528.271794872</v>
      </c>
      <c r="W325" s="28">
        <f t="shared" si="41"/>
        <v>13817246.892307693</v>
      </c>
    </row>
    <row r="326" spans="1:23" x14ac:dyDescent="0.2">
      <c r="A326" s="28">
        <v>325</v>
      </c>
      <c r="B326" s="28">
        <v>233124.72801635991</v>
      </c>
      <c r="C326" s="28">
        <f t="shared" si="21"/>
        <v>2331247.2801635992</v>
      </c>
      <c r="D326" s="28">
        <f t="shared" si="22"/>
        <v>2914059.100204499</v>
      </c>
      <c r="E326" s="28">
        <f t="shared" si="23"/>
        <v>3496870.9202453988</v>
      </c>
      <c r="F326" s="28">
        <f t="shared" si="24"/>
        <v>4079682.7402862986</v>
      </c>
      <c r="G326" s="28">
        <f t="shared" si="25"/>
        <v>4662494.5603271984</v>
      </c>
      <c r="H326" s="28">
        <f t="shared" si="26"/>
        <v>5245306.3803680986</v>
      </c>
      <c r="I326" s="28">
        <f t="shared" si="27"/>
        <v>5828118.2004089979</v>
      </c>
      <c r="J326" s="28">
        <f t="shared" si="28"/>
        <v>6410930.0204498973</v>
      </c>
      <c r="K326" s="28">
        <f t="shared" si="29"/>
        <v>6993741.8404907975</v>
      </c>
      <c r="L326" s="28">
        <f t="shared" si="30"/>
        <v>7576553.6605316978</v>
      </c>
      <c r="M326" s="28">
        <f t="shared" si="31"/>
        <v>8159365.4805725971</v>
      </c>
      <c r="N326" s="28">
        <f t="shared" si="32"/>
        <v>8742177.3006134965</v>
      </c>
      <c r="O326" s="28">
        <f t="shared" si="33"/>
        <v>9324989.1206543967</v>
      </c>
      <c r="P326" s="28">
        <f t="shared" si="34"/>
        <v>9907800.940695297</v>
      </c>
      <c r="Q326" s="28">
        <f t="shared" si="35"/>
        <v>10490612.760736197</v>
      </c>
      <c r="R326" s="28">
        <f t="shared" si="36"/>
        <v>11073424.580777096</v>
      </c>
      <c r="S326" s="28">
        <f t="shared" si="37"/>
        <v>11656236.400817996</v>
      </c>
      <c r="T326" s="28">
        <f t="shared" si="38"/>
        <v>12239048.220858896</v>
      </c>
      <c r="U326" s="28">
        <f t="shared" si="39"/>
        <v>12821860.040899795</v>
      </c>
      <c r="V326" s="28">
        <f t="shared" si="40"/>
        <v>13404671.860940695</v>
      </c>
      <c r="W326" s="28">
        <f t="shared" si="41"/>
        <v>13987483.680981595</v>
      </c>
    </row>
    <row r="327" spans="1:23" x14ac:dyDescent="0.2">
      <c r="A327" s="28">
        <v>326</v>
      </c>
      <c r="B327" s="28">
        <v>236026</v>
      </c>
      <c r="C327" s="28">
        <f t="shared" si="21"/>
        <v>2360260</v>
      </c>
      <c r="D327" s="28">
        <f t="shared" si="22"/>
        <v>2950325</v>
      </c>
      <c r="E327" s="28">
        <f t="shared" si="23"/>
        <v>3540390</v>
      </c>
      <c r="F327" s="28">
        <f t="shared" si="24"/>
        <v>4130455</v>
      </c>
      <c r="G327" s="28">
        <f t="shared" si="25"/>
        <v>4720520</v>
      </c>
      <c r="H327" s="28">
        <f t="shared" si="26"/>
        <v>5310585</v>
      </c>
      <c r="I327" s="28">
        <f t="shared" si="27"/>
        <v>5900650</v>
      </c>
      <c r="J327" s="28">
        <f t="shared" si="28"/>
        <v>6490715</v>
      </c>
      <c r="K327" s="28">
        <f t="shared" si="29"/>
        <v>7080780</v>
      </c>
      <c r="L327" s="28">
        <f t="shared" si="30"/>
        <v>7670845</v>
      </c>
      <c r="M327" s="28">
        <f t="shared" si="31"/>
        <v>8260910</v>
      </c>
      <c r="N327" s="28">
        <f t="shared" si="32"/>
        <v>8850975</v>
      </c>
      <c r="O327" s="28">
        <f t="shared" si="33"/>
        <v>9441040</v>
      </c>
      <c r="P327" s="28">
        <f t="shared" si="34"/>
        <v>10031105</v>
      </c>
      <c r="Q327" s="28">
        <f t="shared" si="35"/>
        <v>10621170</v>
      </c>
      <c r="R327" s="28">
        <f t="shared" si="36"/>
        <v>11211235</v>
      </c>
      <c r="S327" s="28">
        <f t="shared" si="37"/>
        <v>11801300</v>
      </c>
      <c r="T327" s="28">
        <f t="shared" si="38"/>
        <v>12391365</v>
      </c>
      <c r="U327" s="28">
        <f t="shared" si="39"/>
        <v>12981430</v>
      </c>
      <c r="V327" s="28">
        <f t="shared" si="40"/>
        <v>13571495</v>
      </c>
      <c r="W327" s="28">
        <f t="shared" si="41"/>
        <v>14161560</v>
      </c>
    </row>
    <row r="328" spans="1:23" x14ac:dyDescent="0.2">
      <c r="A328" s="28">
        <v>327</v>
      </c>
      <c r="B328" s="28">
        <v>238925.50813008132</v>
      </c>
      <c r="C328" s="28">
        <f t="shared" si="21"/>
        <v>2389255.0813008132</v>
      </c>
      <c r="D328" s="28">
        <f t="shared" si="22"/>
        <v>2986568.8516260167</v>
      </c>
      <c r="E328" s="28">
        <f t="shared" si="23"/>
        <v>3583882.6219512196</v>
      </c>
      <c r="F328" s="28">
        <f t="shared" si="24"/>
        <v>4181196.3922764231</v>
      </c>
      <c r="G328" s="28">
        <f t="shared" si="25"/>
        <v>4778510.1626016265</v>
      </c>
      <c r="H328" s="28">
        <f t="shared" si="26"/>
        <v>5375823.9329268299</v>
      </c>
      <c r="I328" s="28">
        <f t="shared" si="27"/>
        <v>5973137.7032520333</v>
      </c>
      <c r="J328" s="28">
        <f t="shared" si="28"/>
        <v>6570451.4735772368</v>
      </c>
      <c r="K328" s="28">
        <f t="shared" si="29"/>
        <v>7167765.2439024393</v>
      </c>
      <c r="L328" s="28">
        <f t="shared" si="30"/>
        <v>7765079.0142276427</v>
      </c>
      <c r="M328" s="28">
        <f t="shared" si="31"/>
        <v>8362392.7845528461</v>
      </c>
      <c r="N328" s="28">
        <f t="shared" si="32"/>
        <v>8959706.5548780505</v>
      </c>
      <c r="O328" s="28">
        <f t="shared" si="33"/>
        <v>9557020.325203253</v>
      </c>
      <c r="P328" s="28">
        <f t="shared" si="34"/>
        <v>10154334.095528455</v>
      </c>
      <c r="Q328" s="28">
        <f t="shared" si="35"/>
        <v>10751647.86585366</v>
      </c>
      <c r="R328" s="28">
        <f t="shared" si="36"/>
        <v>11348961.636178862</v>
      </c>
      <c r="S328" s="28">
        <f t="shared" si="37"/>
        <v>11946275.406504067</v>
      </c>
      <c r="T328" s="28">
        <f t="shared" si="38"/>
        <v>12543589.176829269</v>
      </c>
      <c r="U328" s="28">
        <f t="shared" si="39"/>
        <v>13140902.947154474</v>
      </c>
      <c r="V328" s="28">
        <f t="shared" si="40"/>
        <v>13738216.717479676</v>
      </c>
      <c r="W328" s="28">
        <f t="shared" si="41"/>
        <v>14335530.487804879</v>
      </c>
    </row>
    <row r="329" spans="1:23" x14ac:dyDescent="0.2">
      <c r="A329" s="28">
        <v>328</v>
      </c>
      <c r="B329" s="28">
        <v>241891.3232016211</v>
      </c>
      <c r="C329" s="28">
        <f t="shared" si="21"/>
        <v>2418913.2320162109</v>
      </c>
      <c r="D329" s="28">
        <f t="shared" si="22"/>
        <v>3023641.5400202638</v>
      </c>
      <c r="E329" s="28">
        <f t="shared" si="23"/>
        <v>3628369.8480243161</v>
      </c>
      <c r="F329" s="28">
        <f t="shared" si="24"/>
        <v>4233098.1560283694</v>
      </c>
      <c r="G329" s="28">
        <f t="shared" si="25"/>
        <v>4837826.4640324218</v>
      </c>
      <c r="H329" s="28">
        <f t="shared" si="26"/>
        <v>5442554.7720364742</v>
      </c>
      <c r="I329" s="28">
        <f t="shared" si="27"/>
        <v>6047283.0800405275</v>
      </c>
      <c r="J329" s="28">
        <f t="shared" si="28"/>
        <v>6652011.3880445799</v>
      </c>
      <c r="K329" s="28">
        <f t="shared" si="29"/>
        <v>7256739.6960486323</v>
      </c>
      <c r="L329" s="28">
        <f t="shared" si="30"/>
        <v>7861468.0040526856</v>
      </c>
      <c r="M329" s="28">
        <f t="shared" si="31"/>
        <v>8466196.3120567389</v>
      </c>
      <c r="N329" s="28">
        <f t="shared" si="32"/>
        <v>9070924.6200607903</v>
      </c>
      <c r="O329" s="28">
        <f t="shared" si="33"/>
        <v>9675652.9280648436</v>
      </c>
      <c r="P329" s="28">
        <f t="shared" si="34"/>
        <v>10280381.236068897</v>
      </c>
      <c r="Q329" s="28">
        <f t="shared" si="35"/>
        <v>10885109.544072948</v>
      </c>
      <c r="R329" s="28">
        <f t="shared" si="36"/>
        <v>11489837.852077002</v>
      </c>
      <c r="S329" s="28">
        <f t="shared" si="37"/>
        <v>12094566.160081055</v>
      </c>
      <c r="T329" s="28">
        <f t="shared" si="38"/>
        <v>12699294.468085106</v>
      </c>
      <c r="U329" s="28">
        <f t="shared" si="39"/>
        <v>13304022.77608916</v>
      </c>
      <c r="V329" s="28">
        <f t="shared" si="40"/>
        <v>13908751.084093213</v>
      </c>
      <c r="W329" s="28">
        <f t="shared" si="41"/>
        <v>14513479.392097265</v>
      </c>
    </row>
    <row r="330" spans="1:23" x14ac:dyDescent="0.2">
      <c r="A330" s="28">
        <v>329</v>
      </c>
      <c r="B330" s="28">
        <v>244839.16363636364</v>
      </c>
      <c r="C330" s="28">
        <f t="shared" si="21"/>
        <v>2448391.6363636362</v>
      </c>
      <c r="D330" s="28">
        <f t="shared" si="22"/>
        <v>3060489.5454545454</v>
      </c>
      <c r="E330" s="28">
        <f t="shared" si="23"/>
        <v>3672587.4545454541</v>
      </c>
      <c r="F330" s="28">
        <f t="shared" si="24"/>
        <v>4284685.3636363633</v>
      </c>
      <c r="G330" s="28">
        <f t="shared" si="25"/>
        <v>4896783.2727272725</v>
      </c>
      <c r="H330" s="28">
        <f t="shared" si="26"/>
        <v>5508881.1818181816</v>
      </c>
      <c r="I330" s="28">
        <f t="shared" si="27"/>
        <v>6120979.0909090908</v>
      </c>
      <c r="J330" s="28">
        <f t="shared" si="28"/>
        <v>6733077</v>
      </c>
      <c r="K330" s="28">
        <f t="shared" si="29"/>
        <v>7345174.9090909082</v>
      </c>
      <c r="L330" s="28">
        <f t="shared" si="30"/>
        <v>7957272.8181818174</v>
      </c>
      <c r="M330" s="28">
        <f t="shared" si="31"/>
        <v>8569370.7272727266</v>
      </c>
      <c r="N330" s="28">
        <f t="shared" si="32"/>
        <v>9181468.6363636367</v>
      </c>
      <c r="O330" s="28">
        <f t="shared" si="33"/>
        <v>9793566.5454545449</v>
      </c>
      <c r="P330" s="28">
        <f t="shared" si="34"/>
        <v>10405664.454545453</v>
      </c>
      <c r="Q330" s="28">
        <f t="shared" si="35"/>
        <v>11017762.363636363</v>
      </c>
      <c r="R330" s="28">
        <f t="shared" si="36"/>
        <v>11629860.272727272</v>
      </c>
      <c r="S330" s="28">
        <f t="shared" si="37"/>
        <v>12241958.181818182</v>
      </c>
      <c r="T330" s="28">
        <f t="shared" si="38"/>
        <v>12854056.09090909</v>
      </c>
      <c r="U330" s="28">
        <f t="shared" si="39"/>
        <v>13466154</v>
      </c>
      <c r="V330" s="28">
        <f t="shared" si="40"/>
        <v>14078251.909090908</v>
      </c>
      <c r="W330" s="28">
        <f t="shared" si="41"/>
        <v>14690349.818181816</v>
      </c>
    </row>
    <row r="331" spans="1:23" x14ac:dyDescent="0.2">
      <c r="A331" s="28">
        <v>330</v>
      </c>
      <c r="B331" s="28">
        <v>247869.92749244711</v>
      </c>
      <c r="C331" s="28">
        <f t="shared" si="21"/>
        <v>2478699.274924471</v>
      </c>
      <c r="D331" s="28">
        <f t="shared" si="22"/>
        <v>3098374.093655589</v>
      </c>
      <c r="E331" s="28">
        <f t="shared" si="23"/>
        <v>3718048.9123867066</v>
      </c>
      <c r="F331" s="28">
        <f t="shared" si="24"/>
        <v>4337723.7311178241</v>
      </c>
      <c r="G331" s="28">
        <f t="shared" si="25"/>
        <v>4957398.5498489421</v>
      </c>
      <c r="H331" s="28">
        <f t="shared" si="26"/>
        <v>5577073.3685800601</v>
      </c>
      <c r="I331" s="28">
        <f t="shared" si="27"/>
        <v>6196748.1873111781</v>
      </c>
      <c r="J331" s="28">
        <f t="shared" si="28"/>
        <v>6816423.0060422951</v>
      </c>
      <c r="K331" s="28">
        <f t="shared" si="29"/>
        <v>7436097.8247734131</v>
      </c>
      <c r="L331" s="28">
        <f t="shared" si="30"/>
        <v>8055772.6435045311</v>
      </c>
      <c r="M331" s="28">
        <f t="shared" si="31"/>
        <v>8675447.4622356482</v>
      </c>
      <c r="N331" s="28">
        <f t="shared" si="32"/>
        <v>9295122.2809667662</v>
      </c>
      <c r="O331" s="28">
        <f t="shared" si="33"/>
        <v>9914797.0996978842</v>
      </c>
      <c r="P331" s="28">
        <f t="shared" si="34"/>
        <v>10534471.918429002</v>
      </c>
      <c r="Q331" s="28">
        <f t="shared" si="35"/>
        <v>11154146.73716012</v>
      </c>
      <c r="R331" s="28">
        <f t="shared" si="36"/>
        <v>11773821.555891238</v>
      </c>
      <c r="S331" s="28">
        <f t="shared" si="37"/>
        <v>12393496.374622356</v>
      </c>
      <c r="T331" s="28">
        <f t="shared" si="38"/>
        <v>13013171.193353472</v>
      </c>
      <c r="U331" s="28">
        <f t="shared" si="39"/>
        <v>13632846.01208459</v>
      </c>
      <c r="V331" s="28">
        <f t="shared" si="40"/>
        <v>14252520.830815708</v>
      </c>
      <c r="W331" s="28">
        <f t="shared" si="41"/>
        <v>14872195.649546826</v>
      </c>
    </row>
    <row r="332" spans="1:23" x14ac:dyDescent="0.2">
      <c r="A332" s="28">
        <v>331</v>
      </c>
      <c r="B332" s="28">
        <v>250882.43373493975</v>
      </c>
      <c r="C332" s="28">
        <f t="shared" si="21"/>
        <v>2508824.3373493976</v>
      </c>
      <c r="D332" s="28">
        <f t="shared" si="22"/>
        <v>3136030.4216867471</v>
      </c>
      <c r="E332" s="28">
        <f t="shared" si="23"/>
        <v>3763236.5060240962</v>
      </c>
      <c r="F332" s="28">
        <f t="shared" si="24"/>
        <v>4390442.5903614461</v>
      </c>
      <c r="G332" s="28">
        <f t="shared" si="25"/>
        <v>5017648.6746987952</v>
      </c>
      <c r="H332" s="28">
        <f t="shared" si="26"/>
        <v>5644854.7590361442</v>
      </c>
      <c r="I332" s="28">
        <f t="shared" si="27"/>
        <v>6272060.8433734942</v>
      </c>
      <c r="J332" s="28">
        <f t="shared" si="28"/>
        <v>6899266.9277108433</v>
      </c>
      <c r="K332" s="28">
        <f t="shared" si="29"/>
        <v>7526473.0120481923</v>
      </c>
      <c r="L332" s="28">
        <f t="shared" si="30"/>
        <v>8153679.0963855423</v>
      </c>
      <c r="M332" s="28">
        <f t="shared" si="31"/>
        <v>8780885.1807228923</v>
      </c>
      <c r="N332" s="28">
        <f t="shared" si="32"/>
        <v>9408091.2650602404</v>
      </c>
      <c r="O332" s="28">
        <f t="shared" si="33"/>
        <v>10035297.34939759</v>
      </c>
      <c r="P332" s="28">
        <f t="shared" si="34"/>
        <v>10662503.43373494</v>
      </c>
      <c r="Q332" s="28">
        <f t="shared" si="35"/>
        <v>11289709.518072288</v>
      </c>
      <c r="R332" s="28">
        <f t="shared" si="36"/>
        <v>11916915.602409638</v>
      </c>
      <c r="S332" s="28">
        <f t="shared" si="37"/>
        <v>12544121.686746988</v>
      </c>
      <c r="T332" s="28">
        <f t="shared" si="38"/>
        <v>13171327.771084337</v>
      </c>
      <c r="U332" s="28">
        <f t="shared" si="39"/>
        <v>13798533.855421687</v>
      </c>
      <c r="V332" s="28">
        <f t="shared" si="40"/>
        <v>14425739.939759037</v>
      </c>
      <c r="W332" s="28">
        <f t="shared" si="41"/>
        <v>15052946.024096385</v>
      </c>
    </row>
    <row r="333" spans="1:23" x14ac:dyDescent="0.2">
      <c r="A333" s="28">
        <v>332</v>
      </c>
      <c r="B333" s="28">
        <v>253963.57357357355</v>
      </c>
      <c r="C333" s="28">
        <f t="shared" si="21"/>
        <v>2539635.7357357354</v>
      </c>
      <c r="D333" s="28">
        <f t="shared" si="22"/>
        <v>3174544.6696696691</v>
      </c>
      <c r="E333" s="28">
        <f t="shared" si="23"/>
        <v>3809453.6036036033</v>
      </c>
      <c r="F333" s="28">
        <f t="shared" si="24"/>
        <v>4444362.5375375366</v>
      </c>
      <c r="G333" s="28">
        <f t="shared" si="25"/>
        <v>5079271.4714714708</v>
      </c>
      <c r="H333" s="28">
        <f t="shared" si="26"/>
        <v>5714180.405405405</v>
      </c>
      <c r="I333" s="28">
        <f t="shared" si="27"/>
        <v>6349089.3393393382</v>
      </c>
      <c r="J333" s="28">
        <f t="shared" si="28"/>
        <v>6983998.2732732724</v>
      </c>
      <c r="K333" s="28">
        <f t="shared" si="29"/>
        <v>7618907.2072072066</v>
      </c>
      <c r="L333" s="28">
        <f t="shared" si="30"/>
        <v>8253816.1411411399</v>
      </c>
      <c r="M333" s="28">
        <f t="shared" si="31"/>
        <v>8888725.0750750732</v>
      </c>
      <c r="N333" s="28">
        <f t="shared" si="32"/>
        <v>9523634.0090090074</v>
      </c>
      <c r="O333" s="28">
        <f t="shared" si="33"/>
        <v>10158542.942942942</v>
      </c>
      <c r="P333" s="28">
        <f t="shared" si="34"/>
        <v>10793451.876876876</v>
      </c>
      <c r="Q333" s="28">
        <f t="shared" si="35"/>
        <v>11428360.81081081</v>
      </c>
      <c r="R333" s="28">
        <f t="shared" si="36"/>
        <v>12063269.744744742</v>
      </c>
      <c r="S333" s="28">
        <f t="shared" si="37"/>
        <v>12698178.678678676</v>
      </c>
      <c r="T333" s="28">
        <f t="shared" si="38"/>
        <v>13333087.612612611</v>
      </c>
      <c r="U333" s="28">
        <f t="shared" si="39"/>
        <v>13967996.546546545</v>
      </c>
      <c r="V333" s="28">
        <f t="shared" si="40"/>
        <v>14602905.480480479</v>
      </c>
      <c r="W333" s="28">
        <f t="shared" si="41"/>
        <v>15237814.414414413</v>
      </c>
    </row>
    <row r="334" spans="1:23" x14ac:dyDescent="0.2">
      <c r="A334" s="28">
        <v>333</v>
      </c>
      <c r="B334" s="28">
        <v>257042.88622754489</v>
      </c>
      <c r="C334" s="28">
        <f t="shared" si="21"/>
        <v>2570428.8622754491</v>
      </c>
      <c r="D334" s="28">
        <f t="shared" si="22"/>
        <v>3213036.0778443115</v>
      </c>
      <c r="E334" s="28">
        <f t="shared" si="23"/>
        <v>3855643.2934131734</v>
      </c>
      <c r="F334" s="28">
        <f t="shared" si="24"/>
        <v>4498250.5089820363</v>
      </c>
      <c r="G334" s="28">
        <f t="shared" si="25"/>
        <v>5140857.7245508982</v>
      </c>
      <c r="H334" s="28">
        <f t="shared" si="26"/>
        <v>5783464.9401197601</v>
      </c>
      <c r="I334" s="28">
        <f t="shared" si="27"/>
        <v>6426072.155688623</v>
      </c>
      <c r="J334" s="28">
        <f t="shared" si="28"/>
        <v>7068679.3712574849</v>
      </c>
      <c r="K334" s="28">
        <f t="shared" si="29"/>
        <v>7711286.5868263468</v>
      </c>
      <c r="L334" s="28">
        <f t="shared" si="30"/>
        <v>8353893.8023952097</v>
      </c>
      <c r="M334" s="28">
        <f t="shared" si="31"/>
        <v>8996501.0179640725</v>
      </c>
      <c r="N334" s="28">
        <f t="shared" si="32"/>
        <v>9639108.2335329335</v>
      </c>
      <c r="O334" s="28">
        <f t="shared" si="33"/>
        <v>10281715.449101796</v>
      </c>
      <c r="P334" s="28">
        <f t="shared" si="34"/>
        <v>10924322.664670659</v>
      </c>
      <c r="Q334" s="28">
        <f t="shared" si="35"/>
        <v>11566929.88023952</v>
      </c>
      <c r="R334" s="28">
        <f t="shared" si="36"/>
        <v>12209537.095808383</v>
      </c>
      <c r="S334" s="28">
        <f t="shared" si="37"/>
        <v>12852144.311377246</v>
      </c>
      <c r="T334" s="28">
        <f t="shared" si="38"/>
        <v>13494751.526946107</v>
      </c>
      <c r="U334" s="28">
        <f t="shared" si="39"/>
        <v>14137358.74251497</v>
      </c>
      <c r="V334" s="28">
        <f t="shared" si="40"/>
        <v>14779965.958083833</v>
      </c>
      <c r="W334" s="28">
        <f t="shared" si="41"/>
        <v>15422573.173652694</v>
      </c>
    </row>
    <row r="335" spans="1:23" x14ac:dyDescent="0.2">
      <c r="A335" s="28">
        <v>334</v>
      </c>
      <c r="B335" s="28">
        <v>260190.023880597</v>
      </c>
      <c r="C335" s="28">
        <f t="shared" si="21"/>
        <v>2601900.2388059702</v>
      </c>
      <c r="D335" s="28">
        <f t="shared" si="22"/>
        <v>3252375.2985074627</v>
      </c>
      <c r="E335" s="28">
        <f t="shared" si="23"/>
        <v>3902850.3582089553</v>
      </c>
      <c r="F335" s="28">
        <f t="shared" si="24"/>
        <v>4553325.4179104473</v>
      </c>
      <c r="G335" s="28">
        <f t="shared" si="25"/>
        <v>5203800.4776119404</v>
      </c>
      <c r="H335" s="28">
        <f t="shared" si="26"/>
        <v>5854275.5373134334</v>
      </c>
      <c r="I335" s="28">
        <f t="shared" si="27"/>
        <v>6504750.5970149254</v>
      </c>
      <c r="J335" s="28">
        <f t="shared" si="28"/>
        <v>7155225.6567164175</v>
      </c>
      <c r="K335" s="28">
        <f t="shared" si="29"/>
        <v>7805700.7164179105</v>
      </c>
      <c r="L335" s="28">
        <f t="shared" si="30"/>
        <v>8456175.7761194035</v>
      </c>
      <c r="M335" s="28">
        <f t="shared" si="31"/>
        <v>9106650.8358208947</v>
      </c>
      <c r="N335" s="28">
        <f t="shared" si="32"/>
        <v>9757125.8955223877</v>
      </c>
      <c r="O335" s="28">
        <f t="shared" si="33"/>
        <v>10407600.955223881</v>
      </c>
      <c r="P335" s="28">
        <f t="shared" si="34"/>
        <v>11058076.014925374</v>
      </c>
      <c r="Q335" s="28">
        <f t="shared" si="35"/>
        <v>11708551.074626867</v>
      </c>
      <c r="R335" s="28">
        <f t="shared" si="36"/>
        <v>12359026.134328358</v>
      </c>
      <c r="S335" s="28">
        <f t="shared" si="37"/>
        <v>13009501.194029851</v>
      </c>
      <c r="T335" s="28">
        <f t="shared" si="38"/>
        <v>13659976.253731344</v>
      </c>
      <c r="U335" s="28">
        <f t="shared" si="39"/>
        <v>14310451.313432835</v>
      </c>
      <c r="V335" s="28">
        <f t="shared" si="40"/>
        <v>14960926.373134328</v>
      </c>
      <c r="W335" s="28">
        <f t="shared" si="41"/>
        <v>15611401.432835821</v>
      </c>
    </row>
    <row r="336" spans="1:23" x14ac:dyDescent="0.2">
      <c r="A336" s="28">
        <v>335</v>
      </c>
      <c r="B336" s="28">
        <v>263318.42857142858</v>
      </c>
      <c r="C336" s="28">
        <f t="shared" si="21"/>
        <v>2633184.2857142859</v>
      </c>
      <c r="D336" s="28">
        <f t="shared" si="22"/>
        <v>3291480.3571428573</v>
      </c>
      <c r="E336" s="28">
        <f t="shared" si="23"/>
        <v>3949776.4285714291</v>
      </c>
      <c r="F336" s="28">
        <f t="shared" si="24"/>
        <v>4608072.5</v>
      </c>
      <c r="G336" s="28">
        <f t="shared" si="25"/>
        <v>5266368.5714285718</v>
      </c>
      <c r="H336" s="28">
        <f t="shared" si="26"/>
        <v>5924664.6428571437</v>
      </c>
      <c r="I336" s="28">
        <f t="shared" si="27"/>
        <v>6582960.7142857146</v>
      </c>
      <c r="J336" s="28">
        <f t="shared" si="28"/>
        <v>7241256.7857142864</v>
      </c>
      <c r="K336" s="28">
        <f t="shared" si="29"/>
        <v>7899552.8571428582</v>
      </c>
      <c r="L336" s="28">
        <f t="shared" si="30"/>
        <v>8557848.9285714291</v>
      </c>
      <c r="M336" s="28">
        <f t="shared" si="31"/>
        <v>9216145</v>
      </c>
      <c r="N336" s="28">
        <f t="shared" si="32"/>
        <v>9874441.0714285728</v>
      </c>
      <c r="O336" s="28">
        <f t="shared" si="33"/>
        <v>10532737.142857144</v>
      </c>
      <c r="P336" s="28">
        <f t="shared" si="34"/>
        <v>11191033.214285715</v>
      </c>
      <c r="Q336" s="28">
        <f t="shared" si="35"/>
        <v>11849329.285714287</v>
      </c>
      <c r="R336" s="28">
        <f t="shared" si="36"/>
        <v>12507625.357142858</v>
      </c>
      <c r="S336" s="28">
        <f t="shared" si="37"/>
        <v>13165921.428571429</v>
      </c>
      <c r="T336" s="28">
        <f t="shared" si="38"/>
        <v>13824217.500000002</v>
      </c>
      <c r="U336" s="28">
        <f t="shared" si="39"/>
        <v>14482513.571428573</v>
      </c>
      <c r="V336" s="28">
        <f t="shared" si="40"/>
        <v>15140809.642857144</v>
      </c>
      <c r="W336" s="28">
        <f t="shared" si="41"/>
        <v>15799105.714285716</v>
      </c>
    </row>
    <row r="337" spans="1:23" x14ac:dyDescent="0.2">
      <c r="A337" s="28">
        <v>336</v>
      </c>
      <c r="B337" s="28">
        <v>266535.30365974281</v>
      </c>
      <c r="C337" s="28">
        <f t="shared" si="21"/>
        <v>2665353.0365974279</v>
      </c>
      <c r="D337" s="28">
        <f t="shared" si="22"/>
        <v>3331691.2957467847</v>
      </c>
      <c r="E337" s="28">
        <f t="shared" si="23"/>
        <v>3998029.5548961419</v>
      </c>
      <c r="F337" s="28">
        <f t="shared" si="24"/>
        <v>4664367.8140454991</v>
      </c>
      <c r="G337" s="28">
        <f t="shared" si="25"/>
        <v>5330706.0731948558</v>
      </c>
      <c r="H337" s="28">
        <f t="shared" si="26"/>
        <v>5997044.3323442126</v>
      </c>
      <c r="I337" s="28">
        <f t="shared" si="27"/>
        <v>6663382.5914935693</v>
      </c>
      <c r="J337" s="28">
        <f t="shared" si="28"/>
        <v>7329720.850642927</v>
      </c>
      <c r="K337" s="28">
        <f t="shared" si="29"/>
        <v>7996059.1097922837</v>
      </c>
      <c r="L337" s="28">
        <f t="shared" si="30"/>
        <v>8662397.3689416405</v>
      </c>
      <c r="M337" s="28">
        <f t="shared" si="31"/>
        <v>9328735.6280909982</v>
      </c>
      <c r="N337" s="28">
        <f t="shared" si="32"/>
        <v>9995073.887240354</v>
      </c>
      <c r="O337" s="28">
        <f t="shared" si="33"/>
        <v>10661412.146389712</v>
      </c>
      <c r="P337" s="28">
        <f t="shared" si="34"/>
        <v>11327750.405539069</v>
      </c>
      <c r="Q337" s="28">
        <f t="shared" si="35"/>
        <v>11994088.664688425</v>
      </c>
      <c r="R337" s="28">
        <f t="shared" si="36"/>
        <v>12660426.923837783</v>
      </c>
      <c r="S337" s="28">
        <f t="shared" si="37"/>
        <v>13326765.182987139</v>
      </c>
      <c r="T337" s="28">
        <f t="shared" si="38"/>
        <v>13993103.442136496</v>
      </c>
      <c r="U337" s="28">
        <f t="shared" si="39"/>
        <v>14659441.701285854</v>
      </c>
      <c r="V337" s="28">
        <f t="shared" si="40"/>
        <v>15325779.96043521</v>
      </c>
      <c r="W337" s="28">
        <f t="shared" si="41"/>
        <v>15992118.219584567</v>
      </c>
    </row>
    <row r="338" spans="1:23" x14ac:dyDescent="0.2">
      <c r="A338" s="28">
        <v>337</v>
      </c>
      <c r="B338" s="28">
        <v>269733.14398422086</v>
      </c>
      <c r="C338" s="28">
        <f t="shared" si="21"/>
        <v>2697331.4398422088</v>
      </c>
      <c r="D338" s="28">
        <f t="shared" si="22"/>
        <v>3371664.2998027611</v>
      </c>
      <c r="E338" s="28">
        <f t="shared" si="23"/>
        <v>4045997.1597633129</v>
      </c>
      <c r="F338" s="28">
        <f t="shared" si="24"/>
        <v>4720330.0197238652</v>
      </c>
      <c r="G338" s="28">
        <f t="shared" si="25"/>
        <v>5394662.8796844175</v>
      </c>
      <c r="H338" s="28">
        <f t="shared" si="26"/>
        <v>6068995.7396449698</v>
      </c>
      <c r="I338" s="28">
        <f t="shared" si="27"/>
        <v>6743328.5996055221</v>
      </c>
      <c r="J338" s="28">
        <f t="shared" si="28"/>
        <v>7417661.4595660744</v>
      </c>
      <c r="K338" s="28">
        <f t="shared" si="29"/>
        <v>8091994.3195266258</v>
      </c>
      <c r="L338" s="28">
        <f t="shared" si="30"/>
        <v>8766327.1794871781</v>
      </c>
      <c r="M338" s="28">
        <f t="shared" si="31"/>
        <v>9440660.0394477304</v>
      </c>
      <c r="N338" s="28">
        <f t="shared" si="32"/>
        <v>10114992.899408283</v>
      </c>
      <c r="O338" s="28">
        <f t="shared" si="33"/>
        <v>10789325.759368835</v>
      </c>
      <c r="P338" s="28">
        <f t="shared" si="34"/>
        <v>11463658.619329387</v>
      </c>
      <c r="Q338" s="28">
        <f t="shared" si="35"/>
        <v>12137991.47928994</v>
      </c>
      <c r="R338" s="28">
        <f t="shared" si="36"/>
        <v>12812324.339250492</v>
      </c>
      <c r="S338" s="28">
        <f t="shared" si="37"/>
        <v>13486657.199211044</v>
      </c>
      <c r="T338" s="28">
        <f t="shared" si="38"/>
        <v>14160990.059171597</v>
      </c>
      <c r="U338" s="28">
        <f t="shared" si="39"/>
        <v>14835322.919132149</v>
      </c>
      <c r="V338" s="28">
        <f t="shared" si="40"/>
        <v>15509655.779092701</v>
      </c>
      <c r="W338" s="28">
        <f t="shared" si="41"/>
        <v>16183988.639053252</v>
      </c>
    </row>
    <row r="339" spans="1:23" x14ac:dyDescent="0.2">
      <c r="A339" s="28">
        <v>338</v>
      </c>
      <c r="B339" s="28">
        <v>273001.34513274336</v>
      </c>
      <c r="C339" s="28">
        <f t="shared" si="21"/>
        <v>2730013.4513274338</v>
      </c>
      <c r="D339" s="28">
        <f t="shared" si="22"/>
        <v>3412516.8141592923</v>
      </c>
      <c r="E339" s="28">
        <f t="shared" si="23"/>
        <v>4095020.1769911507</v>
      </c>
      <c r="F339" s="28">
        <f t="shared" si="24"/>
        <v>4777523.5398230087</v>
      </c>
      <c r="G339" s="28">
        <f t="shared" si="25"/>
        <v>5460026.9026548676</v>
      </c>
      <c r="H339" s="28">
        <f t="shared" si="26"/>
        <v>6142530.2654867265</v>
      </c>
      <c r="I339" s="28">
        <f t="shared" si="27"/>
        <v>6825033.6283185845</v>
      </c>
      <c r="J339" s="28">
        <f t="shared" si="28"/>
        <v>7507536.9911504425</v>
      </c>
      <c r="K339" s="28">
        <f t="shared" si="29"/>
        <v>8190040.3539823014</v>
      </c>
      <c r="L339" s="28">
        <f t="shared" si="30"/>
        <v>8872543.7168141603</v>
      </c>
      <c r="M339" s="28">
        <f t="shared" si="31"/>
        <v>9555047.0796460174</v>
      </c>
      <c r="N339" s="28">
        <f t="shared" si="32"/>
        <v>10237550.442477876</v>
      </c>
      <c r="O339" s="28">
        <f t="shared" si="33"/>
        <v>10920053.805309735</v>
      </c>
      <c r="P339" s="28">
        <f t="shared" si="34"/>
        <v>11602557.168141594</v>
      </c>
      <c r="Q339" s="28">
        <f t="shared" si="35"/>
        <v>12285060.530973453</v>
      </c>
      <c r="R339" s="28">
        <f t="shared" si="36"/>
        <v>12967563.89380531</v>
      </c>
      <c r="S339" s="28">
        <f t="shared" si="37"/>
        <v>13650067.256637169</v>
      </c>
      <c r="T339" s="28">
        <f t="shared" si="38"/>
        <v>14332570.619469028</v>
      </c>
      <c r="U339" s="28">
        <f t="shared" si="39"/>
        <v>15015073.982300885</v>
      </c>
      <c r="V339" s="28">
        <f t="shared" si="40"/>
        <v>15697577.345132744</v>
      </c>
      <c r="W339" s="28">
        <f t="shared" si="41"/>
        <v>16380080.707964603</v>
      </c>
    </row>
    <row r="340" spans="1:23" x14ac:dyDescent="0.2">
      <c r="A340" s="28">
        <v>339</v>
      </c>
      <c r="B340" s="28">
        <v>276267.44901960786</v>
      </c>
      <c r="C340" s="28">
        <f t="shared" si="21"/>
        <v>2762674.4901960786</v>
      </c>
      <c r="D340" s="28">
        <f t="shared" si="22"/>
        <v>3453343.1127450983</v>
      </c>
      <c r="E340" s="28">
        <f t="shared" si="23"/>
        <v>4144011.7352941176</v>
      </c>
      <c r="F340" s="28">
        <f t="shared" si="24"/>
        <v>4834680.3578431373</v>
      </c>
      <c r="G340" s="28">
        <f t="shared" si="25"/>
        <v>5525348.9803921571</v>
      </c>
      <c r="H340" s="28">
        <f t="shared" si="26"/>
        <v>6216017.6029411769</v>
      </c>
      <c r="I340" s="28">
        <f t="shared" si="27"/>
        <v>6906686.2254901966</v>
      </c>
      <c r="J340" s="28">
        <f t="shared" si="28"/>
        <v>7597354.8480392164</v>
      </c>
      <c r="K340" s="28">
        <f t="shared" si="29"/>
        <v>8288023.4705882352</v>
      </c>
      <c r="L340" s="28">
        <f t="shared" si="30"/>
        <v>8978692.0931372549</v>
      </c>
      <c r="M340" s="28">
        <f t="shared" si="31"/>
        <v>9669360.7156862747</v>
      </c>
      <c r="N340" s="28">
        <f t="shared" si="32"/>
        <v>10360029.338235294</v>
      </c>
      <c r="O340" s="28">
        <f t="shared" si="33"/>
        <v>11050697.960784314</v>
      </c>
      <c r="P340" s="28">
        <f t="shared" si="34"/>
        <v>11741366.583333334</v>
      </c>
      <c r="Q340" s="28">
        <f t="shared" si="35"/>
        <v>12432035.205882354</v>
      </c>
      <c r="R340" s="28">
        <f t="shared" si="36"/>
        <v>13122703.828431373</v>
      </c>
      <c r="S340" s="28">
        <f t="shared" si="37"/>
        <v>13813372.450980393</v>
      </c>
      <c r="T340" s="28">
        <f t="shared" si="38"/>
        <v>14504041.073529413</v>
      </c>
      <c r="U340" s="28">
        <f t="shared" si="39"/>
        <v>15194709.696078433</v>
      </c>
      <c r="V340" s="28">
        <f t="shared" si="40"/>
        <v>15885378.318627452</v>
      </c>
      <c r="W340" s="28">
        <f t="shared" si="41"/>
        <v>16576046.94117647</v>
      </c>
    </row>
    <row r="341" spans="1:23" x14ac:dyDescent="0.2">
      <c r="A341" s="28">
        <v>340</v>
      </c>
      <c r="B341" s="28">
        <v>279606.31476050831</v>
      </c>
      <c r="C341" s="28">
        <f t="shared" si="21"/>
        <v>2796063.147605083</v>
      </c>
      <c r="D341" s="28">
        <f t="shared" si="22"/>
        <v>3495078.9345063539</v>
      </c>
      <c r="E341" s="28">
        <f t="shared" si="23"/>
        <v>4194094.7214076244</v>
      </c>
      <c r="F341" s="28">
        <f t="shared" si="24"/>
        <v>4893110.5083088949</v>
      </c>
      <c r="G341" s="28">
        <f t="shared" si="25"/>
        <v>5592126.2952101659</v>
      </c>
      <c r="H341" s="28">
        <f t="shared" si="26"/>
        <v>6291142.0821114369</v>
      </c>
      <c r="I341" s="28">
        <f t="shared" si="27"/>
        <v>6990157.8690127078</v>
      </c>
      <c r="J341" s="28">
        <f t="shared" si="28"/>
        <v>7689173.6559139779</v>
      </c>
      <c r="K341" s="28">
        <f t="shared" si="29"/>
        <v>8388189.4428152489</v>
      </c>
      <c r="L341" s="28">
        <f t="shared" si="30"/>
        <v>9087205.2297165189</v>
      </c>
      <c r="M341" s="28">
        <f t="shared" si="31"/>
        <v>9786221.0166177899</v>
      </c>
      <c r="N341" s="28">
        <f t="shared" si="32"/>
        <v>10485236.803519061</v>
      </c>
      <c r="O341" s="28">
        <f t="shared" si="33"/>
        <v>11184252.590420332</v>
      </c>
      <c r="P341" s="28">
        <f t="shared" si="34"/>
        <v>11883268.377321603</v>
      </c>
      <c r="Q341" s="28">
        <f t="shared" si="35"/>
        <v>12582284.164222874</v>
      </c>
      <c r="R341" s="28">
        <f t="shared" si="36"/>
        <v>13281299.951124145</v>
      </c>
      <c r="S341" s="28">
        <f t="shared" si="37"/>
        <v>13980315.738025416</v>
      </c>
      <c r="T341" s="28">
        <f t="shared" si="38"/>
        <v>14679331.524926685</v>
      </c>
      <c r="U341" s="28">
        <f t="shared" si="39"/>
        <v>15378347.311827956</v>
      </c>
      <c r="V341" s="28">
        <f t="shared" si="40"/>
        <v>16077363.098729227</v>
      </c>
      <c r="W341" s="28">
        <f t="shared" si="41"/>
        <v>16776378.885630498</v>
      </c>
    </row>
    <row r="342" spans="1:23" x14ac:dyDescent="0.2">
      <c r="A342" s="28">
        <v>341</v>
      </c>
      <c r="B342" s="28">
        <v>282925.65497076022</v>
      </c>
      <c r="C342" s="28">
        <f t="shared" si="21"/>
        <v>2829256.5497076022</v>
      </c>
      <c r="D342" s="28">
        <f t="shared" si="22"/>
        <v>3536570.6871345029</v>
      </c>
      <c r="E342" s="28">
        <f t="shared" si="23"/>
        <v>4243884.8245614031</v>
      </c>
      <c r="F342" s="28">
        <f t="shared" si="24"/>
        <v>4951198.9619883038</v>
      </c>
      <c r="G342" s="28">
        <f t="shared" si="25"/>
        <v>5658513.0994152045</v>
      </c>
      <c r="H342" s="28">
        <f t="shared" si="26"/>
        <v>6365827.2368421052</v>
      </c>
      <c r="I342" s="28">
        <f t="shared" si="27"/>
        <v>7073141.3742690058</v>
      </c>
      <c r="J342" s="28">
        <f t="shared" si="28"/>
        <v>7780455.5116959065</v>
      </c>
      <c r="K342" s="28">
        <f t="shared" si="29"/>
        <v>8487769.6491228063</v>
      </c>
      <c r="L342" s="28">
        <f t="shared" si="30"/>
        <v>9195083.7865497079</v>
      </c>
      <c r="M342" s="28">
        <f t="shared" si="31"/>
        <v>9902397.9239766076</v>
      </c>
      <c r="N342" s="28">
        <f t="shared" si="32"/>
        <v>10609712.061403509</v>
      </c>
      <c r="O342" s="28">
        <f t="shared" si="33"/>
        <v>11317026.198830409</v>
      </c>
      <c r="P342" s="28">
        <f t="shared" si="34"/>
        <v>12024340.336257309</v>
      </c>
      <c r="Q342" s="28">
        <f t="shared" si="35"/>
        <v>12731654.47368421</v>
      </c>
      <c r="R342" s="28">
        <f t="shared" si="36"/>
        <v>13438968.61111111</v>
      </c>
      <c r="S342" s="28">
        <f t="shared" si="37"/>
        <v>14146282.748538012</v>
      </c>
      <c r="T342" s="28">
        <f t="shared" si="38"/>
        <v>14853596.885964911</v>
      </c>
      <c r="U342" s="28">
        <f t="shared" si="39"/>
        <v>15560911.023391813</v>
      </c>
      <c r="V342" s="28">
        <f t="shared" si="40"/>
        <v>16268225.160818713</v>
      </c>
      <c r="W342" s="28">
        <f t="shared" si="41"/>
        <v>16975539.298245613</v>
      </c>
    </row>
    <row r="343" spans="1:23" x14ac:dyDescent="0.2">
      <c r="A343" s="28">
        <v>342</v>
      </c>
      <c r="B343" s="28">
        <v>286335.86588921282</v>
      </c>
      <c r="C343" s="28">
        <f t="shared" si="21"/>
        <v>2863358.6588921282</v>
      </c>
      <c r="D343" s="28">
        <f t="shared" si="22"/>
        <v>3579198.3236151603</v>
      </c>
      <c r="E343" s="28">
        <f t="shared" si="23"/>
        <v>4295037.988338192</v>
      </c>
      <c r="F343" s="28">
        <f t="shared" si="24"/>
        <v>5010877.6530612241</v>
      </c>
      <c r="G343" s="28">
        <f t="shared" si="25"/>
        <v>5726717.3177842563</v>
      </c>
      <c r="H343" s="28">
        <f t="shared" si="26"/>
        <v>6442556.9825072885</v>
      </c>
      <c r="I343" s="28">
        <f t="shared" si="27"/>
        <v>7158396.6472303206</v>
      </c>
      <c r="J343" s="28">
        <f t="shared" si="28"/>
        <v>7874236.3119533528</v>
      </c>
      <c r="K343" s="28">
        <f t="shared" si="29"/>
        <v>8590075.976676384</v>
      </c>
      <c r="L343" s="28">
        <f t="shared" si="30"/>
        <v>9305915.6413994171</v>
      </c>
      <c r="M343" s="28">
        <f t="shared" si="31"/>
        <v>10021755.306122448</v>
      </c>
      <c r="N343" s="28">
        <f t="shared" si="32"/>
        <v>10737594.970845481</v>
      </c>
      <c r="O343" s="28">
        <f t="shared" si="33"/>
        <v>11453434.635568513</v>
      </c>
      <c r="P343" s="28">
        <f t="shared" si="34"/>
        <v>12169274.300291544</v>
      </c>
      <c r="Q343" s="28">
        <f t="shared" si="35"/>
        <v>12885113.965014577</v>
      </c>
      <c r="R343" s="28">
        <f t="shared" si="36"/>
        <v>13600953.629737608</v>
      </c>
      <c r="S343" s="28">
        <f t="shared" si="37"/>
        <v>14316793.294460641</v>
      </c>
      <c r="T343" s="28">
        <f t="shared" si="38"/>
        <v>15032632.959183672</v>
      </c>
      <c r="U343" s="28">
        <f t="shared" si="39"/>
        <v>15748472.623906706</v>
      </c>
      <c r="V343" s="28">
        <f t="shared" si="40"/>
        <v>16464312.288629737</v>
      </c>
      <c r="W343" s="28">
        <f t="shared" si="41"/>
        <v>17180151.953352768</v>
      </c>
    </row>
    <row r="344" spans="1:23" x14ac:dyDescent="0.2">
      <c r="A344" s="28">
        <v>343</v>
      </c>
      <c r="B344" s="28">
        <v>289726.25</v>
      </c>
      <c r="C344" s="28">
        <f t="shared" si="21"/>
        <v>2897262.5</v>
      </c>
      <c r="D344" s="28">
        <f t="shared" si="22"/>
        <v>3621578.125</v>
      </c>
      <c r="E344" s="28">
        <f t="shared" si="23"/>
        <v>4345893.75</v>
      </c>
      <c r="F344" s="28">
        <f t="shared" si="24"/>
        <v>5070209.375</v>
      </c>
      <c r="G344" s="28">
        <f t="shared" si="25"/>
        <v>5794525</v>
      </c>
      <c r="H344" s="28">
        <f t="shared" si="26"/>
        <v>6518840.625</v>
      </c>
      <c r="I344" s="28">
        <f t="shared" si="27"/>
        <v>7243156.25</v>
      </c>
      <c r="J344" s="28">
        <f t="shared" si="28"/>
        <v>7967471.875</v>
      </c>
      <c r="K344" s="28">
        <f t="shared" si="29"/>
        <v>8691787.5</v>
      </c>
      <c r="L344" s="28">
        <f t="shared" si="30"/>
        <v>9416103.125</v>
      </c>
      <c r="M344" s="28">
        <f t="shared" si="31"/>
        <v>10140418.75</v>
      </c>
      <c r="N344" s="28">
        <f t="shared" si="32"/>
        <v>10864734.375</v>
      </c>
      <c r="O344" s="28">
        <f t="shared" si="33"/>
        <v>11589050</v>
      </c>
      <c r="P344" s="28">
        <f t="shared" si="34"/>
        <v>12313365.625</v>
      </c>
      <c r="Q344" s="28">
        <f t="shared" si="35"/>
        <v>13037681.25</v>
      </c>
      <c r="R344" s="28">
        <f t="shared" si="36"/>
        <v>13761996.875</v>
      </c>
      <c r="S344" s="28">
        <f t="shared" si="37"/>
        <v>14486312.5</v>
      </c>
      <c r="T344" s="28">
        <f t="shared" si="38"/>
        <v>15210628.125</v>
      </c>
      <c r="U344" s="28">
        <f t="shared" si="39"/>
        <v>15934943.75</v>
      </c>
      <c r="V344" s="28">
        <f t="shared" si="40"/>
        <v>16659259.375</v>
      </c>
      <c r="W344" s="28">
        <f t="shared" si="41"/>
        <v>17383575</v>
      </c>
    </row>
    <row r="345" spans="1:23" x14ac:dyDescent="0.2">
      <c r="A345" s="28">
        <v>344</v>
      </c>
      <c r="B345" s="28">
        <v>293191.99420289852</v>
      </c>
      <c r="C345" s="28">
        <f t="shared" si="21"/>
        <v>2931919.9420289854</v>
      </c>
      <c r="D345" s="28">
        <f t="shared" si="22"/>
        <v>3664899.9275362315</v>
      </c>
      <c r="E345" s="28">
        <f t="shared" si="23"/>
        <v>4397879.9130434785</v>
      </c>
      <c r="F345" s="28">
        <f t="shared" si="24"/>
        <v>5130859.8985507246</v>
      </c>
      <c r="G345" s="28">
        <f t="shared" si="25"/>
        <v>5863839.8840579707</v>
      </c>
      <c r="H345" s="28">
        <f t="shared" si="26"/>
        <v>6596819.8695652168</v>
      </c>
      <c r="I345" s="28">
        <f t="shared" si="27"/>
        <v>7329799.8550724629</v>
      </c>
      <c r="J345" s="28">
        <f t="shared" si="28"/>
        <v>8062779.84057971</v>
      </c>
      <c r="K345" s="28">
        <f t="shared" si="29"/>
        <v>8795759.826086957</v>
      </c>
      <c r="L345" s="28">
        <f t="shared" si="30"/>
        <v>9528739.8115942031</v>
      </c>
      <c r="M345" s="28">
        <f t="shared" si="31"/>
        <v>10261719.797101449</v>
      </c>
      <c r="N345" s="28">
        <f t="shared" si="32"/>
        <v>10994699.782608695</v>
      </c>
      <c r="O345" s="28">
        <f t="shared" si="33"/>
        <v>11727679.768115941</v>
      </c>
      <c r="P345" s="28">
        <f t="shared" si="34"/>
        <v>12460659.753623188</v>
      </c>
      <c r="Q345" s="28">
        <f t="shared" si="35"/>
        <v>13193639.739130434</v>
      </c>
      <c r="R345" s="28">
        <f t="shared" si="36"/>
        <v>13926619.72463768</v>
      </c>
      <c r="S345" s="28">
        <f t="shared" si="37"/>
        <v>14659599.710144926</v>
      </c>
      <c r="T345" s="28">
        <f t="shared" si="38"/>
        <v>15392579.695652174</v>
      </c>
      <c r="U345" s="28">
        <f t="shared" si="39"/>
        <v>16125559.68115942</v>
      </c>
      <c r="V345" s="28">
        <f t="shared" si="40"/>
        <v>16858539.666666664</v>
      </c>
      <c r="W345" s="28">
        <f t="shared" si="41"/>
        <v>17591519.652173914</v>
      </c>
    </row>
    <row r="346" spans="1:23" x14ac:dyDescent="0.2">
      <c r="A346" s="28">
        <v>345</v>
      </c>
      <c r="B346" s="28">
        <v>296655.57996146439</v>
      </c>
      <c r="C346" s="28">
        <f t="shared" si="21"/>
        <v>2966555.7996146437</v>
      </c>
      <c r="D346" s="28">
        <f t="shared" si="22"/>
        <v>3708194.7495183046</v>
      </c>
      <c r="E346" s="28">
        <f t="shared" si="23"/>
        <v>4449833.6994219655</v>
      </c>
      <c r="F346" s="28">
        <f t="shared" si="24"/>
        <v>5191472.649325626</v>
      </c>
      <c r="G346" s="28">
        <f t="shared" si="25"/>
        <v>5933111.5992292874</v>
      </c>
      <c r="H346" s="28">
        <f t="shared" si="26"/>
        <v>6674750.5491329487</v>
      </c>
      <c r="I346" s="28">
        <f t="shared" si="27"/>
        <v>7416389.4990366092</v>
      </c>
      <c r="J346" s="28">
        <f t="shared" si="28"/>
        <v>8158028.4489402696</v>
      </c>
      <c r="K346" s="28">
        <f t="shared" si="29"/>
        <v>8899667.398843931</v>
      </c>
      <c r="L346" s="28">
        <f t="shared" si="30"/>
        <v>9641306.3487475924</v>
      </c>
      <c r="M346" s="28">
        <f t="shared" si="31"/>
        <v>10382945.298651252</v>
      </c>
      <c r="N346" s="28">
        <f t="shared" si="32"/>
        <v>11124584.248554913</v>
      </c>
      <c r="O346" s="28">
        <f t="shared" si="33"/>
        <v>11866223.198458575</v>
      </c>
      <c r="P346" s="28">
        <f t="shared" si="34"/>
        <v>12607862.148362236</v>
      </c>
      <c r="Q346" s="28">
        <f t="shared" si="35"/>
        <v>13349501.098265897</v>
      </c>
      <c r="R346" s="28">
        <f t="shared" si="36"/>
        <v>14091140.048169557</v>
      </c>
      <c r="S346" s="28">
        <f t="shared" si="37"/>
        <v>14832778.998073218</v>
      </c>
      <c r="T346" s="28">
        <f t="shared" si="38"/>
        <v>15574417.94797688</v>
      </c>
      <c r="U346" s="28">
        <f t="shared" si="39"/>
        <v>16316056.897880539</v>
      </c>
      <c r="V346" s="28">
        <f t="shared" si="40"/>
        <v>17057695.847784203</v>
      </c>
      <c r="W346" s="28">
        <f t="shared" si="41"/>
        <v>17799334.797687862</v>
      </c>
    </row>
    <row r="347" spans="1:23" x14ac:dyDescent="0.2">
      <c r="A347" s="28">
        <v>346</v>
      </c>
      <c r="B347" s="28">
        <v>300193.66954851104</v>
      </c>
      <c r="C347" s="28">
        <f t="shared" si="21"/>
        <v>3001936.6954851104</v>
      </c>
      <c r="D347" s="28">
        <f t="shared" si="22"/>
        <v>3752420.8693563882</v>
      </c>
      <c r="E347" s="28">
        <f t="shared" si="23"/>
        <v>4502905.0432276651</v>
      </c>
      <c r="F347" s="28">
        <f t="shared" si="24"/>
        <v>5253389.217098943</v>
      </c>
      <c r="G347" s="28">
        <f t="shared" si="25"/>
        <v>6003873.3909702208</v>
      </c>
      <c r="H347" s="28">
        <f t="shared" si="26"/>
        <v>6754357.5648414986</v>
      </c>
      <c r="I347" s="28">
        <f t="shared" si="27"/>
        <v>7504841.7387127765</v>
      </c>
      <c r="J347" s="28">
        <f t="shared" si="28"/>
        <v>8255325.9125840534</v>
      </c>
      <c r="K347" s="28">
        <f t="shared" si="29"/>
        <v>9005810.0864553303</v>
      </c>
      <c r="L347" s="28">
        <f t="shared" si="30"/>
        <v>9756294.260326609</v>
      </c>
      <c r="M347" s="28">
        <f t="shared" si="31"/>
        <v>10506778.434197886</v>
      </c>
      <c r="N347" s="28">
        <f t="shared" si="32"/>
        <v>11257262.608069165</v>
      </c>
      <c r="O347" s="28">
        <f t="shared" si="33"/>
        <v>12007746.781940442</v>
      </c>
      <c r="P347" s="28">
        <f t="shared" si="34"/>
        <v>12758230.955811718</v>
      </c>
      <c r="Q347" s="28">
        <f t="shared" si="35"/>
        <v>13508715.129682997</v>
      </c>
      <c r="R347" s="28">
        <f t="shared" si="36"/>
        <v>14259199.303554274</v>
      </c>
      <c r="S347" s="28">
        <f t="shared" si="37"/>
        <v>15009683.477425553</v>
      </c>
      <c r="T347" s="28">
        <f t="shared" si="38"/>
        <v>15760167.65129683</v>
      </c>
      <c r="U347" s="28">
        <f t="shared" si="39"/>
        <v>16510651.825168107</v>
      </c>
      <c r="V347" s="28">
        <f t="shared" si="40"/>
        <v>17261135.999039385</v>
      </c>
      <c r="W347" s="28">
        <f t="shared" si="41"/>
        <v>18011620.172910661</v>
      </c>
    </row>
    <row r="348" spans="1:23" x14ac:dyDescent="0.2">
      <c r="A348" s="28">
        <v>347</v>
      </c>
      <c r="B348" s="28">
        <v>303711.42528735631</v>
      </c>
      <c r="C348" s="28">
        <f t="shared" si="21"/>
        <v>3037114.2528735632</v>
      </c>
      <c r="D348" s="28">
        <f t="shared" si="22"/>
        <v>3796392.8160919538</v>
      </c>
      <c r="E348" s="28">
        <f t="shared" si="23"/>
        <v>4555671.3793103453</v>
      </c>
      <c r="F348" s="28">
        <f t="shared" si="24"/>
        <v>5314949.9425287358</v>
      </c>
      <c r="G348" s="28">
        <f t="shared" si="25"/>
        <v>6074228.5057471264</v>
      </c>
      <c r="H348" s="28">
        <f t="shared" si="26"/>
        <v>6833507.068965517</v>
      </c>
      <c r="I348" s="28">
        <f t="shared" si="27"/>
        <v>7592785.6321839076</v>
      </c>
      <c r="J348" s="28">
        <f t="shared" si="28"/>
        <v>8352064.1954022991</v>
      </c>
      <c r="K348" s="28">
        <f t="shared" si="29"/>
        <v>9111342.7586206906</v>
      </c>
      <c r="L348" s="28">
        <f t="shared" si="30"/>
        <v>9870621.3218390811</v>
      </c>
      <c r="M348" s="28">
        <f t="shared" si="31"/>
        <v>10629899.885057472</v>
      </c>
      <c r="N348" s="28">
        <f t="shared" si="32"/>
        <v>11389178.448275862</v>
      </c>
      <c r="O348" s="28">
        <f t="shared" si="33"/>
        <v>12148457.011494253</v>
      </c>
      <c r="P348" s="28">
        <f t="shared" si="34"/>
        <v>12907735.574712643</v>
      </c>
      <c r="Q348" s="28">
        <f t="shared" si="35"/>
        <v>13667014.137931034</v>
      </c>
      <c r="R348" s="28">
        <f t="shared" si="36"/>
        <v>14426292.701149425</v>
      </c>
      <c r="S348" s="28">
        <f t="shared" si="37"/>
        <v>15185571.264367815</v>
      </c>
      <c r="T348" s="28">
        <f t="shared" si="38"/>
        <v>15944849.827586208</v>
      </c>
      <c r="U348" s="28">
        <f t="shared" si="39"/>
        <v>16704128.390804598</v>
      </c>
      <c r="V348" s="28">
        <f t="shared" si="40"/>
        <v>17463406.954022989</v>
      </c>
      <c r="W348" s="28">
        <f t="shared" si="41"/>
        <v>18222685.517241381</v>
      </c>
    </row>
    <row r="349" spans="1:23" x14ac:dyDescent="0.2">
      <c r="A349" s="28">
        <v>348</v>
      </c>
      <c r="B349" s="28">
        <v>307325.75549188157</v>
      </c>
      <c r="C349" s="28">
        <f t="shared" si="21"/>
        <v>3073257.5549188158</v>
      </c>
      <c r="D349" s="28">
        <f t="shared" si="22"/>
        <v>3841571.9436485199</v>
      </c>
      <c r="E349" s="28">
        <f t="shared" si="23"/>
        <v>4609886.3323782235</v>
      </c>
      <c r="F349" s="28">
        <f t="shared" si="24"/>
        <v>5378200.7211079281</v>
      </c>
      <c r="G349" s="28">
        <f t="shared" si="25"/>
        <v>6146515.1098376317</v>
      </c>
      <c r="H349" s="28">
        <f t="shared" si="26"/>
        <v>6914829.4985673353</v>
      </c>
      <c r="I349" s="28">
        <f t="shared" si="27"/>
        <v>7683143.8872970399</v>
      </c>
      <c r="J349" s="28">
        <f t="shared" si="28"/>
        <v>8451458.2760267444</v>
      </c>
      <c r="K349" s="28">
        <f t="shared" si="29"/>
        <v>9219772.6647564471</v>
      </c>
      <c r="L349" s="28">
        <f t="shared" si="30"/>
        <v>9988087.0534861516</v>
      </c>
      <c r="M349" s="28">
        <f t="shared" si="31"/>
        <v>10756401.442215856</v>
      </c>
      <c r="N349" s="28">
        <f t="shared" si="32"/>
        <v>11524715.830945559</v>
      </c>
      <c r="O349" s="28">
        <f t="shared" si="33"/>
        <v>12293030.219675263</v>
      </c>
      <c r="P349" s="28">
        <f t="shared" si="34"/>
        <v>13061344.608404968</v>
      </c>
      <c r="Q349" s="28">
        <f t="shared" si="35"/>
        <v>13829658.997134671</v>
      </c>
      <c r="R349" s="28">
        <f t="shared" si="36"/>
        <v>14597973.385864375</v>
      </c>
      <c r="S349" s="28">
        <f t="shared" si="37"/>
        <v>15366287.77459408</v>
      </c>
      <c r="T349" s="28">
        <f t="shared" si="38"/>
        <v>16134602.163323782</v>
      </c>
      <c r="U349" s="28">
        <f t="shared" si="39"/>
        <v>16902916.552053489</v>
      </c>
      <c r="V349" s="28">
        <f t="shared" si="40"/>
        <v>17671230.940783191</v>
      </c>
      <c r="W349" s="28">
        <f t="shared" si="41"/>
        <v>18439545.329512894</v>
      </c>
    </row>
    <row r="350" spans="1:23" x14ac:dyDescent="0.2">
      <c r="A350" s="28">
        <v>349</v>
      </c>
      <c r="B350" s="28">
        <v>310919.43238095241</v>
      </c>
      <c r="C350" s="28">
        <f t="shared" si="21"/>
        <v>3109194.3238095241</v>
      </c>
      <c r="D350" s="28">
        <f t="shared" si="22"/>
        <v>3886492.9047619049</v>
      </c>
      <c r="E350" s="28">
        <f t="shared" si="23"/>
        <v>4663791.4857142866</v>
      </c>
      <c r="F350" s="28">
        <f t="shared" si="24"/>
        <v>5441090.0666666673</v>
      </c>
      <c r="G350" s="28">
        <f t="shared" si="25"/>
        <v>6218388.6476190481</v>
      </c>
      <c r="H350" s="28">
        <f t="shared" si="26"/>
        <v>6995687.2285714289</v>
      </c>
      <c r="I350" s="28">
        <f t="shared" si="27"/>
        <v>7772985.8095238097</v>
      </c>
      <c r="J350" s="28">
        <f t="shared" si="28"/>
        <v>8550284.3904761914</v>
      </c>
      <c r="K350" s="28">
        <f t="shared" si="29"/>
        <v>9327582.9714285731</v>
      </c>
      <c r="L350" s="28">
        <f t="shared" si="30"/>
        <v>10104881.552380953</v>
      </c>
      <c r="M350" s="28">
        <f t="shared" si="31"/>
        <v>10882180.133333335</v>
      </c>
      <c r="N350" s="28">
        <f t="shared" si="32"/>
        <v>11659478.714285715</v>
      </c>
      <c r="O350" s="28">
        <f t="shared" si="33"/>
        <v>12436777.295238096</v>
      </c>
      <c r="P350" s="28">
        <f t="shared" si="34"/>
        <v>13214075.876190478</v>
      </c>
      <c r="Q350" s="28">
        <f t="shared" si="35"/>
        <v>13991374.457142858</v>
      </c>
      <c r="R350" s="28">
        <f t="shared" si="36"/>
        <v>14768673.03809524</v>
      </c>
      <c r="S350" s="28">
        <f t="shared" si="37"/>
        <v>15545971.619047619</v>
      </c>
      <c r="T350" s="28">
        <f t="shared" si="38"/>
        <v>16323270.200000001</v>
      </c>
      <c r="U350" s="28">
        <f t="shared" si="39"/>
        <v>17100568.780952383</v>
      </c>
      <c r="V350" s="28">
        <f t="shared" si="40"/>
        <v>17877867.361904763</v>
      </c>
      <c r="W350" s="28">
        <f t="shared" si="41"/>
        <v>18655165.942857146</v>
      </c>
    </row>
    <row r="351" spans="1:23" x14ac:dyDescent="0.2">
      <c r="A351" s="28">
        <v>350</v>
      </c>
      <c r="B351" s="28">
        <v>314590.22981956316</v>
      </c>
      <c r="C351" s="28">
        <f t="shared" si="21"/>
        <v>3145902.2981956317</v>
      </c>
      <c r="D351" s="28">
        <f t="shared" si="22"/>
        <v>3932377.8727445398</v>
      </c>
      <c r="E351" s="28">
        <f t="shared" si="23"/>
        <v>4718853.4472934473</v>
      </c>
      <c r="F351" s="28">
        <f t="shared" si="24"/>
        <v>5505329.0218423558</v>
      </c>
      <c r="G351" s="28">
        <f t="shared" si="25"/>
        <v>6291804.5963912634</v>
      </c>
      <c r="H351" s="28">
        <f t="shared" si="26"/>
        <v>7078280.170940171</v>
      </c>
      <c r="I351" s="28">
        <f t="shared" si="27"/>
        <v>7864755.7454890795</v>
      </c>
      <c r="J351" s="28">
        <f t="shared" si="28"/>
        <v>8651231.3200379871</v>
      </c>
      <c r="K351" s="28">
        <f t="shared" si="29"/>
        <v>9437706.8945868947</v>
      </c>
      <c r="L351" s="28">
        <f t="shared" si="30"/>
        <v>10224182.469135802</v>
      </c>
      <c r="M351" s="28">
        <f t="shared" si="31"/>
        <v>11010658.043684712</v>
      </c>
      <c r="N351" s="28">
        <f t="shared" si="32"/>
        <v>11797133.618233619</v>
      </c>
      <c r="O351" s="28">
        <f t="shared" si="33"/>
        <v>12583609.192782527</v>
      </c>
      <c r="P351" s="28">
        <f t="shared" si="34"/>
        <v>13370084.767331434</v>
      </c>
      <c r="Q351" s="28">
        <f t="shared" si="35"/>
        <v>14156560.341880342</v>
      </c>
      <c r="R351" s="28">
        <f t="shared" si="36"/>
        <v>14943035.916429251</v>
      </c>
      <c r="S351" s="28">
        <f t="shared" si="37"/>
        <v>15729511.490978159</v>
      </c>
      <c r="T351" s="28">
        <f t="shared" si="38"/>
        <v>16515987.065527067</v>
      </c>
      <c r="U351" s="28">
        <f t="shared" si="39"/>
        <v>17302462.640075974</v>
      </c>
      <c r="V351" s="28">
        <f t="shared" si="40"/>
        <v>18088938.214624882</v>
      </c>
      <c r="W351" s="28">
        <f t="shared" si="41"/>
        <v>18875413.789173789</v>
      </c>
    </row>
    <row r="352" spans="1:23" x14ac:dyDescent="0.2">
      <c r="A352" s="28">
        <v>351</v>
      </c>
      <c r="B352" s="28">
        <v>318258.8276515152</v>
      </c>
      <c r="C352" s="28">
        <f t="shared" si="21"/>
        <v>3182588.2765151518</v>
      </c>
      <c r="D352" s="28">
        <f t="shared" si="22"/>
        <v>3978235.3456439399</v>
      </c>
      <c r="E352" s="28">
        <f t="shared" si="23"/>
        <v>4773882.4147727275</v>
      </c>
      <c r="F352" s="28">
        <f t="shared" si="24"/>
        <v>5569529.4839015156</v>
      </c>
      <c r="G352" s="28">
        <f t="shared" si="25"/>
        <v>6365176.5530303037</v>
      </c>
      <c r="H352" s="28">
        <f t="shared" si="26"/>
        <v>7160823.6221590918</v>
      </c>
      <c r="I352" s="28">
        <f t="shared" si="27"/>
        <v>7956470.6912878798</v>
      </c>
      <c r="J352" s="28">
        <f t="shared" si="28"/>
        <v>8752117.7604166679</v>
      </c>
      <c r="K352" s="28">
        <f t="shared" si="29"/>
        <v>9547764.8295454551</v>
      </c>
      <c r="L352" s="28">
        <f t="shared" si="30"/>
        <v>10343411.898674244</v>
      </c>
      <c r="M352" s="28">
        <f t="shared" si="31"/>
        <v>11139058.967803031</v>
      </c>
      <c r="N352" s="28">
        <f t="shared" si="32"/>
        <v>11934706.03693182</v>
      </c>
      <c r="O352" s="28">
        <f t="shared" si="33"/>
        <v>12730353.106060607</v>
      </c>
      <c r="P352" s="28">
        <f t="shared" si="34"/>
        <v>13526000.175189395</v>
      </c>
      <c r="Q352" s="28">
        <f t="shared" si="35"/>
        <v>14321647.244318184</v>
      </c>
      <c r="R352" s="28">
        <f t="shared" si="36"/>
        <v>15117294.313446971</v>
      </c>
      <c r="S352" s="28">
        <f t="shared" si="37"/>
        <v>15912941.38257576</v>
      </c>
      <c r="T352" s="28">
        <f t="shared" si="38"/>
        <v>16708588.451704547</v>
      </c>
      <c r="U352" s="28">
        <f t="shared" si="39"/>
        <v>17504235.520833336</v>
      </c>
      <c r="V352" s="28">
        <f t="shared" si="40"/>
        <v>18299882.589962125</v>
      </c>
      <c r="W352" s="28">
        <f t="shared" si="41"/>
        <v>19095529.65909091</v>
      </c>
    </row>
    <row r="353" spans="1:23" x14ac:dyDescent="0.2">
      <c r="A353" s="28">
        <v>352</v>
      </c>
      <c r="B353" s="28">
        <v>322007.21246458922</v>
      </c>
      <c r="C353" s="28">
        <f t="shared" si="21"/>
        <v>3220072.1246458921</v>
      </c>
      <c r="D353" s="28">
        <f t="shared" si="22"/>
        <v>4025090.1558073652</v>
      </c>
      <c r="E353" s="28">
        <f t="shared" si="23"/>
        <v>4830108.1869688379</v>
      </c>
      <c r="F353" s="28">
        <f t="shared" si="24"/>
        <v>5635126.218130311</v>
      </c>
      <c r="G353" s="28">
        <f t="shared" si="25"/>
        <v>6440144.2492917841</v>
      </c>
      <c r="H353" s="28">
        <f t="shared" si="26"/>
        <v>7245162.2804532573</v>
      </c>
      <c r="I353" s="28">
        <f t="shared" si="27"/>
        <v>8050180.3116147304</v>
      </c>
      <c r="J353" s="28">
        <f t="shared" si="28"/>
        <v>8855198.3427762035</v>
      </c>
      <c r="K353" s="28">
        <f t="shared" si="29"/>
        <v>9660216.3739376757</v>
      </c>
      <c r="L353" s="28">
        <f t="shared" si="30"/>
        <v>10465234.40509915</v>
      </c>
      <c r="M353" s="28">
        <f t="shared" si="31"/>
        <v>11270252.436260622</v>
      </c>
      <c r="N353" s="28">
        <f t="shared" si="32"/>
        <v>12075270.467422096</v>
      </c>
      <c r="O353" s="28">
        <f t="shared" si="33"/>
        <v>12880288.498583568</v>
      </c>
      <c r="P353" s="28">
        <f t="shared" si="34"/>
        <v>13685306.52974504</v>
      </c>
      <c r="Q353" s="28">
        <f t="shared" si="35"/>
        <v>14490324.560906515</v>
      </c>
      <c r="R353" s="28">
        <f t="shared" si="36"/>
        <v>15295342.592067987</v>
      </c>
      <c r="S353" s="28">
        <f t="shared" si="37"/>
        <v>16100360.623229461</v>
      </c>
      <c r="T353" s="28">
        <f t="shared" si="38"/>
        <v>16905378.654390935</v>
      </c>
      <c r="U353" s="28">
        <f t="shared" si="39"/>
        <v>17710396.685552407</v>
      </c>
      <c r="V353" s="28">
        <f t="shared" si="40"/>
        <v>18515414.716713879</v>
      </c>
      <c r="W353" s="28">
        <f t="shared" si="41"/>
        <v>19320432.747875351</v>
      </c>
    </row>
    <row r="354" spans="1:23" x14ac:dyDescent="0.2">
      <c r="A354" s="28">
        <v>353</v>
      </c>
      <c r="B354" s="28">
        <v>325734.41996233526</v>
      </c>
      <c r="C354" s="28">
        <f t="shared" si="21"/>
        <v>3257344.1996233528</v>
      </c>
      <c r="D354" s="28">
        <f t="shared" si="22"/>
        <v>4071680.2495291913</v>
      </c>
      <c r="E354" s="28">
        <f t="shared" si="23"/>
        <v>4886016.2994350288</v>
      </c>
      <c r="F354" s="28">
        <f t="shared" si="24"/>
        <v>5700352.3493408673</v>
      </c>
      <c r="G354" s="28">
        <f t="shared" si="25"/>
        <v>6514688.3992467057</v>
      </c>
      <c r="H354" s="28">
        <f t="shared" si="26"/>
        <v>7329024.4491525441</v>
      </c>
      <c r="I354" s="28">
        <f t="shared" si="27"/>
        <v>8143360.4990583826</v>
      </c>
      <c r="J354" s="28">
        <f t="shared" si="28"/>
        <v>8957696.548964221</v>
      </c>
      <c r="K354" s="28">
        <f t="shared" si="29"/>
        <v>9772032.5988700576</v>
      </c>
      <c r="L354" s="28">
        <f t="shared" si="30"/>
        <v>10586368.648775896</v>
      </c>
      <c r="M354" s="28">
        <f t="shared" si="31"/>
        <v>11400704.698681735</v>
      </c>
      <c r="N354" s="28">
        <f t="shared" si="32"/>
        <v>12215040.748587573</v>
      </c>
      <c r="O354" s="28">
        <f t="shared" si="33"/>
        <v>13029376.798493411</v>
      </c>
      <c r="P354" s="28">
        <f t="shared" si="34"/>
        <v>13843712.84839925</v>
      </c>
      <c r="Q354" s="28">
        <f t="shared" si="35"/>
        <v>14658048.898305088</v>
      </c>
      <c r="R354" s="28">
        <f t="shared" si="36"/>
        <v>15472384.948210927</v>
      </c>
      <c r="S354" s="28">
        <f t="shared" si="37"/>
        <v>16286720.998116765</v>
      </c>
      <c r="T354" s="28">
        <f t="shared" si="38"/>
        <v>17101057.048022602</v>
      </c>
      <c r="U354" s="28">
        <f t="shared" si="39"/>
        <v>17915393.097928442</v>
      </c>
      <c r="V354" s="28">
        <f t="shared" si="40"/>
        <v>18729729.147834279</v>
      </c>
      <c r="W354" s="28">
        <f t="shared" si="41"/>
        <v>19544065.197740115</v>
      </c>
    </row>
    <row r="355" spans="1:23" x14ac:dyDescent="0.2">
      <c r="A355" s="28">
        <v>354</v>
      </c>
      <c r="B355" s="28">
        <v>329560.81690140849</v>
      </c>
      <c r="C355" s="28">
        <f t="shared" si="21"/>
        <v>3295608.1690140851</v>
      </c>
      <c r="D355" s="28">
        <f t="shared" si="22"/>
        <v>4119510.2112676064</v>
      </c>
      <c r="E355" s="28">
        <f t="shared" si="23"/>
        <v>4943412.2535211276</v>
      </c>
      <c r="F355" s="28">
        <f t="shared" si="24"/>
        <v>5767314.2957746489</v>
      </c>
      <c r="G355" s="28">
        <f t="shared" si="25"/>
        <v>6591216.3380281702</v>
      </c>
      <c r="H355" s="28">
        <f t="shared" si="26"/>
        <v>7415118.3802816914</v>
      </c>
      <c r="I355" s="28">
        <f t="shared" si="27"/>
        <v>8239020.4225352127</v>
      </c>
      <c r="J355" s="28">
        <f t="shared" si="28"/>
        <v>9062922.4647887349</v>
      </c>
      <c r="K355" s="28">
        <f t="shared" si="29"/>
        <v>9886824.5070422553</v>
      </c>
      <c r="L355" s="28">
        <f t="shared" si="30"/>
        <v>10710726.549295776</v>
      </c>
      <c r="M355" s="28">
        <f t="shared" si="31"/>
        <v>11534628.591549298</v>
      </c>
      <c r="N355" s="28">
        <f t="shared" si="32"/>
        <v>12358530.63380282</v>
      </c>
      <c r="O355" s="28">
        <f t="shared" si="33"/>
        <v>13182432.67605634</v>
      </c>
      <c r="P355" s="28">
        <f t="shared" si="34"/>
        <v>14006334.718309861</v>
      </c>
      <c r="Q355" s="28">
        <f t="shared" si="35"/>
        <v>14830236.760563383</v>
      </c>
      <c r="R355" s="28">
        <f t="shared" si="36"/>
        <v>15654138.802816905</v>
      </c>
      <c r="S355" s="28">
        <f t="shared" si="37"/>
        <v>16478040.845070425</v>
      </c>
      <c r="T355" s="28">
        <f t="shared" si="38"/>
        <v>17301942.887323946</v>
      </c>
      <c r="U355" s="28">
        <f t="shared" si="39"/>
        <v>18125844.92957747</v>
      </c>
      <c r="V355" s="28">
        <f t="shared" si="40"/>
        <v>18949746.97183099</v>
      </c>
      <c r="W355" s="28">
        <f t="shared" si="41"/>
        <v>19773649.014084511</v>
      </c>
    </row>
    <row r="356" spans="1:23" x14ac:dyDescent="0.2">
      <c r="A356" s="28">
        <v>355</v>
      </c>
      <c r="B356" s="28">
        <v>333365.71722846443</v>
      </c>
      <c r="C356" s="28">
        <f t="shared" si="21"/>
        <v>3333657.1722846441</v>
      </c>
      <c r="D356" s="28">
        <f t="shared" si="22"/>
        <v>4167071.4653558051</v>
      </c>
      <c r="E356" s="28">
        <f t="shared" si="23"/>
        <v>5000485.7584269661</v>
      </c>
      <c r="F356" s="28">
        <f t="shared" si="24"/>
        <v>5833900.0514981272</v>
      </c>
      <c r="G356" s="28">
        <f t="shared" si="25"/>
        <v>6667314.3445692882</v>
      </c>
      <c r="H356" s="28">
        <f t="shared" si="26"/>
        <v>7500728.6376404492</v>
      </c>
      <c r="I356" s="28">
        <f t="shared" si="27"/>
        <v>8334142.9307116102</v>
      </c>
      <c r="J356" s="28">
        <f t="shared" si="28"/>
        <v>9167557.2237827703</v>
      </c>
      <c r="K356" s="28">
        <f t="shared" si="29"/>
        <v>10000971.516853932</v>
      </c>
      <c r="L356" s="28">
        <f t="shared" si="30"/>
        <v>10834385.809925094</v>
      </c>
      <c r="M356" s="28">
        <f t="shared" si="31"/>
        <v>11667800.102996254</v>
      </c>
      <c r="N356" s="28">
        <f t="shared" si="32"/>
        <v>12501214.396067414</v>
      </c>
      <c r="O356" s="28">
        <f t="shared" si="33"/>
        <v>13334628.689138576</v>
      </c>
      <c r="P356" s="28">
        <f t="shared" si="34"/>
        <v>14168042.982209738</v>
      </c>
      <c r="Q356" s="28">
        <f t="shared" si="35"/>
        <v>15001457.275280898</v>
      </c>
      <c r="R356" s="28">
        <f t="shared" si="36"/>
        <v>15834871.568352059</v>
      </c>
      <c r="S356" s="28">
        <f t="shared" si="37"/>
        <v>16668285.86142322</v>
      </c>
      <c r="T356" s="28">
        <f t="shared" si="38"/>
        <v>17501700.154494382</v>
      </c>
      <c r="U356" s="28">
        <f t="shared" si="39"/>
        <v>18335114.447565541</v>
      </c>
      <c r="V356" s="28">
        <f t="shared" si="40"/>
        <v>19168528.740636703</v>
      </c>
      <c r="W356" s="28">
        <f t="shared" si="41"/>
        <v>20001943.033707865</v>
      </c>
    </row>
    <row r="357" spans="1:23" x14ac:dyDescent="0.2">
      <c r="A357" s="28">
        <v>356</v>
      </c>
      <c r="B357" s="28">
        <v>337253.07002801116</v>
      </c>
      <c r="C357" s="28">
        <f t="shared" si="21"/>
        <v>3372530.7002801117</v>
      </c>
      <c r="D357" s="28">
        <f t="shared" si="22"/>
        <v>4215663.37535014</v>
      </c>
      <c r="E357" s="28">
        <f t="shared" si="23"/>
        <v>5058796.0504201679</v>
      </c>
      <c r="F357" s="28">
        <f t="shared" si="24"/>
        <v>5901928.7254901957</v>
      </c>
      <c r="G357" s="28">
        <f t="shared" si="25"/>
        <v>6745061.4005602235</v>
      </c>
      <c r="H357" s="28">
        <f t="shared" si="26"/>
        <v>7588194.0756302513</v>
      </c>
      <c r="I357" s="28">
        <f t="shared" si="27"/>
        <v>8431326.7507002801</v>
      </c>
      <c r="J357" s="28">
        <f t="shared" si="28"/>
        <v>9274459.425770307</v>
      </c>
      <c r="K357" s="28">
        <f t="shared" si="29"/>
        <v>10117592.100840336</v>
      </c>
      <c r="L357" s="28">
        <f t="shared" si="30"/>
        <v>10960724.775910363</v>
      </c>
      <c r="M357" s="28">
        <f t="shared" si="31"/>
        <v>11803857.450980391</v>
      </c>
      <c r="N357" s="28">
        <f t="shared" si="32"/>
        <v>12646990.126050418</v>
      </c>
      <c r="O357" s="28">
        <f t="shared" si="33"/>
        <v>13490122.801120447</v>
      </c>
      <c r="P357" s="28">
        <f t="shared" si="34"/>
        <v>14333255.476190476</v>
      </c>
      <c r="Q357" s="28">
        <f t="shared" si="35"/>
        <v>15176388.151260503</v>
      </c>
      <c r="R357" s="28">
        <f t="shared" si="36"/>
        <v>16019520.826330531</v>
      </c>
      <c r="S357" s="28">
        <f t="shared" si="37"/>
        <v>16862653.50140056</v>
      </c>
      <c r="T357" s="28">
        <f t="shared" si="38"/>
        <v>17705786.176470585</v>
      </c>
      <c r="U357" s="28">
        <f t="shared" si="39"/>
        <v>18548918.851540614</v>
      </c>
      <c r="V357" s="28">
        <f t="shared" si="40"/>
        <v>19392051.526610643</v>
      </c>
      <c r="W357" s="28">
        <f t="shared" si="41"/>
        <v>20235184.201680671</v>
      </c>
    </row>
    <row r="358" spans="1:23" x14ac:dyDescent="0.2">
      <c r="A358" s="28">
        <v>357</v>
      </c>
      <c r="B358" s="28">
        <v>341137.88454376161</v>
      </c>
      <c r="C358" s="28">
        <f t="shared" si="21"/>
        <v>3411378.8454376161</v>
      </c>
      <c r="D358" s="28">
        <f t="shared" si="22"/>
        <v>4264223.5567970201</v>
      </c>
      <c r="E358" s="28">
        <f t="shared" si="23"/>
        <v>5117068.2681564242</v>
      </c>
      <c r="F358" s="28">
        <f t="shared" si="24"/>
        <v>5969912.9795158282</v>
      </c>
      <c r="G358" s="28">
        <f t="shared" si="25"/>
        <v>6822757.6908752322</v>
      </c>
      <c r="H358" s="28">
        <f t="shared" si="26"/>
        <v>7675602.4022346362</v>
      </c>
      <c r="I358" s="28">
        <f t="shared" si="27"/>
        <v>8528447.1135940403</v>
      </c>
      <c r="J358" s="28">
        <f t="shared" si="28"/>
        <v>9381291.8249534443</v>
      </c>
      <c r="K358" s="28">
        <f t="shared" si="29"/>
        <v>10234136.536312848</v>
      </c>
      <c r="L358" s="28">
        <f t="shared" si="30"/>
        <v>11086981.247672252</v>
      </c>
      <c r="M358" s="28">
        <f t="shared" si="31"/>
        <v>11939825.959031656</v>
      </c>
      <c r="N358" s="28">
        <f t="shared" si="32"/>
        <v>12792670.67039106</v>
      </c>
      <c r="O358" s="28">
        <f t="shared" si="33"/>
        <v>13645515.381750464</v>
      </c>
      <c r="P358" s="28">
        <f t="shared" si="34"/>
        <v>14498360.093109868</v>
      </c>
      <c r="Q358" s="28">
        <f t="shared" si="35"/>
        <v>15351204.804469272</v>
      </c>
      <c r="R358" s="28">
        <f t="shared" si="36"/>
        <v>16204049.515828677</v>
      </c>
      <c r="S358" s="28">
        <f t="shared" si="37"/>
        <v>17056894.227188081</v>
      </c>
      <c r="T358" s="28">
        <f t="shared" si="38"/>
        <v>17909738.938547485</v>
      </c>
      <c r="U358" s="28">
        <f t="shared" si="39"/>
        <v>18762583.649906889</v>
      </c>
      <c r="V358" s="28">
        <f t="shared" si="40"/>
        <v>19615428.361266293</v>
      </c>
      <c r="W358" s="28">
        <f t="shared" si="41"/>
        <v>20468273.072625697</v>
      </c>
    </row>
    <row r="359" spans="1:23" x14ac:dyDescent="0.2">
      <c r="A359" s="28">
        <v>358</v>
      </c>
      <c r="B359" s="28">
        <v>345104.2469823584</v>
      </c>
      <c r="C359" s="28">
        <f t="shared" si="21"/>
        <v>3451042.469823584</v>
      </c>
      <c r="D359" s="28">
        <f t="shared" si="22"/>
        <v>4313803.08727948</v>
      </c>
      <c r="E359" s="28">
        <f t="shared" si="23"/>
        <v>5176563.7047353759</v>
      </c>
      <c r="F359" s="28">
        <f t="shared" si="24"/>
        <v>6039324.3221912719</v>
      </c>
      <c r="G359" s="28">
        <f t="shared" si="25"/>
        <v>6902084.9396471679</v>
      </c>
      <c r="H359" s="28">
        <f t="shared" si="26"/>
        <v>7764845.5571030639</v>
      </c>
      <c r="I359" s="28">
        <f t="shared" si="27"/>
        <v>8627606.1745589599</v>
      </c>
      <c r="J359" s="28">
        <f t="shared" si="28"/>
        <v>9490366.7920148559</v>
      </c>
      <c r="K359" s="28">
        <f t="shared" si="29"/>
        <v>10353127.409470752</v>
      </c>
      <c r="L359" s="28">
        <f t="shared" si="30"/>
        <v>11215888.026926648</v>
      </c>
      <c r="M359" s="28">
        <f t="shared" si="31"/>
        <v>12078648.644382544</v>
      </c>
      <c r="N359" s="28">
        <f t="shared" si="32"/>
        <v>12941409.26183844</v>
      </c>
      <c r="O359" s="28">
        <f t="shared" si="33"/>
        <v>13804169.879294336</v>
      </c>
      <c r="P359" s="28">
        <f t="shared" si="34"/>
        <v>14666930.496750232</v>
      </c>
      <c r="Q359" s="28">
        <f t="shared" si="35"/>
        <v>15529691.114206128</v>
      </c>
      <c r="R359" s="28">
        <f t="shared" si="36"/>
        <v>16392451.731662024</v>
      </c>
      <c r="S359" s="28">
        <f t="shared" si="37"/>
        <v>17255212.34911792</v>
      </c>
      <c r="T359" s="28">
        <f t="shared" si="38"/>
        <v>18117972.966573816</v>
      </c>
      <c r="U359" s="28">
        <f t="shared" si="39"/>
        <v>18980733.584029712</v>
      </c>
      <c r="V359" s="28">
        <f t="shared" si="40"/>
        <v>19843494.201485608</v>
      </c>
      <c r="W359" s="28">
        <f t="shared" si="41"/>
        <v>20706254.818941504</v>
      </c>
    </row>
    <row r="360" spans="1:23" x14ac:dyDescent="0.2">
      <c r="A360" s="28">
        <v>359</v>
      </c>
      <c r="B360" s="28">
        <v>349048.5740740741</v>
      </c>
      <c r="C360" s="28">
        <f t="shared" si="21"/>
        <v>3490485.7407407411</v>
      </c>
      <c r="D360" s="28">
        <f t="shared" si="22"/>
        <v>4363107.1759259263</v>
      </c>
      <c r="E360" s="28">
        <f t="shared" si="23"/>
        <v>5235728.6111111119</v>
      </c>
      <c r="F360" s="28">
        <f t="shared" si="24"/>
        <v>6108350.0462962966</v>
      </c>
      <c r="G360" s="28">
        <f t="shared" si="25"/>
        <v>6980971.4814814823</v>
      </c>
      <c r="H360" s="28">
        <f t="shared" si="26"/>
        <v>7853592.9166666679</v>
      </c>
      <c r="I360" s="28">
        <f t="shared" si="27"/>
        <v>8726214.3518518526</v>
      </c>
      <c r="J360" s="28">
        <f t="shared" si="28"/>
        <v>9598835.7870370373</v>
      </c>
      <c r="K360" s="28">
        <f t="shared" si="29"/>
        <v>10471457.222222224</v>
      </c>
      <c r="L360" s="28">
        <f t="shared" si="30"/>
        <v>11344078.657407409</v>
      </c>
      <c r="M360" s="28">
        <f t="shared" si="31"/>
        <v>12216700.092592593</v>
      </c>
      <c r="N360" s="28">
        <f t="shared" si="32"/>
        <v>13089321.52777778</v>
      </c>
      <c r="O360" s="28">
        <f t="shared" si="33"/>
        <v>13961942.962962965</v>
      </c>
      <c r="P360" s="28">
        <f t="shared" si="34"/>
        <v>14834564.398148149</v>
      </c>
      <c r="Q360" s="28">
        <f t="shared" si="35"/>
        <v>15707185.833333336</v>
      </c>
      <c r="R360" s="28">
        <f t="shared" si="36"/>
        <v>16579807.268518521</v>
      </c>
      <c r="S360" s="28">
        <f t="shared" si="37"/>
        <v>17452428.703703705</v>
      </c>
      <c r="T360" s="28">
        <f t="shared" si="38"/>
        <v>18325050.138888892</v>
      </c>
      <c r="U360" s="28">
        <f t="shared" si="39"/>
        <v>19197671.574074075</v>
      </c>
      <c r="V360" s="28">
        <f t="shared" si="40"/>
        <v>20070293.009259261</v>
      </c>
      <c r="W360" s="28">
        <f t="shared" si="41"/>
        <v>20942914.444444448</v>
      </c>
    </row>
    <row r="361" spans="1:23" x14ac:dyDescent="0.2">
      <c r="A361" s="28">
        <v>360</v>
      </c>
      <c r="B361" s="28">
        <v>353098.47460757155</v>
      </c>
      <c r="C361" s="28">
        <f t="shared" si="21"/>
        <v>3530984.7460757154</v>
      </c>
      <c r="D361" s="28">
        <f t="shared" si="22"/>
        <v>4413730.9325946439</v>
      </c>
      <c r="E361" s="28">
        <f t="shared" si="23"/>
        <v>5296477.1191135729</v>
      </c>
      <c r="F361" s="28">
        <f t="shared" si="24"/>
        <v>6179223.3056325018</v>
      </c>
      <c r="G361" s="28">
        <f t="shared" si="25"/>
        <v>7061969.4921514308</v>
      </c>
      <c r="H361" s="28">
        <f t="shared" si="26"/>
        <v>7944715.6786703598</v>
      </c>
      <c r="I361" s="28">
        <f t="shared" si="27"/>
        <v>8827461.8651892878</v>
      </c>
      <c r="J361" s="28">
        <f t="shared" si="28"/>
        <v>9710208.0517082177</v>
      </c>
      <c r="K361" s="28">
        <f t="shared" si="29"/>
        <v>10592954.238227146</v>
      </c>
      <c r="L361" s="28">
        <f t="shared" si="30"/>
        <v>11475700.424746076</v>
      </c>
      <c r="M361" s="28">
        <f t="shared" si="31"/>
        <v>12358446.611265004</v>
      </c>
      <c r="N361" s="28">
        <f t="shared" si="32"/>
        <v>13241192.797783934</v>
      </c>
      <c r="O361" s="28">
        <f t="shared" si="33"/>
        <v>14123938.984302862</v>
      </c>
      <c r="P361" s="28">
        <f t="shared" si="34"/>
        <v>15006685.17082179</v>
      </c>
      <c r="Q361" s="28">
        <f t="shared" si="35"/>
        <v>15889431.35734072</v>
      </c>
      <c r="R361" s="28">
        <f t="shared" si="36"/>
        <v>16772177.543859648</v>
      </c>
      <c r="S361" s="28">
        <f t="shared" si="37"/>
        <v>17654923.730378576</v>
      </c>
      <c r="T361" s="28">
        <f t="shared" si="38"/>
        <v>18537669.916897506</v>
      </c>
      <c r="U361" s="28">
        <f t="shared" si="39"/>
        <v>19420416.103416435</v>
      </c>
      <c r="V361" s="28">
        <f t="shared" si="40"/>
        <v>20303162.289935365</v>
      </c>
      <c r="W361" s="28">
        <f t="shared" si="41"/>
        <v>21185908.476454291</v>
      </c>
    </row>
    <row r="362" spans="1:23" x14ac:dyDescent="0.2">
      <c r="A362" s="28">
        <v>361</v>
      </c>
      <c r="B362" s="28">
        <v>357126</v>
      </c>
      <c r="C362" s="28">
        <f t="shared" si="21"/>
        <v>3571260</v>
      </c>
      <c r="D362" s="28">
        <f t="shared" si="22"/>
        <v>4464075</v>
      </c>
      <c r="E362" s="28">
        <f t="shared" si="23"/>
        <v>5356890</v>
      </c>
      <c r="F362" s="28">
        <f t="shared" si="24"/>
        <v>6249705</v>
      </c>
      <c r="G362" s="28">
        <f t="shared" si="25"/>
        <v>7142520</v>
      </c>
      <c r="H362" s="28">
        <f t="shared" si="26"/>
        <v>8035335</v>
      </c>
      <c r="I362" s="28">
        <f t="shared" si="27"/>
        <v>8928150</v>
      </c>
      <c r="J362" s="28">
        <f t="shared" si="28"/>
        <v>9820965</v>
      </c>
      <c r="K362" s="28">
        <f t="shared" si="29"/>
        <v>10713780</v>
      </c>
      <c r="L362" s="28">
        <f t="shared" si="30"/>
        <v>11606595</v>
      </c>
      <c r="M362" s="28">
        <f t="shared" si="31"/>
        <v>12499410</v>
      </c>
      <c r="N362" s="28">
        <f t="shared" si="32"/>
        <v>13392225</v>
      </c>
      <c r="O362" s="28">
        <f t="shared" si="33"/>
        <v>14285040</v>
      </c>
      <c r="P362" s="28">
        <f t="shared" si="34"/>
        <v>15177855</v>
      </c>
      <c r="Q362" s="28">
        <f t="shared" si="35"/>
        <v>16070670</v>
      </c>
      <c r="R362" s="28">
        <f t="shared" si="36"/>
        <v>16963485</v>
      </c>
      <c r="S362" s="28">
        <f t="shared" si="37"/>
        <v>17856300</v>
      </c>
      <c r="T362" s="28">
        <f t="shared" si="38"/>
        <v>18749115</v>
      </c>
      <c r="U362" s="28">
        <f t="shared" si="39"/>
        <v>19641930</v>
      </c>
      <c r="V362" s="28">
        <f t="shared" si="40"/>
        <v>20534745</v>
      </c>
      <c r="W362" s="28">
        <f t="shared" si="41"/>
        <v>21427560</v>
      </c>
    </row>
    <row r="363" spans="1:23" x14ac:dyDescent="0.2">
      <c r="A363" s="28">
        <v>362</v>
      </c>
      <c r="B363" s="28">
        <v>361237.97979797982</v>
      </c>
      <c r="C363" s="28">
        <f t="shared" si="21"/>
        <v>3612379.7979797982</v>
      </c>
      <c r="D363" s="28">
        <f t="shared" si="22"/>
        <v>4515474.7474747477</v>
      </c>
      <c r="E363" s="28">
        <f t="shared" si="23"/>
        <v>5418569.6969696973</v>
      </c>
      <c r="F363" s="28">
        <f t="shared" si="24"/>
        <v>6321664.6464646468</v>
      </c>
      <c r="G363" s="28">
        <f t="shared" si="25"/>
        <v>7224759.5959595963</v>
      </c>
      <c r="H363" s="28">
        <f t="shared" si="26"/>
        <v>8127854.5454545459</v>
      </c>
      <c r="I363" s="28">
        <f t="shared" si="27"/>
        <v>9030949.4949494954</v>
      </c>
      <c r="J363" s="28">
        <f t="shared" si="28"/>
        <v>9934044.444444444</v>
      </c>
      <c r="K363" s="28">
        <f t="shared" si="29"/>
        <v>10837139.393939395</v>
      </c>
      <c r="L363" s="28">
        <f t="shared" si="30"/>
        <v>11740234.343434345</v>
      </c>
      <c r="M363" s="28">
        <f t="shared" si="31"/>
        <v>12643329.292929294</v>
      </c>
      <c r="N363" s="28">
        <f t="shared" si="32"/>
        <v>13546424.242424242</v>
      </c>
      <c r="O363" s="28">
        <f t="shared" si="33"/>
        <v>14449519.191919193</v>
      </c>
      <c r="P363" s="28">
        <f t="shared" si="34"/>
        <v>15352614.141414143</v>
      </c>
      <c r="Q363" s="28">
        <f t="shared" si="35"/>
        <v>16255709.090909092</v>
      </c>
      <c r="R363" s="28">
        <f t="shared" si="36"/>
        <v>17158804.04040404</v>
      </c>
      <c r="S363" s="28">
        <f t="shared" si="37"/>
        <v>18061898.989898991</v>
      </c>
      <c r="T363" s="28">
        <f t="shared" si="38"/>
        <v>18964993.939393941</v>
      </c>
      <c r="U363" s="28">
        <f t="shared" si="39"/>
        <v>19868088.888888888</v>
      </c>
      <c r="V363" s="28">
        <f t="shared" si="40"/>
        <v>20771183.838383839</v>
      </c>
      <c r="W363" s="28">
        <f t="shared" si="41"/>
        <v>21674278.787878789</v>
      </c>
    </row>
    <row r="364" spans="1:23" x14ac:dyDescent="0.2">
      <c r="A364" s="28">
        <v>363</v>
      </c>
      <c r="B364" s="28">
        <v>365347.39010989008</v>
      </c>
      <c r="C364" s="28">
        <f t="shared" si="21"/>
        <v>3653473.9010989009</v>
      </c>
      <c r="D364" s="28">
        <f t="shared" si="22"/>
        <v>4566842.3763736263</v>
      </c>
      <c r="E364" s="28">
        <f t="shared" si="23"/>
        <v>5480210.8516483512</v>
      </c>
      <c r="F364" s="28">
        <f t="shared" si="24"/>
        <v>6393579.326923077</v>
      </c>
      <c r="G364" s="28">
        <f t="shared" si="25"/>
        <v>7306947.8021978019</v>
      </c>
      <c r="H364" s="28">
        <f t="shared" si="26"/>
        <v>8220316.2774725268</v>
      </c>
      <c r="I364" s="28">
        <f t="shared" si="27"/>
        <v>9133684.7527472526</v>
      </c>
      <c r="J364" s="28">
        <f t="shared" si="28"/>
        <v>10047053.228021977</v>
      </c>
      <c r="K364" s="28">
        <f t="shared" si="29"/>
        <v>10960421.703296702</v>
      </c>
      <c r="L364" s="28">
        <f t="shared" si="30"/>
        <v>11873790.178571427</v>
      </c>
      <c r="M364" s="28">
        <f t="shared" si="31"/>
        <v>12787158.653846154</v>
      </c>
      <c r="N364" s="28">
        <f t="shared" si="32"/>
        <v>13700527.129120879</v>
      </c>
      <c r="O364" s="28">
        <f t="shared" si="33"/>
        <v>14613895.604395604</v>
      </c>
      <c r="P364" s="28">
        <f t="shared" si="34"/>
        <v>15527264.079670329</v>
      </c>
      <c r="Q364" s="28">
        <f t="shared" si="35"/>
        <v>16440632.554945054</v>
      </c>
      <c r="R364" s="28">
        <f t="shared" si="36"/>
        <v>17354001.030219778</v>
      </c>
      <c r="S364" s="28">
        <f t="shared" si="37"/>
        <v>18267369.505494505</v>
      </c>
      <c r="T364" s="28">
        <f t="shared" si="38"/>
        <v>19180737.980769228</v>
      </c>
      <c r="U364" s="28">
        <f t="shared" si="39"/>
        <v>20094106.456043955</v>
      </c>
      <c r="V364" s="28">
        <f t="shared" si="40"/>
        <v>21007474.931318682</v>
      </c>
      <c r="W364" s="28">
        <f t="shared" si="41"/>
        <v>21920843.406593405</v>
      </c>
    </row>
    <row r="365" spans="1:23" x14ac:dyDescent="0.2">
      <c r="A365" s="28">
        <v>364</v>
      </c>
      <c r="B365" s="28">
        <v>369544.00913242012</v>
      </c>
      <c r="C365" s="28">
        <f t="shared" si="21"/>
        <v>3695440.0913242013</v>
      </c>
      <c r="D365" s="28">
        <f t="shared" si="22"/>
        <v>4619300.1141552515</v>
      </c>
      <c r="E365" s="28">
        <f t="shared" si="23"/>
        <v>5543160.1369863022</v>
      </c>
      <c r="F365" s="28">
        <f t="shared" si="24"/>
        <v>6467020.159817352</v>
      </c>
      <c r="G365" s="28">
        <f t="shared" si="25"/>
        <v>7390880.1826484026</v>
      </c>
      <c r="H365" s="28">
        <f t="shared" si="26"/>
        <v>8314740.2054794533</v>
      </c>
      <c r="I365" s="28">
        <f t="shared" si="27"/>
        <v>9238600.2283105031</v>
      </c>
      <c r="J365" s="28">
        <f t="shared" si="28"/>
        <v>10162460.251141554</v>
      </c>
      <c r="K365" s="28">
        <f t="shared" si="29"/>
        <v>11086320.273972604</v>
      </c>
      <c r="L365" s="28">
        <f t="shared" si="30"/>
        <v>12010180.296803655</v>
      </c>
      <c r="M365" s="28">
        <f t="shared" si="31"/>
        <v>12934040.319634704</v>
      </c>
      <c r="N365" s="28">
        <f t="shared" si="32"/>
        <v>13857900.342465755</v>
      </c>
      <c r="O365" s="28">
        <f t="shared" si="33"/>
        <v>14781760.365296805</v>
      </c>
      <c r="P365" s="28">
        <f t="shared" si="34"/>
        <v>15705620.388127856</v>
      </c>
      <c r="Q365" s="28">
        <f t="shared" si="35"/>
        <v>16629480.410958907</v>
      </c>
      <c r="R365" s="28">
        <f t="shared" si="36"/>
        <v>17553340.433789957</v>
      </c>
      <c r="S365" s="28">
        <f t="shared" si="37"/>
        <v>18477200.456621006</v>
      </c>
      <c r="T365" s="28">
        <f t="shared" si="38"/>
        <v>19401060.479452059</v>
      </c>
      <c r="U365" s="28">
        <f t="shared" si="39"/>
        <v>20324920.502283107</v>
      </c>
      <c r="V365" s="28">
        <f t="shared" si="40"/>
        <v>21248780.525114156</v>
      </c>
      <c r="W365" s="28">
        <f t="shared" si="41"/>
        <v>22172640.547945209</v>
      </c>
    </row>
    <row r="366" spans="1:23" x14ac:dyDescent="0.2">
      <c r="A366" s="28">
        <v>365</v>
      </c>
      <c r="B366" s="28">
        <v>373717.69581056462</v>
      </c>
      <c r="C366" s="28">
        <f t="shared" si="21"/>
        <v>3737176.9581056461</v>
      </c>
      <c r="D366" s="28">
        <f t="shared" si="22"/>
        <v>4671471.1976320576</v>
      </c>
      <c r="E366" s="28">
        <f t="shared" si="23"/>
        <v>5605765.4371584691</v>
      </c>
      <c r="F366" s="28">
        <f t="shared" si="24"/>
        <v>6540059.6766848806</v>
      </c>
      <c r="G366" s="28">
        <f t="shared" si="25"/>
        <v>7474353.9162112921</v>
      </c>
      <c r="H366" s="28">
        <f t="shared" si="26"/>
        <v>8408648.1557377037</v>
      </c>
      <c r="I366" s="28">
        <f t="shared" si="27"/>
        <v>9342942.3952641152</v>
      </c>
      <c r="J366" s="28">
        <f t="shared" si="28"/>
        <v>10277236.634790527</v>
      </c>
      <c r="K366" s="28">
        <f t="shared" si="29"/>
        <v>11211530.874316938</v>
      </c>
      <c r="L366" s="28">
        <f t="shared" si="30"/>
        <v>12145825.11384335</v>
      </c>
      <c r="M366" s="28">
        <f t="shared" si="31"/>
        <v>13080119.353369761</v>
      </c>
      <c r="N366" s="28">
        <f t="shared" si="32"/>
        <v>14014413.592896173</v>
      </c>
      <c r="O366" s="28">
        <f t="shared" si="33"/>
        <v>14948707.832422584</v>
      </c>
      <c r="P366" s="28">
        <f t="shared" si="34"/>
        <v>15883002.071948996</v>
      </c>
      <c r="Q366" s="28">
        <f t="shared" si="35"/>
        <v>16817296.311475407</v>
      </c>
      <c r="R366" s="28">
        <f t="shared" si="36"/>
        <v>17751590.551001817</v>
      </c>
      <c r="S366" s="28">
        <f t="shared" si="37"/>
        <v>18685884.79052823</v>
      </c>
      <c r="T366" s="28">
        <f t="shared" si="38"/>
        <v>19620179.030054644</v>
      </c>
      <c r="U366" s="28">
        <f t="shared" si="39"/>
        <v>20554473.269581053</v>
      </c>
      <c r="V366" s="28">
        <f t="shared" si="40"/>
        <v>21488767.509107463</v>
      </c>
      <c r="W366" s="28">
        <f t="shared" si="41"/>
        <v>22423061.748633876</v>
      </c>
    </row>
    <row r="367" spans="1:23" x14ac:dyDescent="0.2">
      <c r="A367" s="28">
        <v>366</v>
      </c>
      <c r="B367" s="28">
        <v>377999.42052679381</v>
      </c>
      <c r="C367" s="28">
        <f t="shared" si="21"/>
        <v>3779994.2052679379</v>
      </c>
      <c r="D367" s="28">
        <f t="shared" si="22"/>
        <v>4724992.7565849219</v>
      </c>
      <c r="E367" s="28">
        <f t="shared" si="23"/>
        <v>5669991.3079019068</v>
      </c>
      <c r="F367" s="28">
        <f t="shared" si="24"/>
        <v>6614989.8592188917</v>
      </c>
      <c r="G367" s="28">
        <f t="shared" si="25"/>
        <v>7559988.4105358757</v>
      </c>
      <c r="H367" s="28">
        <f t="shared" si="26"/>
        <v>8504986.9618528597</v>
      </c>
      <c r="I367" s="28">
        <f t="shared" si="27"/>
        <v>9449985.5131698437</v>
      </c>
      <c r="J367" s="28">
        <f t="shared" si="28"/>
        <v>10394984.06448683</v>
      </c>
      <c r="K367" s="28">
        <f t="shared" si="29"/>
        <v>11339982.615803814</v>
      </c>
      <c r="L367" s="28">
        <f t="shared" si="30"/>
        <v>12284981.167120798</v>
      </c>
      <c r="M367" s="28">
        <f t="shared" si="31"/>
        <v>13229979.718437783</v>
      </c>
      <c r="N367" s="28">
        <f t="shared" si="32"/>
        <v>14174978.269754767</v>
      </c>
      <c r="O367" s="28">
        <f t="shared" si="33"/>
        <v>15119976.821071751</v>
      </c>
      <c r="P367" s="28">
        <f t="shared" si="34"/>
        <v>16064975.372388735</v>
      </c>
      <c r="Q367" s="28">
        <f t="shared" si="35"/>
        <v>17009973.923705719</v>
      </c>
      <c r="R367" s="28">
        <f t="shared" si="36"/>
        <v>17954972.475022703</v>
      </c>
      <c r="S367" s="28">
        <f t="shared" si="37"/>
        <v>18899971.026339687</v>
      </c>
      <c r="T367" s="28">
        <f t="shared" si="38"/>
        <v>19844969.577656675</v>
      </c>
      <c r="U367" s="28">
        <f t="shared" si="39"/>
        <v>20789968.128973659</v>
      </c>
      <c r="V367" s="28">
        <f t="shared" si="40"/>
        <v>21734966.680290643</v>
      </c>
      <c r="W367" s="28">
        <f t="shared" si="41"/>
        <v>22679965.231607627</v>
      </c>
    </row>
    <row r="368" spans="1:23" x14ac:dyDescent="0.2">
      <c r="A368" s="28">
        <v>367</v>
      </c>
      <c r="B368" s="28">
        <v>382257.875</v>
      </c>
      <c r="C368" s="28">
        <f t="shared" si="21"/>
        <v>3822578.75</v>
      </c>
      <c r="D368" s="28">
        <f t="shared" si="22"/>
        <v>4778223.4375</v>
      </c>
      <c r="E368" s="28">
        <f t="shared" si="23"/>
        <v>5733868.125</v>
      </c>
      <c r="F368" s="28">
        <f t="shared" si="24"/>
        <v>6689512.8125</v>
      </c>
      <c r="G368" s="28">
        <f t="shared" si="25"/>
        <v>7645157.5</v>
      </c>
      <c r="H368" s="28">
        <f t="shared" si="26"/>
        <v>8600802.1875</v>
      </c>
      <c r="I368" s="28">
        <f t="shared" si="27"/>
        <v>9556446.875</v>
      </c>
      <c r="J368" s="28">
        <f t="shared" si="28"/>
        <v>10512091.5625</v>
      </c>
      <c r="K368" s="28">
        <f t="shared" si="29"/>
        <v>11467736.25</v>
      </c>
      <c r="L368" s="28">
        <f t="shared" si="30"/>
        <v>12423380.9375</v>
      </c>
      <c r="M368" s="28">
        <f t="shared" si="31"/>
        <v>13379025.625</v>
      </c>
      <c r="N368" s="28">
        <f t="shared" si="32"/>
        <v>14334670.3125</v>
      </c>
      <c r="O368" s="28">
        <f t="shared" si="33"/>
        <v>15290315</v>
      </c>
      <c r="P368" s="28">
        <f t="shared" si="34"/>
        <v>16245959.6875</v>
      </c>
      <c r="Q368" s="28">
        <f t="shared" si="35"/>
        <v>17201604.375</v>
      </c>
      <c r="R368" s="28">
        <f t="shared" si="36"/>
        <v>18157249.0625</v>
      </c>
      <c r="S368" s="28">
        <f t="shared" si="37"/>
        <v>19112893.75</v>
      </c>
      <c r="T368" s="28">
        <f t="shared" si="38"/>
        <v>20068538.4375</v>
      </c>
      <c r="U368" s="28">
        <f t="shared" si="39"/>
        <v>21024183.125</v>
      </c>
      <c r="V368" s="28">
        <f t="shared" si="40"/>
        <v>21979827.8125</v>
      </c>
      <c r="W368" s="28">
        <f t="shared" si="41"/>
        <v>22935472.5</v>
      </c>
    </row>
    <row r="369" spans="1:23" x14ac:dyDescent="0.2">
      <c r="A369" s="28">
        <v>368</v>
      </c>
      <c r="B369" s="28">
        <v>386606.50587172539</v>
      </c>
      <c r="C369" s="28">
        <f t="shared" si="21"/>
        <v>3866065.0587172536</v>
      </c>
      <c r="D369" s="28">
        <f t="shared" si="22"/>
        <v>4832581.3233965673</v>
      </c>
      <c r="E369" s="28">
        <f t="shared" si="23"/>
        <v>5799097.58807588</v>
      </c>
      <c r="F369" s="28">
        <f t="shared" si="24"/>
        <v>6765613.8527551936</v>
      </c>
      <c r="G369" s="28">
        <f t="shared" si="25"/>
        <v>7732130.1174345072</v>
      </c>
      <c r="H369" s="28">
        <f t="shared" si="26"/>
        <v>8698646.3821138199</v>
      </c>
      <c r="I369" s="28">
        <f t="shared" si="27"/>
        <v>9665162.6467931345</v>
      </c>
      <c r="J369" s="28">
        <f t="shared" si="28"/>
        <v>10631678.911472447</v>
      </c>
      <c r="K369" s="28">
        <f t="shared" si="29"/>
        <v>11598195.17615176</v>
      </c>
      <c r="L369" s="28">
        <f t="shared" si="30"/>
        <v>12564711.440831074</v>
      </c>
      <c r="M369" s="28">
        <f t="shared" si="31"/>
        <v>13531227.705510387</v>
      </c>
      <c r="N369" s="28">
        <f t="shared" si="32"/>
        <v>14497743.970189702</v>
      </c>
      <c r="O369" s="28">
        <f t="shared" si="33"/>
        <v>15464260.234869014</v>
      </c>
      <c r="P369" s="28">
        <f t="shared" si="34"/>
        <v>16430776.499548327</v>
      </c>
      <c r="Q369" s="28">
        <f t="shared" si="35"/>
        <v>17397292.76422764</v>
      </c>
      <c r="R369" s="28">
        <f t="shared" si="36"/>
        <v>18363809.028906956</v>
      </c>
      <c r="S369" s="28">
        <f t="shared" si="37"/>
        <v>19330325.293586269</v>
      </c>
      <c r="T369" s="28">
        <f t="shared" si="38"/>
        <v>20296841.558265582</v>
      </c>
      <c r="U369" s="28">
        <f t="shared" si="39"/>
        <v>21263357.822944894</v>
      </c>
      <c r="V369" s="28">
        <f t="shared" si="40"/>
        <v>22229874.087624207</v>
      </c>
      <c r="W369" s="28">
        <f t="shared" si="41"/>
        <v>23196390.35230352</v>
      </c>
    </row>
    <row r="370" spans="1:23" x14ac:dyDescent="0.2">
      <c r="A370" s="28">
        <v>369</v>
      </c>
      <c r="B370" s="28">
        <v>390952.47027027025</v>
      </c>
      <c r="C370" s="28">
        <f t="shared" si="21"/>
        <v>3909524.7027027025</v>
      </c>
      <c r="D370" s="28">
        <f t="shared" si="22"/>
        <v>4886905.8783783782</v>
      </c>
      <c r="E370" s="28">
        <f t="shared" si="23"/>
        <v>5864287.0540540535</v>
      </c>
      <c r="F370" s="28">
        <f t="shared" si="24"/>
        <v>6841668.2297297297</v>
      </c>
      <c r="G370" s="28">
        <f t="shared" si="25"/>
        <v>7819049.405405405</v>
      </c>
      <c r="H370" s="28">
        <f t="shared" si="26"/>
        <v>8796430.5810810812</v>
      </c>
      <c r="I370" s="28">
        <f t="shared" si="27"/>
        <v>9773811.7567567565</v>
      </c>
      <c r="J370" s="28">
        <f t="shared" si="28"/>
        <v>10751192.932432432</v>
      </c>
      <c r="K370" s="28">
        <f t="shared" si="29"/>
        <v>11728574.108108107</v>
      </c>
      <c r="L370" s="28">
        <f t="shared" si="30"/>
        <v>12705955.283783782</v>
      </c>
      <c r="M370" s="28">
        <f t="shared" si="31"/>
        <v>13683336.459459459</v>
      </c>
      <c r="N370" s="28">
        <f t="shared" si="32"/>
        <v>14660717.635135135</v>
      </c>
      <c r="O370" s="28">
        <f t="shared" si="33"/>
        <v>15638098.81081081</v>
      </c>
      <c r="P370" s="28">
        <f t="shared" si="34"/>
        <v>16615479.986486485</v>
      </c>
      <c r="Q370" s="28">
        <f t="shared" si="35"/>
        <v>17592861.162162162</v>
      </c>
      <c r="R370" s="28">
        <f t="shared" si="36"/>
        <v>18570242.337837838</v>
      </c>
      <c r="S370" s="28">
        <f t="shared" si="37"/>
        <v>19547623.513513513</v>
      </c>
      <c r="T370" s="28">
        <f t="shared" si="38"/>
        <v>20525004.689189188</v>
      </c>
      <c r="U370" s="28">
        <f t="shared" si="39"/>
        <v>21502385.864864863</v>
      </c>
      <c r="V370" s="28">
        <f t="shared" si="40"/>
        <v>22479767.040540539</v>
      </c>
      <c r="W370" s="28">
        <f t="shared" si="41"/>
        <v>23457148.216216214</v>
      </c>
    </row>
    <row r="371" spans="1:23" x14ac:dyDescent="0.2">
      <c r="A371" s="28">
        <v>370</v>
      </c>
      <c r="B371" s="28">
        <v>395387.65498652292</v>
      </c>
      <c r="C371" s="28">
        <f t="shared" si="21"/>
        <v>3953876.5498652291</v>
      </c>
      <c r="D371" s="28">
        <f t="shared" si="22"/>
        <v>4942345.6873315368</v>
      </c>
      <c r="E371" s="28">
        <f t="shared" si="23"/>
        <v>5930814.8247978436</v>
      </c>
      <c r="F371" s="28">
        <f t="shared" si="24"/>
        <v>6919283.9622641504</v>
      </c>
      <c r="G371" s="28">
        <f t="shared" si="25"/>
        <v>7907753.0997304581</v>
      </c>
      <c r="H371" s="28">
        <f t="shared" si="26"/>
        <v>8896222.2371967658</v>
      </c>
      <c r="I371" s="28">
        <f t="shared" si="27"/>
        <v>9884691.3746630736</v>
      </c>
      <c r="J371" s="28">
        <f t="shared" si="28"/>
        <v>10873160.512129379</v>
      </c>
      <c r="K371" s="28">
        <f t="shared" si="29"/>
        <v>11861629.649595687</v>
      </c>
      <c r="L371" s="28">
        <f t="shared" si="30"/>
        <v>12850098.787061995</v>
      </c>
      <c r="M371" s="28">
        <f t="shared" si="31"/>
        <v>13838567.924528301</v>
      </c>
      <c r="N371" s="28">
        <f t="shared" si="32"/>
        <v>14827037.061994608</v>
      </c>
      <c r="O371" s="28">
        <f t="shared" si="33"/>
        <v>15815506.199460916</v>
      </c>
      <c r="P371" s="28">
        <f t="shared" si="34"/>
        <v>16803975.336927224</v>
      </c>
      <c r="Q371" s="28">
        <f t="shared" si="35"/>
        <v>17792444.474393532</v>
      </c>
      <c r="R371" s="28">
        <f t="shared" si="36"/>
        <v>18780913.611859839</v>
      </c>
      <c r="S371" s="28">
        <f t="shared" si="37"/>
        <v>19769382.749326147</v>
      </c>
      <c r="T371" s="28">
        <f t="shared" si="38"/>
        <v>20757851.886792451</v>
      </c>
      <c r="U371" s="28">
        <f t="shared" si="39"/>
        <v>21746321.024258759</v>
      </c>
      <c r="V371" s="28">
        <f t="shared" si="40"/>
        <v>22734790.161725067</v>
      </c>
      <c r="W371" s="28">
        <f t="shared" si="41"/>
        <v>23723259.299191374</v>
      </c>
    </row>
    <row r="372" spans="1:23" x14ac:dyDescent="0.2">
      <c r="A372" s="28">
        <v>371</v>
      </c>
      <c r="B372" s="28">
        <v>399798.99462365592</v>
      </c>
      <c r="C372" s="28">
        <f t="shared" si="21"/>
        <v>3997989.9462365592</v>
      </c>
      <c r="D372" s="28">
        <f t="shared" si="22"/>
        <v>4997487.4327956988</v>
      </c>
      <c r="E372" s="28">
        <f t="shared" si="23"/>
        <v>5996984.9193548393</v>
      </c>
      <c r="F372" s="28">
        <f t="shared" si="24"/>
        <v>6996482.4059139788</v>
      </c>
      <c r="G372" s="28">
        <f t="shared" si="25"/>
        <v>7995979.8924731184</v>
      </c>
      <c r="H372" s="28">
        <f t="shared" si="26"/>
        <v>8995477.3790322579</v>
      </c>
      <c r="I372" s="28">
        <f t="shared" si="27"/>
        <v>9994974.8655913975</v>
      </c>
      <c r="J372" s="28">
        <f t="shared" si="28"/>
        <v>10994472.352150537</v>
      </c>
      <c r="K372" s="28">
        <f t="shared" si="29"/>
        <v>11993969.838709679</v>
      </c>
      <c r="L372" s="28">
        <f t="shared" si="30"/>
        <v>12993467.325268818</v>
      </c>
      <c r="M372" s="28">
        <f t="shared" si="31"/>
        <v>13992964.811827958</v>
      </c>
      <c r="N372" s="28">
        <f t="shared" si="32"/>
        <v>14992462.298387097</v>
      </c>
      <c r="O372" s="28">
        <f t="shared" si="33"/>
        <v>15991959.784946237</v>
      </c>
      <c r="P372" s="28">
        <f t="shared" si="34"/>
        <v>16991457.271505378</v>
      </c>
      <c r="Q372" s="28">
        <f t="shared" si="35"/>
        <v>17990954.758064516</v>
      </c>
      <c r="R372" s="28">
        <f t="shared" si="36"/>
        <v>18990452.244623657</v>
      </c>
      <c r="S372" s="28">
        <f t="shared" si="37"/>
        <v>19989949.731182795</v>
      </c>
      <c r="T372" s="28">
        <f t="shared" si="38"/>
        <v>20989447.217741936</v>
      </c>
      <c r="U372" s="28">
        <f t="shared" si="39"/>
        <v>21988944.704301074</v>
      </c>
      <c r="V372" s="28">
        <f t="shared" si="40"/>
        <v>22988442.190860216</v>
      </c>
      <c r="W372" s="28">
        <f t="shared" si="41"/>
        <v>23987939.677419357</v>
      </c>
    </row>
    <row r="373" spans="1:23" x14ac:dyDescent="0.2">
      <c r="A373" s="28">
        <v>372</v>
      </c>
      <c r="B373" s="28">
        <v>404325.13315460231</v>
      </c>
      <c r="C373" s="28">
        <f t="shared" si="21"/>
        <v>4043251.331546023</v>
      </c>
      <c r="D373" s="28">
        <f t="shared" si="22"/>
        <v>5054064.1644325284</v>
      </c>
      <c r="E373" s="28">
        <f t="shared" si="23"/>
        <v>6064876.9973190343</v>
      </c>
      <c r="F373" s="28">
        <f t="shared" si="24"/>
        <v>7075689.8302055402</v>
      </c>
      <c r="G373" s="28">
        <f t="shared" si="25"/>
        <v>8086502.663092046</v>
      </c>
      <c r="H373" s="28">
        <f t="shared" si="26"/>
        <v>9097315.495978551</v>
      </c>
      <c r="I373" s="28">
        <f t="shared" si="27"/>
        <v>10108128.328865057</v>
      </c>
      <c r="J373" s="28">
        <f t="shared" si="28"/>
        <v>11118941.161751563</v>
      </c>
      <c r="K373" s="28">
        <f t="shared" si="29"/>
        <v>12129753.994638069</v>
      </c>
      <c r="L373" s="28">
        <f t="shared" si="30"/>
        <v>13140566.827524574</v>
      </c>
      <c r="M373" s="28">
        <f t="shared" si="31"/>
        <v>14151379.66041108</v>
      </c>
      <c r="N373" s="28">
        <f t="shared" si="32"/>
        <v>15162192.493297586</v>
      </c>
      <c r="O373" s="28">
        <f t="shared" si="33"/>
        <v>16173005.326184092</v>
      </c>
      <c r="P373" s="28">
        <f t="shared" si="34"/>
        <v>17183818.159070596</v>
      </c>
      <c r="Q373" s="28">
        <f t="shared" si="35"/>
        <v>18194630.991957102</v>
      </c>
      <c r="R373" s="28">
        <f t="shared" si="36"/>
        <v>19205443.824843608</v>
      </c>
      <c r="S373" s="28">
        <f t="shared" si="37"/>
        <v>20216256.657730114</v>
      </c>
      <c r="T373" s="28">
        <f t="shared" si="38"/>
        <v>21227069.49061662</v>
      </c>
      <c r="U373" s="28">
        <f t="shared" si="39"/>
        <v>22237882.323503125</v>
      </c>
      <c r="V373" s="28">
        <f t="shared" si="40"/>
        <v>23248695.156389631</v>
      </c>
      <c r="W373" s="28">
        <f t="shared" si="41"/>
        <v>24259507.989276137</v>
      </c>
    </row>
    <row r="374" spans="1:23" x14ac:dyDescent="0.2">
      <c r="A374" s="28">
        <v>373</v>
      </c>
      <c r="B374" s="28">
        <v>408827.06773618539</v>
      </c>
      <c r="C374" s="28">
        <f t="shared" si="21"/>
        <v>4088270.6773618539</v>
      </c>
      <c r="D374" s="28">
        <f t="shared" si="22"/>
        <v>5110338.3467023177</v>
      </c>
      <c r="E374" s="28">
        <f t="shared" si="23"/>
        <v>6132406.0160427811</v>
      </c>
      <c r="F374" s="28">
        <f t="shared" si="24"/>
        <v>7154473.6853832444</v>
      </c>
      <c r="G374" s="28">
        <f t="shared" si="25"/>
        <v>8176541.3547237078</v>
      </c>
      <c r="H374" s="28">
        <f t="shared" si="26"/>
        <v>9198609.0240641721</v>
      </c>
      <c r="I374" s="28">
        <f t="shared" si="27"/>
        <v>10220676.693404635</v>
      </c>
      <c r="J374" s="28">
        <f t="shared" si="28"/>
        <v>11242744.362745099</v>
      </c>
      <c r="K374" s="28">
        <f t="shared" si="29"/>
        <v>12264812.032085562</v>
      </c>
      <c r="L374" s="28">
        <f t="shared" si="30"/>
        <v>13286879.701426025</v>
      </c>
      <c r="M374" s="28">
        <f t="shared" si="31"/>
        <v>14308947.370766489</v>
      </c>
      <c r="N374" s="28">
        <f t="shared" si="32"/>
        <v>15331015.040106952</v>
      </c>
      <c r="O374" s="28">
        <f t="shared" si="33"/>
        <v>16353082.709447416</v>
      </c>
      <c r="P374" s="28">
        <f t="shared" si="34"/>
        <v>17375150.378787879</v>
      </c>
      <c r="Q374" s="28">
        <f t="shared" si="35"/>
        <v>18397218.048128344</v>
      </c>
      <c r="R374" s="28">
        <f t="shared" si="36"/>
        <v>19419285.717468806</v>
      </c>
      <c r="S374" s="28">
        <f t="shared" si="37"/>
        <v>20441353.386809271</v>
      </c>
      <c r="T374" s="28">
        <f t="shared" si="38"/>
        <v>21463421.056149732</v>
      </c>
      <c r="U374" s="28">
        <f t="shared" si="39"/>
        <v>22485488.725490198</v>
      </c>
      <c r="V374" s="28">
        <f t="shared" si="40"/>
        <v>23507556.394830659</v>
      </c>
      <c r="W374" s="28">
        <f t="shared" si="41"/>
        <v>24529624.064171124</v>
      </c>
    </row>
    <row r="375" spans="1:23" x14ac:dyDescent="0.2">
      <c r="A375" s="28">
        <v>374</v>
      </c>
      <c r="B375" s="28">
        <v>413421.20711111109</v>
      </c>
      <c r="C375" s="28">
        <f t="shared" si="21"/>
        <v>4134212.071111111</v>
      </c>
      <c r="D375" s="28">
        <f t="shared" si="22"/>
        <v>5167765.0888888892</v>
      </c>
      <c r="E375" s="28">
        <f t="shared" si="23"/>
        <v>6201318.1066666665</v>
      </c>
      <c r="F375" s="28">
        <f t="shared" si="24"/>
        <v>7234871.1244444437</v>
      </c>
      <c r="G375" s="28">
        <f t="shared" si="25"/>
        <v>8268424.1422222219</v>
      </c>
      <c r="H375" s="28">
        <f t="shared" si="26"/>
        <v>9301977.1600000001</v>
      </c>
      <c r="I375" s="28">
        <f t="shared" si="27"/>
        <v>10335530.177777778</v>
      </c>
      <c r="J375" s="28">
        <f t="shared" si="28"/>
        <v>11369083.195555555</v>
      </c>
      <c r="K375" s="28">
        <f t="shared" si="29"/>
        <v>12402636.213333333</v>
      </c>
      <c r="L375" s="28">
        <f t="shared" si="30"/>
        <v>13436189.231111111</v>
      </c>
      <c r="M375" s="28">
        <f t="shared" si="31"/>
        <v>14469742.248888887</v>
      </c>
      <c r="N375" s="28">
        <f t="shared" si="32"/>
        <v>15503295.266666666</v>
      </c>
      <c r="O375" s="28">
        <f t="shared" si="33"/>
        <v>16536848.284444444</v>
      </c>
      <c r="P375" s="28">
        <f t="shared" si="34"/>
        <v>17570401.302222222</v>
      </c>
      <c r="Q375" s="28">
        <f t="shared" si="35"/>
        <v>18603954.32</v>
      </c>
      <c r="R375" s="28">
        <f t="shared" si="36"/>
        <v>19637507.337777779</v>
      </c>
      <c r="S375" s="28">
        <f t="shared" si="37"/>
        <v>20671060.355555557</v>
      </c>
      <c r="T375" s="28">
        <f t="shared" si="38"/>
        <v>21704613.373333331</v>
      </c>
      <c r="U375" s="28">
        <f t="shared" si="39"/>
        <v>22738166.391111109</v>
      </c>
      <c r="V375" s="28">
        <f t="shared" si="40"/>
        <v>23771719.408888888</v>
      </c>
      <c r="W375" s="28">
        <f t="shared" si="41"/>
        <v>24805272.426666666</v>
      </c>
    </row>
    <row r="376" spans="1:23" x14ac:dyDescent="0.2">
      <c r="A376" s="28">
        <v>375</v>
      </c>
      <c r="B376" s="28">
        <v>418012.35283687944</v>
      </c>
      <c r="C376" s="28">
        <f t="shared" si="21"/>
        <v>4180123.5283687944</v>
      </c>
      <c r="D376" s="28">
        <f t="shared" si="22"/>
        <v>5225154.4104609927</v>
      </c>
      <c r="E376" s="28">
        <f t="shared" si="23"/>
        <v>6270185.292553192</v>
      </c>
      <c r="F376" s="28">
        <f t="shared" si="24"/>
        <v>7315216.1746453904</v>
      </c>
      <c r="G376" s="28">
        <f t="shared" si="25"/>
        <v>8360247.0567375887</v>
      </c>
      <c r="H376" s="28">
        <f t="shared" si="26"/>
        <v>9405277.9388297871</v>
      </c>
      <c r="I376" s="28">
        <f t="shared" si="27"/>
        <v>10450308.820921985</v>
      </c>
      <c r="J376" s="28">
        <f t="shared" si="28"/>
        <v>11495339.703014184</v>
      </c>
      <c r="K376" s="28">
        <f t="shared" si="29"/>
        <v>12540370.585106384</v>
      </c>
      <c r="L376" s="28">
        <f t="shared" si="30"/>
        <v>13585401.467198582</v>
      </c>
      <c r="M376" s="28">
        <f t="shared" si="31"/>
        <v>14630432.349290781</v>
      </c>
      <c r="N376" s="28">
        <f t="shared" si="32"/>
        <v>15675463.231382979</v>
      </c>
      <c r="O376" s="28">
        <f t="shared" si="33"/>
        <v>16720494.113475177</v>
      </c>
      <c r="P376" s="28">
        <f t="shared" si="34"/>
        <v>17765524.995567378</v>
      </c>
      <c r="Q376" s="28">
        <f t="shared" si="35"/>
        <v>18810555.877659574</v>
      </c>
      <c r="R376" s="28">
        <f t="shared" si="36"/>
        <v>19855586.759751774</v>
      </c>
      <c r="S376" s="28">
        <f t="shared" si="37"/>
        <v>20900617.641843971</v>
      </c>
      <c r="T376" s="28">
        <f t="shared" si="38"/>
        <v>21945648.523936171</v>
      </c>
      <c r="U376" s="28">
        <f t="shared" si="39"/>
        <v>22990679.406028368</v>
      </c>
      <c r="V376" s="28">
        <f t="shared" si="40"/>
        <v>24035710.288120568</v>
      </c>
      <c r="W376" s="28">
        <f t="shared" si="41"/>
        <v>25080741.170212768</v>
      </c>
    </row>
    <row r="377" spans="1:23" x14ac:dyDescent="0.2">
      <c r="A377" s="28">
        <v>376</v>
      </c>
      <c r="B377" s="28">
        <v>422698.74801061006</v>
      </c>
      <c r="C377" s="28">
        <f t="shared" si="21"/>
        <v>4226987.4801061004</v>
      </c>
      <c r="D377" s="28">
        <f t="shared" si="22"/>
        <v>5283734.3501326256</v>
      </c>
      <c r="E377" s="28">
        <f t="shared" si="23"/>
        <v>6340481.2201591507</v>
      </c>
      <c r="F377" s="28">
        <f t="shared" si="24"/>
        <v>7397228.0901856758</v>
      </c>
      <c r="G377" s="28">
        <f t="shared" si="25"/>
        <v>8453974.9602122009</v>
      </c>
      <c r="H377" s="28">
        <f t="shared" si="26"/>
        <v>9510721.830238726</v>
      </c>
      <c r="I377" s="28">
        <f t="shared" si="27"/>
        <v>10567468.700265251</v>
      </c>
      <c r="J377" s="28">
        <f t="shared" si="28"/>
        <v>11624215.570291776</v>
      </c>
      <c r="K377" s="28">
        <f t="shared" si="29"/>
        <v>12680962.440318301</v>
      </c>
      <c r="L377" s="28">
        <f t="shared" si="30"/>
        <v>13737709.310344826</v>
      </c>
      <c r="M377" s="28">
        <f t="shared" si="31"/>
        <v>14794456.180371352</v>
      </c>
      <c r="N377" s="28">
        <f t="shared" si="32"/>
        <v>15851203.050397877</v>
      </c>
      <c r="O377" s="28">
        <f t="shared" si="33"/>
        <v>16907949.920424402</v>
      </c>
      <c r="P377" s="28">
        <f t="shared" si="34"/>
        <v>17964696.790450927</v>
      </c>
      <c r="Q377" s="28">
        <f t="shared" si="35"/>
        <v>19021443.660477452</v>
      </c>
      <c r="R377" s="28">
        <f t="shared" si="36"/>
        <v>20078190.530503977</v>
      </c>
      <c r="S377" s="28">
        <f t="shared" si="37"/>
        <v>21134937.400530502</v>
      </c>
      <c r="T377" s="28">
        <f t="shared" si="38"/>
        <v>22191684.270557027</v>
      </c>
      <c r="U377" s="28">
        <f t="shared" si="39"/>
        <v>23248431.140583552</v>
      </c>
      <c r="V377" s="28">
        <f t="shared" si="40"/>
        <v>24305178.010610078</v>
      </c>
      <c r="W377" s="28">
        <f t="shared" si="41"/>
        <v>25361924.880636603</v>
      </c>
    </row>
    <row r="378" spans="1:23" x14ac:dyDescent="0.2">
      <c r="A378" s="28">
        <v>377</v>
      </c>
      <c r="B378" s="28">
        <v>427360.3474426808</v>
      </c>
      <c r="C378" s="28">
        <f t="shared" si="21"/>
        <v>4273603.4744268078</v>
      </c>
      <c r="D378" s="28">
        <f t="shared" si="22"/>
        <v>5342004.3430335093</v>
      </c>
      <c r="E378" s="28">
        <f t="shared" si="23"/>
        <v>6410405.2116402118</v>
      </c>
      <c r="F378" s="28">
        <f t="shared" si="24"/>
        <v>7478806.0802469142</v>
      </c>
      <c r="G378" s="28">
        <f t="shared" si="25"/>
        <v>8547206.9488536157</v>
      </c>
      <c r="H378" s="28">
        <f t="shared" si="26"/>
        <v>9615607.8174603172</v>
      </c>
      <c r="I378" s="28">
        <f t="shared" si="27"/>
        <v>10684008.686067019</v>
      </c>
      <c r="J378" s="28">
        <f t="shared" si="28"/>
        <v>11752409.554673722</v>
      </c>
      <c r="K378" s="28">
        <f t="shared" si="29"/>
        <v>12820810.423280424</v>
      </c>
      <c r="L378" s="28">
        <f t="shared" si="30"/>
        <v>13889211.291887125</v>
      </c>
      <c r="M378" s="28">
        <f t="shared" si="31"/>
        <v>14957612.160493828</v>
      </c>
      <c r="N378" s="28">
        <f t="shared" si="32"/>
        <v>16026013.02910053</v>
      </c>
      <c r="O378" s="28">
        <f t="shared" si="33"/>
        <v>17094413.897707231</v>
      </c>
      <c r="P378" s="28">
        <f t="shared" si="34"/>
        <v>18162814.766313933</v>
      </c>
      <c r="Q378" s="28">
        <f t="shared" si="35"/>
        <v>19231215.634920634</v>
      </c>
      <c r="R378" s="28">
        <f t="shared" si="36"/>
        <v>20299616.503527336</v>
      </c>
      <c r="S378" s="28">
        <f t="shared" si="37"/>
        <v>21368017.372134037</v>
      </c>
      <c r="T378" s="28">
        <f t="shared" si="38"/>
        <v>22436418.240740743</v>
      </c>
      <c r="U378" s="28">
        <f t="shared" si="39"/>
        <v>23504819.109347444</v>
      </c>
      <c r="V378" s="28">
        <f t="shared" si="40"/>
        <v>24573219.977954146</v>
      </c>
      <c r="W378" s="28">
        <f t="shared" si="41"/>
        <v>25641620.846560847</v>
      </c>
    </row>
    <row r="379" spans="1:23" x14ac:dyDescent="0.2">
      <c r="A379" s="28">
        <v>378</v>
      </c>
      <c r="B379" s="28">
        <v>432139.77484608616</v>
      </c>
      <c r="C379" s="28">
        <f t="shared" si="21"/>
        <v>4321397.7484608619</v>
      </c>
      <c r="D379" s="28">
        <f t="shared" si="22"/>
        <v>5401747.1855760776</v>
      </c>
      <c r="E379" s="28">
        <f t="shared" si="23"/>
        <v>6482096.6226912923</v>
      </c>
      <c r="F379" s="28">
        <f t="shared" si="24"/>
        <v>7562446.059806508</v>
      </c>
      <c r="G379" s="28">
        <f t="shared" si="25"/>
        <v>8642795.4969217237</v>
      </c>
      <c r="H379" s="28">
        <f t="shared" si="26"/>
        <v>9723144.9340369385</v>
      </c>
      <c r="I379" s="28">
        <f t="shared" si="27"/>
        <v>10803494.371152155</v>
      </c>
      <c r="J379" s="28">
        <f t="shared" si="28"/>
        <v>11883843.80826737</v>
      </c>
      <c r="K379" s="28">
        <f t="shared" si="29"/>
        <v>12964193.245382585</v>
      </c>
      <c r="L379" s="28">
        <f t="shared" si="30"/>
        <v>14044542.682497801</v>
      </c>
      <c r="M379" s="28">
        <f t="shared" si="31"/>
        <v>15124892.119613016</v>
      </c>
      <c r="N379" s="28">
        <f t="shared" si="32"/>
        <v>16205241.556728233</v>
      </c>
      <c r="O379" s="28">
        <f t="shared" si="33"/>
        <v>17285590.993843447</v>
      </c>
      <c r="P379" s="28">
        <f t="shared" si="34"/>
        <v>18365940.430958662</v>
      </c>
      <c r="Q379" s="28">
        <f t="shared" si="35"/>
        <v>19446289.868073877</v>
      </c>
      <c r="R379" s="28">
        <f t="shared" si="36"/>
        <v>20526639.305189095</v>
      </c>
      <c r="S379" s="28">
        <f t="shared" si="37"/>
        <v>21606988.74230431</v>
      </c>
      <c r="T379" s="28">
        <f t="shared" si="38"/>
        <v>22687338.179419525</v>
      </c>
      <c r="U379" s="28">
        <f t="shared" si="39"/>
        <v>23767687.61653474</v>
      </c>
      <c r="V379" s="28">
        <f t="shared" si="40"/>
        <v>24848037.053649954</v>
      </c>
      <c r="W379" s="28">
        <f t="shared" si="41"/>
        <v>25928386.490765169</v>
      </c>
    </row>
    <row r="380" spans="1:23" x14ac:dyDescent="0.2">
      <c r="A380" s="28">
        <v>379</v>
      </c>
      <c r="B380" s="28">
        <v>436894.04736842104</v>
      </c>
      <c r="C380" s="28">
        <f t="shared" si="21"/>
        <v>4368940.4736842103</v>
      </c>
      <c r="D380" s="28">
        <f t="shared" si="22"/>
        <v>5461175.5921052629</v>
      </c>
      <c r="E380" s="28">
        <f t="shared" si="23"/>
        <v>6553410.7105263155</v>
      </c>
      <c r="F380" s="28">
        <f t="shared" si="24"/>
        <v>7645645.8289473681</v>
      </c>
      <c r="G380" s="28">
        <f t="shared" si="25"/>
        <v>8737880.9473684207</v>
      </c>
      <c r="H380" s="28">
        <f t="shared" si="26"/>
        <v>9830116.0657894723</v>
      </c>
      <c r="I380" s="28">
        <f t="shared" si="27"/>
        <v>10922351.184210526</v>
      </c>
      <c r="J380" s="28">
        <f t="shared" si="28"/>
        <v>12014586.302631579</v>
      </c>
      <c r="K380" s="28">
        <f t="shared" si="29"/>
        <v>13106821.421052631</v>
      </c>
      <c r="L380" s="28">
        <f t="shared" si="30"/>
        <v>14199056.539473683</v>
      </c>
      <c r="M380" s="28">
        <f t="shared" si="31"/>
        <v>15291291.657894736</v>
      </c>
      <c r="N380" s="28">
        <f t="shared" si="32"/>
        <v>16383526.77631579</v>
      </c>
      <c r="O380" s="28">
        <f t="shared" si="33"/>
        <v>17475761.894736841</v>
      </c>
      <c r="P380" s="28">
        <f t="shared" si="34"/>
        <v>18567997.013157893</v>
      </c>
      <c r="Q380" s="28">
        <f t="shared" si="35"/>
        <v>19660232.131578945</v>
      </c>
      <c r="R380" s="28">
        <f t="shared" si="36"/>
        <v>20752467.25</v>
      </c>
      <c r="S380" s="28">
        <f t="shared" si="37"/>
        <v>21844702.368421052</v>
      </c>
      <c r="T380" s="28">
        <f t="shared" si="38"/>
        <v>22936937.486842103</v>
      </c>
      <c r="U380" s="28">
        <f t="shared" si="39"/>
        <v>24029172.605263159</v>
      </c>
      <c r="V380" s="28">
        <f t="shared" si="40"/>
        <v>25121407.72368421</v>
      </c>
      <c r="W380" s="28">
        <f t="shared" si="41"/>
        <v>26213642.842105262</v>
      </c>
    </row>
    <row r="381" spans="1:23" x14ac:dyDescent="0.2">
      <c r="A381" s="28">
        <v>380</v>
      </c>
      <c r="B381" s="28">
        <v>441746.62642169726</v>
      </c>
      <c r="C381" s="28">
        <f t="shared" si="21"/>
        <v>4417466.2642169725</v>
      </c>
      <c r="D381" s="28">
        <f t="shared" si="22"/>
        <v>5521832.8302712161</v>
      </c>
      <c r="E381" s="28">
        <f t="shared" si="23"/>
        <v>6626199.3963254588</v>
      </c>
      <c r="F381" s="28">
        <f t="shared" si="24"/>
        <v>7730565.9623797014</v>
      </c>
      <c r="G381" s="28">
        <f t="shared" si="25"/>
        <v>8834932.528433945</v>
      </c>
      <c r="H381" s="28">
        <f t="shared" si="26"/>
        <v>9939299.0944881886</v>
      </c>
      <c r="I381" s="28">
        <f t="shared" si="27"/>
        <v>11043665.660542432</v>
      </c>
      <c r="J381" s="28">
        <f t="shared" si="28"/>
        <v>12148032.226596674</v>
      </c>
      <c r="K381" s="28">
        <f t="shared" si="29"/>
        <v>13252398.792650918</v>
      </c>
      <c r="L381" s="28">
        <f t="shared" si="30"/>
        <v>14356765.358705161</v>
      </c>
      <c r="M381" s="28">
        <f t="shared" si="31"/>
        <v>15461131.924759403</v>
      </c>
      <c r="N381" s="28">
        <f t="shared" si="32"/>
        <v>16565498.490813646</v>
      </c>
      <c r="O381" s="28">
        <f t="shared" si="33"/>
        <v>17669865.05686789</v>
      </c>
      <c r="P381" s="28">
        <f t="shared" si="34"/>
        <v>18774231.622922134</v>
      </c>
      <c r="Q381" s="28">
        <f t="shared" si="35"/>
        <v>19878598.188976377</v>
      </c>
      <c r="R381" s="28">
        <f t="shared" si="36"/>
        <v>20982964.755030621</v>
      </c>
      <c r="S381" s="28">
        <f t="shared" si="37"/>
        <v>22087331.321084864</v>
      </c>
      <c r="T381" s="28">
        <f t="shared" si="38"/>
        <v>23191697.887139104</v>
      </c>
      <c r="U381" s="28">
        <f t="shared" si="39"/>
        <v>24296064.453193348</v>
      </c>
      <c r="V381" s="28">
        <f t="shared" si="40"/>
        <v>25400431.019247591</v>
      </c>
      <c r="W381" s="28">
        <f t="shared" si="41"/>
        <v>26504797.585301835</v>
      </c>
    </row>
    <row r="382" spans="1:23" x14ac:dyDescent="0.2">
      <c r="A382" s="28">
        <v>381</v>
      </c>
      <c r="B382" s="28">
        <v>446596.12565445021</v>
      </c>
      <c r="C382" s="28">
        <f t="shared" si="21"/>
        <v>4465961.2565445025</v>
      </c>
      <c r="D382" s="28">
        <f t="shared" si="22"/>
        <v>5582451.5706806276</v>
      </c>
      <c r="E382" s="28">
        <f t="shared" si="23"/>
        <v>6698941.8848167537</v>
      </c>
      <c r="F382" s="28">
        <f t="shared" si="24"/>
        <v>7815432.1989528798</v>
      </c>
      <c r="G382" s="28">
        <f t="shared" si="25"/>
        <v>8931922.5130890049</v>
      </c>
      <c r="H382" s="28">
        <f t="shared" si="26"/>
        <v>10048412.82722513</v>
      </c>
      <c r="I382" s="28">
        <f t="shared" si="27"/>
        <v>11164903.141361255</v>
      </c>
      <c r="J382" s="28">
        <f t="shared" si="28"/>
        <v>12281393.455497382</v>
      </c>
      <c r="K382" s="28">
        <f t="shared" si="29"/>
        <v>13397883.769633507</v>
      </c>
      <c r="L382" s="28">
        <f t="shared" si="30"/>
        <v>14514374.083769633</v>
      </c>
      <c r="M382" s="28">
        <f t="shared" si="31"/>
        <v>15630864.39790576</v>
      </c>
      <c r="N382" s="28">
        <f t="shared" si="32"/>
        <v>16747354.712041885</v>
      </c>
      <c r="O382" s="28">
        <f t="shared" si="33"/>
        <v>17863845.02617801</v>
      </c>
      <c r="P382" s="28">
        <f t="shared" si="34"/>
        <v>18980335.340314135</v>
      </c>
      <c r="Q382" s="28">
        <f t="shared" si="35"/>
        <v>20096825.65445026</v>
      </c>
      <c r="R382" s="28">
        <f t="shared" si="36"/>
        <v>21213315.968586385</v>
      </c>
      <c r="S382" s="28">
        <f t="shared" si="37"/>
        <v>22329806.28272251</v>
      </c>
      <c r="T382" s="28">
        <f t="shared" si="38"/>
        <v>23446296.596858639</v>
      </c>
      <c r="U382" s="28">
        <f t="shared" si="39"/>
        <v>24562786.910994764</v>
      </c>
      <c r="V382" s="28">
        <f t="shared" si="40"/>
        <v>25679277.22513089</v>
      </c>
      <c r="W382" s="28">
        <f t="shared" si="41"/>
        <v>26795767.539267015</v>
      </c>
    </row>
    <row r="383" spans="1:23" x14ac:dyDescent="0.2">
      <c r="A383" s="28">
        <v>382</v>
      </c>
      <c r="B383" s="28">
        <v>451542.92080069624</v>
      </c>
      <c r="C383" s="28">
        <f t="shared" si="21"/>
        <v>4515429.2080069622</v>
      </c>
      <c r="D383" s="28">
        <f t="shared" si="22"/>
        <v>5644286.510008703</v>
      </c>
      <c r="E383" s="28">
        <f t="shared" si="23"/>
        <v>6773143.8120104428</v>
      </c>
      <c r="F383" s="28">
        <f t="shared" si="24"/>
        <v>7902001.1140121836</v>
      </c>
      <c r="G383" s="28">
        <f t="shared" si="25"/>
        <v>9030858.4160139244</v>
      </c>
      <c r="H383" s="28">
        <f t="shared" si="26"/>
        <v>10159715.718015665</v>
      </c>
      <c r="I383" s="28">
        <f t="shared" si="27"/>
        <v>11288573.020017406</v>
      </c>
      <c r="J383" s="28">
        <f t="shared" si="28"/>
        <v>12417430.322019147</v>
      </c>
      <c r="K383" s="28">
        <f t="shared" si="29"/>
        <v>13546287.624020886</v>
      </c>
      <c r="L383" s="28">
        <f t="shared" si="30"/>
        <v>14675144.926022626</v>
      </c>
      <c r="M383" s="28">
        <f t="shared" si="31"/>
        <v>15804002.228024367</v>
      </c>
      <c r="N383" s="28">
        <f t="shared" si="32"/>
        <v>16932859.530026108</v>
      </c>
      <c r="O383" s="28">
        <f t="shared" si="33"/>
        <v>18061716.832027849</v>
      </c>
      <c r="P383" s="28">
        <f t="shared" si="34"/>
        <v>19190574.13402959</v>
      </c>
      <c r="Q383" s="28">
        <f t="shared" si="35"/>
        <v>20319431.43603133</v>
      </c>
      <c r="R383" s="28">
        <f t="shared" si="36"/>
        <v>21448288.738033071</v>
      </c>
      <c r="S383" s="28">
        <f t="shared" si="37"/>
        <v>22577146.040034812</v>
      </c>
      <c r="T383" s="28">
        <f t="shared" si="38"/>
        <v>23706003.342036553</v>
      </c>
      <c r="U383" s="28">
        <f t="shared" si="39"/>
        <v>24834860.644038294</v>
      </c>
      <c r="V383" s="28">
        <f t="shared" si="40"/>
        <v>25963717.946040034</v>
      </c>
      <c r="W383" s="28">
        <f t="shared" si="41"/>
        <v>27092575.248041771</v>
      </c>
    </row>
    <row r="384" spans="1:23" x14ac:dyDescent="0.2">
      <c r="A384" s="28">
        <v>383</v>
      </c>
      <c r="B384" s="28">
        <v>456463.95138888888</v>
      </c>
      <c r="C384" s="28">
        <f t="shared" si="21"/>
        <v>4564639.513888889</v>
      </c>
      <c r="D384" s="28">
        <f t="shared" si="22"/>
        <v>5705799.392361111</v>
      </c>
      <c r="E384" s="28">
        <f t="shared" si="23"/>
        <v>6846959.270833334</v>
      </c>
      <c r="F384" s="28">
        <f t="shared" si="24"/>
        <v>7988119.149305556</v>
      </c>
      <c r="G384" s="28">
        <f t="shared" si="25"/>
        <v>9129279.027777778</v>
      </c>
      <c r="H384" s="28">
        <f t="shared" si="26"/>
        <v>10270438.90625</v>
      </c>
      <c r="I384" s="28">
        <f t="shared" si="27"/>
        <v>11411598.784722222</v>
      </c>
      <c r="J384" s="28">
        <f t="shared" si="28"/>
        <v>12552758.663194444</v>
      </c>
      <c r="K384" s="28">
        <f t="shared" si="29"/>
        <v>13693918.541666668</v>
      </c>
      <c r="L384" s="28">
        <f t="shared" si="30"/>
        <v>14835078.42013889</v>
      </c>
      <c r="M384" s="28">
        <f t="shared" si="31"/>
        <v>15976238.298611112</v>
      </c>
      <c r="N384" s="28">
        <f t="shared" si="32"/>
        <v>17117398.177083332</v>
      </c>
      <c r="O384" s="28">
        <f t="shared" si="33"/>
        <v>18258558.055555556</v>
      </c>
      <c r="P384" s="28">
        <f t="shared" si="34"/>
        <v>19399717.93402778</v>
      </c>
      <c r="Q384" s="28">
        <f t="shared" si="35"/>
        <v>20540877.8125</v>
      </c>
      <c r="R384" s="28">
        <f t="shared" si="36"/>
        <v>21682037.690972224</v>
      </c>
      <c r="S384" s="28">
        <f t="shared" si="37"/>
        <v>22823197.569444444</v>
      </c>
      <c r="T384" s="28">
        <f t="shared" si="38"/>
        <v>23964357.447916668</v>
      </c>
      <c r="U384" s="28">
        <f t="shared" si="39"/>
        <v>25105517.326388888</v>
      </c>
      <c r="V384" s="28">
        <f t="shared" si="40"/>
        <v>26246677.204861112</v>
      </c>
      <c r="W384" s="28">
        <f t="shared" si="41"/>
        <v>27387837.083333336</v>
      </c>
    </row>
    <row r="385" spans="1:23" x14ac:dyDescent="0.2">
      <c r="A385" s="28">
        <v>384</v>
      </c>
      <c r="B385" s="28">
        <v>461509.767965368</v>
      </c>
      <c r="C385" s="28">
        <f t="shared" si="21"/>
        <v>4615097.67965368</v>
      </c>
      <c r="D385" s="28">
        <f t="shared" si="22"/>
        <v>5768872.0995671004</v>
      </c>
      <c r="E385" s="28">
        <f t="shared" si="23"/>
        <v>6922646.5194805199</v>
      </c>
      <c r="F385" s="28">
        <f t="shared" si="24"/>
        <v>8076420.9393939395</v>
      </c>
      <c r="G385" s="28">
        <f t="shared" si="25"/>
        <v>9230195.3593073599</v>
      </c>
      <c r="H385" s="28">
        <f t="shared" si="26"/>
        <v>10383969.77922078</v>
      </c>
      <c r="I385" s="28">
        <f t="shared" si="27"/>
        <v>11537744.199134201</v>
      </c>
      <c r="J385" s="28">
        <f t="shared" si="28"/>
        <v>12691518.619047619</v>
      </c>
      <c r="K385" s="28">
        <f t="shared" si="29"/>
        <v>13845293.03896104</v>
      </c>
      <c r="L385" s="28">
        <f t="shared" si="30"/>
        <v>14999067.45887446</v>
      </c>
      <c r="M385" s="28">
        <f t="shared" si="31"/>
        <v>16152841.878787879</v>
      </c>
      <c r="N385" s="28">
        <f t="shared" si="32"/>
        <v>17306616.298701301</v>
      </c>
      <c r="O385" s="28">
        <f t="shared" si="33"/>
        <v>18460390.71861472</v>
      </c>
      <c r="P385" s="28">
        <f t="shared" si="34"/>
        <v>19614165.138528138</v>
      </c>
      <c r="Q385" s="28">
        <f t="shared" si="35"/>
        <v>20767939.558441561</v>
      </c>
      <c r="R385" s="28">
        <f t="shared" si="36"/>
        <v>21921713.978354979</v>
      </c>
      <c r="S385" s="28">
        <f t="shared" si="37"/>
        <v>23075488.398268402</v>
      </c>
      <c r="T385" s="28">
        <f t="shared" si="38"/>
        <v>24229262.81818182</v>
      </c>
      <c r="U385" s="28">
        <f t="shared" si="39"/>
        <v>25383037.238095239</v>
      </c>
      <c r="V385" s="28">
        <f t="shared" si="40"/>
        <v>26536811.658008661</v>
      </c>
      <c r="W385" s="28">
        <f t="shared" si="41"/>
        <v>27690586.07792208</v>
      </c>
    </row>
    <row r="386" spans="1:23" x14ac:dyDescent="0.2">
      <c r="A386" s="28">
        <v>385</v>
      </c>
      <c r="B386" s="28">
        <v>466529.44041450782</v>
      </c>
      <c r="C386" s="28">
        <f t="shared" si="21"/>
        <v>4665294.4041450778</v>
      </c>
      <c r="D386" s="28">
        <f t="shared" si="22"/>
        <v>5831618.005181347</v>
      </c>
      <c r="E386" s="28">
        <f t="shared" si="23"/>
        <v>6997941.6062176172</v>
      </c>
      <c r="F386" s="28">
        <f t="shared" si="24"/>
        <v>8164265.2072538864</v>
      </c>
      <c r="G386" s="28">
        <f t="shared" si="25"/>
        <v>9330588.8082901556</v>
      </c>
      <c r="H386" s="28">
        <f t="shared" si="26"/>
        <v>10496912.409326425</v>
      </c>
      <c r="I386" s="28">
        <f t="shared" si="27"/>
        <v>11663236.010362694</v>
      </c>
      <c r="J386" s="28">
        <f t="shared" si="28"/>
        <v>12829559.611398963</v>
      </c>
      <c r="K386" s="28">
        <f t="shared" si="29"/>
        <v>13995883.212435234</v>
      </c>
      <c r="L386" s="28">
        <f t="shared" si="30"/>
        <v>15162206.813471504</v>
      </c>
      <c r="M386" s="28">
        <f t="shared" si="31"/>
        <v>16328530.414507773</v>
      </c>
      <c r="N386" s="28">
        <f t="shared" si="32"/>
        <v>17494854.015544042</v>
      </c>
      <c r="O386" s="28">
        <f t="shared" si="33"/>
        <v>18661177.616580311</v>
      </c>
      <c r="P386" s="28">
        <f t="shared" si="34"/>
        <v>19827501.21761658</v>
      </c>
      <c r="Q386" s="28">
        <f t="shared" si="35"/>
        <v>20993824.81865285</v>
      </c>
      <c r="R386" s="28">
        <f t="shared" si="36"/>
        <v>22160148.419689119</v>
      </c>
      <c r="S386" s="28">
        <f t="shared" si="37"/>
        <v>23326472.020725388</v>
      </c>
      <c r="T386" s="28">
        <f t="shared" si="38"/>
        <v>24492795.621761657</v>
      </c>
      <c r="U386" s="28">
        <f t="shared" si="39"/>
        <v>25659119.222797927</v>
      </c>
      <c r="V386" s="28">
        <f t="shared" si="40"/>
        <v>26825442.823834196</v>
      </c>
      <c r="W386" s="28">
        <f t="shared" si="41"/>
        <v>27991766.424870469</v>
      </c>
    </row>
    <row r="387" spans="1:23" x14ac:dyDescent="0.2">
      <c r="A387" s="28">
        <v>386</v>
      </c>
      <c r="B387" s="28">
        <v>471649.70887166238</v>
      </c>
      <c r="C387" s="28">
        <f t="shared" si="21"/>
        <v>4716497.0887166243</v>
      </c>
      <c r="D387" s="28">
        <f t="shared" si="22"/>
        <v>5895621.3608957808</v>
      </c>
      <c r="E387" s="28">
        <f t="shared" si="23"/>
        <v>7074745.6330749365</v>
      </c>
      <c r="F387" s="28">
        <f t="shared" si="24"/>
        <v>8253869.9052540921</v>
      </c>
      <c r="G387" s="28">
        <f t="shared" si="25"/>
        <v>9432994.1774332486</v>
      </c>
      <c r="H387" s="28">
        <f t="shared" si="26"/>
        <v>10612118.449612405</v>
      </c>
      <c r="I387" s="28">
        <f t="shared" si="27"/>
        <v>11791242.721791562</v>
      </c>
      <c r="J387" s="28">
        <f t="shared" si="28"/>
        <v>12970366.993970716</v>
      </c>
      <c r="K387" s="28">
        <f t="shared" si="29"/>
        <v>14149491.266149873</v>
      </c>
      <c r="L387" s="28">
        <f t="shared" si="30"/>
        <v>15328615.538329029</v>
      </c>
      <c r="M387" s="28">
        <f t="shared" si="31"/>
        <v>16507739.810508184</v>
      </c>
      <c r="N387" s="28">
        <f t="shared" si="32"/>
        <v>17686864.082687341</v>
      </c>
      <c r="O387" s="28">
        <f t="shared" si="33"/>
        <v>18865988.354866497</v>
      </c>
      <c r="P387" s="28">
        <f t="shared" si="34"/>
        <v>20045112.627045654</v>
      </c>
      <c r="Q387" s="28">
        <f t="shared" si="35"/>
        <v>21224236.89922481</v>
      </c>
      <c r="R387" s="28">
        <f t="shared" si="36"/>
        <v>22403361.171403967</v>
      </c>
      <c r="S387" s="28">
        <f t="shared" si="37"/>
        <v>23582485.443583123</v>
      </c>
      <c r="T387" s="28">
        <f t="shared" si="38"/>
        <v>24761609.715762276</v>
      </c>
      <c r="U387" s="28">
        <f t="shared" si="39"/>
        <v>25940733.987941433</v>
      </c>
      <c r="V387" s="28">
        <f t="shared" si="40"/>
        <v>27119858.260120589</v>
      </c>
      <c r="W387" s="28">
        <f t="shared" si="41"/>
        <v>28298982.532299746</v>
      </c>
    </row>
    <row r="388" spans="1:23" x14ac:dyDescent="0.2">
      <c r="A388" s="28">
        <v>387</v>
      </c>
      <c r="B388" s="28">
        <v>476766.82817869412</v>
      </c>
      <c r="C388" s="28">
        <f t="shared" si="21"/>
        <v>4767668.281786941</v>
      </c>
      <c r="D388" s="28">
        <f t="shared" si="22"/>
        <v>5959585.3522336762</v>
      </c>
      <c r="E388" s="28">
        <f t="shared" si="23"/>
        <v>7151502.4226804115</v>
      </c>
      <c r="F388" s="28">
        <f t="shared" si="24"/>
        <v>8343419.4931271467</v>
      </c>
      <c r="G388" s="28">
        <f t="shared" si="25"/>
        <v>9535336.563573882</v>
      </c>
      <c r="H388" s="28">
        <f t="shared" si="26"/>
        <v>10727253.634020617</v>
      </c>
      <c r="I388" s="28">
        <f t="shared" si="27"/>
        <v>11919170.704467352</v>
      </c>
      <c r="J388" s="28">
        <f t="shared" si="28"/>
        <v>13111087.774914088</v>
      </c>
      <c r="K388" s="28">
        <f t="shared" si="29"/>
        <v>14303004.845360823</v>
      </c>
      <c r="L388" s="28">
        <f t="shared" si="30"/>
        <v>15494921.915807558</v>
      </c>
      <c r="M388" s="28">
        <f t="shared" si="31"/>
        <v>16686838.986254293</v>
      </c>
      <c r="N388" s="28">
        <f t="shared" si="32"/>
        <v>17878756.056701027</v>
      </c>
      <c r="O388" s="28">
        <f t="shared" si="33"/>
        <v>19070673.127147764</v>
      </c>
      <c r="P388" s="28">
        <f t="shared" si="34"/>
        <v>20262590.197594501</v>
      </c>
      <c r="Q388" s="28">
        <f t="shared" si="35"/>
        <v>21454507.268041234</v>
      </c>
      <c r="R388" s="28">
        <f t="shared" si="36"/>
        <v>22646424.338487968</v>
      </c>
      <c r="S388" s="28">
        <f t="shared" si="37"/>
        <v>23838341.408934705</v>
      </c>
      <c r="T388" s="28">
        <f t="shared" si="38"/>
        <v>25030258.479381442</v>
      </c>
      <c r="U388" s="28">
        <f t="shared" si="39"/>
        <v>26222175.549828175</v>
      </c>
      <c r="V388" s="28">
        <f t="shared" si="40"/>
        <v>27414092.620274909</v>
      </c>
      <c r="W388" s="28">
        <f t="shared" si="41"/>
        <v>28606009.690721646</v>
      </c>
    </row>
    <row r="389" spans="1:23" x14ac:dyDescent="0.2">
      <c r="A389" s="28">
        <v>388</v>
      </c>
      <c r="B389" s="28">
        <v>481987.69323050557</v>
      </c>
      <c r="C389" s="28">
        <f t="shared" si="21"/>
        <v>4819876.9323050557</v>
      </c>
      <c r="D389" s="28">
        <f t="shared" si="22"/>
        <v>6024846.1653813198</v>
      </c>
      <c r="E389" s="28">
        <f t="shared" si="23"/>
        <v>7229815.398457583</v>
      </c>
      <c r="F389" s="28">
        <f t="shared" si="24"/>
        <v>8434784.6315338481</v>
      </c>
      <c r="G389" s="28">
        <f t="shared" si="25"/>
        <v>9639753.8646101113</v>
      </c>
      <c r="H389" s="28">
        <f t="shared" si="26"/>
        <v>10844723.097686375</v>
      </c>
      <c r="I389" s="28">
        <f t="shared" si="27"/>
        <v>12049692.33076264</v>
      </c>
      <c r="J389" s="28">
        <f t="shared" si="28"/>
        <v>13254661.563838903</v>
      </c>
      <c r="K389" s="28">
        <f t="shared" si="29"/>
        <v>14459630.796915166</v>
      </c>
      <c r="L389" s="28">
        <f t="shared" si="30"/>
        <v>15664600.029991431</v>
      </c>
      <c r="M389" s="28">
        <f t="shared" si="31"/>
        <v>16869569.263067696</v>
      </c>
      <c r="N389" s="28">
        <f t="shared" si="32"/>
        <v>18074538.496143959</v>
      </c>
      <c r="O389" s="28">
        <f t="shared" si="33"/>
        <v>19279507.729220223</v>
      </c>
      <c r="P389" s="28">
        <f t="shared" si="34"/>
        <v>20484476.962296486</v>
      </c>
      <c r="Q389" s="28">
        <f t="shared" si="35"/>
        <v>21689446.195372749</v>
      </c>
      <c r="R389" s="28">
        <f t="shared" si="36"/>
        <v>22894415.428449016</v>
      </c>
      <c r="S389" s="28">
        <f t="shared" si="37"/>
        <v>24099384.661525279</v>
      </c>
      <c r="T389" s="28">
        <f t="shared" si="38"/>
        <v>25304353.894601543</v>
      </c>
      <c r="U389" s="28">
        <f t="shared" si="39"/>
        <v>26509323.127677806</v>
      </c>
      <c r="V389" s="28">
        <f t="shared" si="40"/>
        <v>27714292.360754069</v>
      </c>
      <c r="W389" s="28">
        <f t="shared" si="41"/>
        <v>28919261.593830332</v>
      </c>
    </row>
    <row r="390" spans="1:23" x14ac:dyDescent="0.2">
      <c r="A390" s="28">
        <v>389</v>
      </c>
      <c r="B390" s="28">
        <v>487181.78461538465</v>
      </c>
      <c r="C390" s="28">
        <f t="shared" si="21"/>
        <v>4871817.846153846</v>
      </c>
      <c r="D390" s="28">
        <f t="shared" si="22"/>
        <v>6089772.307692308</v>
      </c>
      <c r="E390" s="28">
        <f t="shared" si="23"/>
        <v>7307726.769230769</v>
      </c>
      <c r="F390" s="28">
        <f t="shared" si="24"/>
        <v>8525681.2307692301</v>
      </c>
      <c r="G390" s="28">
        <f t="shared" si="25"/>
        <v>9743635.692307692</v>
      </c>
      <c r="H390" s="28">
        <f t="shared" si="26"/>
        <v>10961590.153846154</v>
      </c>
      <c r="I390" s="28">
        <f t="shared" si="27"/>
        <v>12179544.615384616</v>
      </c>
      <c r="J390" s="28">
        <f t="shared" si="28"/>
        <v>13397499.076923076</v>
      </c>
      <c r="K390" s="28">
        <f t="shared" si="29"/>
        <v>14615453.538461538</v>
      </c>
      <c r="L390" s="28">
        <f t="shared" si="30"/>
        <v>15833408</v>
      </c>
      <c r="M390" s="28">
        <f t="shared" si="31"/>
        <v>17051362.46153846</v>
      </c>
      <c r="N390" s="28">
        <f t="shared" si="32"/>
        <v>18269316.923076924</v>
      </c>
      <c r="O390" s="28">
        <f t="shared" si="33"/>
        <v>19487271.384615384</v>
      </c>
      <c r="P390" s="28">
        <f t="shared" si="34"/>
        <v>20705225.846153844</v>
      </c>
      <c r="Q390" s="28">
        <f t="shared" si="35"/>
        <v>21923180.307692308</v>
      </c>
      <c r="R390" s="28">
        <f t="shared" si="36"/>
        <v>23141134.769230768</v>
      </c>
      <c r="S390" s="28">
        <f t="shared" si="37"/>
        <v>24359089.230769232</v>
      </c>
      <c r="T390" s="28">
        <f t="shared" si="38"/>
        <v>25577043.692307692</v>
      </c>
      <c r="U390" s="28">
        <f t="shared" si="39"/>
        <v>26794998.153846152</v>
      </c>
      <c r="V390" s="28">
        <f t="shared" si="40"/>
        <v>28012952.615384616</v>
      </c>
      <c r="W390" s="28">
        <f t="shared" si="41"/>
        <v>29230907.076923076</v>
      </c>
    </row>
    <row r="391" spans="1:23" x14ac:dyDescent="0.2">
      <c r="A391" s="28">
        <v>390</v>
      </c>
      <c r="B391" s="28">
        <v>492503.73742540495</v>
      </c>
      <c r="C391" s="28">
        <f t="shared" si="21"/>
        <v>4925037.3742540497</v>
      </c>
      <c r="D391" s="28">
        <f t="shared" si="22"/>
        <v>6156296.7178175617</v>
      </c>
      <c r="E391" s="28">
        <f t="shared" si="23"/>
        <v>7387556.0613810746</v>
      </c>
      <c r="F391" s="28">
        <f t="shared" si="24"/>
        <v>8618815.4049445875</v>
      </c>
      <c r="G391" s="28">
        <f t="shared" si="25"/>
        <v>9850074.7485080995</v>
      </c>
      <c r="H391" s="28">
        <f t="shared" si="26"/>
        <v>11081334.092071611</v>
      </c>
      <c r="I391" s="28">
        <f t="shared" si="27"/>
        <v>12312593.435635123</v>
      </c>
      <c r="J391" s="28">
        <f t="shared" si="28"/>
        <v>13543852.779198637</v>
      </c>
      <c r="K391" s="28">
        <f t="shared" si="29"/>
        <v>14775112.122762149</v>
      </c>
      <c r="L391" s="28">
        <f t="shared" si="30"/>
        <v>16006371.466325661</v>
      </c>
      <c r="M391" s="28">
        <f t="shared" si="31"/>
        <v>17237630.809889175</v>
      </c>
      <c r="N391" s="28">
        <f t="shared" si="32"/>
        <v>18468890.153452687</v>
      </c>
      <c r="O391" s="28">
        <f t="shared" si="33"/>
        <v>19700149.497016199</v>
      </c>
      <c r="P391" s="28">
        <f t="shared" si="34"/>
        <v>20931408.840579711</v>
      </c>
      <c r="Q391" s="28">
        <f t="shared" si="35"/>
        <v>22162668.184143223</v>
      </c>
      <c r="R391" s="28">
        <f t="shared" si="36"/>
        <v>23393927.527706735</v>
      </c>
      <c r="S391" s="28">
        <f t="shared" si="37"/>
        <v>24625186.871270247</v>
      </c>
      <c r="T391" s="28">
        <f t="shared" si="38"/>
        <v>25856446.214833762</v>
      </c>
      <c r="U391" s="28">
        <f t="shared" si="39"/>
        <v>27087705.558397274</v>
      </c>
      <c r="V391" s="28">
        <f t="shared" si="40"/>
        <v>28318964.901960786</v>
      </c>
      <c r="W391" s="28">
        <f t="shared" si="41"/>
        <v>29550224.245524298</v>
      </c>
    </row>
    <row r="392" spans="1:23" x14ac:dyDescent="0.2">
      <c r="A392" s="28">
        <v>391</v>
      </c>
      <c r="B392" s="28">
        <v>497798.53741496598</v>
      </c>
      <c r="C392" s="28">
        <f t="shared" si="21"/>
        <v>4977985.3741496596</v>
      </c>
      <c r="D392" s="28">
        <f t="shared" si="22"/>
        <v>6222481.7176870741</v>
      </c>
      <c r="E392" s="28">
        <f t="shared" si="23"/>
        <v>7466978.0612244895</v>
      </c>
      <c r="F392" s="28">
        <f t="shared" si="24"/>
        <v>8711474.4047619049</v>
      </c>
      <c r="G392" s="28">
        <f t="shared" si="25"/>
        <v>9955970.7482993193</v>
      </c>
      <c r="H392" s="28">
        <f t="shared" si="26"/>
        <v>11200467.091836734</v>
      </c>
      <c r="I392" s="28">
        <f t="shared" si="27"/>
        <v>12444963.435374148</v>
      </c>
      <c r="J392" s="28">
        <f t="shared" si="28"/>
        <v>13689459.778911564</v>
      </c>
      <c r="K392" s="28">
        <f t="shared" si="29"/>
        <v>14933956.122448979</v>
      </c>
      <c r="L392" s="28">
        <f t="shared" si="30"/>
        <v>16178452.465986393</v>
      </c>
      <c r="M392" s="28">
        <f t="shared" si="31"/>
        <v>17422948.80952381</v>
      </c>
      <c r="N392" s="28">
        <f t="shared" si="32"/>
        <v>18667445.153061222</v>
      </c>
      <c r="O392" s="28">
        <f t="shared" si="33"/>
        <v>19911941.496598639</v>
      </c>
      <c r="P392" s="28">
        <f t="shared" si="34"/>
        <v>21156437.840136055</v>
      </c>
      <c r="Q392" s="28">
        <f t="shared" si="35"/>
        <v>22400934.183673467</v>
      </c>
      <c r="R392" s="28">
        <f t="shared" si="36"/>
        <v>23645430.527210884</v>
      </c>
      <c r="S392" s="28">
        <f t="shared" si="37"/>
        <v>24889926.870748296</v>
      </c>
      <c r="T392" s="28">
        <f t="shared" si="38"/>
        <v>26134423.214285713</v>
      </c>
      <c r="U392" s="28">
        <f t="shared" si="39"/>
        <v>27378919.557823129</v>
      </c>
      <c r="V392" s="28">
        <f t="shared" si="40"/>
        <v>28623415.901360542</v>
      </c>
      <c r="W392" s="28">
        <f t="shared" si="41"/>
        <v>29867912.244897958</v>
      </c>
    </row>
    <row r="393" spans="1:23" x14ac:dyDescent="0.2">
      <c r="A393" s="28">
        <v>392</v>
      </c>
      <c r="B393" s="28">
        <v>503200.4444444445</v>
      </c>
      <c r="C393" s="28">
        <f t="shared" si="21"/>
        <v>5032004.444444445</v>
      </c>
      <c r="D393" s="28">
        <f t="shared" si="22"/>
        <v>6290005.555555556</v>
      </c>
      <c r="E393" s="28">
        <f t="shared" si="23"/>
        <v>7548006.6666666679</v>
      </c>
      <c r="F393" s="28">
        <f t="shared" si="24"/>
        <v>8806007.777777778</v>
      </c>
      <c r="G393" s="28">
        <f t="shared" si="25"/>
        <v>10064008.88888889</v>
      </c>
      <c r="H393" s="28">
        <f t="shared" si="26"/>
        <v>11322010.000000002</v>
      </c>
      <c r="I393" s="28">
        <f t="shared" si="27"/>
        <v>12580011.111111112</v>
      </c>
      <c r="J393" s="28">
        <f t="shared" si="28"/>
        <v>13838012.222222224</v>
      </c>
      <c r="K393" s="28">
        <f t="shared" si="29"/>
        <v>15096013.333333336</v>
      </c>
      <c r="L393" s="28">
        <f t="shared" si="30"/>
        <v>16354014.444444446</v>
      </c>
      <c r="M393" s="28">
        <f t="shared" si="31"/>
        <v>17612015.555555556</v>
      </c>
      <c r="N393" s="28">
        <f t="shared" si="32"/>
        <v>18870016.666666668</v>
      </c>
      <c r="O393" s="28">
        <f t="shared" si="33"/>
        <v>20128017.77777778</v>
      </c>
      <c r="P393" s="28">
        <f t="shared" si="34"/>
        <v>21386018.888888892</v>
      </c>
      <c r="Q393" s="28">
        <f t="shared" si="35"/>
        <v>22644020.000000004</v>
      </c>
      <c r="R393" s="28">
        <f t="shared" si="36"/>
        <v>23902021.111111112</v>
      </c>
      <c r="S393" s="28">
        <f t="shared" si="37"/>
        <v>25160022.222222224</v>
      </c>
      <c r="T393" s="28">
        <f t="shared" si="38"/>
        <v>26418023.333333336</v>
      </c>
      <c r="U393" s="28">
        <f t="shared" si="39"/>
        <v>27676024.444444448</v>
      </c>
      <c r="V393" s="28">
        <f t="shared" si="40"/>
        <v>28934025.55555556</v>
      </c>
      <c r="W393" s="28">
        <f t="shared" si="41"/>
        <v>30192026.666666672</v>
      </c>
    </row>
    <row r="394" spans="1:23" x14ac:dyDescent="0.2">
      <c r="A394" s="28">
        <v>393</v>
      </c>
      <c r="B394" s="28">
        <v>507614.21319796954</v>
      </c>
      <c r="C394" s="28">
        <f t="shared" si="21"/>
        <v>5076142.1319796955</v>
      </c>
      <c r="D394" s="28">
        <f t="shared" si="22"/>
        <v>6345177.6649746196</v>
      </c>
      <c r="E394" s="28">
        <f t="shared" si="23"/>
        <v>7614213.1979695428</v>
      </c>
      <c r="F394" s="28">
        <f t="shared" si="24"/>
        <v>8883248.7309644669</v>
      </c>
      <c r="G394" s="28">
        <f t="shared" si="25"/>
        <v>10152284.263959391</v>
      </c>
      <c r="H394" s="28">
        <f t="shared" si="26"/>
        <v>11421319.796954315</v>
      </c>
      <c r="I394" s="28">
        <f t="shared" si="27"/>
        <v>12690355.329949239</v>
      </c>
      <c r="J394" s="28">
        <f t="shared" si="28"/>
        <v>13959390.862944163</v>
      </c>
      <c r="K394" s="28">
        <f t="shared" si="29"/>
        <v>15228426.395939086</v>
      </c>
      <c r="L394" s="28">
        <f t="shared" si="30"/>
        <v>16497461.92893401</v>
      </c>
      <c r="M394" s="28">
        <f t="shared" si="31"/>
        <v>17766497.461928934</v>
      </c>
      <c r="N394" s="28">
        <f t="shared" si="32"/>
        <v>19035532.99492386</v>
      </c>
      <c r="O394" s="28">
        <f t="shared" si="33"/>
        <v>20304568.527918782</v>
      </c>
      <c r="P394" s="28">
        <f t="shared" si="34"/>
        <v>21573604.060913704</v>
      </c>
      <c r="Q394" s="28">
        <f t="shared" si="35"/>
        <v>22842639.59390863</v>
      </c>
      <c r="R394" s="28">
        <f t="shared" si="36"/>
        <v>24111675.126903553</v>
      </c>
      <c r="S394" s="28">
        <f t="shared" si="37"/>
        <v>25380710.659898479</v>
      </c>
      <c r="T394" s="28">
        <f t="shared" si="38"/>
        <v>26649746.192893401</v>
      </c>
      <c r="U394" s="28">
        <f t="shared" si="39"/>
        <v>27918781.725888327</v>
      </c>
      <c r="V394" s="28">
        <f t="shared" si="40"/>
        <v>29187817.258883249</v>
      </c>
      <c r="W394" s="28">
        <f t="shared" si="41"/>
        <v>30456852.791878171</v>
      </c>
    </row>
    <row r="395" spans="1:23" x14ac:dyDescent="0.2">
      <c r="A395" s="28">
        <v>394</v>
      </c>
      <c r="B395" s="28">
        <v>506329.11392405065</v>
      </c>
      <c r="C395" s="28">
        <f t="shared" si="21"/>
        <v>5063291.1392405061</v>
      </c>
      <c r="D395" s="28">
        <f t="shared" si="22"/>
        <v>6329113.9240506329</v>
      </c>
      <c r="E395" s="28">
        <f t="shared" si="23"/>
        <v>7594936.7088607587</v>
      </c>
      <c r="F395" s="28">
        <f t="shared" si="24"/>
        <v>8860759.4936708864</v>
      </c>
      <c r="G395" s="28">
        <f t="shared" si="25"/>
        <v>10126582.278481012</v>
      </c>
      <c r="H395" s="28">
        <f t="shared" si="26"/>
        <v>11392405.063291138</v>
      </c>
      <c r="I395" s="28">
        <f t="shared" si="27"/>
        <v>12658227.848101266</v>
      </c>
      <c r="J395" s="28">
        <f t="shared" si="28"/>
        <v>13924050.632911392</v>
      </c>
      <c r="K395" s="28">
        <f t="shared" si="29"/>
        <v>15189873.417721517</v>
      </c>
      <c r="L395" s="28">
        <f t="shared" si="30"/>
        <v>16455696.202531645</v>
      </c>
      <c r="M395" s="28">
        <f t="shared" si="31"/>
        <v>17721518.987341773</v>
      </c>
      <c r="N395" s="28">
        <f t="shared" si="32"/>
        <v>18987341.772151899</v>
      </c>
      <c r="O395" s="28">
        <f t="shared" si="33"/>
        <v>20253164.556962024</v>
      </c>
      <c r="P395" s="28">
        <f t="shared" si="34"/>
        <v>21518987.34177215</v>
      </c>
      <c r="Q395" s="28">
        <f t="shared" si="35"/>
        <v>22784810.126582276</v>
      </c>
      <c r="R395" s="28">
        <f t="shared" si="36"/>
        <v>24050632.911392406</v>
      </c>
      <c r="S395" s="28">
        <f t="shared" si="37"/>
        <v>25316455.696202531</v>
      </c>
      <c r="T395" s="28">
        <f t="shared" si="38"/>
        <v>26582278.481012657</v>
      </c>
      <c r="U395" s="28">
        <f t="shared" si="39"/>
        <v>27848101.265822783</v>
      </c>
      <c r="V395" s="28">
        <f t="shared" si="40"/>
        <v>29113924.050632909</v>
      </c>
      <c r="W395" s="28">
        <f t="shared" si="41"/>
        <v>30379746.835443035</v>
      </c>
    </row>
    <row r="396" spans="1:23" x14ac:dyDescent="0.2">
      <c r="A396" s="28">
        <v>395</v>
      </c>
      <c r="B396" s="28">
        <v>505050.50505050505</v>
      </c>
      <c r="C396" s="28">
        <f t="shared" si="21"/>
        <v>5050505.0505050505</v>
      </c>
      <c r="D396" s="28">
        <f t="shared" si="22"/>
        <v>6313131.3131313128</v>
      </c>
      <c r="E396" s="28">
        <f t="shared" si="23"/>
        <v>7575757.5757575762</v>
      </c>
      <c r="F396" s="28">
        <f t="shared" si="24"/>
        <v>8838383.8383838385</v>
      </c>
      <c r="G396" s="28">
        <f t="shared" si="25"/>
        <v>10101010.101010101</v>
      </c>
      <c r="H396" s="28">
        <f t="shared" si="26"/>
        <v>11363636.363636363</v>
      </c>
      <c r="I396" s="28">
        <f t="shared" si="27"/>
        <v>12626262.626262626</v>
      </c>
      <c r="J396" s="28">
        <f t="shared" si="28"/>
        <v>13888888.888888888</v>
      </c>
      <c r="K396" s="28">
        <f t="shared" si="29"/>
        <v>15151515.151515152</v>
      </c>
      <c r="L396" s="28">
        <f t="shared" si="30"/>
        <v>16414141.414141415</v>
      </c>
      <c r="M396" s="28">
        <f t="shared" si="31"/>
        <v>17676767.676767677</v>
      </c>
      <c r="N396" s="28">
        <f t="shared" si="32"/>
        <v>18939393.939393938</v>
      </c>
      <c r="O396" s="28">
        <f t="shared" si="33"/>
        <v>20202020.202020202</v>
      </c>
      <c r="P396" s="28">
        <f t="shared" si="34"/>
        <v>21464646.464646466</v>
      </c>
      <c r="Q396" s="28">
        <f t="shared" si="35"/>
        <v>22727272.727272727</v>
      </c>
      <c r="R396" s="28">
        <f t="shared" si="36"/>
        <v>23989898.989898991</v>
      </c>
      <c r="S396" s="28">
        <f t="shared" si="37"/>
        <v>25252525.252525251</v>
      </c>
      <c r="T396" s="28">
        <f t="shared" si="38"/>
        <v>26515151.515151516</v>
      </c>
      <c r="U396" s="28">
        <f t="shared" si="39"/>
        <v>27777777.777777776</v>
      </c>
      <c r="V396" s="28">
        <f t="shared" si="40"/>
        <v>29040404.04040404</v>
      </c>
      <c r="W396" s="28">
        <f t="shared" si="41"/>
        <v>30303030.303030305</v>
      </c>
    </row>
    <row r="397" spans="1:23" x14ac:dyDescent="0.2">
      <c r="A397" s="28">
        <v>396</v>
      </c>
      <c r="B397" s="28">
        <v>503778.33753148612</v>
      </c>
      <c r="C397" s="28">
        <f t="shared" si="21"/>
        <v>5037783.3753148615</v>
      </c>
      <c r="D397" s="28">
        <f t="shared" si="22"/>
        <v>6297229.2191435769</v>
      </c>
      <c r="E397" s="28">
        <f t="shared" si="23"/>
        <v>7556675.0629722923</v>
      </c>
      <c r="F397" s="28">
        <f t="shared" si="24"/>
        <v>8816120.9068010077</v>
      </c>
      <c r="G397" s="28">
        <f t="shared" si="25"/>
        <v>10075566.750629723</v>
      </c>
      <c r="H397" s="28">
        <f t="shared" si="26"/>
        <v>11335012.594458438</v>
      </c>
      <c r="I397" s="28">
        <f t="shared" si="27"/>
        <v>12594458.438287154</v>
      </c>
      <c r="J397" s="28">
        <f t="shared" si="28"/>
        <v>13853904.282115869</v>
      </c>
      <c r="K397" s="28">
        <f t="shared" si="29"/>
        <v>15113350.125944585</v>
      </c>
      <c r="L397" s="28">
        <f t="shared" si="30"/>
        <v>16372795.9697733</v>
      </c>
      <c r="M397" s="28">
        <f t="shared" si="31"/>
        <v>17632241.813602015</v>
      </c>
      <c r="N397" s="28">
        <f t="shared" si="32"/>
        <v>18891687.657430731</v>
      </c>
      <c r="O397" s="28">
        <f t="shared" si="33"/>
        <v>20151133.501259446</v>
      </c>
      <c r="P397" s="28">
        <f t="shared" si="34"/>
        <v>21410579.345088162</v>
      </c>
      <c r="Q397" s="28">
        <f t="shared" si="35"/>
        <v>22670025.188916877</v>
      </c>
      <c r="R397" s="28">
        <f t="shared" si="36"/>
        <v>23929471.032745592</v>
      </c>
      <c r="S397" s="28">
        <f t="shared" si="37"/>
        <v>25188916.876574308</v>
      </c>
      <c r="T397" s="28">
        <f t="shared" si="38"/>
        <v>26448362.720403023</v>
      </c>
      <c r="U397" s="28">
        <f t="shared" si="39"/>
        <v>27707808.564231738</v>
      </c>
      <c r="V397" s="28">
        <f t="shared" si="40"/>
        <v>28967254.408060454</v>
      </c>
      <c r="W397" s="28">
        <f t="shared" si="41"/>
        <v>30226700.251889169</v>
      </c>
    </row>
    <row r="398" spans="1:23" x14ac:dyDescent="0.2">
      <c r="A398" s="28">
        <v>397</v>
      </c>
      <c r="B398" s="28">
        <v>502512.56281407038</v>
      </c>
      <c r="C398" s="28">
        <f t="shared" si="21"/>
        <v>5025125.6281407038</v>
      </c>
      <c r="D398" s="28">
        <f t="shared" si="22"/>
        <v>6281407.0351758795</v>
      </c>
      <c r="E398" s="28">
        <f t="shared" si="23"/>
        <v>7537688.4422110561</v>
      </c>
      <c r="F398" s="28">
        <f t="shared" si="24"/>
        <v>8793969.8492462318</v>
      </c>
      <c r="G398" s="28">
        <f t="shared" si="25"/>
        <v>10050251.256281408</v>
      </c>
      <c r="H398" s="28">
        <f t="shared" si="26"/>
        <v>11306532.663316583</v>
      </c>
      <c r="I398" s="28">
        <f t="shared" si="27"/>
        <v>12562814.070351759</v>
      </c>
      <c r="J398" s="28">
        <f t="shared" si="28"/>
        <v>13819095.477386935</v>
      </c>
      <c r="K398" s="28">
        <f t="shared" si="29"/>
        <v>15075376.884422112</v>
      </c>
      <c r="L398" s="28">
        <f t="shared" si="30"/>
        <v>16331658.291457288</v>
      </c>
      <c r="M398" s="28">
        <f t="shared" si="31"/>
        <v>17587939.698492464</v>
      </c>
      <c r="N398" s="28">
        <f t="shared" si="32"/>
        <v>18844221.105527639</v>
      </c>
      <c r="O398" s="28">
        <f t="shared" si="33"/>
        <v>20100502.512562815</v>
      </c>
      <c r="P398" s="28">
        <f t="shared" si="34"/>
        <v>21356783.919597991</v>
      </c>
      <c r="Q398" s="28">
        <f t="shared" si="35"/>
        <v>22613065.326633167</v>
      </c>
      <c r="R398" s="28">
        <f t="shared" si="36"/>
        <v>23869346.733668342</v>
      </c>
      <c r="S398" s="28">
        <f t="shared" si="37"/>
        <v>25125628.140703518</v>
      </c>
      <c r="T398" s="28">
        <f t="shared" si="38"/>
        <v>26381909.547738694</v>
      </c>
      <c r="U398" s="28">
        <f t="shared" si="39"/>
        <v>27638190.954773869</v>
      </c>
      <c r="V398" s="28">
        <f t="shared" si="40"/>
        <v>28894472.361809045</v>
      </c>
      <c r="W398" s="28">
        <f t="shared" si="41"/>
        <v>30150753.768844225</v>
      </c>
    </row>
    <row r="399" spans="1:23" x14ac:dyDescent="0.2">
      <c r="A399" s="28">
        <v>398</v>
      </c>
      <c r="B399" s="28">
        <v>501253.13283208024</v>
      </c>
      <c r="C399" s="28">
        <f t="shared" si="21"/>
        <v>5012531.3283208022</v>
      </c>
      <c r="D399" s="28">
        <f t="shared" si="22"/>
        <v>6265664.1604010025</v>
      </c>
      <c r="E399" s="28">
        <f t="shared" si="23"/>
        <v>7518796.9924812037</v>
      </c>
      <c r="F399" s="28">
        <f t="shared" si="24"/>
        <v>8771929.8245614041</v>
      </c>
      <c r="G399" s="28">
        <f t="shared" si="25"/>
        <v>10025062.656641604</v>
      </c>
      <c r="H399" s="28">
        <f t="shared" si="26"/>
        <v>11278195.488721805</v>
      </c>
      <c r="I399" s="28">
        <f t="shared" si="27"/>
        <v>12531328.320802005</v>
      </c>
      <c r="J399" s="28">
        <f t="shared" si="28"/>
        <v>13784461.152882205</v>
      </c>
      <c r="K399" s="28">
        <f t="shared" si="29"/>
        <v>15037593.984962407</v>
      </c>
      <c r="L399" s="28">
        <f t="shared" si="30"/>
        <v>16290726.817042608</v>
      </c>
      <c r="M399" s="28">
        <f t="shared" si="31"/>
        <v>17543859.649122808</v>
      </c>
      <c r="N399" s="28">
        <f t="shared" si="32"/>
        <v>18796992.481203008</v>
      </c>
      <c r="O399" s="28">
        <f t="shared" si="33"/>
        <v>20050125.313283209</v>
      </c>
      <c r="P399" s="28">
        <f t="shared" si="34"/>
        <v>21303258.145363409</v>
      </c>
      <c r="Q399" s="28">
        <f t="shared" si="35"/>
        <v>22556390.977443609</v>
      </c>
      <c r="R399" s="28">
        <f t="shared" si="36"/>
        <v>23809523.80952381</v>
      </c>
      <c r="S399" s="28">
        <f t="shared" si="37"/>
        <v>25062656.64160401</v>
      </c>
      <c r="T399" s="28">
        <f t="shared" si="38"/>
        <v>26315789.47368421</v>
      </c>
      <c r="U399" s="28">
        <f t="shared" si="39"/>
        <v>27568922.305764411</v>
      </c>
      <c r="V399" s="28">
        <f t="shared" si="40"/>
        <v>28822055.137844611</v>
      </c>
      <c r="W399" s="28">
        <f t="shared" si="41"/>
        <v>30075187.969924815</v>
      </c>
    </row>
    <row r="400" spans="1:23" x14ac:dyDescent="0.2">
      <c r="A400" s="28">
        <v>399</v>
      </c>
      <c r="B400" s="28">
        <v>500000</v>
      </c>
      <c r="C400" s="28">
        <f t="shared" si="21"/>
        <v>5000000</v>
      </c>
      <c r="D400" s="28">
        <f t="shared" si="22"/>
        <v>6250000</v>
      </c>
      <c r="E400" s="28">
        <f t="shared" si="23"/>
        <v>7500000</v>
      </c>
      <c r="F400" s="28">
        <f t="shared" si="24"/>
        <v>8750000</v>
      </c>
      <c r="G400" s="28">
        <f t="shared" si="25"/>
        <v>10000000</v>
      </c>
      <c r="H400" s="28">
        <f t="shared" si="26"/>
        <v>11250000</v>
      </c>
      <c r="I400" s="28">
        <f t="shared" si="27"/>
        <v>12500000</v>
      </c>
      <c r="J400" s="28">
        <f t="shared" si="28"/>
        <v>13750000</v>
      </c>
      <c r="K400" s="28">
        <f t="shared" si="29"/>
        <v>15000000</v>
      </c>
      <c r="L400" s="28">
        <f t="shared" si="30"/>
        <v>16250000</v>
      </c>
      <c r="M400" s="28">
        <f t="shared" si="31"/>
        <v>17500000</v>
      </c>
      <c r="N400" s="28">
        <f t="shared" si="32"/>
        <v>18750000</v>
      </c>
      <c r="O400" s="28">
        <f t="shared" si="33"/>
        <v>20000000</v>
      </c>
      <c r="P400" s="28">
        <f t="shared" si="34"/>
        <v>21250000</v>
      </c>
      <c r="Q400" s="28">
        <f t="shared" si="35"/>
        <v>22500000</v>
      </c>
      <c r="R400" s="28">
        <f t="shared" si="36"/>
        <v>23750000</v>
      </c>
      <c r="S400" s="28">
        <f t="shared" si="37"/>
        <v>25000000</v>
      </c>
      <c r="T400" s="28">
        <f t="shared" si="38"/>
        <v>26250000</v>
      </c>
      <c r="U400" s="28">
        <f t="shared" si="39"/>
        <v>27500000</v>
      </c>
      <c r="V400" s="28">
        <f t="shared" si="40"/>
        <v>28750000</v>
      </c>
      <c r="W400" s="28">
        <f t="shared" si="41"/>
        <v>30000000</v>
      </c>
    </row>
    <row r="401" spans="1:23" x14ac:dyDescent="0.2">
      <c r="A401" s="28">
        <v>400</v>
      </c>
      <c r="B401" s="28">
        <v>498753.11720698257</v>
      </c>
      <c r="C401" s="28">
        <f t="shared" si="21"/>
        <v>4987531.1720698252</v>
      </c>
      <c r="D401" s="28">
        <f t="shared" si="22"/>
        <v>6234413.9650872815</v>
      </c>
      <c r="E401" s="28">
        <f t="shared" si="23"/>
        <v>7481296.7581047378</v>
      </c>
      <c r="F401" s="28">
        <f t="shared" si="24"/>
        <v>8728179.5511221942</v>
      </c>
      <c r="G401" s="28">
        <f t="shared" si="25"/>
        <v>9975062.3441396505</v>
      </c>
      <c r="H401" s="28">
        <f t="shared" si="26"/>
        <v>11221945.137157107</v>
      </c>
      <c r="I401" s="28">
        <f t="shared" si="27"/>
        <v>12468827.930174563</v>
      </c>
      <c r="J401" s="28">
        <f t="shared" si="28"/>
        <v>13715710.723192019</v>
      </c>
      <c r="K401" s="28">
        <f t="shared" si="29"/>
        <v>14962593.516209476</v>
      </c>
      <c r="L401" s="28">
        <f t="shared" si="30"/>
        <v>16209476.309226932</v>
      </c>
      <c r="M401" s="28">
        <f t="shared" si="31"/>
        <v>17456359.102244388</v>
      </c>
      <c r="N401" s="28">
        <f t="shared" si="32"/>
        <v>18703241.895261846</v>
      </c>
      <c r="O401" s="28">
        <f t="shared" si="33"/>
        <v>19950124.688279301</v>
      </c>
      <c r="P401" s="28">
        <f t="shared" si="34"/>
        <v>21197007.481296755</v>
      </c>
      <c r="Q401" s="28">
        <f t="shared" si="35"/>
        <v>22443890.274314214</v>
      </c>
      <c r="R401" s="28">
        <f t="shared" si="36"/>
        <v>23690773.067331672</v>
      </c>
      <c r="S401" s="28">
        <f t="shared" si="37"/>
        <v>24937655.860349126</v>
      </c>
      <c r="T401" s="28">
        <f t="shared" si="38"/>
        <v>26184538.653366581</v>
      </c>
      <c r="U401" s="28">
        <f t="shared" si="39"/>
        <v>27431421.446384039</v>
      </c>
      <c r="V401" s="28">
        <f t="shared" si="40"/>
        <v>28678304.239401497</v>
      </c>
      <c r="W401" s="28">
        <f t="shared" si="41"/>
        <v>29925187.032418951</v>
      </c>
    </row>
    <row r="402" spans="1:23" x14ac:dyDescent="0.2">
      <c r="A402" s="28">
        <v>401</v>
      </c>
      <c r="B402" s="28">
        <v>497512.43781094527</v>
      </c>
      <c r="C402" s="28">
        <f t="shared" si="21"/>
        <v>4975124.3781094523</v>
      </c>
      <c r="D402" s="28">
        <f t="shared" si="22"/>
        <v>6218905.4726368152</v>
      </c>
      <c r="E402" s="28">
        <f t="shared" si="23"/>
        <v>7462686.5671641789</v>
      </c>
      <c r="F402" s="28">
        <f t="shared" si="24"/>
        <v>8706467.6616915409</v>
      </c>
      <c r="G402" s="28">
        <f t="shared" si="25"/>
        <v>9950248.7562189046</v>
      </c>
      <c r="H402" s="28">
        <f t="shared" si="26"/>
        <v>11194029.850746268</v>
      </c>
      <c r="I402" s="28">
        <f t="shared" si="27"/>
        <v>12437810.94527363</v>
      </c>
      <c r="J402" s="28">
        <f t="shared" si="28"/>
        <v>13681592.039800994</v>
      </c>
      <c r="K402" s="28">
        <f t="shared" si="29"/>
        <v>14925373.134328358</v>
      </c>
      <c r="L402" s="28">
        <f t="shared" si="30"/>
        <v>16169154.22885572</v>
      </c>
      <c r="M402" s="28">
        <f t="shared" si="31"/>
        <v>17412935.323383082</v>
      </c>
      <c r="N402" s="28">
        <f t="shared" si="32"/>
        <v>18656716.417910445</v>
      </c>
      <c r="O402" s="28">
        <f t="shared" si="33"/>
        <v>19900497.512437809</v>
      </c>
      <c r="P402" s="28">
        <f t="shared" si="34"/>
        <v>21144278.606965173</v>
      </c>
      <c r="Q402" s="28">
        <f t="shared" si="35"/>
        <v>22388059.701492537</v>
      </c>
      <c r="R402" s="28">
        <f t="shared" si="36"/>
        <v>23631840.796019897</v>
      </c>
      <c r="S402" s="28">
        <f t="shared" si="37"/>
        <v>24875621.890547261</v>
      </c>
      <c r="T402" s="28">
        <f t="shared" si="38"/>
        <v>26119402.985074624</v>
      </c>
      <c r="U402" s="28">
        <f t="shared" si="39"/>
        <v>27363184.079601988</v>
      </c>
      <c r="V402" s="28">
        <f t="shared" si="40"/>
        <v>28606965.174129352</v>
      </c>
      <c r="W402" s="28">
        <f t="shared" si="41"/>
        <v>29850746.268656716</v>
      </c>
    </row>
    <row r="403" spans="1:23" x14ac:dyDescent="0.2">
      <c r="A403" s="28">
        <v>402</v>
      </c>
      <c r="B403" s="28">
        <v>496277.91563275433</v>
      </c>
      <c r="C403" s="28">
        <f t="shared" si="21"/>
        <v>4962779.1563275438</v>
      </c>
      <c r="D403" s="28">
        <f t="shared" si="22"/>
        <v>6203473.9454094302</v>
      </c>
      <c r="E403" s="28">
        <f t="shared" si="23"/>
        <v>7444168.7344913157</v>
      </c>
      <c r="F403" s="28">
        <f t="shared" si="24"/>
        <v>8684863.5235732011</v>
      </c>
      <c r="G403" s="28">
        <f t="shared" si="25"/>
        <v>9925558.3126550876</v>
      </c>
      <c r="H403" s="28">
        <f t="shared" si="26"/>
        <v>11166253.101736974</v>
      </c>
      <c r="I403" s="28">
        <f t="shared" si="27"/>
        <v>12406947.89081886</v>
      </c>
      <c r="J403" s="28">
        <f t="shared" si="28"/>
        <v>13647642.679900745</v>
      </c>
      <c r="K403" s="28">
        <f t="shared" si="29"/>
        <v>14888337.468982631</v>
      </c>
      <c r="L403" s="28">
        <f t="shared" si="30"/>
        <v>16129032.258064518</v>
      </c>
      <c r="M403" s="28">
        <f t="shared" si="31"/>
        <v>17369727.047146402</v>
      </c>
      <c r="N403" s="28">
        <f t="shared" si="32"/>
        <v>18610421.836228289</v>
      </c>
      <c r="O403" s="28">
        <f t="shared" si="33"/>
        <v>19851116.625310175</v>
      </c>
      <c r="P403" s="28">
        <f t="shared" si="34"/>
        <v>21091811.414392062</v>
      </c>
      <c r="Q403" s="28">
        <f t="shared" si="35"/>
        <v>22332506.203473948</v>
      </c>
      <c r="R403" s="28">
        <f t="shared" si="36"/>
        <v>23573200.992555834</v>
      </c>
      <c r="S403" s="28">
        <f t="shared" si="37"/>
        <v>24813895.781637721</v>
      </c>
      <c r="T403" s="28">
        <f t="shared" si="38"/>
        <v>26054590.570719603</v>
      </c>
      <c r="U403" s="28">
        <f t="shared" si="39"/>
        <v>27295285.35980149</v>
      </c>
      <c r="V403" s="28">
        <f t="shared" si="40"/>
        <v>28535980.148883376</v>
      </c>
      <c r="W403" s="28">
        <f t="shared" si="41"/>
        <v>29776674.937965263</v>
      </c>
    </row>
    <row r="404" spans="1:23" x14ac:dyDescent="0.2">
      <c r="A404" s="28">
        <v>403</v>
      </c>
      <c r="B404" s="28">
        <v>495049.50495049503</v>
      </c>
      <c r="C404" s="28">
        <f t="shared" si="21"/>
        <v>4950495.0495049506</v>
      </c>
      <c r="D404" s="28">
        <f t="shared" si="22"/>
        <v>6188118.8118811883</v>
      </c>
      <c r="E404" s="28">
        <f t="shared" si="23"/>
        <v>7425742.574257426</v>
      </c>
      <c r="F404" s="28">
        <f t="shared" si="24"/>
        <v>8663366.3366336636</v>
      </c>
      <c r="G404" s="28">
        <f t="shared" si="25"/>
        <v>9900990.0990099013</v>
      </c>
      <c r="H404" s="28">
        <f t="shared" si="26"/>
        <v>11138613.861386139</v>
      </c>
      <c r="I404" s="28">
        <f t="shared" si="27"/>
        <v>12376237.623762377</v>
      </c>
      <c r="J404" s="28">
        <f t="shared" si="28"/>
        <v>13613861.386138614</v>
      </c>
      <c r="K404" s="28">
        <f t="shared" si="29"/>
        <v>14851485.148514852</v>
      </c>
      <c r="L404" s="28">
        <f t="shared" si="30"/>
        <v>16089108.91089109</v>
      </c>
      <c r="M404" s="28">
        <f t="shared" si="31"/>
        <v>17326732.673267327</v>
      </c>
      <c r="N404" s="28">
        <f t="shared" si="32"/>
        <v>18564356.435643565</v>
      </c>
      <c r="O404" s="28">
        <f t="shared" si="33"/>
        <v>19801980.198019803</v>
      </c>
      <c r="P404" s="28">
        <f t="shared" si="34"/>
        <v>21039603.96039604</v>
      </c>
      <c r="Q404" s="28">
        <f t="shared" si="35"/>
        <v>22277227.722772278</v>
      </c>
      <c r="R404" s="28">
        <f t="shared" si="36"/>
        <v>23514851.485148516</v>
      </c>
      <c r="S404" s="28">
        <f t="shared" si="37"/>
        <v>24752475.247524753</v>
      </c>
      <c r="T404" s="28">
        <f t="shared" si="38"/>
        <v>25990099.009900991</v>
      </c>
      <c r="U404" s="28">
        <f t="shared" si="39"/>
        <v>27227722.772277229</v>
      </c>
      <c r="V404" s="28">
        <f t="shared" si="40"/>
        <v>28465346.534653466</v>
      </c>
      <c r="W404" s="28">
        <f t="shared" si="41"/>
        <v>29702970.297029704</v>
      </c>
    </row>
    <row r="405" spans="1:23" x14ac:dyDescent="0.2">
      <c r="A405" s="28">
        <v>404</v>
      </c>
      <c r="B405" s="28">
        <v>493827.16049382713</v>
      </c>
      <c r="C405" s="28">
        <f t="shared" si="21"/>
        <v>4938271.6049382715</v>
      </c>
      <c r="D405" s="28">
        <f t="shared" si="22"/>
        <v>6172839.5061728396</v>
      </c>
      <c r="E405" s="28">
        <f t="shared" si="23"/>
        <v>7407407.4074074067</v>
      </c>
      <c r="F405" s="28">
        <f t="shared" si="24"/>
        <v>8641975.3086419757</v>
      </c>
      <c r="G405" s="28">
        <f t="shared" si="25"/>
        <v>9876543.2098765429</v>
      </c>
      <c r="H405" s="28">
        <f t="shared" si="26"/>
        <v>11111111.11111111</v>
      </c>
      <c r="I405" s="28">
        <f t="shared" si="27"/>
        <v>12345679.012345679</v>
      </c>
      <c r="J405" s="28">
        <f t="shared" si="28"/>
        <v>13580246.913580246</v>
      </c>
      <c r="K405" s="28">
        <f t="shared" si="29"/>
        <v>14814814.814814813</v>
      </c>
      <c r="L405" s="28">
        <f t="shared" si="30"/>
        <v>16049382.716049382</v>
      </c>
      <c r="M405" s="28">
        <f t="shared" si="31"/>
        <v>17283950.617283951</v>
      </c>
      <c r="N405" s="28">
        <f t="shared" si="32"/>
        <v>18518518.518518519</v>
      </c>
      <c r="O405" s="28">
        <f t="shared" si="33"/>
        <v>19753086.419753086</v>
      </c>
      <c r="P405" s="28">
        <f t="shared" si="34"/>
        <v>20987654.320987653</v>
      </c>
      <c r="Q405" s="28">
        <f t="shared" si="35"/>
        <v>22222222.22222222</v>
      </c>
      <c r="R405" s="28">
        <f t="shared" si="36"/>
        <v>23456790.123456791</v>
      </c>
      <c r="S405" s="28">
        <f t="shared" si="37"/>
        <v>24691358.024691358</v>
      </c>
      <c r="T405" s="28">
        <f t="shared" si="38"/>
        <v>25925925.925925925</v>
      </c>
      <c r="U405" s="28">
        <f t="shared" si="39"/>
        <v>27160493.827160493</v>
      </c>
      <c r="V405" s="28">
        <f t="shared" si="40"/>
        <v>28395061.72839506</v>
      </c>
      <c r="W405" s="28">
        <f t="shared" si="41"/>
        <v>29629629.629629627</v>
      </c>
    </row>
    <row r="406" spans="1:23" x14ac:dyDescent="0.2">
      <c r="A406" s="28">
        <v>405</v>
      </c>
      <c r="B406" s="28">
        <v>492610.83743842365</v>
      </c>
      <c r="C406" s="28">
        <f t="shared" si="21"/>
        <v>4926108.3743842365</v>
      </c>
      <c r="D406" s="28">
        <f t="shared" si="22"/>
        <v>6157635.4679802954</v>
      </c>
      <c r="E406" s="28">
        <f t="shared" si="23"/>
        <v>7389162.5615763552</v>
      </c>
      <c r="F406" s="28">
        <f t="shared" si="24"/>
        <v>8620689.6551724132</v>
      </c>
      <c r="G406" s="28">
        <f t="shared" si="25"/>
        <v>9852216.748768473</v>
      </c>
      <c r="H406" s="28">
        <f t="shared" si="26"/>
        <v>11083743.842364533</v>
      </c>
      <c r="I406" s="28">
        <f t="shared" si="27"/>
        <v>12315270.935960591</v>
      </c>
      <c r="J406" s="28">
        <f t="shared" si="28"/>
        <v>13546798.029556651</v>
      </c>
      <c r="K406" s="28">
        <f t="shared" si="29"/>
        <v>14778325.12315271</v>
      </c>
      <c r="L406" s="28">
        <f t="shared" si="30"/>
        <v>16009852.216748768</v>
      </c>
      <c r="M406" s="28">
        <f t="shared" si="31"/>
        <v>17241379.310344826</v>
      </c>
      <c r="N406" s="28">
        <f t="shared" si="32"/>
        <v>18472906.403940886</v>
      </c>
      <c r="O406" s="28">
        <f t="shared" si="33"/>
        <v>19704433.497536946</v>
      </c>
      <c r="P406" s="28">
        <f t="shared" si="34"/>
        <v>20935960.591133006</v>
      </c>
      <c r="Q406" s="28">
        <f t="shared" si="35"/>
        <v>22167487.684729066</v>
      </c>
      <c r="R406" s="28">
        <f t="shared" si="36"/>
        <v>23399014.778325122</v>
      </c>
      <c r="S406" s="28">
        <f t="shared" si="37"/>
        <v>24630541.871921182</v>
      </c>
      <c r="T406" s="28">
        <f t="shared" si="38"/>
        <v>25862068.965517242</v>
      </c>
      <c r="U406" s="28">
        <f t="shared" si="39"/>
        <v>27093596.059113301</v>
      </c>
      <c r="V406" s="28">
        <f t="shared" si="40"/>
        <v>28325123.152709361</v>
      </c>
      <c r="W406" s="28">
        <f t="shared" si="41"/>
        <v>29556650.246305421</v>
      </c>
    </row>
    <row r="407" spans="1:23" x14ac:dyDescent="0.2">
      <c r="A407" s="28">
        <v>406</v>
      </c>
      <c r="B407" s="28">
        <v>491400.49140049145</v>
      </c>
      <c r="C407" s="28">
        <f t="shared" si="21"/>
        <v>4914004.9140049145</v>
      </c>
      <c r="D407" s="28">
        <f t="shared" si="22"/>
        <v>6142506.1425061431</v>
      </c>
      <c r="E407" s="28">
        <f t="shared" si="23"/>
        <v>7371007.3710073717</v>
      </c>
      <c r="F407" s="28">
        <f t="shared" si="24"/>
        <v>8599508.5995086003</v>
      </c>
      <c r="G407" s="28">
        <f t="shared" si="25"/>
        <v>9828009.8280098289</v>
      </c>
      <c r="H407" s="28">
        <f t="shared" si="26"/>
        <v>11056511.056511058</v>
      </c>
      <c r="I407" s="28">
        <f t="shared" si="27"/>
        <v>12285012.285012286</v>
      </c>
      <c r="J407" s="28">
        <f t="shared" si="28"/>
        <v>13513513.513513515</v>
      </c>
      <c r="K407" s="28">
        <f t="shared" si="29"/>
        <v>14742014.742014743</v>
      </c>
      <c r="L407" s="28">
        <f t="shared" si="30"/>
        <v>15970515.970515972</v>
      </c>
      <c r="M407" s="28">
        <f t="shared" si="31"/>
        <v>17199017.199017201</v>
      </c>
      <c r="N407" s="28">
        <f t="shared" si="32"/>
        <v>18427518.427518427</v>
      </c>
      <c r="O407" s="28">
        <f t="shared" si="33"/>
        <v>19656019.656019658</v>
      </c>
      <c r="P407" s="28">
        <f t="shared" si="34"/>
        <v>20884520.884520888</v>
      </c>
      <c r="Q407" s="28">
        <f t="shared" si="35"/>
        <v>22113022.113022115</v>
      </c>
      <c r="R407" s="28">
        <f t="shared" si="36"/>
        <v>23341523.341523342</v>
      </c>
      <c r="S407" s="28">
        <f t="shared" si="37"/>
        <v>24570024.570024572</v>
      </c>
      <c r="T407" s="28">
        <f t="shared" si="38"/>
        <v>25798525.798525803</v>
      </c>
      <c r="U407" s="28">
        <f t="shared" si="39"/>
        <v>27027027.02702703</v>
      </c>
      <c r="V407" s="28">
        <f t="shared" si="40"/>
        <v>28255528.255528256</v>
      </c>
      <c r="W407" s="28">
        <f t="shared" si="41"/>
        <v>29484029.484029487</v>
      </c>
    </row>
    <row r="408" spans="1:23" x14ac:dyDescent="0.2">
      <c r="A408" s="28">
        <v>407</v>
      </c>
      <c r="B408" s="28">
        <v>490196.07843137259</v>
      </c>
      <c r="C408" s="28">
        <f t="shared" si="21"/>
        <v>4901960.7843137262</v>
      </c>
      <c r="D408" s="28">
        <f t="shared" si="22"/>
        <v>6127450.980392158</v>
      </c>
      <c r="E408" s="28">
        <f t="shared" si="23"/>
        <v>7352941.1764705889</v>
      </c>
      <c r="F408" s="28">
        <f t="shared" si="24"/>
        <v>8578431.3725490216</v>
      </c>
      <c r="G408" s="28">
        <f t="shared" si="25"/>
        <v>9803921.5686274525</v>
      </c>
      <c r="H408" s="28">
        <f t="shared" si="26"/>
        <v>11029411.764705883</v>
      </c>
      <c r="I408" s="28">
        <f t="shared" si="27"/>
        <v>12254901.960784316</v>
      </c>
      <c r="J408" s="28">
        <f t="shared" si="28"/>
        <v>13480392.156862747</v>
      </c>
      <c r="K408" s="28">
        <f t="shared" si="29"/>
        <v>14705882.352941178</v>
      </c>
      <c r="L408" s="28">
        <f t="shared" si="30"/>
        <v>15931372.549019611</v>
      </c>
      <c r="M408" s="28">
        <f t="shared" si="31"/>
        <v>17156862.745098043</v>
      </c>
      <c r="N408" s="28">
        <f t="shared" si="32"/>
        <v>18382352.941176474</v>
      </c>
      <c r="O408" s="28">
        <f t="shared" si="33"/>
        <v>19607843.137254905</v>
      </c>
      <c r="P408" s="28">
        <f t="shared" si="34"/>
        <v>20833333.333333336</v>
      </c>
      <c r="Q408" s="28">
        <f t="shared" si="35"/>
        <v>22058823.529411767</v>
      </c>
      <c r="R408" s="28">
        <f t="shared" si="36"/>
        <v>23284313.725490201</v>
      </c>
      <c r="S408" s="28">
        <f t="shared" si="37"/>
        <v>24509803.921568632</v>
      </c>
      <c r="T408" s="28">
        <f t="shared" si="38"/>
        <v>25735294.117647063</v>
      </c>
      <c r="U408" s="28">
        <f t="shared" si="39"/>
        <v>26960784.313725494</v>
      </c>
      <c r="V408" s="28">
        <f t="shared" si="40"/>
        <v>28186274.509803925</v>
      </c>
      <c r="W408" s="28">
        <f t="shared" si="41"/>
        <v>29411764.705882356</v>
      </c>
    </row>
    <row r="409" spans="1:23" x14ac:dyDescent="0.2">
      <c r="A409" s="28">
        <v>408</v>
      </c>
      <c r="B409" s="28">
        <v>488997.55501222494</v>
      </c>
      <c r="C409" s="28">
        <f t="shared" si="21"/>
        <v>4889975.5501222499</v>
      </c>
      <c r="D409" s="28">
        <f t="shared" si="22"/>
        <v>6112469.4376528123</v>
      </c>
      <c r="E409" s="28">
        <f t="shared" si="23"/>
        <v>7334963.3251833748</v>
      </c>
      <c r="F409" s="28">
        <f t="shared" si="24"/>
        <v>8557457.2127139382</v>
      </c>
      <c r="G409" s="28">
        <f t="shared" si="25"/>
        <v>9779951.1002444997</v>
      </c>
      <c r="H409" s="28">
        <f t="shared" si="26"/>
        <v>11002444.987775061</v>
      </c>
      <c r="I409" s="28">
        <f t="shared" si="27"/>
        <v>12224938.875305625</v>
      </c>
      <c r="J409" s="28">
        <f t="shared" si="28"/>
        <v>13447432.762836188</v>
      </c>
      <c r="K409" s="28">
        <f t="shared" si="29"/>
        <v>14669926.65036675</v>
      </c>
      <c r="L409" s="28">
        <f t="shared" si="30"/>
        <v>15892420.537897311</v>
      </c>
      <c r="M409" s="28">
        <f t="shared" si="31"/>
        <v>17114914.425427876</v>
      </c>
      <c r="N409" s="28">
        <f t="shared" si="32"/>
        <v>18337408.312958438</v>
      </c>
      <c r="O409" s="28">
        <f t="shared" si="33"/>
        <v>19559902.200488999</v>
      </c>
      <c r="P409" s="28">
        <f t="shared" si="34"/>
        <v>20782396.088019561</v>
      </c>
      <c r="Q409" s="28">
        <f t="shared" si="35"/>
        <v>22004889.975550123</v>
      </c>
      <c r="R409" s="28">
        <f t="shared" si="36"/>
        <v>23227383.863080688</v>
      </c>
      <c r="S409" s="28">
        <f t="shared" si="37"/>
        <v>24449877.750611249</v>
      </c>
      <c r="T409" s="28">
        <f t="shared" si="38"/>
        <v>25672371.638141811</v>
      </c>
      <c r="U409" s="28">
        <f t="shared" si="39"/>
        <v>26894865.525672376</v>
      </c>
      <c r="V409" s="28">
        <f t="shared" si="40"/>
        <v>28117359.413202938</v>
      </c>
      <c r="W409" s="28">
        <f t="shared" si="41"/>
        <v>29339853.300733499</v>
      </c>
    </row>
    <row r="410" spans="1:23" x14ac:dyDescent="0.2">
      <c r="A410" s="28">
        <v>409</v>
      </c>
      <c r="B410" s="28">
        <v>487804.87804878049</v>
      </c>
      <c r="C410" s="28">
        <f t="shared" si="21"/>
        <v>4878048.7804878047</v>
      </c>
      <c r="D410" s="28">
        <f t="shared" si="22"/>
        <v>6097560.9756097561</v>
      </c>
      <c r="E410" s="28">
        <f t="shared" si="23"/>
        <v>7317073.1707317065</v>
      </c>
      <c r="F410" s="28">
        <f t="shared" si="24"/>
        <v>8536585.3658536579</v>
      </c>
      <c r="G410" s="28">
        <f t="shared" si="25"/>
        <v>9756097.5609756093</v>
      </c>
      <c r="H410" s="28">
        <f t="shared" si="26"/>
        <v>10975609.756097561</v>
      </c>
      <c r="I410" s="28">
        <f t="shared" si="27"/>
        <v>12195121.951219512</v>
      </c>
      <c r="J410" s="28">
        <f t="shared" si="28"/>
        <v>13414634.146341464</v>
      </c>
      <c r="K410" s="28">
        <f t="shared" si="29"/>
        <v>14634146.341463413</v>
      </c>
      <c r="L410" s="28">
        <f t="shared" si="30"/>
        <v>15853658.536585364</v>
      </c>
      <c r="M410" s="28">
        <f t="shared" si="31"/>
        <v>17073170.731707316</v>
      </c>
      <c r="N410" s="28">
        <f t="shared" si="32"/>
        <v>18292682.926829267</v>
      </c>
      <c r="O410" s="28">
        <f t="shared" si="33"/>
        <v>19512195.121951219</v>
      </c>
      <c r="P410" s="28">
        <f t="shared" si="34"/>
        <v>20731707.31707317</v>
      </c>
      <c r="Q410" s="28">
        <f t="shared" si="35"/>
        <v>21951219.512195121</v>
      </c>
      <c r="R410" s="28">
        <f t="shared" si="36"/>
        <v>23170731.707317073</v>
      </c>
      <c r="S410" s="28">
        <f t="shared" si="37"/>
        <v>24390243.902439024</v>
      </c>
      <c r="T410" s="28">
        <f t="shared" si="38"/>
        <v>25609756.097560976</v>
      </c>
      <c r="U410" s="28">
        <f t="shared" si="39"/>
        <v>26829268.292682927</v>
      </c>
      <c r="V410" s="28">
        <f t="shared" si="40"/>
        <v>28048780.487804879</v>
      </c>
      <c r="W410" s="28">
        <f t="shared" si="41"/>
        <v>29268292.682926826</v>
      </c>
    </row>
    <row r="411" spans="1:23" x14ac:dyDescent="0.2">
      <c r="A411" s="28">
        <v>410</v>
      </c>
      <c r="B411" s="28">
        <v>486618.00486618007</v>
      </c>
      <c r="C411" s="28">
        <f t="shared" si="21"/>
        <v>4866180.048661801</v>
      </c>
      <c r="D411" s="28">
        <f t="shared" si="22"/>
        <v>6082725.0608272515</v>
      </c>
      <c r="E411" s="28">
        <f t="shared" si="23"/>
        <v>7299270.0729927011</v>
      </c>
      <c r="F411" s="28">
        <f t="shared" si="24"/>
        <v>8515815.0851581525</v>
      </c>
      <c r="G411" s="28">
        <f t="shared" si="25"/>
        <v>9732360.0973236021</v>
      </c>
      <c r="H411" s="28">
        <f t="shared" si="26"/>
        <v>10948905.109489052</v>
      </c>
      <c r="I411" s="28">
        <f t="shared" si="27"/>
        <v>12165450.121654503</v>
      </c>
      <c r="J411" s="28">
        <f t="shared" si="28"/>
        <v>13381995.133819953</v>
      </c>
      <c r="K411" s="28">
        <f t="shared" si="29"/>
        <v>14598540.145985402</v>
      </c>
      <c r="L411" s="28">
        <f t="shared" si="30"/>
        <v>15815085.158150854</v>
      </c>
      <c r="M411" s="28">
        <f t="shared" si="31"/>
        <v>17031630.170316305</v>
      </c>
      <c r="N411" s="28">
        <f t="shared" si="32"/>
        <v>18248175.182481755</v>
      </c>
      <c r="O411" s="28">
        <f t="shared" si="33"/>
        <v>19464720.194647204</v>
      </c>
      <c r="P411" s="28">
        <f t="shared" si="34"/>
        <v>20681265.206812654</v>
      </c>
      <c r="Q411" s="28">
        <f t="shared" si="35"/>
        <v>21897810.218978103</v>
      </c>
      <c r="R411" s="28">
        <f t="shared" si="36"/>
        <v>23114355.231143557</v>
      </c>
      <c r="S411" s="28">
        <f t="shared" si="37"/>
        <v>24330900.243309006</v>
      </c>
      <c r="T411" s="28">
        <f t="shared" si="38"/>
        <v>25547445.255474456</v>
      </c>
      <c r="U411" s="28">
        <f t="shared" si="39"/>
        <v>26763990.267639905</v>
      </c>
      <c r="V411" s="28">
        <f t="shared" si="40"/>
        <v>27980535.279805355</v>
      </c>
      <c r="W411" s="28">
        <f t="shared" si="41"/>
        <v>29197080.291970804</v>
      </c>
    </row>
    <row r="412" spans="1:23" x14ac:dyDescent="0.2">
      <c r="A412" s="28">
        <v>411</v>
      </c>
      <c r="B412" s="28">
        <v>485436.89320388349</v>
      </c>
      <c r="C412" s="28">
        <f t="shared" si="21"/>
        <v>4854368.9320388352</v>
      </c>
      <c r="D412" s="28">
        <f t="shared" si="22"/>
        <v>6067961.1650485443</v>
      </c>
      <c r="E412" s="28">
        <f t="shared" si="23"/>
        <v>7281553.3980582524</v>
      </c>
      <c r="F412" s="28">
        <f t="shared" si="24"/>
        <v>8495145.6310679615</v>
      </c>
      <c r="G412" s="28">
        <f t="shared" si="25"/>
        <v>9708737.8640776705</v>
      </c>
      <c r="H412" s="28">
        <f t="shared" si="26"/>
        <v>10922330.09708738</v>
      </c>
      <c r="I412" s="28">
        <f t="shared" si="27"/>
        <v>12135922.330097089</v>
      </c>
      <c r="J412" s="28">
        <f t="shared" si="28"/>
        <v>13349514.563106798</v>
      </c>
      <c r="K412" s="28">
        <f t="shared" si="29"/>
        <v>14563106.796116505</v>
      </c>
      <c r="L412" s="28">
        <f t="shared" si="30"/>
        <v>15776699.029126214</v>
      </c>
      <c r="M412" s="28">
        <f t="shared" si="31"/>
        <v>16990291.262135923</v>
      </c>
      <c r="N412" s="28">
        <f t="shared" si="32"/>
        <v>18203883.495145634</v>
      </c>
      <c r="O412" s="28">
        <f t="shared" si="33"/>
        <v>19417475.728155341</v>
      </c>
      <c r="P412" s="28">
        <f t="shared" si="34"/>
        <v>20631067.961165048</v>
      </c>
      <c r="Q412" s="28">
        <f t="shared" si="35"/>
        <v>21844660.194174759</v>
      </c>
      <c r="R412" s="28">
        <f t="shared" si="36"/>
        <v>23058252.427184466</v>
      </c>
      <c r="S412" s="28">
        <f t="shared" si="37"/>
        <v>24271844.660194177</v>
      </c>
      <c r="T412" s="28">
        <f t="shared" si="38"/>
        <v>25485436.893203884</v>
      </c>
      <c r="U412" s="28">
        <f t="shared" si="39"/>
        <v>26699029.126213595</v>
      </c>
      <c r="V412" s="28">
        <f t="shared" si="40"/>
        <v>27912621.359223302</v>
      </c>
      <c r="W412" s="28">
        <f t="shared" si="41"/>
        <v>29126213.59223301</v>
      </c>
    </row>
    <row r="413" spans="1:23" x14ac:dyDescent="0.2">
      <c r="A413" s="28">
        <v>412</v>
      </c>
      <c r="B413" s="28">
        <v>484261.50121065381</v>
      </c>
      <c r="C413" s="28">
        <f t="shared" si="21"/>
        <v>4842615.0121065378</v>
      </c>
      <c r="D413" s="28">
        <f t="shared" si="22"/>
        <v>6053268.7651331723</v>
      </c>
      <c r="E413" s="28">
        <f t="shared" si="23"/>
        <v>7263922.5181598067</v>
      </c>
      <c r="F413" s="28">
        <f t="shared" si="24"/>
        <v>8474576.2711864412</v>
      </c>
      <c r="G413" s="28">
        <f t="shared" si="25"/>
        <v>9685230.0242130756</v>
      </c>
      <c r="H413" s="28">
        <f t="shared" si="26"/>
        <v>10895883.77723971</v>
      </c>
      <c r="I413" s="28">
        <f t="shared" si="27"/>
        <v>12106537.530266345</v>
      </c>
      <c r="J413" s="28">
        <f t="shared" si="28"/>
        <v>13317191.283292979</v>
      </c>
      <c r="K413" s="28">
        <f t="shared" si="29"/>
        <v>14527845.036319613</v>
      </c>
      <c r="L413" s="28">
        <f t="shared" si="30"/>
        <v>15738498.789346248</v>
      </c>
      <c r="M413" s="28">
        <f t="shared" si="31"/>
        <v>16949152.542372882</v>
      </c>
      <c r="N413" s="28">
        <f t="shared" si="32"/>
        <v>18159806.295399517</v>
      </c>
      <c r="O413" s="28">
        <f t="shared" si="33"/>
        <v>19370460.048426151</v>
      </c>
      <c r="P413" s="28">
        <f t="shared" si="34"/>
        <v>20581113.801452786</v>
      </c>
      <c r="Q413" s="28">
        <f t="shared" si="35"/>
        <v>21791767.55447942</v>
      </c>
      <c r="R413" s="28">
        <f t="shared" si="36"/>
        <v>23002421.307506055</v>
      </c>
      <c r="S413" s="28">
        <f t="shared" si="37"/>
        <v>24213075.060532689</v>
      </c>
      <c r="T413" s="28">
        <f t="shared" si="38"/>
        <v>25423728.813559324</v>
      </c>
      <c r="U413" s="28">
        <f t="shared" si="39"/>
        <v>26634382.566585958</v>
      </c>
      <c r="V413" s="28">
        <f t="shared" si="40"/>
        <v>27845036.319612592</v>
      </c>
      <c r="W413" s="28">
        <f t="shared" si="41"/>
        <v>29055690.072639227</v>
      </c>
    </row>
    <row r="414" spans="1:23" x14ac:dyDescent="0.2">
      <c r="A414" s="28">
        <v>413</v>
      </c>
      <c r="B414" s="28">
        <v>483091.78743961354</v>
      </c>
      <c r="C414" s="28">
        <f t="shared" si="21"/>
        <v>4830917.8743961351</v>
      </c>
      <c r="D414" s="28">
        <f t="shared" si="22"/>
        <v>6038647.3429951686</v>
      </c>
      <c r="E414" s="28">
        <f t="shared" si="23"/>
        <v>7246376.8115942031</v>
      </c>
      <c r="F414" s="28">
        <f t="shared" si="24"/>
        <v>8454106.2801932357</v>
      </c>
      <c r="G414" s="28">
        <f t="shared" si="25"/>
        <v>9661835.7487922702</v>
      </c>
      <c r="H414" s="28">
        <f t="shared" si="26"/>
        <v>10869565.217391305</v>
      </c>
      <c r="I414" s="28">
        <f t="shared" si="27"/>
        <v>12077294.685990337</v>
      </c>
      <c r="J414" s="28">
        <f t="shared" si="28"/>
        <v>13285024.154589372</v>
      </c>
      <c r="K414" s="28">
        <f t="shared" si="29"/>
        <v>14492753.623188406</v>
      </c>
      <c r="L414" s="28">
        <f t="shared" si="30"/>
        <v>15700483.091787439</v>
      </c>
      <c r="M414" s="28">
        <f t="shared" si="31"/>
        <v>16908212.560386471</v>
      </c>
      <c r="N414" s="28">
        <f t="shared" si="32"/>
        <v>18115942.028985508</v>
      </c>
      <c r="O414" s="28">
        <f t="shared" si="33"/>
        <v>19323671.49758454</v>
      </c>
      <c r="P414" s="28">
        <f t="shared" si="34"/>
        <v>20531400.966183573</v>
      </c>
      <c r="Q414" s="28">
        <f t="shared" si="35"/>
        <v>21739130.434782609</v>
      </c>
      <c r="R414" s="28">
        <f t="shared" si="36"/>
        <v>22946859.903381642</v>
      </c>
      <c r="S414" s="28">
        <f t="shared" si="37"/>
        <v>24154589.371980675</v>
      </c>
      <c r="T414" s="28">
        <f t="shared" si="38"/>
        <v>25362318.840579711</v>
      </c>
      <c r="U414" s="28">
        <f t="shared" si="39"/>
        <v>26570048.309178744</v>
      </c>
      <c r="V414" s="28">
        <f t="shared" si="40"/>
        <v>27777777.777777776</v>
      </c>
      <c r="W414" s="28">
        <f t="shared" si="41"/>
        <v>28985507.246376812</v>
      </c>
    </row>
    <row r="415" spans="1:23" x14ac:dyDescent="0.2">
      <c r="A415" s="28">
        <v>414</v>
      </c>
      <c r="B415" s="28">
        <v>481927.7108433735</v>
      </c>
      <c r="C415" s="28">
        <f t="shared" si="21"/>
        <v>4819277.1084337346</v>
      </c>
      <c r="D415" s="28">
        <f t="shared" si="22"/>
        <v>6024096.3855421683</v>
      </c>
      <c r="E415" s="28">
        <f t="shared" si="23"/>
        <v>7228915.6626506019</v>
      </c>
      <c r="F415" s="28">
        <f t="shared" si="24"/>
        <v>8433734.9397590347</v>
      </c>
      <c r="G415" s="28">
        <f t="shared" si="25"/>
        <v>9638554.2168674693</v>
      </c>
      <c r="H415" s="28">
        <f t="shared" si="26"/>
        <v>10843373.493975904</v>
      </c>
      <c r="I415" s="28">
        <f t="shared" si="27"/>
        <v>12048192.771084337</v>
      </c>
      <c r="J415" s="28">
        <f t="shared" si="28"/>
        <v>13253012.048192769</v>
      </c>
      <c r="K415" s="28">
        <f t="shared" si="29"/>
        <v>14457831.325301204</v>
      </c>
      <c r="L415" s="28">
        <f t="shared" si="30"/>
        <v>15662650.602409638</v>
      </c>
      <c r="M415" s="28">
        <f t="shared" si="31"/>
        <v>16867469.879518069</v>
      </c>
      <c r="N415" s="28">
        <f t="shared" si="32"/>
        <v>18072289.156626504</v>
      </c>
      <c r="O415" s="28">
        <f t="shared" si="33"/>
        <v>19277108.433734939</v>
      </c>
      <c r="P415" s="28">
        <f t="shared" si="34"/>
        <v>20481927.710843373</v>
      </c>
      <c r="Q415" s="28">
        <f t="shared" si="35"/>
        <v>21686746.987951808</v>
      </c>
      <c r="R415" s="28">
        <f t="shared" si="36"/>
        <v>22891566.265060239</v>
      </c>
      <c r="S415" s="28">
        <f t="shared" si="37"/>
        <v>24096385.542168673</v>
      </c>
      <c r="T415" s="28">
        <f t="shared" si="38"/>
        <v>25301204.819277108</v>
      </c>
      <c r="U415" s="28">
        <f t="shared" si="39"/>
        <v>26506024.096385539</v>
      </c>
      <c r="V415" s="28">
        <f t="shared" si="40"/>
        <v>27710843.373493973</v>
      </c>
      <c r="W415" s="28">
        <f t="shared" si="41"/>
        <v>28915662.650602408</v>
      </c>
    </row>
    <row r="416" spans="1:23" x14ac:dyDescent="0.2">
      <c r="A416" s="28">
        <v>415</v>
      </c>
      <c r="B416" s="28">
        <v>480769.23076923075</v>
      </c>
      <c r="C416" s="28">
        <f t="shared" si="21"/>
        <v>4807692.307692308</v>
      </c>
      <c r="D416" s="28">
        <f t="shared" si="22"/>
        <v>6009615.384615385</v>
      </c>
      <c r="E416" s="28">
        <f t="shared" si="23"/>
        <v>7211538.461538462</v>
      </c>
      <c r="F416" s="28">
        <f t="shared" si="24"/>
        <v>8413461.5384615399</v>
      </c>
      <c r="G416" s="28">
        <f t="shared" si="25"/>
        <v>9615384.615384616</v>
      </c>
      <c r="H416" s="28">
        <f t="shared" si="26"/>
        <v>10817307.692307692</v>
      </c>
      <c r="I416" s="28">
        <f t="shared" si="27"/>
        <v>12019230.76923077</v>
      </c>
      <c r="J416" s="28">
        <f t="shared" si="28"/>
        <v>13221153.846153848</v>
      </c>
      <c r="K416" s="28">
        <f t="shared" si="29"/>
        <v>14423076.923076924</v>
      </c>
      <c r="L416" s="28">
        <f t="shared" si="30"/>
        <v>15625000</v>
      </c>
      <c r="M416" s="28">
        <f t="shared" si="31"/>
        <v>16826923.07692308</v>
      </c>
      <c r="N416" s="28">
        <f t="shared" si="32"/>
        <v>18028846.153846156</v>
      </c>
      <c r="O416" s="28">
        <f t="shared" si="33"/>
        <v>19230769.230769232</v>
      </c>
      <c r="P416" s="28">
        <f t="shared" si="34"/>
        <v>20432692.307692308</v>
      </c>
      <c r="Q416" s="28">
        <f t="shared" si="35"/>
        <v>21634615.384615384</v>
      </c>
      <c r="R416" s="28">
        <f t="shared" si="36"/>
        <v>22836538.461538464</v>
      </c>
      <c r="S416" s="28">
        <f t="shared" si="37"/>
        <v>24038461.53846154</v>
      </c>
      <c r="T416" s="28">
        <f t="shared" si="38"/>
        <v>25240384.615384616</v>
      </c>
      <c r="U416" s="28">
        <f t="shared" si="39"/>
        <v>26442307.692307696</v>
      </c>
      <c r="V416" s="28">
        <f t="shared" si="40"/>
        <v>27644230.769230772</v>
      </c>
      <c r="W416" s="28">
        <f t="shared" si="41"/>
        <v>28846153.846153848</v>
      </c>
    </row>
    <row r="417" spans="1:23" x14ac:dyDescent="0.2">
      <c r="A417" s="28">
        <v>416</v>
      </c>
      <c r="B417" s="28">
        <v>479616.30695443647</v>
      </c>
      <c r="C417" s="28">
        <f t="shared" si="21"/>
        <v>4796163.0695443647</v>
      </c>
      <c r="D417" s="28">
        <f t="shared" si="22"/>
        <v>5995203.8369304556</v>
      </c>
      <c r="E417" s="28">
        <f t="shared" si="23"/>
        <v>7194244.6043165475</v>
      </c>
      <c r="F417" s="28">
        <f t="shared" si="24"/>
        <v>8393285.3717026375</v>
      </c>
      <c r="G417" s="28">
        <f t="shared" si="25"/>
        <v>9592326.1390887294</v>
      </c>
      <c r="H417" s="28">
        <f t="shared" si="26"/>
        <v>10791366.906474821</v>
      </c>
      <c r="I417" s="28">
        <f t="shared" si="27"/>
        <v>11990407.673860911</v>
      </c>
      <c r="J417" s="28">
        <f t="shared" si="28"/>
        <v>13189448.441247003</v>
      </c>
      <c r="K417" s="28">
        <f t="shared" si="29"/>
        <v>14388489.208633095</v>
      </c>
      <c r="L417" s="28">
        <f t="shared" si="30"/>
        <v>15587529.976019185</v>
      </c>
      <c r="M417" s="28">
        <f t="shared" si="31"/>
        <v>16786570.743405275</v>
      </c>
      <c r="N417" s="28">
        <f t="shared" si="32"/>
        <v>17985611.510791369</v>
      </c>
      <c r="O417" s="28">
        <f t="shared" si="33"/>
        <v>19184652.278177459</v>
      </c>
      <c r="P417" s="28">
        <f t="shared" si="34"/>
        <v>20383693.045563549</v>
      </c>
      <c r="Q417" s="28">
        <f t="shared" si="35"/>
        <v>21582733.812949643</v>
      </c>
      <c r="R417" s="28">
        <f t="shared" si="36"/>
        <v>22781774.580335733</v>
      </c>
      <c r="S417" s="28">
        <f t="shared" si="37"/>
        <v>23980815.347721823</v>
      </c>
      <c r="T417" s="28">
        <f t="shared" si="38"/>
        <v>25179856.115107916</v>
      </c>
      <c r="U417" s="28">
        <f t="shared" si="39"/>
        <v>26378896.882494006</v>
      </c>
      <c r="V417" s="28">
        <f t="shared" si="40"/>
        <v>27577937.649880096</v>
      </c>
      <c r="W417" s="28">
        <f t="shared" si="41"/>
        <v>28776978.41726619</v>
      </c>
    </row>
    <row r="418" spans="1:23" x14ac:dyDescent="0.2">
      <c r="A418" s="28">
        <v>417</v>
      </c>
      <c r="B418" s="28">
        <v>478468.89952153107</v>
      </c>
      <c r="C418" s="28">
        <f t="shared" si="21"/>
        <v>4784688.9952153107</v>
      </c>
      <c r="D418" s="28">
        <f t="shared" si="22"/>
        <v>5980861.2440191386</v>
      </c>
      <c r="E418" s="28">
        <f t="shared" si="23"/>
        <v>7177033.4928229656</v>
      </c>
      <c r="F418" s="28">
        <f t="shared" si="24"/>
        <v>8373205.7416267935</v>
      </c>
      <c r="G418" s="28">
        <f t="shared" si="25"/>
        <v>9569377.9904306214</v>
      </c>
      <c r="H418" s="28">
        <f t="shared" si="26"/>
        <v>10765550.239234449</v>
      </c>
      <c r="I418" s="28">
        <f t="shared" si="27"/>
        <v>11961722.488038277</v>
      </c>
      <c r="J418" s="28">
        <f t="shared" si="28"/>
        <v>13157894.736842105</v>
      </c>
      <c r="K418" s="28">
        <f t="shared" si="29"/>
        <v>14354066.985645931</v>
      </c>
      <c r="L418" s="28">
        <f t="shared" si="30"/>
        <v>15550239.234449759</v>
      </c>
      <c r="M418" s="28">
        <f t="shared" si="31"/>
        <v>16746411.483253587</v>
      </c>
      <c r="N418" s="28">
        <f t="shared" si="32"/>
        <v>17942583.732057415</v>
      </c>
      <c r="O418" s="28">
        <f t="shared" si="33"/>
        <v>19138755.980861243</v>
      </c>
      <c r="P418" s="28">
        <f t="shared" si="34"/>
        <v>20334928.229665071</v>
      </c>
      <c r="Q418" s="28">
        <f t="shared" si="35"/>
        <v>21531100.478468899</v>
      </c>
      <c r="R418" s="28">
        <f t="shared" si="36"/>
        <v>22727272.727272727</v>
      </c>
      <c r="S418" s="28">
        <f t="shared" si="37"/>
        <v>23923444.976076555</v>
      </c>
      <c r="T418" s="28">
        <f t="shared" si="38"/>
        <v>25119617.224880382</v>
      </c>
      <c r="U418" s="28">
        <f t="shared" si="39"/>
        <v>26315789.47368421</v>
      </c>
      <c r="V418" s="28">
        <f t="shared" si="40"/>
        <v>27511961.722488038</v>
      </c>
      <c r="W418" s="28">
        <f t="shared" si="41"/>
        <v>28708133.971291862</v>
      </c>
    </row>
    <row r="419" spans="1:23" x14ac:dyDescent="0.2">
      <c r="A419" s="28">
        <v>418</v>
      </c>
      <c r="B419" s="28">
        <v>477326.96897374699</v>
      </c>
      <c r="C419" s="28">
        <f t="shared" si="21"/>
        <v>4773269.6897374699</v>
      </c>
      <c r="D419" s="28">
        <f t="shared" si="22"/>
        <v>5966587.1121718371</v>
      </c>
      <c r="E419" s="28">
        <f t="shared" si="23"/>
        <v>7159904.5346062053</v>
      </c>
      <c r="F419" s="28">
        <f t="shared" si="24"/>
        <v>8353221.9570405725</v>
      </c>
      <c r="G419" s="28">
        <f t="shared" si="25"/>
        <v>9546539.3794749398</v>
      </c>
      <c r="H419" s="28">
        <f t="shared" si="26"/>
        <v>10739856.801909307</v>
      </c>
      <c r="I419" s="28">
        <f t="shared" si="27"/>
        <v>11933174.224343674</v>
      </c>
      <c r="J419" s="28">
        <f t="shared" si="28"/>
        <v>13126491.646778041</v>
      </c>
      <c r="K419" s="28">
        <f t="shared" si="29"/>
        <v>14319809.069212411</v>
      </c>
      <c r="L419" s="28">
        <f t="shared" si="30"/>
        <v>15513126.491646778</v>
      </c>
      <c r="M419" s="28">
        <f t="shared" si="31"/>
        <v>16706443.914081145</v>
      </c>
      <c r="N419" s="28">
        <f t="shared" si="32"/>
        <v>17899761.336515512</v>
      </c>
      <c r="O419" s="28">
        <f t="shared" si="33"/>
        <v>19093078.75894988</v>
      </c>
      <c r="P419" s="28">
        <f t="shared" si="34"/>
        <v>20286396.181384247</v>
      </c>
      <c r="Q419" s="28">
        <f t="shared" si="35"/>
        <v>21479713.603818614</v>
      </c>
      <c r="R419" s="28">
        <f t="shared" si="36"/>
        <v>22673031.026252981</v>
      </c>
      <c r="S419" s="28">
        <f t="shared" si="37"/>
        <v>23866348.448687349</v>
      </c>
      <c r="T419" s="28">
        <f t="shared" si="38"/>
        <v>25059665.871121716</v>
      </c>
      <c r="U419" s="28">
        <f t="shared" si="39"/>
        <v>26252983.293556083</v>
      </c>
      <c r="V419" s="28">
        <f t="shared" si="40"/>
        <v>27446300.71599045</v>
      </c>
      <c r="W419" s="28">
        <f t="shared" si="41"/>
        <v>28639618.138424821</v>
      </c>
    </row>
    <row r="420" spans="1:23" x14ac:dyDescent="0.2">
      <c r="A420" s="28">
        <v>419</v>
      </c>
      <c r="B420" s="28">
        <v>476190.47619047621</v>
      </c>
      <c r="C420" s="28">
        <f t="shared" si="21"/>
        <v>4761904.7619047621</v>
      </c>
      <c r="D420" s="28">
        <f t="shared" si="22"/>
        <v>5952380.9523809524</v>
      </c>
      <c r="E420" s="28">
        <f t="shared" si="23"/>
        <v>7142857.1428571437</v>
      </c>
      <c r="F420" s="28">
        <f t="shared" si="24"/>
        <v>8333333.333333334</v>
      </c>
      <c r="G420" s="28">
        <f t="shared" si="25"/>
        <v>9523809.5238095243</v>
      </c>
      <c r="H420" s="28">
        <f t="shared" si="26"/>
        <v>10714285.714285715</v>
      </c>
      <c r="I420" s="28">
        <f t="shared" si="27"/>
        <v>11904761.904761905</v>
      </c>
      <c r="J420" s="28">
        <f t="shared" si="28"/>
        <v>13095238.095238095</v>
      </c>
      <c r="K420" s="28">
        <f t="shared" si="29"/>
        <v>14285714.285714287</v>
      </c>
      <c r="L420" s="28">
        <f t="shared" si="30"/>
        <v>15476190.476190478</v>
      </c>
      <c r="M420" s="28">
        <f t="shared" si="31"/>
        <v>16666666.666666668</v>
      </c>
      <c r="N420" s="28">
        <f t="shared" si="32"/>
        <v>17857142.857142858</v>
      </c>
      <c r="O420" s="28">
        <f t="shared" si="33"/>
        <v>19047619.047619049</v>
      </c>
      <c r="P420" s="28">
        <f t="shared" si="34"/>
        <v>20238095.238095239</v>
      </c>
      <c r="Q420" s="28">
        <f t="shared" si="35"/>
        <v>21428571.428571429</v>
      </c>
      <c r="R420" s="28">
        <f t="shared" si="36"/>
        <v>22619047.619047619</v>
      </c>
      <c r="S420" s="28">
        <f t="shared" si="37"/>
        <v>23809523.80952381</v>
      </c>
      <c r="T420" s="28">
        <f t="shared" si="38"/>
        <v>25000000</v>
      </c>
      <c r="U420" s="28">
        <f t="shared" si="39"/>
        <v>26190476.19047619</v>
      </c>
      <c r="V420" s="28">
        <f t="shared" si="40"/>
        <v>27380952.380952381</v>
      </c>
      <c r="W420" s="28">
        <f t="shared" si="41"/>
        <v>28571428.571428575</v>
      </c>
    </row>
    <row r="421" spans="1:23" x14ac:dyDescent="0.2">
      <c r="A421" s="28">
        <v>420</v>
      </c>
      <c r="B421" s="28">
        <v>475059.38242280285</v>
      </c>
      <c r="C421" s="28">
        <f t="shared" si="21"/>
        <v>4750593.8242280288</v>
      </c>
      <c r="D421" s="28">
        <f t="shared" si="22"/>
        <v>5938242.2802850362</v>
      </c>
      <c r="E421" s="28">
        <f t="shared" si="23"/>
        <v>7125890.7363420427</v>
      </c>
      <c r="F421" s="28">
        <f t="shared" si="24"/>
        <v>8313539.1923990501</v>
      </c>
      <c r="G421" s="28">
        <f t="shared" si="25"/>
        <v>9501187.6484560575</v>
      </c>
      <c r="H421" s="28">
        <f t="shared" si="26"/>
        <v>10688836.104513064</v>
      </c>
      <c r="I421" s="28">
        <f t="shared" si="27"/>
        <v>11876484.560570072</v>
      </c>
      <c r="J421" s="28">
        <f t="shared" si="28"/>
        <v>13064133.016627079</v>
      </c>
      <c r="K421" s="28">
        <f t="shared" si="29"/>
        <v>14251781.472684085</v>
      </c>
      <c r="L421" s="28">
        <f t="shared" si="30"/>
        <v>15439429.928741094</v>
      </c>
      <c r="M421" s="28">
        <f t="shared" si="31"/>
        <v>16627078.3847981</v>
      </c>
      <c r="N421" s="28">
        <f t="shared" si="32"/>
        <v>17814726.840855107</v>
      </c>
      <c r="O421" s="28">
        <f t="shared" si="33"/>
        <v>19002375.296912115</v>
      </c>
      <c r="P421" s="28">
        <f t="shared" si="34"/>
        <v>20190023.752969123</v>
      </c>
      <c r="Q421" s="28">
        <f t="shared" si="35"/>
        <v>21377672.209026128</v>
      </c>
      <c r="R421" s="28">
        <f t="shared" si="36"/>
        <v>22565320.665083136</v>
      </c>
      <c r="S421" s="28">
        <f t="shared" si="37"/>
        <v>23752969.121140145</v>
      </c>
      <c r="T421" s="28">
        <f t="shared" si="38"/>
        <v>24940617.577197149</v>
      </c>
      <c r="U421" s="28">
        <f t="shared" si="39"/>
        <v>26128266.033254158</v>
      </c>
      <c r="V421" s="28">
        <f t="shared" si="40"/>
        <v>27315914.489311166</v>
      </c>
      <c r="W421" s="28">
        <f t="shared" si="41"/>
        <v>28503562.945368171</v>
      </c>
    </row>
    <row r="422" spans="1:23" x14ac:dyDescent="0.2">
      <c r="A422" s="28">
        <v>421</v>
      </c>
      <c r="B422" s="28">
        <v>473933.6492890995</v>
      </c>
      <c r="C422" s="28">
        <f t="shared" si="21"/>
        <v>4739336.492890995</v>
      </c>
      <c r="D422" s="28">
        <f t="shared" si="22"/>
        <v>5924170.6161137437</v>
      </c>
      <c r="E422" s="28">
        <f t="shared" si="23"/>
        <v>7109004.7393364925</v>
      </c>
      <c r="F422" s="28">
        <f t="shared" si="24"/>
        <v>8293838.8625592412</v>
      </c>
      <c r="G422" s="28">
        <f t="shared" si="25"/>
        <v>9478672.98578199</v>
      </c>
      <c r="H422" s="28">
        <f t="shared" si="26"/>
        <v>10663507.10900474</v>
      </c>
      <c r="I422" s="28">
        <f t="shared" si="27"/>
        <v>11848341.232227487</v>
      </c>
      <c r="J422" s="28">
        <f t="shared" si="28"/>
        <v>13033175.355450235</v>
      </c>
      <c r="K422" s="28">
        <f t="shared" si="29"/>
        <v>14218009.478672985</v>
      </c>
      <c r="L422" s="28">
        <f t="shared" si="30"/>
        <v>15402843.601895735</v>
      </c>
      <c r="M422" s="28">
        <f t="shared" si="31"/>
        <v>16587677.725118482</v>
      </c>
      <c r="N422" s="28">
        <f t="shared" si="32"/>
        <v>17772511.84834123</v>
      </c>
      <c r="O422" s="28">
        <f t="shared" si="33"/>
        <v>18957345.97156398</v>
      </c>
      <c r="P422" s="28">
        <f t="shared" si="34"/>
        <v>20142180.09478673</v>
      </c>
      <c r="Q422" s="28">
        <f t="shared" si="35"/>
        <v>21327014.218009479</v>
      </c>
      <c r="R422" s="28">
        <f t="shared" si="36"/>
        <v>22511848.341232225</v>
      </c>
      <c r="S422" s="28">
        <f t="shared" si="37"/>
        <v>23696682.464454975</v>
      </c>
      <c r="T422" s="28">
        <f t="shared" si="38"/>
        <v>24881516.587677725</v>
      </c>
      <c r="U422" s="28">
        <f t="shared" si="39"/>
        <v>26066350.710900471</v>
      </c>
      <c r="V422" s="28">
        <f t="shared" si="40"/>
        <v>27251184.83412322</v>
      </c>
      <c r="W422" s="28">
        <f t="shared" si="41"/>
        <v>28436018.95734597</v>
      </c>
    </row>
    <row r="423" spans="1:23" x14ac:dyDescent="0.2">
      <c r="A423" s="28">
        <v>422</v>
      </c>
      <c r="B423" s="28">
        <v>472813.23877068562</v>
      </c>
      <c r="C423" s="28">
        <f t="shared" si="21"/>
        <v>4728132.3877068562</v>
      </c>
      <c r="D423" s="28">
        <f t="shared" si="22"/>
        <v>5910165.4846335705</v>
      </c>
      <c r="E423" s="28">
        <f t="shared" si="23"/>
        <v>7092198.5815602839</v>
      </c>
      <c r="F423" s="28">
        <f t="shared" si="24"/>
        <v>8274231.6784869982</v>
      </c>
      <c r="G423" s="28">
        <f t="shared" si="25"/>
        <v>9456264.7754137125</v>
      </c>
      <c r="H423" s="28">
        <f t="shared" si="26"/>
        <v>10638297.872340426</v>
      </c>
      <c r="I423" s="28">
        <f t="shared" si="27"/>
        <v>11820330.969267141</v>
      </c>
      <c r="J423" s="28">
        <f t="shared" si="28"/>
        <v>13002364.066193854</v>
      </c>
      <c r="K423" s="28">
        <f t="shared" si="29"/>
        <v>14184397.163120568</v>
      </c>
      <c r="L423" s="28">
        <f t="shared" si="30"/>
        <v>15366430.260047283</v>
      </c>
      <c r="M423" s="28">
        <f t="shared" si="31"/>
        <v>16548463.356973996</v>
      </c>
      <c r="N423" s="28">
        <f t="shared" si="32"/>
        <v>17730496.45390071</v>
      </c>
      <c r="O423" s="28">
        <f t="shared" si="33"/>
        <v>18912529.550827425</v>
      </c>
      <c r="P423" s="28">
        <f t="shared" si="34"/>
        <v>20094562.64775414</v>
      </c>
      <c r="Q423" s="28">
        <f t="shared" si="35"/>
        <v>21276595.744680852</v>
      </c>
      <c r="R423" s="28">
        <f t="shared" si="36"/>
        <v>22458628.841607567</v>
      </c>
      <c r="S423" s="28">
        <f t="shared" si="37"/>
        <v>23640661.938534282</v>
      </c>
      <c r="T423" s="28">
        <f t="shared" si="38"/>
        <v>24822695.035460994</v>
      </c>
      <c r="U423" s="28">
        <f t="shared" si="39"/>
        <v>26004728.132387709</v>
      </c>
      <c r="V423" s="28">
        <f t="shared" si="40"/>
        <v>27186761.229314424</v>
      </c>
      <c r="W423" s="28">
        <f t="shared" si="41"/>
        <v>28368794.326241136</v>
      </c>
    </row>
    <row r="424" spans="1:23" x14ac:dyDescent="0.2">
      <c r="A424" s="28">
        <v>423</v>
      </c>
      <c r="B424" s="28">
        <v>471698.11320754717</v>
      </c>
      <c r="C424" s="28">
        <f t="shared" si="21"/>
        <v>4716981.1320754718</v>
      </c>
      <c r="D424" s="28">
        <f t="shared" si="22"/>
        <v>5896226.4150943402</v>
      </c>
      <c r="E424" s="28">
        <f t="shared" si="23"/>
        <v>7075471.6981132077</v>
      </c>
      <c r="F424" s="28">
        <f t="shared" si="24"/>
        <v>8254716.9811320752</v>
      </c>
      <c r="G424" s="28">
        <f t="shared" si="25"/>
        <v>9433962.2641509436</v>
      </c>
      <c r="H424" s="28">
        <f t="shared" si="26"/>
        <v>10613207.547169812</v>
      </c>
      <c r="I424" s="28">
        <f t="shared" si="27"/>
        <v>11792452.83018868</v>
      </c>
      <c r="J424" s="28">
        <f t="shared" si="28"/>
        <v>12971698.113207547</v>
      </c>
      <c r="K424" s="28">
        <f t="shared" si="29"/>
        <v>14150943.396226415</v>
      </c>
      <c r="L424" s="28">
        <f t="shared" si="30"/>
        <v>15330188.679245284</v>
      </c>
      <c r="M424" s="28">
        <f t="shared" si="31"/>
        <v>16509433.96226415</v>
      </c>
      <c r="N424" s="28">
        <f t="shared" si="32"/>
        <v>17688679.245283019</v>
      </c>
      <c r="O424" s="28">
        <f t="shared" si="33"/>
        <v>18867924.528301887</v>
      </c>
      <c r="P424" s="28">
        <f t="shared" si="34"/>
        <v>20047169.811320756</v>
      </c>
      <c r="Q424" s="28">
        <f t="shared" si="35"/>
        <v>21226415.094339624</v>
      </c>
      <c r="R424" s="28">
        <f t="shared" si="36"/>
        <v>22405660.377358492</v>
      </c>
      <c r="S424" s="28">
        <f t="shared" si="37"/>
        <v>23584905.660377361</v>
      </c>
      <c r="T424" s="28">
        <f t="shared" si="38"/>
        <v>24764150.943396226</v>
      </c>
      <c r="U424" s="28">
        <f t="shared" si="39"/>
        <v>25943396.226415094</v>
      </c>
      <c r="V424" s="28">
        <f t="shared" si="40"/>
        <v>27122641.509433962</v>
      </c>
      <c r="W424" s="28">
        <f t="shared" si="41"/>
        <v>28301886.792452831</v>
      </c>
    </row>
    <row r="425" spans="1:23" x14ac:dyDescent="0.2">
      <c r="A425" s="28">
        <v>424</v>
      </c>
      <c r="B425" s="28">
        <v>470588.23529411765</v>
      </c>
      <c r="C425" s="28">
        <f t="shared" si="21"/>
        <v>4705882.3529411769</v>
      </c>
      <c r="D425" s="28">
        <f t="shared" si="22"/>
        <v>5882352.9411764713</v>
      </c>
      <c r="E425" s="28">
        <f t="shared" si="23"/>
        <v>7058823.5294117648</v>
      </c>
      <c r="F425" s="28">
        <f t="shared" si="24"/>
        <v>8235294.1176470593</v>
      </c>
      <c r="G425" s="28">
        <f t="shared" si="25"/>
        <v>9411764.7058823537</v>
      </c>
      <c r="H425" s="28">
        <f t="shared" si="26"/>
        <v>10588235.294117648</v>
      </c>
      <c r="I425" s="28">
        <f t="shared" si="27"/>
        <v>11764705.882352943</v>
      </c>
      <c r="J425" s="28">
        <f t="shared" si="28"/>
        <v>12941176.470588237</v>
      </c>
      <c r="K425" s="28">
        <f t="shared" si="29"/>
        <v>14117647.05882353</v>
      </c>
      <c r="L425" s="28">
        <f t="shared" si="30"/>
        <v>15294117.647058824</v>
      </c>
      <c r="M425" s="28">
        <f t="shared" si="31"/>
        <v>16470588.235294119</v>
      </c>
      <c r="N425" s="28">
        <f t="shared" si="32"/>
        <v>17647058.823529415</v>
      </c>
      <c r="O425" s="28">
        <f t="shared" si="33"/>
        <v>18823529.411764707</v>
      </c>
      <c r="P425" s="28">
        <f t="shared" si="34"/>
        <v>20000000</v>
      </c>
      <c r="Q425" s="28">
        <f t="shared" si="35"/>
        <v>21176470.588235296</v>
      </c>
      <c r="R425" s="28">
        <f t="shared" si="36"/>
        <v>22352941.176470589</v>
      </c>
      <c r="S425" s="28">
        <f t="shared" si="37"/>
        <v>23529411.764705885</v>
      </c>
      <c r="T425" s="28">
        <f t="shared" si="38"/>
        <v>24705882.352941178</v>
      </c>
      <c r="U425" s="28">
        <f t="shared" si="39"/>
        <v>25882352.941176474</v>
      </c>
      <c r="V425" s="28">
        <f t="shared" si="40"/>
        <v>27058823.529411767</v>
      </c>
      <c r="W425" s="28">
        <f t="shared" si="41"/>
        <v>28235294.117647059</v>
      </c>
    </row>
    <row r="426" spans="1:23" x14ac:dyDescent="0.2">
      <c r="A426" s="28">
        <v>425</v>
      </c>
      <c r="B426" s="28">
        <v>469483.56807511736</v>
      </c>
      <c r="C426" s="28">
        <f t="shared" si="21"/>
        <v>4694835.6807511738</v>
      </c>
      <c r="D426" s="28">
        <f t="shared" si="22"/>
        <v>5868544.6009389674</v>
      </c>
      <c r="E426" s="28">
        <f t="shared" si="23"/>
        <v>7042253.5211267602</v>
      </c>
      <c r="F426" s="28">
        <f t="shared" si="24"/>
        <v>8215962.4413145538</v>
      </c>
      <c r="G426" s="28">
        <f t="shared" si="25"/>
        <v>9389671.3615023475</v>
      </c>
      <c r="H426" s="28">
        <f t="shared" si="26"/>
        <v>10563380.281690141</v>
      </c>
      <c r="I426" s="28">
        <f t="shared" si="27"/>
        <v>11737089.201877935</v>
      </c>
      <c r="J426" s="28">
        <f t="shared" si="28"/>
        <v>12910798.122065729</v>
      </c>
      <c r="K426" s="28">
        <f t="shared" si="29"/>
        <v>14084507.04225352</v>
      </c>
      <c r="L426" s="28">
        <f t="shared" si="30"/>
        <v>15258215.962441314</v>
      </c>
      <c r="M426" s="28">
        <f t="shared" si="31"/>
        <v>16431924.882629108</v>
      </c>
      <c r="N426" s="28">
        <f t="shared" si="32"/>
        <v>17605633.802816901</v>
      </c>
      <c r="O426" s="28">
        <f t="shared" si="33"/>
        <v>18779342.723004695</v>
      </c>
      <c r="P426" s="28">
        <f t="shared" si="34"/>
        <v>19953051.643192489</v>
      </c>
      <c r="Q426" s="28">
        <f t="shared" si="35"/>
        <v>21126760.563380282</v>
      </c>
      <c r="R426" s="28">
        <f t="shared" si="36"/>
        <v>22300469.483568076</v>
      </c>
      <c r="S426" s="28">
        <f t="shared" si="37"/>
        <v>23474178.40375587</v>
      </c>
      <c r="T426" s="28">
        <f t="shared" si="38"/>
        <v>24647887.323943663</v>
      </c>
      <c r="U426" s="28">
        <f t="shared" si="39"/>
        <v>25821596.244131457</v>
      </c>
      <c r="V426" s="28">
        <f t="shared" si="40"/>
        <v>26995305.164319251</v>
      </c>
      <c r="W426" s="28">
        <f t="shared" si="41"/>
        <v>28169014.084507041</v>
      </c>
    </row>
    <row r="427" spans="1:23" x14ac:dyDescent="0.2">
      <c r="A427" s="28">
        <v>426</v>
      </c>
      <c r="B427" s="28">
        <v>468384.07494145201</v>
      </c>
      <c r="C427" s="28">
        <f t="shared" si="21"/>
        <v>4683840.7494145203</v>
      </c>
      <c r="D427" s="28">
        <f t="shared" si="22"/>
        <v>5854800.93676815</v>
      </c>
      <c r="E427" s="28">
        <f t="shared" si="23"/>
        <v>7025761.1241217805</v>
      </c>
      <c r="F427" s="28">
        <f t="shared" si="24"/>
        <v>8196721.3114754111</v>
      </c>
      <c r="G427" s="28">
        <f t="shared" si="25"/>
        <v>9367681.4988290407</v>
      </c>
      <c r="H427" s="28">
        <f t="shared" si="26"/>
        <v>10538641.68618267</v>
      </c>
      <c r="I427" s="28">
        <f t="shared" si="27"/>
        <v>11709601.8735363</v>
      </c>
      <c r="J427" s="28">
        <f t="shared" si="28"/>
        <v>12880562.060889931</v>
      </c>
      <c r="K427" s="28">
        <f t="shared" si="29"/>
        <v>14051522.248243561</v>
      </c>
      <c r="L427" s="28">
        <f t="shared" si="30"/>
        <v>15222482.435597191</v>
      </c>
      <c r="M427" s="28">
        <f t="shared" si="31"/>
        <v>16393442.622950822</v>
      </c>
      <c r="N427" s="28">
        <f t="shared" si="32"/>
        <v>17564402.810304452</v>
      </c>
      <c r="O427" s="28">
        <f t="shared" si="33"/>
        <v>18735362.997658081</v>
      </c>
      <c r="P427" s="28">
        <f t="shared" si="34"/>
        <v>19906323.185011711</v>
      </c>
      <c r="Q427" s="28">
        <f t="shared" si="35"/>
        <v>21077283.372365341</v>
      </c>
      <c r="R427" s="28">
        <f t="shared" si="36"/>
        <v>22248243.55971897</v>
      </c>
      <c r="S427" s="28">
        <f t="shared" si="37"/>
        <v>23419203.7470726</v>
      </c>
      <c r="T427" s="28">
        <f t="shared" si="38"/>
        <v>24590163.934426233</v>
      </c>
      <c r="U427" s="28">
        <f t="shared" si="39"/>
        <v>25761124.121779863</v>
      </c>
      <c r="V427" s="28">
        <f t="shared" si="40"/>
        <v>26932084.309133492</v>
      </c>
      <c r="W427" s="28">
        <f t="shared" si="41"/>
        <v>28103044.496487122</v>
      </c>
    </row>
    <row r="428" spans="1:23" x14ac:dyDescent="0.2">
      <c r="A428" s="28">
        <v>427</v>
      </c>
      <c r="B428" s="28">
        <v>467289.71962616825</v>
      </c>
      <c r="C428" s="28">
        <f t="shared" si="21"/>
        <v>4672897.1962616825</v>
      </c>
      <c r="D428" s="28">
        <f t="shared" si="22"/>
        <v>5841121.495327103</v>
      </c>
      <c r="E428" s="28">
        <f t="shared" si="23"/>
        <v>7009345.7943925243</v>
      </c>
      <c r="F428" s="28">
        <f t="shared" si="24"/>
        <v>8177570.0934579447</v>
      </c>
      <c r="G428" s="28">
        <f t="shared" si="25"/>
        <v>9345794.3925233651</v>
      </c>
      <c r="H428" s="28">
        <f t="shared" si="26"/>
        <v>10514018.691588785</v>
      </c>
      <c r="I428" s="28">
        <f t="shared" si="27"/>
        <v>11682242.990654206</v>
      </c>
      <c r="J428" s="28">
        <f t="shared" si="28"/>
        <v>12850467.289719626</v>
      </c>
      <c r="K428" s="28">
        <f t="shared" si="29"/>
        <v>14018691.588785049</v>
      </c>
      <c r="L428" s="28">
        <f t="shared" si="30"/>
        <v>15186915.887850469</v>
      </c>
      <c r="M428" s="28">
        <f t="shared" si="31"/>
        <v>16355140.186915889</v>
      </c>
      <c r="N428" s="28">
        <f t="shared" si="32"/>
        <v>17523364.485981308</v>
      </c>
      <c r="O428" s="28">
        <f t="shared" si="33"/>
        <v>18691588.78504673</v>
      </c>
      <c r="P428" s="28">
        <f t="shared" si="34"/>
        <v>19859813.084112152</v>
      </c>
      <c r="Q428" s="28">
        <f t="shared" si="35"/>
        <v>21028037.383177571</v>
      </c>
      <c r="R428" s="28">
        <f t="shared" si="36"/>
        <v>22196261.682242993</v>
      </c>
      <c r="S428" s="28">
        <f t="shared" si="37"/>
        <v>23364485.981308412</v>
      </c>
      <c r="T428" s="28">
        <f t="shared" si="38"/>
        <v>24532710.280373834</v>
      </c>
      <c r="U428" s="28">
        <f t="shared" si="39"/>
        <v>25700934.579439253</v>
      </c>
      <c r="V428" s="28">
        <f t="shared" si="40"/>
        <v>26869158.878504675</v>
      </c>
      <c r="W428" s="28">
        <f t="shared" si="41"/>
        <v>28037383.177570097</v>
      </c>
    </row>
    <row r="429" spans="1:23" x14ac:dyDescent="0.2">
      <c r="A429" s="28">
        <v>428</v>
      </c>
      <c r="B429" s="28">
        <v>466200.46620046621</v>
      </c>
      <c r="C429" s="28">
        <f t="shared" si="21"/>
        <v>4662004.6620046617</v>
      </c>
      <c r="D429" s="28">
        <f t="shared" si="22"/>
        <v>5827505.827505827</v>
      </c>
      <c r="E429" s="28">
        <f t="shared" si="23"/>
        <v>6993006.9930069931</v>
      </c>
      <c r="F429" s="28">
        <f t="shared" si="24"/>
        <v>8158508.1585081583</v>
      </c>
      <c r="G429" s="28">
        <f t="shared" si="25"/>
        <v>9324009.3240093235</v>
      </c>
      <c r="H429" s="28">
        <f t="shared" si="26"/>
        <v>10489510.48951049</v>
      </c>
      <c r="I429" s="28">
        <f t="shared" si="27"/>
        <v>11655011.655011654</v>
      </c>
      <c r="J429" s="28">
        <f t="shared" si="28"/>
        <v>12820512.82051282</v>
      </c>
      <c r="K429" s="28">
        <f t="shared" si="29"/>
        <v>13986013.986013986</v>
      </c>
      <c r="L429" s="28">
        <f t="shared" si="30"/>
        <v>15151515.15151515</v>
      </c>
      <c r="M429" s="28">
        <f t="shared" si="31"/>
        <v>16317016.317016317</v>
      </c>
      <c r="N429" s="28">
        <f t="shared" si="32"/>
        <v>17482517.482517481</v>
      </c>
      <c r="O429" s="28">
        <f t="shared" si="33"/>
        <v>18648018.648018647</v>
      </c>
      <c r="P429" s="28">
        <f t="shared" si="34"/>
        <v>19813519.813519813</v>
      </c>
      <c r="Q429" s="28">
        <f t="shared" si="35"/>
        <v>20979020.979020979</v>
      </c>
      <c r="R429" s="28">
        <f t="shared" si="36"/>
        <v>22144522.144522142</v>
      </c>
      <c r="S429" s="28">
        <f t="shared" si="37"/>
        <v>23310023.310023308</v>
      </c>
      <c r="T429" s="28">
        <f t="shared" si="38"/>
        <v>24475524.475524474</v>
      </c>
      <c r="U429" s="28">
        <f t="shared" si="39"/>
        <v>25641025.64102564</v>
      </c>
      <c r="V429" s="28">
        <f t="shared" si="40"/>
        <v>26806526.806526806</v>
      </c>
      <c r="W429" s="28">
        <f t="shared" si="41"/>
        <v>27972027.972027972</v>
      </c>
    </row>
    <row r="430" spans="1:23" x14ac:dyDescent="0.2">
      <c r="A430" s="28">
        <v>429</v>
      </c>
      <c r="B430" s="28">
        <v>465116.27906976745</v>
      </c>
      <c r="C430" s="28">
        <f t="shared" si="21"/>
        <v>4651162.7906976743</v>
      </c>
      <c r="D430" s="28">
        <f t="shared" si="22"/>
        <v>5813953.4883720931</v>
      </c>
      <c r="E430" s="28">
        <f t="shared" si="23"/>
        <v>6976744.1860465109</v>
      </c>
      <c r="F430" s="28">
        <f t="shared" si="24"/>
        <v>8139534.8837209297</v>
      </c>
      <c r="G430" s="28">
        <f t="shared" si="25"/>
        <v>9302325.5813953485</v>
      </c>
      <c r="H430" s="28">
        <f t="shared" si="26"/>
        <v>10465116.279069766</v>
      </c>
      <c r="I430" s="28">
        <f t="shared" si="27"/>
        <v>11627906.976744186</v>
      </c>
      <c r="J430" s="28">
        <f t="shared" si="28"/>
        <v>12790697.674418604</v>
      </c>
      <c r="K430" s="28">
        <f t="shared" si="29"/>
        <v>13953488.372093022</v>
      </c>
      <c r="L430" s="28">
        <f t="shared" si="30"/>
        <v>15116279.069767442</v>
      </c>
      <c r="M430" s="28">
        <f t="shared" si="31"/>
        <v>16279069.767441859</v>
      </c>
      <c r="N430" s="28">
        <f t="shared" si="32"/>
        <v>17441860.465116277</v>
      </c>
      <c r="O430" s="28">
        <f t="shared" si="33"/>
        <v>18604651.162790697</v>
      </c>
      <c r="P430" s="28">
        <f t="shared" si="34"/>
        <v>19767441.860465117</v>
      </c>
      <c r="Q430" s="28">
        <f t="shared" si="35"/>
        <v>20930232.558139533</v>
      </c>
      <c r="R430" s="28">
        <f t="shared" si="36"/>
        <v>22093023.255813953</v>
      </c>
      <c r="S430" s="28">
        <f t="shared" si="37"/>
        <v>23255813.953488372</v>
      </c>
      <c r="T430" s="28">
        <f t="shared" si="38"/>
        <v>24418604.651162788</v>
      </c>
      <c r="U430" s="28">
        <f t="shared" si="39"/>
        <v>25581395.348837208</v>
      </c>
      <c r="V430" s="28">
        <f t="shared" si="40"/>
        <v>26744186.046511628</v>
      </c>
      <c r="W430" s="28">
        <f t="shared" si="41"/>
        <v>27906976.744186044</v>
      </c>
    </row>
    <row r="431" spans="1:23" x14ac:dyDescent="0.2">
      <c r="A431" s="28">
        <v>430</v>
      </c>
      <c r="B431" s="28">
        <v>464037.12296983757</v>
      </c>
      <c r="C431" s="28">
        <f t="shared" si="21"/>
        <v>4640371.2296983758</v>
      </c>
      <c r="D431" s="28">
        <f t="shared" si="22"/>
        <v>5800464.0371229695</v>
      </c>
      <c r="E431" s="28">
        <f t="shared" si="23"/>
        <v>6960556.8445475642</v>
      </c>
      <c r="F431" s="28">
        <f t="shared" si="24"/>
        <v>8120649.6519721579</v>
      </c>
      <c r="G431" s="28">
        <f t="shared" si="25"/>
        <v>9280742.4593967516</v>
      </c>
      <c r="H431" s="28">
        <f t="shared" si="26"/>
        <v>10440835.266821345</v>
      </c>
      <c r="I431" s="28">
        <f t="shared" si="27"/>
        <v>11600928.074245939</v>
      </c>
      <c r="J431" s="28">
        <f t="shared" si="28"/>
        <v>12761020.881670533</v>
      </c>
      <c r="K431" s="28">
        <f t="shared" si="29"/>
        <v>13921113.689095128</v>
      </c>
      <c r="L431" s="28">
        <f t="shared" si="30"/>
        <v>15081206.496519722</v>
      </c>
      <c r="M431" s="28">
        <f t="shared" si="31"/>
        <v>16241299.303944316</v>
      </c>
      <c r="N431" s="28">
        <f t="shared" si="32"/>
        <v>17401392.111368909</v>
      </c>
      <c r="O431" s="28">
        <f t="shared" si="33"/>
        <v>18561484.918793503</v>
      </c>
      <c r="P431" s="28">
        <f t="shared" si="34"/>
        <v>19721577.726218097</v>
      </c>
      <c r="Q431" s="28">
        <f t="shared" si="35"/>
        <v>20881670.533642691</v>
      </c>
      <c r="R431" s="28">
        <f t="shared" si="36"/>
        <v>22041763.341067284</v>
      </c>
      <c r="S431" s="28">
        <f t="shared" si="37"/>
        <v>23201856.148491878</v>
      </c>
      <c r="T431" s="28">
        <f t="shared" si="38"/>
        <v>24361948.955916472</v>
      </c>
      <c r="U431" s="28">
        <f t="shared" si="39"/>
        <v>25522041.763341065</v>
      </c>
      <c r="V431" s="28">
        <f t="shared" si="40"/>
        <v>26682134.570765659</v>
      </c>
      <c r="W431" s="28">
        <f t="shared" si="41"/>
        <v>27842227.378190257</v>
      </c>
    </row>
    <row r="432" spans="1:23" x14ac:dyDescent="0.2">
      <c r="A432" s="28">
        <v>431</v>
      </c>
      <c r="B432" s="28">
        <v>462962.96296296298</v>
      </c>
      <c r="C432" s="28">
        <f t="shared" si="21"/>
        <v>4629629.6296296297</v>
      </c>
      <c r="D432" s="28">
        <f t="shared" si="22"/>
        <v>5787037.0370370373</v>
      </c>
      <c r="E432" s="28">
        <f t="shared" si="23"/>
        <v>6944444.444444444</v>
      </c>
      <c r="F432" s="28">
        <f t="shared" si="24"/>
        <v>8101851.8518518517</v>
      </c>
      <c r="G432" s="28">
        <f t="shared" si="25"/>
        <v>9259259.2592592593</v>
      </c>
      <c r="H432" s="28">
        <f t="shared" si="26"/>
        <v>10416666.666666666</v>
      </c>
      <c r="I432" s="28">
        <f t="shared" si="27"/>
        <v>11574074.074074075</v>
      </c>
      <c r="J432" s="28">
        <f t="shared" si="28"/>
        <v>12731481.481481481</v>
      </c>
      <c r="K432" s="28">
        <f t="shared" si="29"/>
        <v>13888888.888888888</v>
      </c>
      <c r="L432" s="28">
        <f t="shared" si="30"/>
        <v>15046296.296296297</v>
      </c>
      <c r="M432" s="28">
        <f t="shared" si="31"/>
        <v>16203703.703703703</v>
      </c>
      <c r="N432" s="28">
        <f t="shared" si="32"/>
        <v>17361111.111111112</v>
      </c>
      <c r="O432" s="28">
        <f t="shared" si="33"/>
        <v>18518518.518518519</v>
      </c>
      <c r="P432" s="28">
        <f t="shared" si="34"/>
        <v>19675925.925925925</v>
      </c>
      <c r="Q432" s="28">
        <f t="shared" si="35"/>
        <v>20833333.333333332</v>
      </c>
      <c r="R432" s="28">
        <f t="shared" si="36"/>
        <v>21990740.740740743</v>
      </c>
      <c r="S432" s="28">
        <f t="shared" si="37"/>
        <v>23148148.148148149</v>
      </c>
      <c r="T432" s="28">
        <f t="shared" si="38"/>
        <v>24305555.555555556</v>
      </c>
      <c r="U432" s="28">
        <f t="shared" si="39"/>
        <v>25462962.962962963</v>
      </c>
      <c r="V432" s="28">
        <f t="shared" si="40"/>
        <v>26620370.370370369</v>
      </c>
      <c r="W432" s="28">
        <f t="shared" si="41"/>
        <v>27777777.777777776</v>
      </c>
    </row>
    <row r="433" spans="1:23" x14ac:dyDescent="0.2">
      <c r="A433" s="28">
        <v>432</v>
      </c>
      <c r="B433" s="28">
        <v>461893.76443418016</v>
      </c>
      <c r="C433" s="28">
        <f t="shared" si="21"/>
        <v>4618937.6443418013</v>
      </c>
      <c r="D433" s="28">
        <f t="shared" si="22"/>
        <v>5773672.0554272514</v>
      </c>
      <c r="E433" s="28">
        <f t="shared" si="23"/>
        <v>6928406.4665127024</v>
      </c>
      <c r="F433" s="28">
        <f t="shared" si="24"/>
        <v>8083140.8775981525</v>
      </c>
      <c r="G433" s="28">
        <f t="shared" si="25"/>
        <v>9237875.2886836026</v>
      </c>
      <c r="H433" s="28">
        <f t="shared" si="26"/>
        <v>10392609.699769054</v>
      </c>
      <c r="I433" s="28">
        <f t="shared" si="27"/>
        <v>11547344.110854503</v>
      </c>
      <c r="J433" s="28">
        <f t="shared" si="28"/>
        <v>12702078.521939954</v>
      </c>
      <c r="K433" s="28">
        <f t="shared" si="29"/>
        <v>13856812.933025405</v>
      </c>
      <c r="L433" s="28">
        <f t="shared" si="30"/>
        <v>15011547.344110854</v>
      </c>
      <c r="M433" s="28">
        <f t="shared" si="31"/>
        <v>16166281.755196305</v>
      </c>
      <c r="N433" s="28">
        <f t="shared" si="32"/>
        <v>17321016.166281756</v>
      </c>
      <c r="O433" s="28">
        <f t="shared" si="33"/>
        <v>18475750.577367205</v>
      </c>
      <c r="P433" s="28">
        <f t="shared" si="34"/>
        <v>19630484.988452654</v>
      </c>
      <c r="Q433" s="28">
        <f t="shared" si="35"/>
        <v>20785219.399538107</v>
      </c>
      <c r="R433" s="28">
        <f t="shared" si="36"/>
        <v>21939953.810623556</v>
      </c>
      <c r="S433" s="28">
        <f t="shared" si="37"/>
        <v>23094688.221709006</v>
      </c>
      <c r="T433" s="28">
        <f t="shared" si="38"/>
        <v>24249422.632794458</v>
      </c>
      <c r="U433" s="28">
        <f t="shared" si="39"/>
        <v>25404157.043879908</v>
      </c>
      <c r="V433" s="28">
        <f t="shared" si="40"/>
        <v>26558891.454965357</v>
      </c>
      <c r="W433" s="28">
        <f t="shared" si="41"/>
        <v>27713625.86605081</v>
      </c>
    </row>
    <row r="434" spans="1:23" x14ac:dyDescent="0.2">
      <c r="A434" s="28">
        <v>433</v>
      </c>
      <c r="B434" s="28">
        <v>460829.49308755761</v>
      </c>
      <c r="C434" s="28">
        <f t="shared" si="21"/>
        <v>4608294.9308755761</v>
      </c>
      <c r="D434" s="28">
        <f t="shared" si="22"/>
        <v>5760368.6635944704</v>
      </c>
      <c r="E434" s="28">
        <f t="shared" si="23"/>
        <v>6912442.3963133637</v>
      </c>
      <c r="F434" s="28">
        <f t="shared" si="24"/>
        <v>8064516.1290322579</v>
      </c>
      <c r="G434" s="28">
        <f t="shared" si="25"/>
        <v>9216589.8617511522</v>
      </c>
      <c r="H434" s="28">
        <f t="shared" si="26"/>
        <v>10368663.594470046</v>
      </c>
      <c r="I434" s="28">
        <f t="shared" si="27"/>
        <v>11520737.327188941</v>
      </c>
      <c r="J434" s="28">
        <f t="shared" si="28"/>
        <v>12672811.059907835</v>
      </c>
      <c r="K434" s="28">
        <f t="shared" si="29"/>
        <v>13824884.792626727</v>
      </c>
      <c r="L434" s="28">
        <f t="shared" si="30"/>
        <v>14976958.525345622</v>
      </c>
      <c r="M434" s="28">
        <f t="shared" si="31"/>
        <v>16129032.258064516</v>
      </c>
      <c r="N434" s="28">
        <f t="shared" si="32"/>
        <v>17281105.990783412</v>
      </c>
      <c r="O434" s="28">
        <f t="shared" si="33"/>
        <v>18433179.723502304</v>
      </c>
      <c r="P434" s="28">
        <f t="shared" si="34"/>
        <v>19585253.456221197</v>
      </c>
      <c r="Q434" s="28">
        <f t="shared" si="35"/>
        <v>20737327.188940093</v>
      </c>
      <c r="R434" s="28">
        <f t="shared" si="36"/>
        <v>21889400.921658985</v>
      </c>
      <c r="S434" s="28">
        <f t="shared" si="37"/>
        <v>23041474.654377881</v>
      </c>
      <c r="T434" s="28">
        <f t="shared" si="38"/>
        <v>24193548.387096774</v>
      </c>
      <c r="U434" s="28">
        <f t="shared" si="39"/>
        <v>25345622.11981567</v>
      </c>
      <c r="V434" s="28">
        <f t="shared" si="40"/>
        <v>26497695.852534562</v>
      </c>
      <c r="W434" s="28">
        <f t="shared" si="41"/>
        <v>27649769.585253455</v>
      </c>
    </row>
    <row r="435" spans="1:23" x14ac:dyDescent="0.2">
      <c r="A435" s="28">
        <v>434</v>
      </c>
      <c r="B435" s="28">
        <v>459770.11494252871</v>
      </c>
      <c r="C435" s="28">
        <f t="shared" si="21"/>
        <v>4597701.1494252868</v>
      </c>
      <c r="D435" s="28">
        <f t="shared" si="22"/>
        <v>5747126.4367816085</v>
      </c>
      <c r="E435" s="28">
        <f t="shared" si="23"/>
        <v>6896551.7241379302</v>
      </c>
      <c r="F435" s="28">
        <f t="shared" si="24"/>
        <v>8045977.0114942519</v>
      </c>
      <c r="G435" s="28">
        <f t="shared" si="25"/>
        <v>9195402.2988505736</v>
      </c>
      <c r="H435" s="28">
        <f t="shared" si="26"/>
        <v>10344827.586206894</v>
      </c>
      <c r="I435" s="28">
        <f t="shared" si="27"/>
        <v>11494252.873563217</v>
      </c>
      <c r="J435" s="28">
        <f t="shared" si="28"/>
        <v>12643678.16091954</v>
      </c>
      <c r="K435" s="28">
        <f t="shared" si="29"/>
        <v>13793103.44827586</v>
      </c>
      <c r="L435" s="28">
        <f t="shared" si="30"/>
        <v>14942528.735632181</v>
      </c>
      <c r="M435" s="28">
        <f t="shared" si="31"/>
        <v>16091954.022988504</v>
      </c>
      <c r="N435" s="28">
        <f t="shared" si="32"/>
        <v>17241379.310344826</v>
      </c>
      <c r="O435" s="28">
        <f t="shared" si="33"/>
        <v>18390804.597701147</v>
      </c>
      <c r="P435" s="28">
        <f t="shared" si="34"/>
        <v>19540229.885057468</v>
      </c>
      <c r="Q435" s="28">
        <f t="shared" si="35"/>
        <v>20689655.172413789</v>
      </c>
      <c r="R435" s="28">
        <f t="shared" si="36"/>
        <v>21839080.459770113</v>
      </c>
      <c r="S435" s="28">
        <f t="shared" si="37"/>
        <v>22988505.747126434</v>
      </c>
      <c r="T435" s="28">
        <f t="shared" si="38"/>
        <v>24137931.034482755</v>
      </c>
      <c r="U435" s="28">
        <f t="shared" si="39"/>
        <v>25287356.321839079</v>
      </c>
      <c r="V435" s="28">
        <f t="shared" si="40"/>
        <v>26436781.6091954</v>
      </c>
      <c r="W435" s="28">
        <f t="shared" si="41"/>
        <v>27586206.896551721</v>
      </c>
    </row>
    <row r="436" spans="1:23" x14ac:dyDescent="0.2">
      <c r="A436" s="28">
        <v>435</v>
      </c>
      <c r="B436" s="28">
        <v>458715.59633027524</v>
      </c>
      <c r="C436" s="28">
        <f t="shared" si="21"/>
        <v>4587155.963302752</v>
      </c>
      <c r="D436" s="28">
        <f t="shared" si="22"/>
        <v>5733944.9541284405</v>
      </c>
      <c r="E436" s="28">
        <f t="shared" si="23"/>
        <v>6880733.944954128</v>
      </c>
      <c r="F436" s="28">
        <f t="shared" si="24"/>
        <v>8027522.9357798155</v>
      </c>
      <c r="G436" s="28">
        <f t="shared" si="25"/>
        <v>9174311.926605504</v>
      </c>
      <c r="H436" s="28">
        <f t="shared" si="26"/>
        <v>10321100.917431192</v>
      </c>
      <c r="I436" s="28">
        <f t="shared" si="27"/>
        <v>11467889.908256881</v>
      </c>
      <c r="J436" s="28">
        <f t="shared" si="28"/>
        <v>12614678.899082568</v>
      </c>
      <c r="K436" s="28">
        <f t="shared" si="29"/>
        <v>13761467.889908256</v>
      </c>
      <c r="L436" s="28">
        <f t="shared" si="30"/>
        <v>14908256.880733944</v>
      </c>
      <c r="M436" s="28">
        <f t="shared" si="31"/>
        <v>16055045.871559631</v>
      </c>
      <c r="N436" s="28">
        <f t="shared" si="32"/>
        <v>17201834.862385321</v>
      </c>
      <c r="O436" s="28">
        <f t="shared" si="33"/>
        <v>18348623.853211008</v>
      </c>
      <c r="P436" s="28">
        <f t="shared" si="34"/>
        <v>19495412.844036695</v>
      </c>
      <c r="Q436" s="28">
        <f t="shared" si="35"/>
        <v>20642201.834862385</v>
      </c>
      <c r="R436" s="28">
        <f t="shared" si="36"/>
        <v>21788990.825688072</v>
      </c>
      <c r="S436" s="28">
        <f t="shared" si="37"/>
        <v>22935779.816513762</v>
      </c>
      <c r="T436" s="28">
        <f t="shared" si="38"/>
        <v>24082568.807339448</v>
      </c>
      <c r="U436" s="28">
        <f t="shared" si="39"/>
        <v>25229357.798165135</v>
      </c>
      <c r="V436" s="28">
        <f t="shared" si="40"/>
        <v>26376146.788990825</v>
      </c>
      <c r="W436" s="28">
        <f t="shared" si="41"/>
        <v>27522935.779816512</v>
      </c>
    </row>
    <row r="437" spans="1:23" x14ac:dyDescent="0.2">
      <c r="A437" s="28">
        <v>436</v>
      </c>
      <c r="B437" s="28">
        <v>457665.9038901602</v>
      </c>
      <c r="C437" s="28">
        <f t="shared" si="21"/>
        <v>4576659.0389016019</v>
      </c>
      <c r="D437" s="28">
        <f t="shared" si="22"/>
        <v>5720823.7986270022</v>
      </c>
      <c r="E437" s="28">
        <f t="shared" si="23"/>
        <v>6864988.5583524033</v>
      </c>
      <c r="F437" s="28">
        <f t="shared" si="24"/>
        <v>8009153.3180778036</v>
      </c>
      <c r="G437" s="28">
        <f t="shared" si="25"/>
        <v>9153318.0778032038</v>
      </c>
      <c r="H437" s="28">
        <f t="shared" si="26"/>
        <v>10297482.837528605</v>
      </c>
      <c r="I437" s="28">
        <f t="shared" si="27"/>
        <v>11441647.597254004</v>
      </c>
      <c r="J437" s="28">
        <f t="shared" si="28"/>
        <v>12585812.356979406</v>
      </c>
      <c r="K437" s="28">
        <f t="shared" si="29"/>
        <v>13729977.116704807</v>
      </c>
      <c r="L437" s="28">
        <f t="shared" si="30"/>
        <v>14874141.876430206</v>
      </c>
      <c r="M437" s="28">
        <f t="shared" si="31"/>
        <v>16018306.636155607</v>
      </c>
      <c r="N437" s="28">
        <f t="shared" si="32"/>
        <v>17162471.395881008</v>
      </c>
      <c r="O437" s="28">
        <f t="shared" si="33"/>
        <v>18306636.155606408</v>
      </c>
      <c r="P437" s="28">
        <f t="shared" si="34"/>
        <v>19450800.915331807</v>
      </c>
      <c r="Q437" s="28">
        <f t="shared" si="35"/>
        <v>20594965.67505721</v>
      </c>
      <c r="R437" s="28">
        <f t="shared" si="36"/>
        <v>21739130.434782609</v>
      </c>
      <c r="S437" s="28">
        <f t="shared" si="37"/>
        <v>22883295.194508009</v>
      </c>
      <c r="T437" s="28">
        <f t="shared" si="38"/>
        <v>24027459.954233412</v>
      </c>
      <c r="U437" s="28">
        <f t="shared" si="39"/>
        <v>25171624.713958811</v>
      </c>
      <c r="V437" s="28">
        <f t="shared" si="40"/>
        <v>26315789.47368421</v>
      </c>
      <c r="W437" s="28">
        <f t="shared" si="41"/>
        <v>27459954.233409613</v>
      </c>
    </row>
    <row r="438" spans="1:23" x14ac:dyDescent="0.2">
      <c r="A438" s="28">
        <v>437</v>
      </c>
      <c r="B438" s="28">
        <v>456621.00456621003</v>
      </c>
      <c r="C438" s="28">
        <f t="shared" si="21"/>
        <v>4566210.0456621004</v>
      </c>
      <c r="D438" s="28">
        <f t="shared" si="22"/>
        <v>5707762.5570776258</v>
      </c>
      <c r="E438" s="28">
        <f t="shared" si="23"/>
        <v>6849315.0684931502</v>
      </c>
      <c r="F438" s="28">
        <f t="shared" si="24"/>
        <v>7990867.5799086755</v>
      </c>
      <c r="G438" s="28">
        <f t="shared" si="25"/>
        <v>9132420.0913242009</v>
      </c>
      <c r="H438" s="28">
        <f t="shared" si="26"/>
        <v>10273972.602739725</v>
      </c>
      <c r="I438" s="28">
        <f t="shared" si="27"/>
        <v>11415525.114155252</v>
      </c>
      <c r="J438" s="28">
        <f t="shared" si="28"/>
        <v>12557077.625570776</v>
      </c>
      <c r="K438" s="28">
        <f t="shared" si="29"/>
        <v>13698630.1369863</v>
      </c>
      <c r="L438" s="28">
        <f t="shared" si="30"/>
        <v>14840182.648401827</v>
      </c>
      <c r="M438" s="28">
        <f t="shared" si="31"/>
        <v>15981735.159817351</v>
      </c>
      <c r="N438" s="28">
        <f t="shared" si="32"/>
        <v>17123287.671232875</v>
      </c>
      <c r="O438" s="28">
        <f t="shared" si="33"/>
        <v>18264840.182648402</v>
      </c>
      <c r="P438" s="28">
        <f t="shared" si="34"/>
        <v>19406392.694063928</v>
      </c>
      <c r="Q438" s="28">
        <f t="shared" si="35"/>
        <v>20547945.205479451</v>
      </c>
      <c r="R438" s="28">
        <f t="shared" si="36"/>
        <v>21689497.716894977</v>
      </c>
      <c r="S438" s="28">
        <f t="shared" si="37"/>
        <v>22831050.228310503</v>
      </c>
      <c r="T438" s="28">
        <f t="shared" si="38"/>
        <v>23972602.739726026</v>
      </c>
      <c r="U438" s="28">
        <f t="shared" si="39"/>
        <v>25114155.251141552</v>
      </c>
      <c r="V438" s="28">
        <f t="shared" si="40"/>
        <v>26255707.762557078</v>
      </c>
      <c r="W438" s="28">
        <f t="shared" si="41"/>
        <v>27397260.273972601</v>
      </c>
    </row>
    <row r="439" spans="1:23" x14ac:dyDescent="0.2">
      <c r="A439" s="28">
        <v>438</v>
      </c>
      <c r="B439" s="28">
        <v>455580.86560364469</v>
      </c>
      <c r="C439" s="28">
        <f t="shared" si="21"/>
        <v>4555808.6560364468</v>
      </c>
      <c r="D439" s="28">
        <f t="shared" si="22"/>
        <v>5694760.8200455587</v>
      </c>
      <c r="E439" s="28">
        <f t="shared" si="23"/>
        <v>6833712.9840546697</v>
      </c>
      <c r="F439" s="28">
        <f t="shared" si="24"/>
        <v>7972665.1480637817</v>
      </c>
      <c r="G439" s="28">
        <f t="shared" si="25"/>
        <v>9111617.3120728936</v>
      </c>
      <c r="H439" s="28">
        <f t="shared" si="26"/>
        <v>10250569.476082005</v>
      </c>
      <c r="I439" s="28">
        <f t="shared" si="27"/>
        <v>11389521.640091117</v>
      </c>
      <c r="J439" s="28">
        <f t="shared" si="28"/>
        <v>12528473.804100228</v>
      </c>
      <c r="K439" s="28">
        <f t="shared" si="29"/>
        <v>13667425.968109339</v>
      </c>
      <c r="L439" s="28">
        <f t="shared" si="30"/>
        <v>14806378.132118452</v>
      </c>
      <c r="M439" s="28">
        <f t="shared" si="31"/>
        <v>15945330.296127563</v>
      </c>
      <c r="N439" s="28">
        <f t="shared" si="32"/>
        <v>17084282.460136674</v>
      </c>
      <c r="O439" s="28">
        <f t="shared" si="33"/>
        <v>18223234.624145787</v>
      </c>
      <c r="P439" s="28">
        <f t="shared" si="34"/>
        <v>19362186.7881549</v>
      </c>
      <c r="Q439" s="28">
        <f t="shared" si="35"/>
        <v>20501138.952164009</v>
      </c>
      <c r="R439" s="28">
        <f t="shared" si="36"/>
        <v>21640091.116173122</v>
      </c>
      <c r="S439" s="28">
        <f t="shared" si="37"/>
        <v>22779043.280182235</v>
      </c>
      <c r="T439" s="28">
        <f t="shared" si="38"/>
        <v>23917995.444191344</v>
      </c>
      <c r="U439" s="28">
        <f t="shared" si="39"/>
        <v>25056947.608200457</v>
      </c>
      <c r="V439" s="28">
        <f t="shared" si="40"/>
        <v>26195899.77220957</v>
      </c>
      <c r="W439" s="28">
        <f t="shared" si="41"/>
        <v>27334851.936218679</v>
      </c>
    </row>
    <row r="440" spans="1:23" x14ac:dyDescent="0.2">
      <c r="A440" s="28">
        <v>439</v>
      </c>
      <c r="B440" s="28">
        <v>454545.45454545453</v>
      </c>
      <c r="C440" s="28">
        <f t="shared" si="21"/>
        <v>4545454.5454545449</v>
      </c>
      <c r="D440" s="28">
        <f t="shared" si="22"/>
        <v>5681818.1818181816</v>
      </c>
      <c r="E440" s="28">
        <f t="shared" si="23"/>
        <v>6818181.8181818174</v>
      </c>
      <c r="F440" s="28">
        <f t="shared" si="24"/>
        <v>7954545.4545454532</v>
      </c>
      <c r="G440" s="28">
        <f t="shared" si="25"/>
        <v>9090909.0909090899</v>
      </c>
      <c r="H440" s="28">
        <f t="shared" si="26"/>
        <v>10227272.727272727</v>
      </c>
      <c r="I440" s="28">
        <f t="shared" si="27"/>
        <v>11363636.363636363</v>
      </c>
      <c r="J440" s="28">
        <f t="shared" si="28"/>
        <v>12499999.999999998</v>
      </c>
      <c r="K440" s="28">
        <f t="shared" si="29"/>
        <v>13636363.636363635</v>
      </c>
      <c r="L440" s="28">
        <f t="shared" si="30"/>
        <v>14772727.272727272</v>
      </c>
      <c r="M440" s="28">
        <f t="shared" si="31"/>
        <v>15909090.909090906</v>
      </c>
      <c r="N440" s="28">
        <f t="shared" si="32"/>
        <v>17045454.545454543</v>
      </c>
      <c r="O440" s="28">
        <f t="shared" si="33"/>
        <v>18181818.18181818</v>
      </c>
      <c r="P440" s="28">
        <f t="shared" si="34"/>
        <v>19318181.818181816</v>
      </c>
      <c r="Q440" s="28">
        <f t="shared" si="35"/>
        <v>20454545.454545453</v>
      </c>
      <c r="R440" s="28">
        <f t="shared" si="36"/>
        <v>21590909.09090909</v>
      </c>
      <c r="S440" s="28">
        <f t="shared" si="37"/>
        <v>22727272.727272727</v>
      </c>
      <c r="T440" s="28">
        <f t="shared" si="38"/>
        <v>23863636.36363636</v>
      </c>
      <c r="U440" s="28">
        <f t="shared" si="39"/>
        <v>24999999.999999996</v>
      </c>
      <c r="V440" s="28">
        <f t="shared" si="40"/>
        <v>26136363.636363633</v>
      </c>
      <c r="W440" s="28">
        <f t="shared" si="41"/>
        <v>27272727.27272727</v>
      </c>
    </row>
    <row r="441" spans="1:23" x14ac:dyDescent="0.2">
      <c r="A441" s="28">
        <v>440</v>
      </c>
      <c r="B441" s="28">
        <v>453514.73922902491</v>
      </c>
      <c r="C441" s="28">
        <f t="shared" si="21"/>
        <v>4535147.3922902495</v>
      </c>
      <c r="D441" s="28">
        <f t="shared" si="22"/>
        <v>5668934.2403628118</v>
      </c>
      <c r="E441" s="28">
        <f t="shared" si="23"/>
        <v>6802721.0884353742</v>
      </c>
      <c r="F441" s="28">
        <f t="shared" si="24"/>
        <v>7936507.9365079366</v>
      </c>
      <c r="G441" s="28">
        <f t="shared" si="25"/>
        <v>9070294.7845804989</v>
      </c>
      <c r="H441" s="28">
        <f t="shared" si="26"/>
        <v>10204081.632653061</v>
      </c>
      <c r="I441" s="28">
        <f t="shared" si="27"/>
        <v>11337868.480725624</v>
      </c>
      <c r="J441" s="28">
        <f t="shared" si="28"/>
        <v>12471655.328798186</v>
      </c>
      <c r="K441" s="28">
        <f t="shared" si="29"/>
        <v>13605442.176870748</v>
      </c>
      <c r="L441" s="28">
        <f t="shared" si="30"/>
        <v>14739229.024943311</v>
      </c>
      <c r="M441" s="28">
        <f t="shared" si="31"/>
        <v>15873015.873015873</v>
      </c>
      <c r="N441" s="28">
        <f t="shared" si="32"/>
        <v>17006802.721088436</v>
      </c>
      <c r="O441" s="28">
        <f t="shared" si="33"/>
        <v>18140589.569160998</v>
      </c>
      <c r="P441" s="28">
        <f t="shared" si="34"/>
        <v>19274376.41723356</v>
      </c>
      <c r="Q441" s="28">
        <f t="shared" si="35"/>
        <v>20408163.265306123</v>
      </c>
      <c r="R441" s="28">
        <f t="shared" si="36"/>
        <v>21541950.113378685</v>
      </c>
      <c r="S441" s="28">
        <f t="shared" si="37"/>
        <v>22675736.961451247</v>
      </c>
      <c r="T441" s="28">
        <f t="shared" si="38"/>
        <v>23809523.80952381</v>
      </c>
      <c r="U441" s="28">
        <f t="shared" si="39"/>
        <v>24943310.657596372</v>
      </c>
      <c r="V441" s="28">
        <f t="shared" si="40"/>
        <v>26077097.505668934</v>
      </c>
      <c r="W441" s="28">
        <f t="shared" si="41"/>
        <v>27210884.353741497</v>
      </c>
    </row>
    <row r="442" spans="1:23" x14ac:dyDescent="0.2">
      <c r="A442" s="28">
        <v>441</v>
      </c>
      <c r="B442" s="28">
        <v>452488.68778280541</v>
      </c>
      <c r="C442" s="28">
        <f t="shared" si="21"/>
        <v>4524886.8778280541</v>
      </c>
      <c r="D442" s="28">
        <f t="shared" si="22"/>
        <v>5656108.5972850677</v>
      </c>
      <c r="E442" s="28">
        <f t="shared" si="23"/>
        <v>6787330.3167420812</v>
      </c>
      <c r="F442" s="28">
        <f t="shared" si="24"/>
        <v>7918552.0361990947</v>
      </c>
      <c r="G442" s="28">
        <f t="shared" si="25"/>
        <v>9049773.7556561083</v>
      </c>
      <c r="H442" s="28">
        <f t="shared" si="26"/>
        <v>10180995.475113122</v>
      </c>
      <c r="I442" s="28">
        <f t="shared" si="27"/>
        <v>11312217.194570135</v>
      </c>
      <c r="J442" s="28">
        <f t="shared" si="28"/>
        <v>12443438.914027149</v>
      </c>
      <c r="K442" s="28">
        <f t="shared" si="29"/>
        <v>13574660.633484162</v>
      </c>
      <c r="L442" s="28">
        <f t="shared" si="30"/>
        <v>14705882.352941176</v>
      </c>
      <c r="M442" s="28">
        <f t="shared" si="31"/>
        <v>15837104.072398189</v>
      </c>
      <c r="N442" s="28">
        <f t="shared" si="32"/>
        <v>16968325.791855201</v>
      </c>
      <c r="O442" s="28">
        <f t="shared" si="33"/>
        <v>18099547.511312217</v>
      </c>
      <c r="P442" s="28">
        <f t="shared" si="34"/>
        <v>19230769.230769232</v>
      </c>
      <c r="Q442" s="28">
        <f t="shared" si="35"/>
        <v>20361990.950226244</v>
      </c>
      <c r="R442" s="28">
        <f t="shared" si="36"/>
        <v>21493212.669683255</v>
      </c>
      <c r="S442" s="28">
        <f t="shared" si="37"/>
        <v>22624434.389140271</v>
      </c>
      <c r="T442" s="28">
        <f t="shared" si="38"/>
        <v>23755656.108597286</v>
      </c>
      <c r="U442" s="28">
        <f t="shared" si="39"/>
        <v>24886877.828054298</v>
      </c>
      <c r="V442" s="28">
        <f t="shared" si="40"/>
        <v>26018099.547511309</v>
      </c>
      <c r="W442" s="28">
        <f t="shared" si="41"/>
        <v>27149321.266968325</v>
      </c>
    </row>
    <row r="443" spans="1:23" x14ac:dyDescent="0.2">
      <c r="A443" s="28">
        <v>442</v>
      </c>
      <c r="B443" s="28">
        <v>451467.26862302487</v>
      </c>
      <c r="C443" s="28">
        <f t="shared" si="21"/>
        <v>4514672.6862302488</v>
      </c>
      <c r="D443" s="28">
        <f t="shared" si="22"/>
        <v>5643340.8577878112</v>
      </c>
      <c r="E443" s="28">
        <f t="shared" si="23"/>
        <v>6772009.0293453727</v>
      </c>
      <c r="F443" s="28">
        <f t="shared" si="24"/>
        <v>7900677.2009029351</v>
      </c>
      <c r="G443" s="28">
        <f t="shared" si="25"/>
        <v>9029345.3724604975</v>
      </c>
      <c r="H443" s="28">
        <f t="shared" si="26"/>
        <v>10158013.54401806</v>
      </c>
      <c r="I443" s="28">
        <f t="shared" si="27"/>
        <v>11286681.715575622</v>
      </c>
      <c r="J443" s="28">
        <f t="shared" si="28"/>
        <v>12415349.887133185</v>
      </c>
      <c r="K443" s="28">
        <f t="shared" si="29"/>
        <v>13544018.058690745</v>
      </c>
      <c r="L443" s="28">
        <f t="shared" si="30"/>
        <v>14672686.230248308</v>
      </c>
      <c r="M443" s="28">
        <f t="shared" si="31"/>
        <v>15801354.40180587</v>
      </c>
      <c r="N443" s="28">
        <f t="shared" si="32"/>
        <v>16930022.573363435</v>
      </c>
      <c r="O443" s="28">
        <f t="shared" si="33"/>
        <v>18058690.744920995</v>
      </c>
      <c r="P443" s="28">
        <f t="shared" si="34"/>
        <v>19187358.916478556</v>
      </c>
      <c r="Q443" s="28">
        <f t="shared" si="35"/>
        <v>20316027.08803612</v>
      </c>
      <c r="R443" s="28">
        <f t="shared" si="36"/>
        <v>21444695.259593681</v>
      </c>
      <c r="S443" s="28">
        <f t="shared" si="37"/>
        <v>22573363.431151245</v>
      </c>
      <c r="T443" s="28">
        <f t="shared" si="38"/>
        <v>23702031.602708805</v>
      </c>
      <c r="U443" s="28">
        <f t="shared" si="39"/>
        <v>24830699.77426637</v>
      </c>
      <c r="V443" s="28">
        <f t="shared" si="40"/>
        <v>25959367.94582393</v>
      </c>
      <c r="W443" s="28">
        <f t="shared" si="41"/>
        <v>27088036.117381491</v>
      </c>
    </row>
    <row r="444" spans="1:23" x14ac:dyDescent="0.2">
      <c r="A444" s="28">
        <v>443</v>
      </c>
      <c r="B444" s="28">
        <v>450450.45045045047</v>
      </c>
      <c r="C444" s="28">
        <f t="shared" si="21"/>
        <v>4504504.5045045046</v>
      </c>
      <c r="D444" s="28">
        <f t="shared" si="22"/>
        <v>5630630.630630631</v>
      </c>
      <c r="E444" s="28">
        <f t="shared" si="23"/>
        <v>6756756.7567567565</v>
      </c>
      <c r="F444" s="28">
        <f t="shared" si="24"/>
        <v>7882882.8828828828</v>
      </c>
      <c r="G444" s="28">
        <f t="shared" si="25"/>
        <v>9009009.0090090092</v>
      </c>
      <c r="H444" s="28">
        <f t="shared" si="26"/>
        <v>10135135.135135135</v>
      </c>
      <c r="I444" s="28">
        <f t="shared" si="27"/>
        <v>11261261.261261262</v>
      </c>
      <c r="J444" s="28">
        <f t="shared" si="28"/>
        <v>12387387.387387387</v>
      </c>
      <c r="K444" s="28">
        <f t="shared" si="29"/>
        <v>13513513.513513513</v>
      </c>
      <c r="L444" s="28">
        <f t="shared" si="30"/>
        <v>14639639.63963964</v>
      </c>
      <c r="M444" s="28">
        <f t="shared" si="31"/>
        <v>15765765.765765766</v>
      </c>
      <c r="N444" s="28">
        <f t="shared" si="32"/>
        <v>16891891.891891893</v>
      </c>
      <c r="O444" s="28">
        <f t="shared" si="33"/>
        <v>18018018.018018018</v>
      </c>
      <c r="P444" s="28">
        <f t="shared" si="34"/>
        <v>19144144.144144144</v>
      </c>
      <c r="Q444" s="28">
        <f t="shared" si="35"/>
        <v>20270270.270270269</v>
      </c>
      <c r="R444" s="28">
        <f t="shared" si="36"/>
        <v>21396396.396396399</v>
      </c>
      <c r="S444" s="28">
        <f t="shared" si="37"/>
        <v>22522522.522522524</v>
      </c>
      <c r="T444" s="28">
        <f t="shared" si="38"/>
        <v>23648648.648648649</v>
      </c>
      <c r="U444" s="28">
        <f t="shared" si="39"/>
        <v>24774774.774774775</v>
      </c>
      <c r="V444" s="28">
        <f t="shared" si="40"/>
        <v>25900900.9009009</v>
      </c>
      <c r="W444" s="28">
        <f t="shared" si="41"/>
        <v>27027027.027027026</v>
      </c>
    </row>
    <row r="445" spans="1:23" x14ac:dyDescent="0.2">
      <c r="A445" s="28">
        <v>444</v>
      </c>
      <c r="B445" s="28">
        <v>449438.20224719099</v>
      </c>
      <c r="C445" s="28">
        <f t="shared" si="21"/>
        <v>4494382.0224719103</v>
      </c>
      <c r="D445" s="28">
        <f t="shared" si="22"/>
        <v>5617977.5280898884</v>
      </c>
      <c r="E445" s="28">
        <f t="shared" si="23"/>
        <v>6741573.0337078655</v>
      </c>
      <c r="F445" s="28">
        <f t="shared" si="24"/>
        <v>7865168.5393258426</v>
      </c>
      <c r="G445" s="28">
        <f t="shared" si="25"/>
        <v>8988764.0449438207</v>
      </c>
      <c r="H445" s="28">
        <f t="shared" si="26"/>
        <v>10112359.550561799</v>
      </c>
      <c r="I445" s="28">
        <f t="shared" si="27"/>
        <v>11235955.056179777</v>
      </c>
      <c r="J445" s="28">
        <f t="shared" si="28"/>
        <v>12359550.561797753</v>
      </c>
      <c r="K445" s="28">
        <f t="shared" si="29"/>
        <v>13483146.067415731</v>
      </c>
      <c r="L445" s="28">
        <f t="shared" si="30"/>
        <v>14606741.573033709</v>
      </c>
      <c r="M445" s="28">
        <f t="shared" si="31"/>
        <v>15730337.078651685</v>
      </c>
      <c r="N445" s="28">
        <f t="shared" si="32"/>
        <v>16853932.584269665</v>
      </c>
      <c r="O445" s="28">
        <f t="shared" si="33"/>
        <v>17977528.089887641</v>
      </c>
      <c r="P445" s="28">
        <f t="shared" si="34"/>
        <v>19101123.595505618</v>
      </c>
      <c r="Q445" s="28">
        <f t="shared" si="35"/>
        <v>20224719.101123597</v>
      </c>
      <c r="R445" s="28">
        <f t="shared" si="36"/>
        <v>21348314.606741574</v>
      </c>
      <c r="S445" s="28">
        <f t="shared" si="37"/>
        <v>22471910.112359554</v>
      </c>
      <c r="T445" s="28">
        <f t="shared" si="38"/>
        <v>23595505.61797753</v>
      </c>
      <c r="U445" s="28">
        <f t="shared" si="39"/>
        <v>24719101.123595506</v>
      </c>
      <c r="V445" s="28">
        <f t="shared" si="40"/>
        <v>25842696.629213486</v>
      </c>
      <c r="W445" s="28">
        <f t="shared" si="41"/>
        <v>26966292.134831462</v>
      </c>
    </row>
    <row r="446" spans="1:23" x14ac:dyDescent="0.2">
      <c r="A446" s="28">
        <v>445</v>
      </c>
      <c r="B446" s="28">
        <v>448430.49327354261</v>
      </c>
      <c r="C446" s="28">
        <f t="shared" si="21"/>
        <v>4484304.9327354264</v>
      </c>
      <c r="D446" s="28">
        <f t="shared" si="22"/>
        <v>5605381.1659192834</v>
      </c>
      <c r="E446" s="28">
        <f t="shared" si="23"/>
        <v>6726457.3991031395</v>
      </c>
      <c r="F446" s="28">
        <f t="shared" si="24"/>
        <v>7847533.6322869956</v>
      </c>
      <c r="G446" s="28">
        <f t="shared" si="25"/>
        <v>8968609.8654708527</v>
      </c>
      <c r="H446" s="28">
        <f t="shared" si="26"/>
        <v>10089686.09865471</v>
      </c>
      <c r="I446" s="28">
        <f t="shared" si="27"/>
        <v>11210762.331838567</v>
      </c>
      <c r="J446" s="28">
        <f t="shared" si="28"/>
        <v>12331838.565022422</v>
      </c>
      <c r="K446" s="28">
        <f t="shared" si="29"/>
        <v>13452914.798206279</v>
      </c>
      <c r="L446" s="28">
        <f t="shared" si="30"/>
        <v>14573991.031390136</v>
      </c>
      <c r="M446" s="28">
        <f t="shared" si="31"/>
        <v>15695067.264573991</v>
      </c>
      <c r="N446" s="28">
        <f t="shared" si="32"/>
        <v>16816143.497757848</v>
      </c>
      <c r="O446" s="28">
        <f t="shared" si="33"/>
        <v>17937219.730941705</v>
      </c>
      <c r="P446" s="28">
        <f t="shared" si="34"/>
        <v>19058295.964125562</v>
      </c>
      <c r="Q446" s="28">
        <f t="shared" si="35"/>
        <v>20179372.19730942</v>
      </c>
      <c r="R446" s="28">
        <f t="shared" si="36"/>
        <v>21300448.430493277</v>
      </c>
      <c r="S446" s="28">
        <f t="shared" si="37"/>
        <v>22421524.663677134</v>
      </c>
      <c r="T446" s="28">
        <f t="shared" si="38"/>
        <v>23542600.896860987</v>
      </c>
      <c r="U446" s="28">
        <f t="shared" si="39"/>
        <v>24663677.130044844</v>
      </c>
      <c r="V446" s="28">
        <f t="shared" si="40"/>
        <v>25784753.363228701</v>
      </c>
      <c r="W446" s="28">
        <f t="shared" si="41"/>
        <v>26905829.596412558</v>
      </c>
    </row>
    <row r="447" spans="1:23" x14ac:dyDescent="0.2">
      <c r="A447" s="28">
        <v>446</v>
      </c>
      <c r="B447" s="28">
        <v>447427.29306487693</v>
      </c>
      <c r="C447" s="28">
        <f t="shared" si="21"/>
        <v>4474272.9306487693</v>
      </c>
      <c r="D447" s="28">
        <f t="shared" si="22"/>
        <v>5592841.1633109618</v>
      </c>
      <c r="E447" s="28">
        <f t="shared" si="23"/>
        <v>6711409.3959731534</v>
      </c>
      <c r="F447" s="28">
        <f t="shared" si="24"/>
        <v>7829977.628635346</v>
      </c>
      <c r="G447" s="28">
        <f t="shared" si="25"/>
        <v>8948545.8612975385</v>
      </c>
      <c r="H447" s="28">
        <f t="shared" si="26"/>
        <v>10067114.09395973</v>
      </c>
      <c r="I447" s="28">
        <f t="shared" si="27"/>
        <v>11185682.326621924</v>
      </c>
      <c r="J447" s="28">
        <f t="shared" si="28"/>
        <v>12304250.559284115</v>
      </c>
      <c r="K447" s="28">
        <f t="shared" si="29"/>
        <v>13422818.791946307</v>
      </c>
      <c r="L447" s="28">
        <f t="shared" si="30"/>
        <v>14541387.0246085</v>
      </c>
      <c r="M447" s="28">
        <f t="shared" si="31"/>
        <v>15659955.257270692</v>
      </c>
      <c r="N447" s="28">
        <f t="shared" si="32"/>
        <v>16778523.489932884</v>
      </c>
      <c r="O447" s="28">
        <f t="shared" si="33"/>
        <v>17897091.722595077</v>
      </c>
      <c r="P447" s="28">
        <f t="shared" si="34"/>
        <v>19015659.95525727</v>
      </c>
      <c r="Q447" s="28">
        <f t="shared" si="35"/>
        <v>20134228.18791946</v>
      </c>
      <c r="R447" s="28">
        <f t="shared" si="36"/>
        <v>21252796.420581654</v>
      </c>
      <c r="S447" s="28">
        <f t="shared" si="37"/>
        <v>22371364.653243847</v>
      </c>
      <c r="T447" s="28">
        <f t="shared" si="38"/>
        <v>23489932.885906037</v>
      </c>
      <c r="U447" s="28">
        <f t="shared" si="39"/>
        <v>24608501.11856823</v>
      </c>
      <c r="V447" s="28">
        <f t="shared" si="40"/>
        <v>25727069.351230424</v>
      </c>
      <c r="W447" s="28">
        <f t="shared" si="41"/>
        <v>26845637.583892614</v>
      </c>
    </row>
    <row r="448" spans="1:23" x14ac:dyDescent="0.2">
      <c r="A448" s="28">
        <v>447</v>
      </c>
      <c r="B448" s="28">
        <v>446428.57142857148</v>
      </c>
      <c r="C448" s="28">
        <f t="shared" si="21"/>
        <v>4464285.7142857146</v>
      </c>
      <c r="D448" s="28">
        <f t="shared" si="22"/>
        <v>5580357.1428571437</v>
      </c>
      <c r="E448" s="28">
        <f t="shared" si="23"/>
        <v>6696428.5714285718</v>
      </c>
      <c r="F448" s="28">
        <f t="shared" si="24"/>
        <v>7812500</v>
      </c>
      <c r="G448" s="28">
        <f t="shared" si="25"/>
        <v>8928571.4285714291</v>
      </c>
      <c r="H448" s="28">
        <f t="shared" si="26"/>
        <v>10044642.857142858</v>
      </c>
      <c r="I448" s="28">
        <f t="shared" si="27"/>
        <v>11160714.285714287</v>
      </c>
      <c r="J448" s="28">
        <f t="shared" si="28"/>
        <v>12276785.714285715</v>
      </c>
      <c r="K448" s="28">
        <f t="shared" si="29"/>
        <v>13392857.142857144</v>
      </c>
      <c r="L448" s="28">
        <f t="shared" si="30"/>
        <v>14508928.571428573</v>
      </c>
      <c r="M448" s="28">
        <f t="shared" si="31"/>
        <v>15625000</v>
      </c>
      <c r="N448" s="28">
        <f t="shared" si="32"/>
        <v>16741071.428571429</v>
      </c>
      <c r="O448" s="28">
        <f t="shared" si="33"/>
        <v>17857142.857142858</v>
      </c>
      <c r="P448" s="28">
        <f t="shared" si="34"/>
        <v>18973214.285714287</v>
      </c>
      <c r="Q448" s="28">
        <f t="shared" si="35"/>
        <v>20089285.714285716</v>
      </c>
      <c r="R448" s="28">
        <f t="shared" si="36"/>
        <v>21205357.142857146</v>
      </c>
      <c r="S448" s="28">
        <f t="shared" si="37"/>
        <v>22321428.571428575</v>
      </c>
      <c r="T448" s="28">
        <f t="shared" si="38"/>
        <v>23437500</v>
      </c>
      <c r="U448" s="28">
        <f t="shared" si="39"/>
        <v>24553571.428571429</v>
      </c>
      <c r="V448" s="28">
        <f t="shared" si="40"/>
        <v>25669642.857142858</v>
      </c>
      <c r="W448" s="28">
        <f t="shared" si="41"/>
        <v>26785714.285714287</v>
      </c>
    </row>
    <row r="449" spans="1:23" x14ac:dyDescent="0.2">
      <c r="A449" s="28">
        <v>448</v>
      </c>
      <c r="B449" s="28">
        <v>445434.29844097997</v>
      </c>
      <c r="C449" s="28">
        <f t="shared" si="21"/>
        <v>4454342.9844097998</v>
      </c>
      <c r="D449" s="28">
        <f t="shared" si="22"/>
        <v>5567928.7305122502</v>
      </c>
      <c r="E449" s="28">
        <f t="shared" si="23"/>
        <v>6681514.4766146997</v>
      </c>
      <c r="F449" s="28">
        <f t="shared" si="24"/>
        <v>7795100.2227171492</v>
      </c>
      <c r="G449" s="28">
        <f t="shared" si="25"/>
        <v>8908685.9688195996</v>
      </c>
      <c r="H449" s="28">
        <f t="shared" si="26"/>
        <v>10022271.71492205</v>
      </c>
      <c r="I449" s="28">
        <f t="shared" si="27"/>
        <v>11135857.4610245</v>
      </c>
      <c r="J449" s="28">
        <f t="shared" si="28"/>
        <v>12249443.207126949</v>
      </c>
      <c r="K449" s="28">
        <f t="shared" si="29"/>
        <v>13363028.953229399</v>
      </c>
      <c r="L449" s="28">
        <f t="shared" si="30"/>
        <v>14476614.69933185</v>
      </c>
      <c r="M449" s="28">
        <f t="shared" si="31"/>
        <v>15590200.445434298</v>
      </c>
      <c r="N449" s="28">
        <f t="shared" si="32"/>
        <v>16703786.191536749</v>
      </c>
      <c r="O449" s="28">
        <f t="shared" si="33"/>
        <v>17817371.937639199</v>
      </c>
      <c r="P449" s="28">
        <f t="shared" si="34"/>
        <v>18930957.683741648</v>
      </c>
      <c r="Q449" s="28">
        <f t="shared" si="35"/>
        <v>20044543.4298441</v>
      </c>
      <c r="R449" s="28">
        <f t="shared" si="36"/>
        <v>21158129.175946549</v>
      </c>
      <c r="S449" s="28">
        <f t="shared" si="37"/>
        <v>22271714.922049001</v>
      </c>
      <c r="T449" s="28">
        <f t="shared" si="38"/>
        <v>23385300.668151449</v>
      </c>
      <c r="U449" s="28">
        <f t="shared" si="39"/>
        <v>24498886.414253898</v>
      </c>
      <c r="V449" s="28">
        <f t="shared" si="40"/>
        <v>25612472.16035635</v>
      </c>
      <c r="W449" s="28">
        <f t="shared" si="41"/>
        <v>26726057.906458799</v>
      </c>
    </row>
    <row r="450" spans="1:23" x14ac:dyDescent="0.2">
      <c r="A450" s="28">
        <v>449</v>
      </c>
      <c r="B450" s="28">
        <v>444444.44444444444</v>
      </c>
      <c r="C450" s="28">
        <f t="shared" si="21"/>
        <v>4444444.444444444</v>
      </c>
      <c r="D450" s="28">
        <f t="shared" si="22"/>
        <v>5555555.555555555</v>
      </c>
      <c r="E450" s="28">
        <f t="shared" si="23"/>
        <v>6666666.666666666</v>
      </c>
      <c r="F450" s="28">
        <f t="shared" si="24"/>
        <v>7777777.7777777771</v>
      </c>
      <c r="G450" s="28">
        <f t="shared" si="25"/>
        <v>8888888.8888888881</v>
      </c>
      <c r="H450" s="28">
        <f t="shared" si="26"/>
        <v>10000000</v>
      </c>
      <c r="I450" s="28">
        <f t="shared" si="27"/>
        <v>11111111.11111111</v>
      </c>
      <c r="J450" s="28">
        <f t="shared" si="28"/>
        <v>12222222.22222222</v>
      </c>
      <c r="K450" s="28">
        <f t="shared" si="29"/>
        <v>13333333.333333332</v>
      </c>
      <c r="L450" s="28">
        <f t="shared" si="30"/>
        <v>14444444.444444444</v>
      </c>
      <c r="M450" s="28">
        <f t="shared" si="31"/>
        <v>15555555.555555554</v>
      </c>
      <c r="N450" s="28">
        <f t="shared" si="32"/>
        <v>16666666.666666664</v>
      </c>
      <c r="O450" s="28">
        <f t="shared" si="33"/>
        <v>17777777.777777776</v>
      </c>
      <c r="P450" s="28">
        <f t="shared" si="34"/>
        <v>18888888.888888888</v>
      </c>
      <c r="Q450" s="28">
        <f t="shared" si="35"/>
        <v>20000000</v>
      </c>
      <c r="R450" s="28">
        <f t="shared" si="36"/>
        <v>21111111.111111108</v>
      </c>
      <c r="S450" s="28">
        <f t="shared" si="37"/>
        <v>22222222.22222222</v>
      </c>
      <c r="T450" s="28">
        <f t="shared" si="38"/>
        <v>23333333.333333332</v>
      </c>
      <c r="U450" s="28">
        <f t="shared" si="39"/>
        <v>24444444.44444444</v>
      </c>
      <c r="V450" s="28">
        <f t="shared" si="40"/>
        <v>25555555.555555552</v>
      </c>
      <c r="W450" s="28">
        <f t="shared" si="41"/>
        <v>26666666.666666664</v>
      </c>
    </row>
    <row r="451" spans="1:23" x14ac:dyDescent="0.2">
      <c r="A451" s="28">
        <v>450</v>
      </c>
      <c r="B451" s="28">
        <v>443458.9800443459</v>
      </c>
      <c r="C451" s="28">
        <f t="shared" si="21"/>
        <v>4434589.8004434593</v>
      </c>
      <c r="D451" s="28">
        <f t="shared" si="22"/>
        <v>5543237.2505543241</v>
      </c>
      <c r="E451" s="28">
        <f t="shared" si="23"/>
        <v>6651884.700665189</v>
      </c>
      <c r="F451" s="28">
        <f t="shared" si="24"/>
        <v>7760532.1507760538</v>
      </c>
      <c r="G451" s="28">
        <f t="shared" si="25"/>
        <v>8869179.6008869186</v>
      </c>
      <c r="H451" s="28">
        <f t="shared" si="26"/>
        <v>9977827.0509977825</v>
      </c>
      <c r="I451" s="28">
        <f t="shared" si="27"/>
        <v>11086474.501108648</v>
      </c>
      <c r="J451" s="28">
        <f t="shared" si="28"/>
        <v>12195121.951219514</v>
      </c>
      <c r="K451" s="28">
        <f t="shared" si="29"/>
        <v>13303769.401330378</v>
      </c>
      <c r="L451" s="28">
        <f t="shared" si="30"/>
        <v>14412416.851441242</v>
      </c>
      <c r="M451" s="28">
        <f t="shared" si="31"/>
        <v>15521064.301552108</v>
      </c>
      <c r="N451" s="28">
        <f t="shared" si="32"/>
        <v>16629711.751662973</v>
      </c>
      <c r="O451" s="28">
        <f t="shared" si="33"/>
        <v>17738359.201773837</v>
      </c>
      <c r="P451" s="28">
        <f t="shared" si="34"/>
        <v>18847006.651884701</v>
      </c>
      <c r="Q451" s="28">
        <f t="shared" si="35"/>
        <v>19955654.101995565</v>
      </c>
      <c r="R451" s="28">
        <f t="shared" si="36"/>
        <v>21064301.552106433</v>
      </c>
      <c r="S451" s="28">
        <f t="shared" si="37"/>
        <v>22172949.002217297</v>
      </c>
      <c r="T451" s="28">
        <f t="shared" si="38"/>
        <v>23281596.45232816</v>
      </c>
      <c r="U451" s="28">
        <f t="shared" si="39"/>
        <v>24390243.902439028</v>
      </c>
      <c r="V451" s="28">
        <f t="shared" si="40"/>
        <v>25498891.352549892</v>
      </c>
      <c r="W451" s="28">
        <f t="shared" si="41"/>
        <v>26607538.802660756</v>
      </c>
    </row>
    <row r="452" spans="1:23" x14ac:dyDescent="0.2">
      <c r="A452" s="28">
        <v>451</v>
      </c>
      <c r="B452" s="28">
        <v>442477.87610619469</v>
      </c>
      <c r="C452" s="28">
        <f t="shared" si="21"/>
        <v>4424778.7610619469</v>
      </c>
      <c r="D452" s="28">
        <f t="shared" si="22"/>
        <v>5530973.4513274338</v>
      </c>
      <c r="E452" s="28">
        <f t="shared" si="23"/>
        <v>6637168.1415929198</v>
      </c>
      <c r="F452" s="28">
        <f t="shared" si="24"/>
        <v>7743362.8318584068</v>
      </c>
      <c r="G452" s="28">
        <f t="shared" si="25"/>
        <v>8849557.5221238937</v>
      </c>
      <c r="H452" s="28">
        <f t="shared" si="26"/>
        <v>9955752.2123893797</v>
      </c>
      <c r="I452" s="28">
        <f t="shared" si="27"/>
        <v>11061946.902654868</v>
      </c>
      <c r="J452" s="28">
        <f t="shared" si="28"/>
        <v>12168141.592920354</v>
      </c>
      <c r="K452" s="28">
        <f t="shared" si="29"/>
        <v>13274336.28318584</v>
      </c>
      <c r="L452" s="28">
        <f t="shared" si="30"/>
        <v>14380530.973451328</v>
      </c>
      <c r="M452" s="28">
        <f t="shared" si="31"/>
        <v>15486725.663716814</v>
      </c>
      <c r="N452" s="28">
        <f t="shared" si="32"/>
        <v>16592920.353982301</v>
      </c>
      <c r="O452" s="28">
        <f t="shared" si="33"/>
        <v>17699115.044247787</v>
      </c>
      <c r="P452" s="28">
        <f t="shared" si="34"/>
        <v>18805309.734513275</v>
      </c>
      <c r="Q452" s="28">
        <f t="shared" si="35"/>
        <v>19911504.424778759</v>
      </c>
      <c r="R452" s="28">
        <f t="shared" si="36"/>
        <v>21017699.115044247</v>
      </c>
      <c r="S452" s="28">
        <f t="shared" si="37"/>
        <v>22123893.805309735</v>
      </c>
      <c r="T452" s="28">
        <f t="shared" si="38"/>
        <v>23230088.495575219</v>
      </c>
      <c r="U452" s="28">
        <f t="shared" si="39"/>
        <v>24336283.185840707</v>
      </c>
      <c r="V452" s="28">
        <f t="shared" si="40"/>
        <v>25442477.876106195</v>
      </c>
      <c r="W452" s="28">
        <f t="shared" si="41"/>
        <v>26548672.566371679</v>
      </c>
    </row>
    <row r="453" spans="1:23" x14ac:dyDescent="0.2">
      <c r="A453" s="28">
        <v>452</v>
      </c>
      <c r="B453" s="28">
        <v>441501.1037527594</v>
      </c>
      <c r="C453" s="28">
        <f t="shared" si="21"/>
        <v>4415011.0375275938</v>
      </c>
      <c r="D453" s="28">
        <f t="shared" si="22"/>
        <v>5518763.7969094925</v>
      </c>
      <c r="E453" s="28">
        <f t="shared" si="23"/>
        <v>6622516.5562913902</v>
      </c>
      <c r="F453" s="28">
        <f t="shared" si="24"/>
        <v>7726269.3156732889</v>
      </c>
      <c r="G453" s="28">
        <f t="shared" si="25"/>
        <v>8830022.0750551876</v>
      </c>
      <c r="H453" s="28">
        <f t="shared" si="26"/>
        <v>9933774.8344370853</v>
      </c>
      <c r="I453" s="28">
        <f t="shared" si="27"/>
        <v>11037527.593818985</v>
      </c>
      <c r="J453" s="28">
        <f t="shared" si="28"/>
        <v>12141280.353200883</v>
      </c>
      <c r="K453" s="28">
        <f t="shared" si="29"/>
        <v>13245033.11258278</v>
      </c>
      <c r="L453" s="28">
        <f t="shared" si="30"/>
        <v>14348785.87196468</v>
      </c>
      <c r="M453" s="28">
        <f t="shared" si="31"/>
        <v>15452538.631346578</v>
      </c>
      <c r="N453" s="28">
        <f t="shared" si="32"/>
        <v>16556291.390728477</v>
      </c>
      <c r="O453" s="28">
        <f t="shared" si="33"/>
        <v>17660044.150110375</v>
      </c>
      <c r="P453" s="28">
        <f t="shared" si="34"/>
        <v>18763796.909492273</v>
      </c>
      <c r="Q453" s="28">
        <f t="shared" si="35"/>
        <v>19867549.668874171</v>
      </c>
      <c r="R453" s="28">
        <f t="shared" si="36"/>
        <v>20971302.428256072</v>
      </c>
      <c r="S453" s="28">
        <f t="shared" si="37"/>
        <v>22075055.18763797</v>
      </c>
      <c r="T453" s="28">
        <f t="shared" si="38"/>
        <v>23178807.947019868</v>
      </c>
      <c r="U453" s="28">
        <f t="shared" si="39"/>
        <v>24282560.706401765</v>
      </c>
      <c r="V453" s="28">
        <f t="shared" si="40"/>
        <v>25386313.465783663</v>
      </c>
      <c r="W453" s="28">
        <f t="shared" si="41"/>
        <v>26490066.225165561</v>
      </c>
    </row>
    <row r="454" spans="1:23" x14ac:dyDescent="0.2">
      <c r="A454" s="28">
        <v>453</v>
      </c>
      <c r="B454" s="28">
        <v>440528.63436123345</v>
      </c>
      <c r="C454" s="28">
        <f t="shared" si="21"/>
        <v>4405286.3436123347</v>
      </c>
      <c r="D454" s="28">
        <f t="shared" si="22"/>
        <v>5506607.9295154186</v>
      </c>
      <c r="E454" s="28">
        <f t="shared" si="23"/>
        <v>6607929.5154185016</v>
      </c>
      <c r="F454" s="28">
        <f t="shared" si="24"/>
        <v>7709251.1013215855</v>
      </c>
      <c r="G454" s="28">
        <f t="shared" si="25"/>
        <v>8810572.6872246694</v>
      </c>
      <c r="H454" s="28">
        <f t="shared" si="26"/>
        <v>9911894.2731277533</v>
      </c>
      <c r="I454" s="28">
        <f t="shared" si="27"/>
        <v>11013215.859030837</v>
      </c>
      <c r="J454" s="28">
        <f t="shared" si="28"/>
        <v>12114537.444933921</v>
      </c>
      <c r="K454" s="28">
        <f t="shared" si="29"/>
        <v>13215859.030837003</v>
      </c>
      <c r="L454" s="28">
        <f t="shared" si="30"/>
        <v>14317180.616740087</v>
      </c>
      <c r="M454" s="28">
        <f t="shared" si="31"/>
        <v>15418502.202643171</v>
      </c>
      <c r="N454" s="28">
        <f t="shared" si="32"/>
        <v>16519823.788546255</v>
      </c>
      <c r="O454" s="28">
        <f t="shared" si="33"/>
        <v>17621145.374449339</v>
      </c>
      <c r="P454" s="28">
        <f t="shared" si="34"/>
        <v>18722466.960352421</v>
      </c>
      <c r="Q454" s="28">
        <f t="shared" si="35"/>
        <v>19823788.546255507</v>
      </c>
      <c r="R454" s="28">
        <f t="shared" si="36"/>
        <v>20925110.132158589</v>
      </c>
      <c r="S454" s="28">
        <f t="shared" si="37"/>
        <v>22026431.718061674</v>
      </c>
      <c r="T454" s="28">
        <f t="shared" si="38"/>
        <v>23127753.303964756</v>
      </c>
      <c r="U454" s="28">
        <f t="shared" si="39"/>
        <v>24229074.889867842</v>
      </c>
      <c r="V454" s="28">
        <f t="shared" si="40"/>
        <v>25330396.475770924</v>
      </c>
      <c r="W454" s="28">
        <f t="shared" si="41"/>
        <v>26431718.061674006</v>
      </c>
    </row>
    <row r="455" spans="1:23" x14ac:dyDescent="0.2">
      <c r="A455" s="28">
        <v>454</v>
      </c>
      <c r="B455" s="28">
        <v>439560.43956043955</v>
      </c>
      <c r="C455" s="28">
        <f t="shared" si="21"/>
        <v>4395604.3956043953</v>
      </c>
      <c r="D455" s="28">
        <f t="shared" si="22"/>
        <v>5494505.4945054939</v>
      </c>
      <c r="E455" s="28">
        <f t="shared" si="23"/>
        <v>6593406.5934065934</v>
      </c>
      <c r="F455" s="28">
        <f t="shared" si="24"/>
        <v>7692307.692307692</v>
      </c>
      <c r="G455" s="28">
        <f t="shared" si="25"/>
        <v>8791208.7912087906</v>
      </c>
      <c r="H455" s="28">
        <f t="shared" si="26"/>
        <v>9890109.8901098892</v>
      </c>
      <c r="I455" s="28">
        <f t="shared" si="27"/>
        <v>10989010.989010988</v>
      </c>
      <c r="J455" s="28">
        <f t="shared" si="28"/>
        <v>12087912.087912086</v>
      </c>
      <c r="K455" s="28">
        <f t="shared" si="29"/>
        <v>13186813.186813187</v>
      </c>
      <c r="L455" s="28">
        <f t="shared" si="30"/>
        <v>14285714.285714285</v>
      </c>
      <c r="M455" s="28">
        <f t="shared" si="31"/>
        <v>15384615.384615384</v>
      </c>
      <c r="N455" s="28">
        <f t="shared" si="32"/>
        <v>16483516.483516483</v>
      </c>
      <c r="O455" s="28">
        <f t="shared" si="33"/>
        <v>17582417.582417581</v>
      </c>
      <c r="P455" s="28">
        <f t="shared" si="34"/>
        <v>18681318.681318682</v>
      </c>
      <c r="Q455" s="28">
        <f t="shared" si="35"/>
        <v>19780219.780219778</v>
      </c>
      <c r="R455" s="28">
        <f t="shared" si="36"/>
        <v>20879120.879120879</v>
      </c>
      <c r="S455" s="28">
        <f t="shared" si="37"/>
        <v>21978021.978021976</v>
      </c>
      <c r="T455" s="28">
        <f t="shared" si="38"/>
        <v>23076923.076923076</v>
      </c>
      <c r="U455" s="28">
        <f t="shared" si="39"/>
        <v>24175824.175824173</v>
      </c>
      <c r="V455" s="28">
        <f t="shared" si="40"/>
        <v>25274725.274725273</v>
      </c>
      <c r="W455" s="28">
        <f t="shared" si="41"/>
        <v>26373626.373626374</v>
      </c>
    </row>
    <row r="456" spans="1:23" x14ac:dyDescent="0.2">
      <c r="A456" s="28">
        <v>455</v>
      </c>
      <c r="B456" s="28">
        <v>438596.49122807017</v>
      </c>
      <c r="C456" s="28">
        <f t="shared" si="21"/>
        <v>4385964.912280702</v>
      </c>
      <c r="D456" s="28">
        <f t="shared" si="22"/>
        <v>5482456.1403508773</v>
      </c>
      <c r="E456" s="28">
        <f t="shared" si="23"/>
        <v>6578947.3684210535</v>
      </c>
      <c r="F456" s="28">
        <f t="shared" si="24"/>
        <v>7675438.5964912288</v>
      </c>
      <c r="G456" s="28">
        <f t="shared" si="25"/>
        <v>8771929.8245614041</v>
      </c>
      <c r="H456" s="28">
        <f t="shared" si="26"/>
        <v>9868421.0526315793</v>
      </c>
      <c r="I456" s="28">
        <f t="shared" si="27"/>
        <v>10964912.280701755</v>
      </c>
      <c r="J456" s="28">
        <f t="shared" si="28"/>
        <v>12061403.50877193</v>
      </c>
      <c r="K456" s="28">
        <f t="shared" si="29"/>
        <v>13157894.736842107</v>
      </c>
      <c r="L456" s="28">
        <f t="shared" si="30"/>
        <v>14254385.964912282</v>
      </c>
      <c r="M456" s="28">
        <f t="shared" si="31"/>
        <v>15350877.192982458</v>
      </c>
      <c r="N456" s="28">
        <f t="shared" si="32"/>
        <v>16447368.421052633</v>
      </c>
      <c r="O456" s="28">
        <f t="shared" si="33"/>
        <v>17543859.649122808</v>
      </c>
      <c r="P456" s="28">
        <f t="shared" si="34"/>
        <v>18640350.877192985</v>
      </c>
      <c r="Q456" s="28">
        <f t="shared" si="35"/>
        <v>19736842.105263159</v>
      </c>
      <c r="R456" s="28">
        <f t="shared" si="36"/>
        <v>20833333.333333336</v>
      </c>
      <c r="S456" s="28">
        <f t="shared" si="37"/>
        <v>21929824.561403509</v>
      </c>
      <c r="T456" s="28">
        <f t="shared" si="38"/>
        <v>23026315.789473686</v>
      </c>
      <c r="U456" s="28">
        <f t="shared" si="39"/>
        <v>24122807.01754386</v>
      </c>
      <c r="V456" s="28">
        <f t="shared" si="40"/>
        <v>25219298.245614037</v>
      </c>
      <c r="W456" s="28">
        <f t="shared" si="41"/>
        <v>26315789.473684214</v>
      </c>
    </row>
    <row r="457" spans="1:23" x14ac:dyDescent="0.2">
      <c r="A457" s="28">
        <v>456</v>
      </c>
      <c r="B457" s="28">
        <v>437636.76148796501</v>
      </c>
      <c r="C457" s="28">
        <f t="shared" si="21"/>
        <v>4376367.6148796501</v>
      </c>
      <c r="D457" s="28">
        <f t="shared" si="22"/>
        <v>5470459.5185995623</v>
      </c>
      <c r="E457" s="28">
        <f t="shared" si="23"/>
        <v>6564551.4223194756</v>
      </c>
      <c r="F457" s="28">
        <f t="shared" si="24"/>
        <v>7658643.3260393878</v>
      </c>
      <c r="G457" s="28">
        <f t="shared" si="25"/>
        <v>8752735.2297593001</v>
      </c>
      <c r="H457" s="28">
        <f t="shared" si="26"/>
        <v>9846827.1334792133</v>
      </c>
      <c r="I457" s="28">
        <f t="shared" si="27"/>
        <v>10940919.037199125</v>
      </c>
      <c r="J457" s="28">
        <f t="shared" si="28"/>
        <v>12035010.940919038</v>
      </c>
      <c r="K457" s="28">
        <f t="shared" si="29"/>
        <v>13129102.844638951</v>
      </c>
      <c r="L457" s="28">
        <f t="shared" si="30"/>
        <v>14223194.748358862</v>
      </c>
      <c r="M457" s="28">
        <f t="shared" si="31"/>
        <v>15317286.652078776</v>
      </c>
      <c r="N457" s="28">
        <f t="shared" si="32"/>
        <v>16411378.555798687</v>
      </c>
      <c r="O457" s="28">
        <f t="shared" si="33"/>
        <v>17505470.4595186</v>
      </c>
      <c r="P457" s="28">
        <f t="shared" si="34"/>
        <v>18599562.363238513</v>
      </c>
      <c r="Q457" s="28">
        <f t="shared" si="35"/>
        <v>19693654.266958427</v>
      </c>
      <c r="R457" s="28">
        <f t="shared" si="36"/>
        <v>20787746.170678336</v>
      </c>
      <c r="S457" s="28">
        <f t="shared" si="37"/>
        <v>21881838.074398249</v>
      </c>
      <c r="T457" s="28">
        <f t="shared" si="38"/>
        <v>22975929.978118163</v>
      </c>
      <c r="U457" s="28">
        <f t="shared" si="39"/>
        <v>24070021.881838076</v>
      </c>
      <c r="V457" s="28">
        <f t="shared" si="40"/>
        <v>25164113.785557989</v>
      </c>
      <c r="W457" s="28">
        <f t="shared" si="41"/>
        <v>26258205.689277902</v>
      </c>
    </row>
    <row r="458" spans="1:23" x14ac:dyDescent="0.2">
      <c r="A458" s="28">
        <v>457</v>
      </c>
      <c r="B458" s="28">
        <v>436681.22270742361</v>
      </c>
      <c r="C458" s="28">
        <f t="shared" si="21"/>
        <v>4366812.2270742357</v>
      </c>
      <c r="D458" s="28">
        <f t="shared" si="22"/>
        <v>5458515.2838427946</v>
      </c>
      <c r="E458" s="28">
        <f t="shared" si="23"/>
        <v>6550218.3406113535</v>
      </c>
      <c r="F458" s="28">
        <f t="shared" si="24"/>
        <v>7641921.3973799124</v>
      </c>
      <c r="G458" s="28">
        <f t="shared" si="25"/>
        <v>8733624.4541484714</v>
      </c>
      <c r="H458" s="28">
        <f t="shared" si="26"/>
        <v>9825327.5109170303</v>
      </c>
      <c r="I458" s="28">
        <f t="shared" si="27"/>
        <v>10917030.567685589</v>
      </c>
      <c r="J458" s="28">
        <f t="shared" si="28"/>
        <v>12008733.624454148</v>
      </c>
      <c r="K458" s="28">
        <f t="shared" si="29"/>
        <v>13100436.681222707</v>
      </c>
      <c r="L458" s="28">
        <f t="shared" si="30"/>
        <v>14192139.737991266</v>
      </c>
      <c r="M458" s="28">
        <f t="shared" si="31"/>
        <v>15283842.794759825</v>
      </c>
      <c r="N458" s="28">
        <f t="shared" si="32"/>
        <v>16375545.851528384</v>
      </c>
      <c r="O458" s="28">
        <f t="shared" si="33"/>
        <v>17467248.908296943</v>
      </c>
      <c r="P458" s="28">
        <f t="shared" si="34"/>
        <v>18558951.965065502</v>
      </c>
      <c r="Q458" s="28">
        <f t="shared" si="35"/>
        <v>19650655.021834061</v>
      </c>
      <c r="R458" s="28">
        <f t="shared" si="36"/>
        <v>20742358.078602619</v>
      </c>
      <c r="S458" s="28">
        <f t="shared" si="37"/>
        <v>21834061.135371178</v>
      </c>
      <c r="T458" s="28">
        <f t="shared" si="38"/>
        <v>22925764.192139737</v>
      </c>
      <c r="U458" s="28">
        <f t="shared" si="39"/>
        <v>24017467.248908296</v>
      </c>
      <c r="V458" s="28">
        <f t="shared" si="40"/>
        <v>25109170.305676855</v>
      </c>
      <c r="W458" s="28">
        <f t="shared" si="41"/>
        <v>26200873.362445414</v>
      </c>
    </row>
    <row r="459" spans="1:23" x14ac:dyDescent="0.2">
      <c r="A459" s="28">
        <v>458</v>
      </c>
      <c r="B459" s="28">
        <v>435729.84749455337</v>
      </c>
      <c r="C459" s="28">
        <f t="shared" si="21"/>
        <v>4357298.474945534</v>
      </c>
      <c r="D459" s="28">
        <f t="shared" si="22"/>
        <v>5446623.0936819175</v>
      </c>
      <c r="E459" s="28">
        <f t="shared" si="23"/>
        <v>6535947.712418301</v>
      </c>
      <c r="F459" s="28">
        <f t="shared" si="24"/>
        <v>7625272.3311546845</v>
      </c>
      <c r="G459" s="28">
        <f t="shared" si="25"/>
        <v>8714596.949891068</v>
      </c>
      <c r="H459" s="28">
        <f t="shared" si="26"/>
        <v>9803921.5686274506</v>
      </c>
      <c r="I459" s="28">
        <f t="shared" si="27"/>
        <v>10893246.187363835</v>
      </c>
      <c r="J459" s="28">
        <f t="shared" si="28"/>
        <v>11982570.806100219</v>
      </c>
      <c r="K459" s="28">
        <f t="shared" si="29"/>
        <v>13071895.424836602</v>
      </c>
      <c r="L459" s="28">
        <f t="shared" si="30"/>
        <v>14161220.043572985</v>
      </c>
      <c r="M459" s="28">
        <f t="shared" si="31"/>
        <v>15250544.662309369</v>
      </c>
      <c r="N459" s="28">
        <f t="shared" si="32"/>
        <v>16339869.281045754</v>
      </c>
      <c r="O459" s="28">
        <f t="shared" si="33"/>
        <v>17429193.899782136</v>
      </c>
      <c r="P459" s="28">
        <f t="shared" si="34"/>
        <v>18518518.518518519</v>
      </c>
      <c r="Q459" s="28">
        <f t="shared" si="35"/>
        <v>19607843.137254901</v>
      </c>
      <c r="R459" s="28">
        <f t="shared" si="36"/>
        <v>20697167.755991288</v>
      </c>
      <c r="S459" s="28">
        <f t="shared" si="37"/>
        <v>21786492.37472767</v>
      </c>
      <c r="T459" s="28">
        <f t="shared" si="38"/>
        <v>22875816.993464053</v>
      </c>
      <c r="U459" s="28">
        <f t="shared" si="39"/>
        <v>23965141.612200439</v>
      </c>
      <c r="V459" s="28">
        <f t="shared" si="40"/>
        <v>25054466.230936822</v>
      </c>
      <c r="W459" s="28">
        <f t="shared" si="41"/>
        <v>26143790.849673204</v>
      </c>
    </row>
    <row r="460" spans="1:23" x14ac:dyDescent="0.2">
      <c r="A460" s="28">
        <v>459</v>
      </c>
      <c r="B460" s="28">
        <v>434782.60869565216</v>
      </c>
      <c r="C460" s="28">
        <f t="shared" si="21"/>
        <v>4347826.0869565215</v>
      </c>
      <c r="D460" s="28">
        <f t="shared" si="22"/>
        <v>5434782.6086956523</v>
      </c>
      <c r="E460" s="28">
        <f t="shared" si="23"/>
        <v>6521739.1304347822</v>
      </c>
      <c r="F460" s="28">
        <f t="shared" si="24"/>
        <v>7608695.6521739122</v>
      </c>
      <c r="G460" s="28">
        <f t="shared" si="25"/>
        <v>8695652.173913043</v>
      </c>
      <c r="H460" s="28">
        <f t="shared" si="26"/>
        <v>9782608.6956521738</v>
      </c>
      <c r="I460" s="28">
        <f t="shared" si="27"/>
        <v>10869565.217391305</v>
      </c>
      <c r="J460" s="28">
        <f t="shared" si="28"/>
        <v>11956521.739130434</v>
      </c>
      <c r="K460" s="28">
        <f t="shared" si="29"/>
        <v>13043478.260869564</v>
      </c>
      <c r="L460" s="28">
        <f t="shared" si="30"/>
        <v>14130434.782608695</v>
      </c>
      <c r="M460" s="28">
        <f t="shared" si="31"/>
        <v>15217391.304347824</v>
      </c>
      <c r="N460" s="28">
        <f t="shared" si="32"/>
        <v>16304347.826086955</v>
      </c>
      <c r="O460" s="28">
        <f t="shared" si="33"/>
        <v>17391304.347826086</v>
      </c>
      <c r="P460" s="28">
        <f t="shared" si="34"/>
        <v>18478260.869565215</v>
      </c>
      <c r="Q460" s="28">
        <f t="shared" si="35"/>
        <v>19565217.391304348</v>
      </c>
      <c r="R460" s="28">
        <f t="shared" si="36"/>
        <v>20652173.913043477</v>
      </c>
      <c r="S460" s="28">
        <f t="shared" si="37"/>
        <v>21739130.434782609</v>
      </c>
      <c r="T460" s="28">
        <f t="shared" si="38"/>
        <v>22826086.956521738</v>
      </c>
      <c r="U460" s="28">
        <f t="shared" si="39"/>
        <v>23913043.478260867</v>
      </c>
      <c r="V460" s="28">
        <f t="shared" si="40"/>
        <v>25000000</v>
      </c>
      <c r="W460" s="28">
        <f t="shared" si="41"/>
        <v>26086956.521739129</v>
      </c>
    </row>
    <row r="461" spans="1:23" x14ac:dyDescent="0.2">
      <c r="A461" s="28">
        <v>460</v>
      </c>
      <c r="B461" s="28">
        <v>433839.47939262475</v>
      </c>
      <c r="C461" s="28">
        <f t="shared" si="21"/>
        <v>4338394.7939262474</v>
      </c>
      <c r="D461" s="28">
        <f t="shared" si="22"/>
        <v>5422993.492407809</v>
      </c>
      <c r="E461" s="28">
        <f t="shared" si="23"/>
        <v>6507592.1908893716</v>
      </c>
      <c r="F461" s="28">
        <f t="shared" si="24"/>
        <v>7592190.8893709332</v>
      </c>
      <c r="G461" s="28">
        <f t="shared" si="25"/>
        <v>8676789.5878524948</v>
      </c>
      <c r="H461" s="28">
        <f t="shared" si="26"/>
        <v>9761388.2863340564</v>
      </c>
      <c r="I461" s="28">
        <f t="shared" si="27"/>
        <v>10845986.984815618</v>
      </c>
      <c r="J461" s="28">
        <f t="shared" si="28"/>
        <v>11930585.68329718</v>
      </c>
      <c r="K461" s="28">
        <f t="shared" si="29"/>
        <v>13015184.381778743</v>
      </c>
      <c r="L461" s="28">
        <f t="shared" si="30"/>
        <v>14099783.080260305</v>
      </c>
      <c r="M461" s="28">
        <f t="shared" si="31"/>
        <v>15184381.778741866</v>
      </c>
      <c r="N461" s="28">
        <f t="shared" si="32"/>
        <v>16268980.477223428</v>
      </c>
      <c r="O461" s="28">
        <f t="shared" si="33"/>
        <v>17353579.17570499</v>
      </c>
      <c r="P461" s="28">
        <f t="shared" si="34"/>
        <v>18438177.874186553</v>
      </c>
      <c r="Q461" s="28">
        <f t="shared" si="35"/>
        <v>19522776.572668113</v>
      </c>
      <c r="R461" s="28">
        <f t="shared" si="36"/>
        <v>20607375.271149676</v>
      </c>
      <c r="S461" s="28">
        <f t="shared" si="37"/>
        <v>21691973.969631236</v>
      </c>
      <c r="T461" s="28">
        <f t="shared" si="38"/>
        <v>22776572.6681128</v>
      </c>
      <c r="U461" s="28">
        <f t="shared" si="39"/>
        <v>23861171.366594359</v>
      </c>
      <c r="V461" s="28">
        <f t="shared" si="40"/>
        <v>24945770.065075923</v>
      </c>
      <c r="W461" s="28">
        <f t="shared" si="41"/>
        <v>26030368.763557486</v>
      </c>
    </row>
    <row r="462" spans="1:23" x14ac:dyDescent="0.2">
      <c r="A462" s="28">
        <v>461</v>
      </c>
      <c r="B462" s="28">
        <v>432900.4329004329</v>
      </c>
      <c r="C462" s="28">
        <f t="shared" si="21"/>
        <v>4329004.3290043287</v>
      </c>
      <c r="D462" s="28">
        <f t="shared" si="22"/>
        <v>5411255.4112554109</v>
      </c>
      <c r="E462" s="28">
        <f t="shared" si="23"/>
        <v>6493506.493506493</v>
      </c>
      <c r="F462" s="28">
        <f t="shared" si="24"/>
        <v>7575757.5757575752</v>
      </c>
      <c r="G462" s="28">
        <f t="shared" si="25"/>
        <v>8658008.6580086574</v>
      </c>
      <c r="H462" s="28">
        <f t="shared" si="26"/>
        <v>9740259.7402597405</v>
      </c>
      <c r="I462" s="28">
        <f t="shared" si="27"/>
        <v>10822510.822510822</v>
      </c>
      <c r="J462" s="28">
        <f t="shared" si="28"/>
        <v>11904761.904761903</v>
      </c>
      <c r="K462" s="28">
        <f t="shared" si="29"/>
        <v>12987012.987012986</v>
      </c>
      <c r="L462" s="28">
        <f t="shared" si="30"/>
        <v>14069264.069264069</v>
      </c>
      <c r="M462" s="28">
        <f t="shared" si="31"/>
        <v>15151515.15151515</v>
      </c>
      <c r="N462" s="28">
        <f t="shared" si="32"/>
        <v>16233766.233766232</v>
      </c>
      <c r="O462" s="28">
        <f t="shared" si="33"/>
        <v>17316017.316017315</v>
      </c>
      <c r="P462" s="28">
        <f t="shared" si="34"/>
        <v>18398268.398268398</v>
      </c>
      <c r="Q462" s="28">
        <f t="shared" si="35"/>
        <v>19480519.480519481</v>
      </c>
      <c r="R462" s="28">
        <f t="shared" si="36"/>
        <v>20562770.56277056</v>
      </c>
      <c r="S462" s="28">
        <f t="shared" si="37"/>
        <v>21645021.645021643</v>
      </c>
      <c r="T462" s="28">
        <f t="shared" si="38"/>
        <v>22727272.727272727</v>
      </c>
      <c r="U462" s="28">
        <f t="shared" si="39"/>
        <v>23809523.809523806</v>
      </c>
      <c r="V462" s="28">
        <f t="shared" si="40"/>
        <v>24891774.891774889</v>
      </c>
      <c r="W462" s="28">
        <f t="shared" si="41"/>
        <v>25974025.974025972</v>
      </c>
    </row>
    <row r="463" spans="1:23" x14ac:dyDescent="0.2">
      <c r="A463" s="28">
        <v>462</v>
      </c>
      <c r="B463" s="28">
        <v>431965.44276457885</v>
      </c>
      <c r="C463" s="28">
        <f t="shared" si="21"/>
        <v>4319654.4276457885</v>
      </c>
      <c r="D463" s="28">
        <f t="shared" si="22"/>
        <v>5399568.0345572354</v>
      </c>
      <c r="E463" s="28">
        <f t="shared" si="23"/>
        <v>6479481.6414686833</v>
      </c>
      <c r="F463" s="28">
        <f t="shared" si="24"/>
        <v>7559395.2483801302</v>
      </c>
      <c r="G463" s="28">
        <f t="shared" si="25"/>
        <v>8639308.8552915771</v>
      </c>
      <c r="H463" s="28">
        <f t="shared" si="26"/>
        <v>9719222.462203024</v>
      </c>
      <c r="I463" s="28">
        <f t="shared" si="27"/>
        <v>10799136.069114471</v>
      </c>
      <c r="J463" s="28">
        <f t="shared" si="28"/>
        <v>11879049.676025918</v>
      </c>
      <c r="K463" s="28">
        <f t="shared" si="29"/>
        <v>12958963.282937367</v>
      </c>
      <c r="L463" s="28">
        <f t="shared" si="30"/>
        <v>14038876.889848813</v>
      </c>
      <c r="M463" s="28">
        <f t="shared" si="31"/>
        <v>15118790.49676026</v>
      </c>
      <c r="N463" s="28">
        <f t="shared" si="32"/>
        <v>16198704.103671707</v>
      </c>
      <c r="O463" s="28">
        <f t="shared" si="33"/>
        <v>17278617.710583154</v>
      </c>
      <c r="P463" s="28">
        <f t="shared" si="34"/>
        <v>18358531.317494601</v>
      </c>
      <c r="Q463" s="28">
        <f t="shared" si="35"/>
        <v>19438444.924406048</v>
      </c>
      <c r="R463" s="28">
        <f t="shared" si="36"/>
        <v>20518358.531317495</v>
      </c>
      <c r="S463" s="28">
        <f t="shared" si="37"/>
        <v>21598272.138228942</v>
      </c>
      <c r="T463" s="28">
        <f t="shared" si="38"/>
        <v>22678185.745140389</v>
      </c>
      <c r="U463" s="28">
        <f t="shared" si="39"/>
        <v>23758099.352051836</v>
      </c>
      <c r="V463" s="28">
        <f t="shared" si="40"/>
        <v>24838012.958963282</v>
      </c>
      <c r="W463" s="28">
        <f t="shared" si="41"/>
        <v>25917926.565874733</v>
      </c>
    </row>
    <row r="464" spans="1:23" x14ac:dyDescent="0.2">
      <c r="A464" s="28">
        <v>463</v>
      </c>
      <c r="B464" s="28">
        <v>431034.4827586207</v>
      </c>
      <c r="C464" s="28">
        <f t="shared" si="21"/>
        <v>4310344.8275862066</v>
      </c>
      <c r="D464" s="28">
        <f t="shared" si="22"/>
        <v>5387931.0344827585</v>
      </c>
      <c r="E464" s="28">
        <f t="shared" si="23"/>
        <v>6465517.2413793094</v>
      </c>
      <c r="F464" s="28">
        <f t="shared" si="24"/>
        <v>7543103.4482758613</v>
      </c>
      <c r="G464" s="28">
        <f t="shared" si="25"/>
        <v>8620689.6551724132</v>
      </c>
      <c r="H464" s="28">
        <f t="shared" si="26"/>
        <v>9698275.8620689642</v>
      </c>
      <c r="I464" s="28">
        <f t="shared" si="27"/>
        <v>10775862.068965517</v>
      </c>
      <c r="J464" s="28">
        <f t="shared" si="28"/>
        <v>11853448.275862068</v>
      </c>
      <c r="K464" s="28">
        <f t="shared" si="29"/>
        <v>12931034.482758619</v>
      </c>
      <c r="L464" s="28">
        <f t="shared" si="30"/>
        <v>14008620.689655172</v>
      </c>
      <c r="M464" s="28">
        <f t="shared" si="31"/>
        <v>15086206.896551723</v>
      </c>
      <c r="N464" s="28">
        <f t="shared" si="32"/>
        <v>16163793.103448275</v>
      </c>
      <c r="O464" s="28">
        <f t="shared" si="33"/>
        <v>17241379.310344826</v>
      </c>
      <c r="P464" s="28">
        <f t="shared" si="34"/>
        <v>18318965.517241377</v>
      </c>
      <c r="Q464" s="28">
        <f t="shared" si="35"/>
        <v>19396551.724137928</v>
      </c>
      <c r="R464" s="28">
        <f t="shared" si="36"/>
        <v>20474137.931034483</v>
      </c>
      <c r="S464" s="28">
        <f t="shared" si="37"/>
        <v>21551724.137931034</v>
      </c>
      <c r="T464" s="28">
        <f t="shared" si="38"/>
        <v>22629310.344827585</v>
      </c>
      <c r="U464" s="28">
        <f t="shared" si="39"/>
        <v>23706896.551724136</v>
      </c>
      <c r="V464" s="28">
        <f t="shared" si="40"/>
        <v>24784482.758620687</v>
      </c>
      <c r="W464" s="28">
        <f t="shared" si="41"/>
        <v>25862068.965517238</v>
      </c>
    </row>
    <row r="465" spans="1:23" x14ac:dyDescent="0.2">
      <c r="A465" s="28">
        <v>464</v>
      </c>
      <c r="B465" s="28">
        <v>430107.52688172041</v>
      </c>
      <c r="C465" s="28">
        <f t="shared" si="21"/>
        <v>4301075.2688172041</v>
      </c>
      <c r="D465" s="28">
        <f t="shared" si="22"/>
        <v>5376344.0860215053</v>
      </c>
      <c r="E465" s="28">
        <f t="shared" si="23"/>
        <v>6451612.9032258056</v>
      </c>
      <c r="F465" s="28">
        <f t="shared" si="24"/>
        <v>7526881.7204301069</v>
      </c>
      <c r="G465" s="28">
        <f t="shared" si="25"/>
        <v>8602150.5376344081</v>
      </c>
      <c r="H465" s="28">
        <f t="shared" si="26"/>
        <v>9677419.3548387084</v>
      </c>
      <c r="I465" s="28">
        <f t="shared" si="27"/>
        <v>10752688.172043011</v>
      </c>
      <c r="J465" s="28">
        <f t="shared" si="28"/>
        <v>11827956.989247311</v>
      </c>
      <c r="K465" s="28">
        <f t="shared" si="29"/>
        <v>12903225.806451611</v>
      </c>
      <c r="L465" s="28">
        <f t="shared" si="30"/>
        <v>13978494.623655913</v>
      </c>
      <c r="M465" s="28">
        <f t="shared" si="31"/>
        <v>15053763.440860214</v>
      </c>
      <c r="N465" s="28">
        <f t="shared" si="32"/>
        <v>16129032.258064516</v>
      </c>
      <c r="O465" s="28">
        <f t="shared" si="33"/>
        <v>17204301.075268816</v>
      </c>
      <c r="P465" s="28">
        <f t="shared" si="34"/>
        <v>18279569.892473117</v>
      </c>
      <c r="Q465" s="28">
        <f t="shared" si="35"/>
        <v>19354838.709677417</v>
      </c>
      <c r="R465" s="28">
        <f t="shared" si="36"/>
        <v>20430107.526881721</v>
      </c>
      <c r="S465" s="28">
        <f t="shared" si="37"/>
        <v>21505376.344086021</v>
      </c>
      <c r="T465" s="28">
        <f t="shared" si="38"/>
        <v>22580645.161290321</v>
      </c>
      <c r="U465" s="28">
        <f t="shared" si="39"/>
        <v>23655913.978494622</v>
      </c>
      <c r="V465" s="28">
        <f t="shared" si="40"/>
        <v>24731182.795698922</v>
      </c>
      <c r="W465" s="28">
        <f t="shared" si="41"/>
        <v>25806451.612903222</v>
      </c>
    </row>
    <row r="466" spans="1:23" x14ac:dyDescent="0.2">
      <c r="A466" s="28">
        <v>465</v>
      </c>
      <c r="B466" s="28">
        <v>429184.5493562232</v>
      </c>
      <c r="C466" s="28">
        <f t="shared" si="21"/>
        <v>4291845.4935622318</v>
      </c>
      <c r="D466" s="28">
        <f t="shared" si="22"/>
        <v>5364806.8669527899</v>
      </c>
      <c r="E466" s="28">
        <f t="shared" si="23"/>
        <v>6437768.2403433472</v>
      </c>
      <c r="F466" s="28">
        <f t="shared" si="24"/>
        <v>7510729.6137339054</v>
      </c>
      <c r="G466" s="28">
        <f t="shared" si="25"/>
        <v>8583690.9871244635</v>
      </c>
      <c r="H466" s="28">
        <f t="shared" si="26"/>
        <v>9656652.3605150208</v>
      </c>
      <c r="I466" s="28">
        <f t="shared" si="27"/>
        <v>10729613.73390558</v>
      </c>
      <c r="J466" s="28">
        <f t="shared" si="28"/>
        <v>11802575.107296137</v>
      </c>
      <c r="K466" s="28">
        <f t="shared" si="29"/>
        <v>12875536.480686694</v>
      </c>
      <c r="L466" s="28">
        <f t="shared" si="30"/>
        <v>13948497.854077253</v>
      </c>
      <c r="M466" s="28">
        <f t="shared" si="31"/>
        <v>15021459.227467811</v>
      </c>
      <c r="N466" s="28">
        <f t="shared" si="32"/>
        <v>16094420.60085837</v>
      </c>
      <c r="O466" s="28">
        <f t="shared" si="33"/>
        <v>17167381.974248927</v>
      </c>
      <c r="P466" s="28">
        <f t="shared" si="34"/>
        <v>18240343.347639486</v>
      </c>
      <c r="Q466" s="28">
        <f t="shared" si="35"/>
        <v>19313304.721030042</v>
      </c>
      <c r="R466" s="28">
        <f t="shared" si="36"/>
        <v>20386266.094420601</v>
      </c>
      <c r="S466" s="28">
        <f t="shared" si="37"/>
        <v>21459227.46781116</v>
      </c>
      <c r="T466" s="28">
        <f t="shared" si="38"/>
        <v>22532188.841201715</v>
      </c>
      <c r="U466" s="28">
        <f t="shared" si="39"/>
        <v>23605150.214592274</v>
      </c>
      <c r="V466" s="28">
        <f t="shared" si="40"/>
        <v>24678111.587982833</v>
      </c>
      <c r="W466" s="28">
        <f t="shared" si="41"/>
        <v>25751072.961373389</v>
      </c>
    </row>
    <row r="467" spans="1:23" x14ac:dyDescent="0.2">
      <c r="A467" s="28">
        <v>466</v>
      </c>
      <c r="B467" s="28">
        <v>428265.52462526766</v>
      </c>
      <c r="C467" s="28">
        <f t="shared" si="21"/>
        <v>4282655.2462526765</v>
      </c>
      <c r="D467" s="28">
        <f t="shared" si="22"/>
        <v>5353319.0578158461</v>
      </c>
      <c r="E467" s="28">
        <f t="shared" si="23"/>
        <v>6423982.8693790147</v>
      </c>
      <c r="F467" s="28">
        <f t="shared" si="24"/>
        <v>7494646.6809421834</v>
      </c>
      <c r="G467" s="28">
        <f t="shared" si="25"/>
        <v>8565310.4925053529</v>
      </c>
      <c r="H467" s="28">
        <f t="shared" si="26"/>
        <v>9635974.3040685225</v>
      </c>
      <c r="I467" s="28">
        <f t="shared" si="27"/>
        <v>10706638.115631692</v>
      </c>
      <c r="J467" s="28">
        <f t="shared" si="28"/>
        <v>11777301.92719486</v>
      </c>
      <c r="K467" s="28">
        <f t="shared" si="29"/>
        <v>12847965.738758029</v>
      </c>
      <c r="L467" s="28">
        <f t="shared" si="30"/>
        <v>13918629.550321199</v>
      </c>
      <c r="M467" s="28">
        <f t="shared" si="31"/>
        <v>14989293.361884367</v>
      </c>
      <c r="N467" s="28">
        <f t="shared" si="32"/>
        <v>16059957.173447536</v>
      </c>
      <c r="O467" s="28">
        <f t="shared" si="33"/>
        <v>17130620.985010706</v>
      </c>
      <c r="P467" s="28">
        <f t="shared" si="34"/>
        <v>18201284.796573874</v>
      </c>
      <c r="Q467" s="28">
        <f t="shared" si="35"/>
        <v>19271948.608137045</v>
      </c>
      <c r="R467" s="28">
        <f t="shared" si="36"/>
        <v>20342612.419700213</v>
      </c>
      <c r="S467" s="28">
        <f t="shared" si="37"/>
        <v>21413276.231263384</v>
      </c>
      <c r="T467" s="28">
        <f t="shared" si="38"/>
        <v>22483940.042826552</v>
      </c>
      <c r="U467" s="28">
        <f t="shared" si="39"/>
        <v>23554603.85438972</v>
      </c>
      <c r="V467" s="28">
        <f t="shared" si="40"/>
        <v>24625267.665952891</v>
      </c>
      <c r="W467" s="28">
        <f t="shared" si="41"/>
        <v>25695931.477516059</v>
      </c>
    </row>
    <row r="468" spans="1:23" x14ac:dyDescent="0.2">
      <c r="A468" s="28">
        <v>467</v>
      </c>
      <c r="B468" s="28">
        <v>427350.42735042737</v>
      </c>
      <c r="C468" s="28">
        <f t="shared" si="21"/>
        <v>4273504.273504274</v>
      </c>
      <c r="D468" s="28">
        <f t="shared" si="22"/>
        <v>5341880.341880342</v>
      </c>
      <c r="E468" s="28">
        <f t="shared" si="23"/>
        <v>6410256.4102564109</v>
      </c>
      <c r="F468" s="28">
        <f t="shared" si="24"/>
        <v>7478632.4786324799</v>
      </c>
      <c r="G468" s="28">
        <f t="shared" si="25"/>
        <v>8547008.5470085479</v>
      </c>
      <c r="H468" s="28">
        <f t="shared" si="26"/>
        <v>9615384.615384616</v>
      </c>
      <c r="I468" s="28">
        <f t="shared" si="27"/>
        <v>10683760.683760684</v>
      </c>
      <c r="J468" s="28">
        <f t="shared" si="28"/>
        <v>11752136.752136754</v>
      </c>
      <c r="K468" s="28">
        <f t="shared" si="29"/>
        <v>12820512.820512822</v>
      </c>
      <c r="L468" s="28">
        <f t="shared" si="30"/>
        <v>13888888.88888889</v>
      </c>
      <c r="M468" s="28">
        <f t="shared" si="31"/>
        <v>14957264.95726496</v>
      </c>
      <c r="N468" s="28">
        <f t="shared" si="32"/>
        <v>16025641.025641028</v>
      </c>
      <c r="O468" s="28">
        <f t="shared" si="33"/>
        <v>17094017.094017096</v>
      </c>
      <c r="P468" s="28">
        <f t="shared" si="34"/>
        <v>18162393.162393164</v>
      </c>
      <c r="Q468" s="28">
        <f t="shared" si="35"/>
        <v>19230769.230769232</v>
      </c>
      <c r="R468" s="28">
        <f t="shared" si="36"/>
        <v>20299145.2991453</v>
      </c>
      <c r="S468" s="28">
        <f t="shared" si="37"/>
        <v>21367521.367521368</v>
      </c>
      <c r="T468" s="28">
        <f t="shared" si="38"/>
        <v>22435897.43589744</v>
      </c>
      <c r="U468" s="28">
        <f t="shared" si="39"/>
        <v>23504273.504273508</v>
      </c>
      <c r="V468" s="28">
        <f t="shared" si="40"/>
        <v>24572649.572649576</v>
      </c>
      <c r="W468" s="28">
        <f t="shared" si="41"/>
        <v>25641025.641025644</v>
      </c>
    </row>
    <row r="469" spans="1:23" x14ac:dyDescent="0.2">
      <c r="A469" s="28">
        <v>468</v>
      </c>
      <c r="B469" s="28">
        <v>426439.23240938166</v>
      </c>
      <c r="C469" s="28">
        <f t="shared" si="21"/>
        <v>4264392.3240938168</v>
      </c>
      <c r="D469" s="28">
        <f t="shared" si="22"/>
        <v>5330490.4051172715</v>
      </c>
      <c r="E469" s="28">
        <f t="shared" si="23"/>
        <v>6396588.4861407252</v>
      </c>
      <c r="F469" s="28">
        <f t="shared" si="24"/>
        <v>7462686.5671641789</v>
      </c>
      <c r="G469" s="28">
        <f t="shared" si="25"/>
        <v>8528784.6481876336</v>
      </c>
      <c r="H469" s="28">
        <f t="shared" si="26"/>
        <v>9594882.7292110883</v>
      </c>
      <c r="I469" s="28">
        <f t="shared" si="27"/>
        <v>10660980.810234543</v>
      </c>
      <c r="J469" s="28">
        <f t="shared" si="28"/>
        <v>11727078.891257996</v>
      </c>
      <c r="K469" s="28">
        <f t="shared" si="29"/>
        <v>12793176.97228145</v>
      </c>
      <c r="L469" s="28">
        <f t="shared" si="30"/>
        <v>13859275.053304905</v>
      </c>
      <c r="M469" s="28">
        <f t="shared" si="31"/>
        <v>14925373.134328358</v>
      </c>
      <c r="N469" s="28">
        <f t="shared" si="32"/>
        <v>15991471.215351813</v>
      </c>
      <c r="O469" s="28">
        <f t="shared" si="33"/>
        <v>17057569.296375267</v>
      </c>
      <c r="P469" s="28">
        <f t="shared" si="34"/>
        <v>18123667.377398722</v>
      </c>
      <c r="Q469" s="28">
        <f t="shared" si="35"/>
        <v>19189765.458422177</v>
      </c>
      <c r="R469" s="28">
        <f t="shared" si="36"/>
        <v>20255863.539445631</v>
      </c>
      <c r="S469" s="28">
        <f t="shared" si="37"/>
        <v>21321961.620469086</v>
      </c>
      <c r="T469" s="28">
        <f t="shared" si="38"/>
        <v>22388059.701492537</v>
      </c>
      <c r="U469" s="28">
        <f t="shared" si="39"/>
        <v>23454157.782515991</v>
      </c>
      <c r="V469" s="28">
        <f t="shared" si="40"/>
        <v>24520255.863539446</v>
      </c>
      <c r="W469" s="28">
        <f t="shared" si="41"/>
        <v>25586353.944562901</v>
      </c>
    </row>
    <row r="470" spans="1:23" x14ac:dyDescent="0.2">
      <c r="A470" s="28">
        <v>469</v>
      </c>
      <c r="B470" s="28">
        <v>425531.91489361698</v>
      </c>
      <c r="C470" s="28">
        <f t="shared" si="21"/>
        <v>4255319.1489361702</v>
      </c>
      <c r="D470" s="28">
        <f t="shared" si="22"/>
        <v>5319148.9361702129</v>
      </c>
      <c r="E470" s="28">
        <f t="shared" si="23"/>
        <v>6382978.7234042548</v>
      </c>
      <c r="F470" s="28">
        <f t="shared" si="24"/>
        <v>7446808.5106382975</v>
      </c>
      <c r="G470" s="28">
        <f t="shared" si="25"/>
        <v>8510638.2978723403</v>
      </c>
      <c r="H470" s="28">
        <f t="shared" si="26"/>
        <v>9574468.0851063821</v>
      </c>
      <c r="I470" s="28">
        <f t="shared" si="27"/>
        <v>10638297.872340426</v>
      </c>
      <c r="J470" s="28">
        <f t="shared" si="28"/>
        <v>11702127.659574468</v>
      </c>
      <c r="K470" s="28">
        <f t="shared" si="29"/>
        <v>12765957.44680851</v>
      </c>
      <c r="L470" s="28">
        <f t="shared" si="30"/>
        <v>13829787.234042553</v>
      </c>
      <c r="M470" s="28">
        <f t="shared" si="31"/>
        <v>14893617.021276595</v>
      </c>
      <c r="N470" s="28">
        <f t="shared" si="32"/>
        <v>15957446.808510639</v>
      </c>
      <c r="O470" s="28">
        <f t="shared" si="33"/>
        <v>17021276.595744681</v>
      </c>
      <c r="P470" s="28">
        <f t="shared" si="34"/>
        <v>18085106.382978722</v>
      </c>
      <c r="Q470" s="28">
        <f t="shared" si="35"/>
        <v>19148936.170212764</v>
      </c>
      <c r="R470" s="28">
        <f t="shared" si="36"/>
        <v>20212765.95744681</v>
      </c>
      <c r="S470" s="28">
        <f t="shared" si="37"/>
        <v>21276595.744680852</v>
      </c>
      <c r="T470" s="28">
        <f t="shared" si="38"/>
        <v>22340425.531914894</v>
      </c>
      <c r="U470" s="28">
        <f t="shared" si="39"/>
        <v>23404255.319148935</v>
      </c>
      <c r="V470" s="28">
        <f t="shared" si="40"/>
        <v>24468085.106382977</v>
      </c>
      <c r="W470" s="28">
        <f t="shared" si="41"/>
        <v>25531914.893617019</v>
      </c>
    </row>
    <row r="471" spans="1:23" x14ac:dyDescent="0.2">
      <c r="A471" s="28">
        <v>470</v>
      </c>
      <c r="B471" s="28">
        <v>424628.45010615711</v>
      </c>
      <c r="C471" s="28">
        <f t="shared" si="21"/>
        <v>4246284.5010615708</v>
      </c>
      <c r="D471" s="28">
        <f t="shared" si="22"/>
        <v>5307855.6263269633</v>
      </c>
      <c r="E471" s="28">
        <f t="shared" si="23"/>
        <v>6369426.7515923567</v>
      </c>
      <c r="F471" s="28">
        <f t="shared" si="24"/>
        <v>7430997.8768577492</v>
      </c>
      <c r="G471" s="28">
        <f t="shared" si="25"/>
        <v>8492569.0021231417</v>
      </c>
      <c r="H471" s="28">
        <f t="shared" si="26"/>
        <v>9554140.1273885351</v>
      </c>
      <c r="I471" s="28">
        <f t="shared" si="27"/>
        <v>10615711.252653927</v>
      </c>
      <c r="J471" s="28">
        <f t="shared" si="28"/>
        <v>11677282.37791932</v>
      </c>
      <c r="K471" s="28">
        <f t="shared" si="29"/>
        <v>12738853.503184713</v>
      </c>
      <c r="L471" s="28">
        <f t="shared" si="30"/>
        <v>13800424.628450105</v>
      </c>
      <c r="M471" s="28">
        <f t="shared" si="31"/>
        <v>14861995.753715498</v>
      </c>
      <c r="N471" s="28">
        <f t="shared" si="32"/>
        <v>15923566.87898089</v>
      </c>
      <c r="O471" s="28">
        <f t="shared" si="33"/>
        <v>16985138.004246283</v>
      </c>
      <c r="P471" s="28">
        <f t="shared" si="34"/>
        <v>18046709.129511677</v>
      </c>
      <c r="Q471" s="28">
        <f t="shared" si="35"/>
        <v>19108280.25477707</v>
      </c>
      <c r="R471" s="28">
        <f t="shared" si="36"/>
        <v>20169851.38004246</v>
      </c>
      <c r="S471" s="28">
        <f t="shared" si="37"/>
        <v>21231422.505307853</v>
      </c>
      <c r="T471" s="28">
        <f t="shared" si="38"/>
        <v>22292993.630573247</v>
      </c>
      <c r="U471" s="28">
        <f t="shared" si="39"/>
        <v>23354564.75583864</v>
      </c>
      <c r="V471" s="28">
        <f t="shared" si="40"/>
        <v>24416135.881104033</v>
      </c>
      <c r="W471" s="28">
        <f t="shared" si="41"/>
        <v>25477707.006369427</v>
      </c>
    </row>
    <row r="472" spans="1:23" x14ac:dyDescent="0.2">
      <c r="A472" s="28">
        <v>471</v>
      </c>
      <c r="B472" s="28">
        <v>423728.81355932204</v>
      </c>
      <c r="C472" s="28">
        <f t="shared" si="21"/>
        <v>4237288.1355932206</v>
      </c>
      <c r="D472" s="28">
        <f t="shared" si="22"/>
        <v>5296610.1694915257</v>
      </c>
      <c r="E472" s="28">
        <f t="shared" si="23"/>
        <v>6355932.2033898309</v>
      </c>
      <c r="F472" s="28">
        <f t="shared" si="24"/>
        <v>7415254.237288136</v>
      </c>
      <c r="G472" s="28">
        <f t="shared" si="25"/>
        <v>8474576.2711864412</v>
      </c>
      <c r="H472" s="28">
        <f t="shared" si="26"/>
        <v>9533898.3050847463</v>
      </c>
      <c r="I472" s="28">
        <f t="shared" si="27"/>
        <v>10593220.338983051</v>
      </c>
      <c r="J472" s="28">
        <f t="shared" si="28"/>
        <v>11652542.372881357</v>
      </c>
      <c r="K472" s="28">
        <f t="shared" si="29"/>
        <v>12711864.406779662</v>
      </c>
      <c r="L472" s="28">
        <f t="shared" si="30"/>
        <v>13771186.440677967</v>
      </c>
      <c r="M472" s="28">
        <f t="shared" si="31"/>
        <v>14830508.474576272</v>
      </c>
      <c r="N472" s="28">
        <f t="shared" si="32"/>
        <v>15889830.508474577</v>
      </c>
      <c r="O472" s="28">
        <f t="shared" si="33"/>
        <v>16949152.542372882</v>
      </c>
      <c r="P472" s="28">
        <f t="shared" si="34"/>
        <v>18008474.576271188</v>
      </c>
      <c r="Q472" s="28">
        <f t="shared" si="35"/>
        <v>19067796.610169493</v>
      </c>
      <c r="R472" s="28">
        <f t="shared" si="36"/>
        <v>20127118.644067798</v>
      </c>
      <c r="S472" s="28">
        <f t="shared" si="37"/>
        <v>21186440.677966103</v>
      </c>
      <c r="T472" s="28">
        <f t="shared" si="38"/>
        <v>22245762.711864408</v>
      </c>
      <c r="U472" s="28">
        <f t="shared" si="39"/>
        <v>23305084.745762713</v>
      </c>
      <c r="V472" s="28">
        <f t="shared" si="40"/>
        <v>24364406.779661018</v>
      </c>
      <c r="W472" s="28">
        <f t="shared" si="41"/>
        <v>25423728.813559324</v>
      </c>
    </row>
    <row r="473" spans="1:23" x14ac:dyDescent="0.2">
      <c r="A473" s="28">
        <v>472</v>
      </c>
      <c r="B473" s="28">
        <v>422832.98097251588</v>
      </c>
      <c r="C473" s="28">
        <f t="shared" si="21"/>
        <v>4228329.8097251588</v>
      </c>
      <c r="D473" s="28">
        <f t="shared" si="22"/>
        <v>5285412.2621564483</v>
      </c>
      <c r="E473" s="28">
        <f t="shared" si="23"/>
        <v>6342494.7145877387</v>
      </c>
      <c r="F473" s="28">
        <f t="shared" si="24"/>
        <v>7399577.1670190282</v>
      </c>
      <c r="G473" s="28">
        <f t="shared" si="25"/>
        <v>8456659.6194503177</v>
      </c>
      <c r="H473" s="28">
        <f t="shared" si="26"/>
        <v>9513742.0718816072</v>
      </c>
      <c r="I473" s="28">
        <f t="shared" si="27"/>
        <v>10570824.524312897</v>
      </c>
      <c r="J473" s="28">
        <f t="shared" si="28"/>
        <v>11627906.976744186</v>
      </c>
      <c r="K473" s="28">
        <f t="shared" si="29"/>
        <v>12684989.429175477</v>
      </c>
      <c r="L473" s="28">
        <f t="shared" si="30"/>
        <v>13742071.881606767</v>
      </c>
      <c r="M473" s="28">
        <f t="shared" si="31"/>
        <v>14799154.334038056</v>
      </c>
      <c r="N473" s="28">
        <f t="shared" si="32"/>
        <v>15856236.786469346</v>
      </c>
      <c r="O473" s="28">
        <f t="shared" si="33"/>
        <v>16913319.238900635</v>
      </c>
      <c r="P473" s="28">
        <f t="shared" si="34"/>
        <v>17970401.691331927</v>
      </c>
      <c r="Q473" s="28">
        <f t="shared" si="35"/>
        <v>19027484.143763214</v>
      </c>
      <c r="R473" s="28">
        <f t="shared" si="36"/>
        <v>20084566.596194506</v>
      </c>
      <c r="S473" s="28">
        <f t="shared" si="37"/>
        <v>21141649.048625793</v>
      </c>
      <c r="T473" s="28">
        <f t="shared" si="38"/>
        <v>22198731.501057085</v>
      </c>
      <c r="U473" s="28">
        <f t="shared" si="39"/>
        <v>23255813.953488372</v>
      </c>
      <c r="V473" s="28">
        <f t="shared" si="40"/>
        <v>24312896.405919664</v>
      </c>
      <c r="W473" s="28">
        <f t="shared" si="41"/>
        <v>25369978.858350955</v>
      </c>
    </row>
    <row r="474" spans="1:23" x14ac:dyDescent="0.2">
      <c r="A474" s="28">
        <v>473</v>
      </c>
      <c r="B474" s="28">
        <v>421940.92827004218</v>
      </c>
      <c r="C474" s="28">
        <f t="shared" si="21"/>
        <v>4219409.2827004213</v>
      </c>
      <c r="D474" s="28">
        <f t="shared" si="22"/>
        <v>5274261.6033755261</v>
      </c>
      <c r="E474" s="28">
        <f t="shared" si="23"/>
        <v>6329113.9240506319</v>
      </c>
      <c r="F474" s="28">
        <f t="shared" si="24"/>
        <v>7383966.2447257377</v>
      </c>
      <c r="G474" s="28">
        <f t="shared" si="25"/>
        <v>8438818.5654008426</v>
      </c>
      <c r="H474" s="28">
        <f t="shared" si="26"/>
        <v>9493670.8860759474</v>
      </c>
      <c r="I474" s="28">
        <f t="shared" si="27"/>
        <v>10548523.206751052</v>
      </c>
      <c r="J474" s="28">
        <f t="shared" si="28"/>
        <v>11603375.527426159</v>
      </c>
      <c r="K474" s="28">
        <f t="shared" si="29"/>
        <v>12658227.848101264</v>
      </c>
      <c r="L474" s="28">
        <f t="shared" si="30"/>
        <v>13713080.168776369</v>
      </c>
      <c r="M474" s="28">
        <f t="shared" si="31"/>
        <v>14767932.489451475</v>
      </c>
      <c r="N474" s="28">
        <f t="shared" si="32"/>
        <v>15822784.81012658</v>
      </c>
      <c r="O474" s="28">
        <f t="shared" si="33"/>
        <v>16877637.130801685</v>
      </c>
      <c r="P474" s="28">
        <f t="shared" si="34"/>
        <v>17932489.45147679</v>
      </c>
      <c r="Q474" s="28">
        <f t="shared" si="35"/>
        <v>18987341.772151895</v>
      </c>
      <c r="R474" s="28">
        <f t="shared" si="36"/>
        <v>20042194.092827</v>
      </c>
      <c r="S474" s="28">
        <f t="shared" si="37"/>
        <v>21097046.413502105</v>
      </c>
      <c r="T474" s="28">
        <f t="shared" si="38"/>
        <v>22151898.734177213</v>
      </c>
      <c r="U474" s="28">
        <f t="shared" si="39"/>
        <v>23206751.054852318</v>
      </c>
      <c r="V474" s="28">
        <f t="shared" si="40"/>
        <v>24261603.375527423</v>
      </c>
      <c r="W474" s="28">
        <f t="shared" si="41"/>
        <v>25316455.696202528</v>
      </c>
    </row>
    <row r="475" spans="1:23" x14ac:dyDescent="0.2">
      <c r="A475" s="28">
        <v>474</v>
      </c>
      <c r="B475" s="28">
        <v>421052.63157894736</v>
      </c>
      <c r="C475" s="28">
        <f t="shared" si="21"/>
        <v>4210526.3157894732</v>
      </c>
      <c r="D475" s="28">
        <f t="shared" si="22"/>
        <v>5263157.8947368413</v>
      </c>
      <c r="E475" s="28">
        <f t="shared" si="23"/>
        <v>6315789.4736842103</v>
      </c>
      <c r="F475" s="28">
        <f t="shared" si="24"/>
        <v>7368421.0526315784</v>
      </c>
      <c r="G475" s="28">
        <f t="shared" si="25"/>
        <v>8421052.6315789465</v>
      </c>
      <c r="H475" s="28">
        <f t="shared" si="26"/>
        <v>9473684.2105263155</v>
      </c>
      <c r="I475" s="28">
        <f t="shared" si="27"/>
        <v>10526315.789473683</v>
      </c>
      <c r="J475" s="28">
        <f t="shared" si="28"/>
        <v>11578947.368421052</v>
      </c>
      <c r="K475" s="28">
        <f t="shared" si="29"/>
        <v>12631578.947368421</v>
      </c>
      <c r="L475" s="28">
        <f t="shared" si="30"/>
        <v>13684210.526315788</v>
      </c>
      <c r="M475" s="28">
        <f t="shared" si="31"/>
        <v>14736842.105263157</v>
      </c>
      <c r="N475" s="28">
        <f t="shared" si="32"/>
        <v>15789473.684210524</v>
      </c>
      <c r="O475" s="28">
        <f t="shared" si="33"/>
        <v>16842105.263157893</v>
      </c>
      <c r="P475" s="28">
        <f t="shared" si="34"/>
        <v>17894736.842105262</v>
      </c>
      <c r="Q475" s="28">
        <f t="shared" si="35"/>
        <v>18947368.421052631</v>
      </c>
      <c r="R475" s="28">
        <f t="shared" si="36"/>
        <v>19999999.999999996</v>
      </c>
      <c r="S475" s="28">
        <f t="shared" si="37"/>
        <v>21052631.578947365</v>
      </c>
      <c r="T475" s="28">
        <f t="shared" si="38"/>
        <v>22105263.157894734</v>
      </c>
      <c r="U475" s="28">
        <f t="shared" si="39"/>
        <v>23157894.736842103</v>
      </c>
      <c r="V475" s="28">
        <f t="shared" si="40"/>
        <v>24210526.315789472</v>
      </c>
      <c r="W475" s="28">
        <f t="shared" si="41"/>
        <v>25263157.894736841</v>
      </c>
    </row>
    <row r="476" spans="1:23" x14ac:dyDescent="0.2">
      <c r="A476" s="28">
        <v>475</v>
      </c>
      <c r="B476" s="28">
        <v>420168.06722689077</v>
      </c>
      <c r="C476" s="28">
        <f t="shared" si="21"/>
        <v>4201680.6722689075</v>
      </c>
      <c r="D476" s="28">
        <f t="shared" si="22"/>
        <v>5252100.8403361347</v>
      </c>
      <c r="E476" s="28">
        <f t="shared" si="23"/>
        <v>6302521.0084033608</v>
      </c>
      <c r="F476" s="28">
        <f t="shared" si="24"/>
        <v>7352941.176470588</v>
      </c>
      <c r="G476" s="28">
        <f t="shared" si="25"/>
        <v>8403361.3445378151</v>
      </c>
      <c r="H476" s="28">
        <f t="shared" si="26"/>
        <v>9453781.5126050413</v>
      </c>
      <c r="I476" s="28">
        <f t="shared" si="27"/>
        <v>10504201.680672269</v>
      </c>
      <c r="J476" s="28">
        <f t="shared" si="28"/>
        <v>11554621.848739496</v>
      </c>
      <c r="K476" s="28">
        <f t="shared" si="29"/>
        <v>12605042.016806722</v>
      </c>
      <c r="L476" s="28">
        <f t="shared" si="30"/>
        <v>13655462.18487395</v>
      </c>
      <c r="M476" s="28">
        <f t="shared" si="31"/>
        <v>14705882.352941176</v>
      </c>
      <c r="N476" s="28">
        <f t="shared" si="32"/>
        <v>15756302.521008404</v>
      </c>
      <c r="O476" s="28">
        <f t="shared" si="33"/>
        <v>16806722.68907563</v>
      </c>
      <c r="P476" s="28">
        <f t="shared" si="34"/>
        <v>17857142.857142858</v>
      </c>
      <c r="Q476" s="28">
        <f t="shared" si="35"/>
        <v>18907563.025210083</v>
      </c>
      <c r="R476" s="28">
        <f t="shared" si="36"/>
        <v>19957983.193277311</v>
      </c>
      <c r="S476" s="28">
        <f t="shared" si="37"/>
        <v>21008403.361344539</v>
      </c>
      <c r="T476" s="28">
        <f t="shared" si="38"/>
        <v>22058823.529411763</v>
      </c>
      <c r="U476" s="28">
        <f t="shared" si="39"/>
        <v>23109243.697478991</v>
      </c>
      <c r="V476" s="28">
        <f t="shared" si="40"/>
        <v>24159663.865546219</v>
      </c>
      <c r="W476" s="28">
        <f t="shared" si="41"/>
        <v>25210084.033613443</v>
      </c>
    </row>
    <row r="477" spans="1:23" x14ac:dyDescent="0.2">
      <c r="A477" s="28">
        <v>476</v>
      </c>
      <c r="B477" s="28">
        <v>419287.21174004191</v>
      </c>
      <c r="C477" s="28">
        <f t="shared" si="21"/>
        <v>4192872.117400419</v>
      </c>
      <c r="D477" s="28">
        <f t="shared" si="22"/>
        <v>5241090.1467505237</v>
      </c>
      <c r="E477" s="28">
        <f t="shared" si="23"/>
        <v>6289308.1761006285</v>
      </c>
      <c r="F477" s="28">
        <f t="shared" si="24"/>
        <v>7337526.2054507332</v>
      </c>
      <c r="G477" s="28">
        <f t="shared" si="25"/>
        <v>8385744.2348008379</v>
      </c>
      <c r="H477" s="28">
        <f t="shared" si="26"/>
        <v>9433962.2641509436</v>
      </c>
      <c r="I477" s="28">
        <f t="shared" si="27"/>
        <v>10482180.293501047</v>
      </c>
      <c r="J477" s="28">
        <f t="shared" si="28"/>
        <v>11530398.322851151</v>
      </c>
      <c r="K477" s="28">
        <f t="shared" si="29"/>
        <v>12578616.352201257</v>
      </c>
      <c r="L477" s="28">
        <f t="shared" si="30"/>
        <v>13626834.381551363</v>
      </c>
      <c r="M477" s="28">
        <f t="shared" si="31"/>
        <v>14675052.410901466</v>
      </c>
      <c r="N477" s="28">
        <f t="shared" si="32"/>
        <v>15723270.44025157</v>
      </c>
      <c r="O477" s="28">
        <f t="shared" si="33"/>
        <v>16771488.469601676</v>
      </c>
      <c r="P477" s="28">
        <f t="shared" si="34"/>
        <v>17819706.498951782</v>
      </c>
      <c r="Q477" s="28">
        <f t="shared" si="35"/>
        <v>18867924.528301887</v>
      </c>
      <c r="R477" s="28">
        <f t="shared" si="36"/>
        <v>19916142.557651989</v>
      </c>
      <c r="S477" s="28">
        <f t="shared" si="37"/>
        <v>20964360.587002095</v>
      </c>
      <c r="T477" s="28">
        <f t="shared" si="38"/>
        <v>22012578.616352201</v>
      </c>
      <c r="U477" s="28">
        <f t="shared" si="39"/>
        <v>23060796.645702302</v>
      </c>
      <c r="V477" s="28">
        <f t="shared" si="40"/>
        <v>24109014.675052408</v>
      </c>
      <c r="W477" s="28">
        <f t="shared" si="41"/>
        <v>25157232.704402514</v>
      </c>
    </row>
    <row r="478" spans="1:23" x14ac:dyDescent="0.2">
      <c r="A478" s="28">
        <v>477</v>
      </c>
      <c r="B478" s="28">
        <v>418410.04184100416</v>
      </c>
      <c r="C478" s="28">
        <f t="shared" si="21"/>
        <v>4184100.4184100414</v>
      </c>
      <c r="D478" s="28">
        <f t="shared" si="22"/>
        <v>5230125.5230125515</v>
      </c>
      <c r="E478" s="28">
        <f t="shared" si="23"/>
        <v>6276150.6276150625</v>
      </c>
      <c r="F478" s="28">
        <f t="shared" si="24"/>
        <v>7322175.7322175726</v>
      </c>
      <c r="G478" s="28">
        <f t="shared" si="25"/>
        <v>8368200.8368200827</v>
      </c>
      <c r="H478" s="28">
        <f t="shared" si="26"/>
        <v>9414225.9414225928</v>
      </c>
      <c r="I478" s="28">
        <f t="shared" si="27"/>
        <v>10460251.046025103</v>
      </c>
      <c r="J478" s="28">
        <f t="shared" si="28"/>
        <v>11506276.150627613</v>
      </c>
      <c r="K478" s="28">
        <f t="shared" si="29"/>
        <v>12552301.255230125</v>
      </c>
      <c r="L478" s="28">
        <f t="shared" si="30"/>
        <v>13598326.359832635</v>
      </c>
      <c r="M478" s="28">
        <f t="shared" si="31"/>
        <v>14644351.464435145</v>
      </c>
      <c r="N478" s="28">
        <f t="shared" si="32"/>
        <v>15690376.569037655</v>
      </c>
      <c r="O478" s="28">
        <f t="shared" si="33"/>
        <v>16736401.673640165</v>
      </c>
      <c r="P478" s="28">
        <f t="shared" si="34"/>
        <v>17782426.778242677</v>
      </c>
      <c r="Q478" s="28">
        <f t="shared" si="35"/>
        <v>18828451.882845186</v>
      </c>
      <c r="R478" s="28">
        <f t="shared" si="36"/>
        <v>19874476.987447698</v>
      </c>
      <c r="S478" s="28">
        <f t="shared" si="37"/>
        <v>20920502.092050206</v>
      </c>
      <c r="T478" s="28">
        <f t="shared" si="38"/>
        <v>21966527.196652718</v>
      </c>
      <c r="U478" s="28">
        <f t="shared" si="39"/>
        <v>23012552.301255226</v>
      </c>
      <c r="V478" s="28">
        <f t="shared" si="40"/>
        <v>24058577.405857738</v>
      </c>
      <c r="W478" s="28">
        <f t="shared" si="41"/>
        <v>25104602.51046025</v>
      </c>
    </row>
    <row r="479" spans="1:23" x14ac:dyDescent="0.2">
      <c r="A479" s="28">
        <v>478</v>
      </c>
      <c r="B479" s="28">
        <v>417536.5344467641</v>
      </c>
      <c r="C479" s="28">
        <f t="shared" si="21"/>
        <v>4175365.3444676409</v>
      </c>
      <c r="D479" s="28">
        <f t="shared" si="22"/>
        <v>5219206.6805845508</v>
      </c>
      <c r="E479" s="28">
        <f t="shared" si="23"/>
        <v>6263048.0167014617</v>
      </c>
      <c r="F479" s="28">
        <f t="shared" si="24"/>
        <v>7306889.3528183717</v>
      </c>
      <c r="G479" s="28">
        <f t="shared" si="25"/>
        <v>8350730.6889352817</v>
      </c>
      <c r="H479" s="28">
        <f t="shared" si="26"/>
        <v>9394572.0250521917</v>
      </c>
      <c r="I479" s="28">
        <f t="shared" si="27"/>
        <v>10438413.361169102</v>
      </c>
      <c r="J479" s="28">
        <f t="shared" si="28"/>
        <v>11482254.697286012</v>
      </c>
      <c r="K479" s="28">
        <f t="shared" si="29"/>
        <v>12526096.033402923</v>
      </c>
      <c r="L479" s="28">
        <f t="shared" si="30"/>
        <v>13569937.369519833</v>
      </c>
      <c r="M479" s="28">
        <f t="shared" si="31"/>
        <v>14613778.705636743</v>
      </c>
      <c r="N479" s="28">
        <f t="shared" si="32"/>
        <v>15657620.041753653</v>
      </c>
      <c r="O479" s="28">
        <f t="shared" si="33"/>
        <v>16701461.377870563</v>
      </c>
      <c r="P479" s="28">
        <f t="shared" si="34"/>
        <v>17745302.713987473</v>
      </c>
      <c r="Q479" s="28">
        <f t="shared" si="35"/>
        <v>18789144.050104383</v>
      </c>
      <c r="R479" s="28">
        <f t="shared" si="36"/>
        <v>19832985.386221293</v>
      </c>
      <c r="S479" s="28">
        <f t="shared" si="37"/>
        <v>20876826.722338203</v>
      </c>
      <c r="T479" s="28">
        <f t="shared" si="38"/>
        <v>21920668.058455113</v>
      </c>
      <c r="U479" s="28">
        <f t="shared" si="39"/>
        <v>22964509.394572023</v>
      </c>
      <c r="V479" s="28">
        <f t="shared" si="40"/>
        <v>24008350.730688933</v>
      </c>
      <c r="W479" s="28">
        <f t="shared" si="41"/>
        <v>25052192.066805847</v>
      </c>
    </row>
    <row r="480" spans="1:23" x14ac:dyDescent="0.2">
      <c r="A480" s="28">
        <v>479</v>
      </c>
      <c r="B480" s="28">
        <v>416666.66666666663</v>
      </c>
      <c r="C480" s="28">
        <f t="shared" si="21"/>
        <v>4166666.666666666</v>
      </c>
      <c r="D480" s="28">
        <f t="shared" si="22"/>
        <v>5208333.3333333321</v>
      </c>
      <c r="E480" s="28">
        <f t="shared" si="23"/>
        <v>6249999.9999999991</v>
      </c>
      <c r="F480" s="28">
        <f t="shared" si="24"/>
        <v>7291666.666666666</v>
      </c>
      <c r="G480" s="28">
        <f t="shared" si="25"/>
        <v>8333333.3333333321</v>
      </c>
      <c r="H480" s="28">
        <f t="shared" si="26"/>
        <v>9374999.9999999981</v>
      </c>
      <c r="I480" s="28">
        <f t="shared" si="27"/>
        <v>10416666.666666664</v>
      </c>
      <c r="J480" s="28">
        <f t="shared" si="28"/>
        <v>11458333.333333332</v>
      </c>
      <c r="K480" s="28">
        <f t="shared" si="29"/>
        <v>12499999.999999998</v>
      </c>
      <c r="L480" s="28">
        <f t="shared" si="30"/>
        <v>13541666.666666664</v>
      </c>
      <c r="M480" s="28">
        <f t="shared" si="31"/>
        <v>14583333.333333332</v>
      </c>
      <c r="N480" s="28">
        <f t="shared" si="32"/>
        <v>15624999.999999998</v>
      </c>
      <c r="O480" s="28">
        <f t="shared" si="33"/>
        <v>16666666.666666664</v>
      </c>
      <c r="P480" s="28">
        <f t="shared" si="34"/>
        <v>17708333.333333332</v>
      </c>
      <c r="Q480" s="28">
        <f t="shared" si="35"/>
        <v>18749999.999999996</v>
      </c>
      <c r="R480" s="28">
        <f t="shared" si="36"/>
        <v>19791666.666666664</v>
      </c>
      <c r="S480" s="28">
        <f t="shared" si="37"/>
        <v>20833333.333333328</v>
      </c>
      <c r="T480" s="28">
        <f t="shared" si="38"/>
        <v>21874999.999999996</v>
      </c>
      <c r="U480" s="28">
        <f t="shared" si="39"/>
        <v>22916666.666666664</v>
      </c>
      <c r="V480" s="28">
        <f t="shared" si="40"/>
        <v>23958333.333333328</v>
      </c>
      <c r="W480" s="28">
        <f t="shared" si="41"/>
        <v>24999999.999999996</v>
      </c>
    </row>
    <row r="481" spans="1:23" x14ac:dyDescent="0.2">
      <c r="A481" s="28">
        <v>480</v>
      </c>
      <c r="B481" s="28">
        <v>415800.41580041585</v>
      </c>
      <c r="C481" s="28">
        <f t="shared" si="21"/>
        <v>4158004.1580041586</v>
      </c>
      <c r="D481" s="28">
        <f t="shared" si="22"/>
        <v>5197505.1975051984</v>
      </c>
      <c r="E481" s="28">
        <f t="shared" si="23"/>
        <v>6237006.2370062377</v>
      </c>
      <c r="F481" s="28">
        <f t="shared" si="24"/>
        <v>7276507.276507278</v>
      </c>
      <c r="G481" s="28">
        <f t="shared" si="25"/>
        <v>8316008.3160083173</v>
      </c>
      <c r="H481" s="28">
        <f t="shared" si="26"/>
        <v>9355509.3555093575</v>
      </c>
      <c r="I481" s="28">
        <f t="shared" si="27"/>
        <v>10395010.395010397</v>
      </c>
      <c r="J481" s="28">
        <f t="shared" si="28"/>
        <v>11434511.434511436</v>
      </c>
      <c r="K481" s="28">
        <f t="shared" si="29"/>
        <v>12474012.474012475</v>
      </c>
      <c r="L481" s="28">
        <f t="shared" si="30"/>
        <v>13513513.513513515</v>
      </c>
      <c r="M481" s="28">
        <f t="shared" si="31"/>
        <v>14553014.553014556</v>
      </c>
      <c r="N481" s="28">
        <f t="shared" si="32"/>
        <v>15592515.592515595</v>
      </c>
      <c r="O481" s="28">
        <f t="shared" si="33"/>
        <v>16632016.632016635</v>
      </c>
      <c r="P481" s="28">
        <f t="shared" si="34"/>
        <v>17671517.671517674</v>
      </c>
      <c r="Q481" s="28">
        <f t="shared" si="35"/>
        <v>18711018.711018715</v>
      </c>
      <c r="R481" s="28">
        <f t="shared" si="36"/>
        <v>19750519.750519753</v>
      </c>
      <c r="S481" s="28">
        <f t="shared" si="37"/>
        <v>20790020.790020794</v>
      </c>
      <c r="T481" s="28">
        <f t="shared" si="38"/>
        <v>21829521.829521831</v>
      </c>
      <c r="U481" s="28">
        <f t="shared" si="39"/>
        <v>22869022.869022872</v>
      </c>
      <c r="V481" s="28">
        <f t="shared" si="40"/>
        <v>23908523.908523913</v>
      </c>
      <c r="W481" s="28">
        <f t="shared" si="41"/>
        <v>24948024.948024951</v>
      </c>
    </row>
    <row r="482" spans="1:23" x14ac:dyDescent="0.2">
      <c r="A482" s="28">
        <v>481</v>
      </c>
      <c r="B482" s="28">
        <v>414937.75933609961</v>
      </c>
      <c r="C482" s="28">
        <f t="shared" si="21"/>
        <v>4149377.5933609959</v>
      </c>
      <c r="D482" s="28">
        <f t="shared" si="22"/>
        <v>5186721.9917012453</v>
      </c>
      <c r="E482" s="28">
        <f t="shared" si="23"/>
        <v>6224066.3900414938</v>
      </c>
      <c r="F482" s="28">
        <f t="shared" si="24"/>
        <v>7261410.7883817423</v>
      </c>
      <c r="G482" s="28">
        <f t="shared" si="25"/>
        <v>8298755.1867219917</v>
      </c>
      <c r="H482" s="28">
        <f t="shared" si="26"/>
        <v>9336099.5850622412</v>
      </c>
      <c r="I482" s="28">
        <f t="shared" si="27"/>
        <v>10373443.983402491</v>
      </c>
      <c r="J482" s="28">
        <f t="shared" si="28"/>
        <v>11410788.381742738</v>
      </c>
      <c r="K482" s="28">
        <f t="shared" si="29"/>
        <v>12448132.780082988</v>
      </c>
      <c r="L482" s="28">
        <f t="shared" si="30"/>
        <v>13485477.178423237</v>
      </c>
      <c r="M482" s="28">
        <f t="shared" si="31"/>
        <v>14522821.576763485</v>
      </c>
      <c r="N482" s="28">
        <f t="shared" si="32"/>
        <v>15560165.975103734</v>
      </c>
      <c r="O482" s="28">
        <f t="shared" si="33"/>
        <v>16597510.373443983</v>
      </c>
      <c r="P482" s="28">
        <f t="shared" si="34"/>
        <v>17634854.771784231</v>
      </c>
      <c r="Q482" s="28">
        <f t="shared" si="35"/>
        <v>18672199.170124482</v>
      </c>
      <c r="R482" s="28">
        <f t="shared" si="36"/>
        <v>19709543.56846473</v>
      </c>
      <c r="S482" s="28">
        <f t="shared" si="37"/>
        <v>20746887.966804981</v>
      </c>
      <c r="T482" s="28">
        <f t="shared" si="38"/>
        <v>21784232.365145229</v>
      </c>
      <c r="U482" s="28">
        <f t="shared" si="39"/>
        <v>22821576.763485476</v>
      </c>
      <c r="V482" s="28">
        <f t="shared" si="40"/>
        <v>23858921.161825728</v>
      </c>
      <c r="W482" s="28">
        <f t="shared" si="41"/>
        <v>24896265.560165975</v>
      </c>
    </row>
    <row r="483" spans="1:23" x14ac:dyDescent="0.2">
      <c r="A483" s="28">
        <v>482</v>
      </c>
      <c r="B483" s="28">
        <v>414078.67494824016</v>
      </c>
      <c r="C483" s="28">
        <f t="shared" si="21"/>
        <v>4140786.7494824016</v>
      </c>
      <c r="D483" s="28">
        <f t="shared" si="22"/>
        <v>5175983.4368530018</v>
      </c>
      <c r="E483" s="28">
        <f t="shared" si="23"/>
        <v>6211180.1242236029</v>
      </c>
      <c r="F483" s="28">
        <f t="shared" si="24"/>
        <v>7246376.8115942031</v>
      </c>
      <c r="G483" s="28">
        <f t="shared" si="25"/>
        <v>8281573.4989648033</v>
      </c>
      <c r="H483" s="28">
        <f t="shared" si="26"/>
        <v>9316770.1863354035</v>
      </c>
      <c r="I483" s="28">
        <f t="shared" si="27"/>
        <v>10351966.873706004</v>
      </c>
      <c r="J483" s="28">
        <f t="shared" si="28"/>
        <v>11387163.561076604</v>
      </c>
      <c r="K483" s="28">
        <f t="shared" si="29"/>
        <v>12422360.248447206</v>
      </c>
      <c r="L483" s="28">
        <f t="shared" si="30"/>
        <v>13457556.935817806</v>
      </c>
      <c r="M483" s="28">
        <f t="shared" si="31"/>
        <v>14492753.623188406</v>
      </c>
      <c r="N483" s="28">
        <f t="shared" si="32"/>
        <v>15527950.310559006</v>
      </c>
      <c r="O483" s="28">
        <f t="shared" si="33"/>
        <v>16563146.997929607</v>
      </c>
      <c r="P483" s="28">
        <f t="shared" si="34"/>
        <v>17598343.685300209</v>
      </c>
      <c r="Q483" s="28">
        <f t="shared" si="35"/>
        <v>18633540.372670807</v>
      </c>
      <c r="R483" s="28">
        <f t="shared" si="36"/>
        <v>19668737.060041409</v>
      </c>
      <c r="S483" s="28">
        <f t="shared" si="37"/>
        <v>20703933.747412007</v>
      </c>
      <c r="T483" s="28">
        <f t="shared" si="38"/>
        <v>21739130.434782609</v>
      </c>
      <c r="U483" s="28">
        <f t="shared" si="39"/>
        <v>22774327.122153208</v>
      </c>
      <c r="V483" s="28">
        <f t="shared" si="40"/>
        <v>23809523.80952381</v>
      </c>
      <c r="W483" s="28">
        <f t="shared" si="41"/>
        <v>24844720.496894412</v>
      </c>
    </row>
    <row r="484" spans="1:23" x14ac:dyDescent="0.2">
      <c r="A484" s="28">
        <v>483</v>
      </c>
      <c r="B484" s="28">
        <v>413223.14049586776</v>
      </c>
      <c r="C484" s="28">
        <f t="shared" si="21"/>
        <v>4132231.4049586775</v>
      </c>
      <c r="D484" s="28">
        <f t="shared" si="22"/>
        <v>5165289.2561983466</v>
      </c>
      <c r="E484" s="28">
        <f t="shared" si="23"/>
        <v>6198347.1074380167</v>
      </c>
      <c r="F484" s="28">
        <f t="shared" si="24"/>
        <v>7231404.9586776858</v>
      </c>
      <c r="G484" s="28">
        <f t="shared" si="25"/>
        <v>8264462.809917355</v>
      </c>
      <c r="H484" s="28">
        <f t="shared" si="26"/>
        <v>9297520.661157025</v>
      </c>
      <c r="I484" s="28">
        <f t="shared" si="27"/>
        <v>10330578.512396693</v>
      </c>
      <c r="J484" s="28">
        <f t="shared" si="28"/>
        <v>11363636.363636363</v>
      </c>
      <c r="K484" s="28">
        <f t="shared" si="29"/>
        <v>12396694.214876033</v>
      </c>
      <c r="L484" s="28">
        <f t="shared" si="30"/>
        <v>13429752.066115702</v>
      </c>
      <c r="M484" s="28">
        <f t="shared" si="31"/>
        <v>14462809.917355372</v>
      </c>
      <c r="N484" s="28">
        <f t="shared" si="32"/>
        <v>15495867.76859504</v>
      </c>
      <c r="O484" s="28">
        <f t="shared" si="33"/>
        <v>16528925.61983471</v>
      </c>
      <c r="P484" s="28">
        <f t="shared" si="34"/>
        <v>17561983.47107438</v>
      </c>
      <c r="Q484" s="28">
        <f t="shared" si="35"/>
        <v>18595041.32231405</v>
      </c>
      <c r="R484" s="28">
        <f t="shared" si="36"/>
        <v>19628099.173553716</v>
      </c>
      <c r="S484" s="28">
        <f t="shared" si="37"/>
        <v>20661157.024793386</v>
      </c>
      <c r="T484" s="28">
        <f t="shared" si="38"/>
        <v>21694214.876033057</v>
      </c>
      <c r="U484" s="28">
        <f t="shared" si="39"/>
        <v>22727272.727272727</v>
      </c>
      <c r="V484" s="28">
        <f t="shared" si="40"/>
        <v>23760330.578512397</v>
      </c>
      <c r="W484" s="28">
        <f t="shared" si="41"/>
        <v>24793388.429752067</v>
      </c>
    </row>
    <row r="485" spans="1:23" x14ac:dyDescent="0.2">
      <c r="A485" s="28">
        <v>484</v>
      </c>
      <c r="B485" s="28">
        <v>412371.13402061857</v>
      </c>
      <c r="C485" s="28">
        <f t="shared" si="21"/>
        <v>4123711.3402061858</v>
      </c>
      <c r="D485" s="28">
        <f t="shared" si="22"/>
        <v>5154639.1752577322</v>
      </c>
      <c r="E485" s="28">
        <f t="shared" si="23"/>
        <v>6185567.010309279</v>
      </c>
      <c r="F485" s="28">
        <f t="shared" si="24"/>
        <v>7216494.8453608248</v>
      </c>
      <c r="G485" s="28">
        <f t="shared" si="25"/>
        <v>8247422.6804123716</v>
      </c>
      <c r="H485" s="28">
        <f t="shared" si="26"/>
        <v>9278350.5154639184</v>
      </c>
      <c r="I485" s="28">
        <f t="shared" si="27"/>
        <v>10309278.350515464</v>
      </c>
      <c r="J485" s="28">
        <f t="shared" si="28"/>
        <v>11340206.18556701</v>
      </c>
      <c r="K485" s="28">
        <f t="shared" si="29"/>
        <v>12371134.020618558</v>
      </c>
      <c r="L485" s="28">
        <f t="shared" si="30"/>
        <v>13402061.855670104</v>
      </c>
      <c r="M485" s="28">
        <f t="shared" si="31"/>
        <v>14432989.69072165</v>
      </c>
      <c r="N485" s="28">
        <f t="shared" si="32"/>
        <v>15463917.525773197</v>
      </c>
      <c r="O485" s="28">
        <f t="shared" si="33"/>
        <v>16494845.360824743</v>
      </c>
      <c r="P485" s="28">
        <f t="shared" si="34"/>
        <v>17525773.195876289</v>
      </c>
      <c r="Q485" s="28">
        <f t="shared" si="35"/>
        <v>18556701.030927837</v>
      </c>
      <c r="R485" s="28">
        <f t="shared" si="36"/>
        <v>19587628.865979381</v>
      </c>
      <c r="S485" s="28">
        <f t="shared" si="37"/>
        <v>20618556.701030929</v>
      </c>
      <c r="T485" s="28">
        <f t="shared" si="38"/>
        <v>21649484.536082476</v>
      </c>
      <c r="U485" s="28">
        <f t="shared" si="39"/>
        <v>22680412.37113402</v>
      </c>
      <c r="V485" s="28">
        <f t="shared" si="40"/>
        <v>23711340.206185568</v>
      </c>
      <c r="W485" s="28">
        <f t="shared" si="41"/>
        <v>24742268.041237116</v>
      </c>
    </row>
    <row r="486" spans="1:23" x14ac:dyDescent="0.2">
      <c r="A486" s="28">
        <v>485</v>
      </c>
      <c r="B486" s="28">
        <v>411522.63374485594</v>
      </c>
      <c r="C486" s="28">
        <f t="shared" si="21"/>
        <v>4115226.3374485592</v>
      </c>
      <c r="D486" s="28">
        <f t="shared" si="22"/>
        <v>5144032.9218106987</v>
      </c>
      <c r="E486" s="28">
        <f t="shared" si="23"/>
        <v>6172839.5061728386</v>
      </c>
      <c r="F486" s="28">
        <f t="shared" si="24"/>
        <v>7201646.0905349785</v>
      </c>
      <c r="G486" s="28">
        <f t="shared" si="25"/>
        <v>8230452.6748971185</v>
      </c>
      <c r="H486" s="28">
        <f t="shared" si="26"/>
        <v>9259259.2592592575</v>
      </c>
      <c r="I486" s="28">
        <f t="shared" si="27"/>
        <v>10288065.843621397</v>
      </c>
      <c r="J486" s="28">
        <f t="shared" si="28"/>
        <v>11316872.427983537</v>
      </c>
      <c r="K486" s="28">
        <f t="shared" si="29"/>
        <v>12345679.012345677</v>
      </c>
      <c r="L486" s="28">
        <f t="shared" si="30"/>
        <v>13374485.596707817</v>
      </c>
      <c r="M486" s="28">
        <f t="shared" si="31"/>
        <v>14403292.181069957</v>
      </c>
      <c r="N486" s="28">
        <f t="shared" si="32"/>
        <v>15432098.765432097</v>
      </c>
      <c r="O486" s="28">
        <f t="shared" si="33"/>
        <v>16460905.349794237</v>
      </c>
      <c r="P486" s="28">
        <f t="shared" si="34"/>
        <v>17489711.934156377</v>
      </c>
      <c r="Q486" s="28">
        <f t="shared" si="35"/>
        <v>18518518.518518515</v>
      </c>
      <c r="R486" s="28">
        <f t="shared" si="36"/>
        <v>19547325.102880657</v>
      </c>
      <c r="S486" s="28">
        <f t="shared" si="37"/>
        <v>20576131.687242795</v>
      </c>
      <c r="T486" s="28">
        <f t="shared" si="38"/>
        <v>21604938.271604937</v>
      </c>
      <c r="U486" s="28">
        <f t="shared" si="39"/>
        <v>22633744.855967075</v>
      </c>
      <c r="V486" s="28">
        <f t="shared" si="40"/>
        <v>23662551.440329216</v>
      </c>
      <c r="W486" s="28">
        <f t="shared" si="41"/>
        <v>24691358.024691354</v>
      </c>
    </row>
    <row r="487" spans="1:23" x14ac:dyDescent="0.2">
      <c r="A487" s="28">
        <v>486</v>
      </c>
      <c r="B487" s="28">
        <v>410677.61806981522</v>
      </c>
      <c r="C487" s="28">
        <f t="shared" si="21"/>
        <v>4106776.1806981522</v>
      </c>
      <c r="D487" s="28">
        <f t="shared" si="22"/>
        <v>5133470.2258726899</v>
      </c>
      <c r="E487" s="28">
        <f t="shared" si="23"/>
        <v>6160164.271047228</v>
      </c>
      <c r="F487" s="28">
        <f t="shared" si="24"/>
        <v>7186858.3162217662</v>
      </c>
      <c r="G487" s="28">
        <f t="shared" si="25"/>
        <v>8213552.3613963043</v>
      </c>
      <c r="H487" s="28">
        <f t="shared" si="26"/>
        <v>9240246.4065708425</v>
      </c>
      <c r="I487" s="28">
        <f t="shared" si="27"/>
        <v>10266940.45174538</v>
      </c>
      <c r="J487" s="28">
        <f t="shared" si="28"/>
        <v>11293634.496919919</v>
      </c>
      <c r="K487" s="28">
        <f t="shared" si="29"/>
        <v>12320328.542094456</v>
      </c>
      <c r="L487" s="28">
        <f t="shared" si="30"/>
        <v>13347022.587268995</v>
      </c>
      <c r="M487" s="28">
        <f t="shared" si="31"/>
        <v>14373716.632443532</v>
      </c>
      <c r="N487" s="28">
        <f t="shared" si="32"/>
        <v>15400410.677618071</v>
      </c>
      <c r="O487" s="28">
        <f t="shared" si="33"/>
        <v>16427104.722792609</v>
      </c>
      <c r="P487" s="28">
        <f t="shared" si="34"/>
        <v>17453798.767967146</v>
      </c>
      <c r="Q487" s="28">
        <f t="shared" si="35"/>
        <v>18480492.813141685</v>
      </c>
      <c r="R487" s="28">
        <f t="shared" si="36"/>
        <v>19507186.858316224</v>
      </c>
      <c r="S487" s="28">
        <f t="shared" si="37"/>
        <v>20533880.903490759</v>
      </c>
      <c r="T487" s="28">
        <f t="shared" si="38"/>
        <v>21560574.948665299</v>
      </c>
      <c r="U487" s="28">
        <f t="shared" si="39"/>
        <v>22587268.993839838</v>
      </c>
      <c r="V487" s="28">
        <f t="shared" si="40"/>
        <v>23613963.039014377</v>
      </c>
      <c r="W487" s="28">
        <f t="shared" si="41"/>
        <v>24640657.084188912</v>
      </c>
    </row>
    <row r="488" spans="1:23" x14ac:dyDescent="0.2">
      <c r="A488" s="28">
        <v>487</v>
      </c>
      <c r="B488" s="28">
        <v>409836.06557377049</v>
      </c>
      <c r="C488" s="28">
        <f t="shared" si="21"/>
        <v>4098360.6557377051</v>
      </c>
      <c r="D488" s="28">
        <f t="shared" si="22"/>
        <v>5122950.819672131</v>
      </c>
      <c r="E488" s="28">
        <f t="shared" si="23"/>
        <v>6147540.9836065574</v>
      </c>
      <c r="F488" s="28">
        <f t="shared" si="24"/>
        <v>7172131.1475409837</v>
      </c>
      <c r="G488" s="28">
        <f t="shared" si="25"/>
        <v>8196721.3114754101</v>
      </c>
      <c r="H488" s="28">
        <f t="shared" si="26"/>
        <v>9221311.4754098356</v>
      </c>
      <c r="I488" s="28">
        <f t="shared" si="27"/>
        <v>10245901.639344262</v>
      </c>
      <c r="J488" s="28">
        <f t="shared" si="28"/>
        <v>11270491.803278688</v>
      </c>
      <c r="K488" s="28">
        <f t="shared" si="29"/>
        <v>12295081.967213115</v>
      </c>
      <c r="L488" s="28">
        <f t="shared" si="30"/>
        <v>13319672.131147541</v>
      </c>
      <c r="M488" s="28">
        <f t="shared" si="31"/>
        <v>14344262.295081967</v>
      </c>
      <c r="N488" s="28">
        <f t="shared" si="32"/>
        <v>15368852.459016394</v>
      </c>
      <c r="O488" s="28">
        <f t="shared" si="33"/>
        <v>16393442.62295082</v>
      </c>
      <c r="P488" s="28">
        <f t="shared" si="34"/>
        <v>17418032.786885247</v>
      </c>
      <c r="Q488" s="28">
        <f t="shared" si="35"/>
        <v>18442622.950819671</v>
      </c>
      <c r="R488" s="28">
        <f t="shared" si="36"/>
        <v>19467213.114754099</v>
      </c>
      <c r="S488" s="28">
        <f t="shared" si="37"/>
        <v>20491803.278688524</v>
      </c>
      <c r="T488" s="28">
        <f t="shared" si="38"/>
        <v>21516393.442622952</v>
      </c>
      <c r="U488" s="28">
        <f t="shared" si="39"/>
        <v>22540983.606557377</v>
      </c>
      <c r="V488" s="28">
        <f t="shared" si="40"/>
        <v>23565573.770491805</v>
      </c>
      <c r="W488" s="28">
        <f t="shared" si="41"/>
        <v>24590163.934426229</v>
      </c>
    </row>
    <row r="489" spans="1:23" x14ac:dyDescent="0.2">
      <c r="A489" s="28">
        <v>488</v>
      </c>
      <c r="B489" s="28">
        <v>408997.95501022495</v>
      </c>
      <c r="C489" s="28">
        <f t="shared" si="21"/>
        <v>4089979.5501022497</v>
      </c>
      <c r="D489" s="28">
        <f t="shared" si="22"/>
        <v>5112474.4376278119</v>
      </c>
      <c r="E489" s="28">
        <f t="shared" si="23"/>
        <v>6134969.325153375</v>
      </c>
      <c r="F489" s="28">
        <f t="shared" si="24"/>
        <v>7157464.2126789372</v>
      </c>
      <c r="G489" s="28">
        <f t="shared" si="25"/>
        <v>8179959.1002044994</v>
      </c>
      <c r="H489" s="28">
        <f t="shared" si="26"/>
        <v>9202453.9877300616</v>
      </c>
      <c r="I489" s="28">
        <f t="shared" si="27"/>
        <v>10224948.875255624</v>
      </c>
      <c r="J489" s="28">
        <f t="shared" si="28"/>
        <v>11247443.762781186</v>
      </c>
      <c r="K489" s="28">
        <f t="shared" si="29"/>
        <v>12269938.65030675</v>
      </c>
      <c r="L489" s="28">
        <f t="shared" si="30"/>
        <v>13292433.537832312</v>
      </c>
      <c r="M489" s="28">
        <f t="shared" si="31"/>
        <v>14314928.425357874</v>
      </c>
      <c r="N489" s="28">
        <f t="shared" si="32"/>
        <v>15337423.312883437</v>
      </c>
      <c r="O489" s="28">
        <f t="shared" si="33"/>
        <v>16359918.200408999</v>
      </c>
      <c r="P489" s="28">
        <f t="shared" si="34"/>
        <v>17382413.087934561</v>
      </c>
      <c r="Q489" s="28">
        <f t="shared" si="35"/>
        <v>18404907.975460123</v>
      </c>
      <c r="R489" s="28">
        <f t="shared" si="36"/>
        <v>19427402.862985685</v>
      </c>
      <c r="S489" s="28">
        <f t="shared" si="37"/>
        <v>20449897.750511248</v>
      </c>
      <c r="T489" s="28">
        <f t="shared" si="38"/>
        <v>21472392.63803681</v>
      </c>
      <c r="U489" s="28">
        <f t="shared" si="39"/>
        <v>22494887.525562372</v>
      </c>
      <c r="V489" s="28">
        <f t="shared" si="40"/>
        <v>23517382.413087934</v>
      </c>
      <c r="W489" s="28">
        <f t="shared" si="41"/>
        <v>24539877.3006135</v>
      </c>
    </row>
    <row r="490" spans="1:23" x14ac:dyDescent="0.2">
      <c r="A490" s="28">
        <v>489</v>
      </c>
      <c r="B490" s="28">
        <v>408163.26530612248</v>
      </c>
      <c r="C490" s="28">
        <f t="shared" si="21"/>
        <v>4081632.6530612251</v>
      </c>
      <c r="D490" s="28">
        <f t="shared" si="22"/>
        <v>5102040.8163265316</v>
      </c>
      <c r="E490" s="28">
        <f t="shared" si="23"/>
        <v>6122448.9795918372</v>
      </c>
      <c r="F490" s="28">
        <f t="shared" si="24"/>
        <v>7142857.1428571437</v>
      </c>
      <c r="G490" s="28">
        <f t="shared" si="25"/>
        <v>8163265.3061224502</v>
      </c>
      <c r="H490" s="28">
        <f t="shared" si="26"/>
        <v>9183673.4693877567</v>
      </c>
      <c r="I490" s="28">
        <f t="shared" si="27"/>
        <v>10204081.632653063</v>
      </c>
      <c r="J490" s="28">
        <f t="shared" si="28"/>
        <v>11224489.79591837</v>
      </c>
      <c r="K490" s="28">
        <f t="shared" si="29"/>
        <v>12244897.959183674</v>
      </c>
      <c r="L490" s="28">
        <f t="shared" si="30"/>
        <v>13265306.122448981</v>
      </c>
      <c r="M490" s="28">
        <f t="shared" si="31"/>
        <v>14285714.285714287</v>
      </c>
      <c r="N490" s="28">
        <f t="shared" si="32"/>
        <v>15306122.448979594</v>
      </c>
      <c r="O490" s="28">
        <f t="shared" si="33"/>
        <v>16326530.6122449</v>
      </c>
      <c r="P490" s="28">
        <f t="shared" si="34"/>
        <v>17346938.775510207</v>
      </c>
      <c r="Q490" s="28">
        <f t="shared" si="35"/>
        <v>18367346.938775513</v>
      </c>
      <c r="R490" s="28">
        <f t="shared" si="36"/>
        <v>19387755.10204082</v>
      </c>
      <c r="S490" s="28">
        <f t="shared" si="37"/>
        <v>20408163.265306126</v>
      </c>
      <c r="T490" s="28">
        <f t="shared" si="38"/>
        <v>21428571.428571433</v>
      </c>
      <c r="U490" s="28">
        <f t="shared" si="39"/>
        <v>22448979.591836739</v>
      </c>
      <c r="V490" s="28">
        <f t="shared" si="40"/>
        <v>23469387.755102046</v>
      </c>
      <c r="W490" s="28">
        <f t="shared" si="41"/>
        <v>24489795.918367349</v>
      </c>
    </row>
    <row r="491" spans="1:23" x14ac:dyDescent="0.2">
      <c r="A491" s="28">
        <v>490</v>
      </c>
      <c r="B491" s="28">
        <v>407331.97556008142</v>
      </c>
      <c r="C491" s="28">
        <f t="shared" si="21"/>
        <v>4073319.7556008142</v>
      </c>
      <c r="D491" s="28">
        <f t="shared" si="22"/>
        <v>5091649.6945010182</v>
      </c>
      <c r="E491" s="28">
        <f t="shared" si="23"/>
        <v>6109979.6334012216</v>
      </c>
      <c r="F491" s="28">
        <f t="shared" si="24"/>
        <v>7128309.572301425</v>
      </c>
      <c r="G491" s="28">
        <f t="shared" si="25"/>
        <v>8146639.5112016285</v>
      </c>
      <c r="H491" s="28">
        <f t="shared" si="26"/>
        <v>9164969.4501018319</v>
      </c>
      <c r="I491" s="28">
        <f t="shared" si="27"/>
        <v>10183299.389002036</v>
      </c>
      <c r="J491" s="28">
        <f t="shared" si="28"/>
        <v>11201629.327902239</v>
      </c>
      <c r="K491" s="28">
        <f t="shared" si="29"/>
        <v>12219959.266802443</v>
      </c>
      <c r="L491" s="28">
        <f t="shared" si="30"/>
        <v>13238289.205702646</v>
      </c>
      <c r="M491" s="28">
        <f t="shared" si="31"/>
        <v>14256619.14460285</v>
      </c>
      <c r="N491" s="28">
        <f t="shared" si="32"/>
        <v>15274949.083503053</v>
      </c>
      <c r="O491" s="28">
        <f t="shared" si="33"/>
        <v>16293279.022403257</v>
      </c>
      <c r="P491" s="28">
        <f t="shared" si="34"/>
        <v>17311608.961303461</v>
      </c>
      <c r="Q491" s="28">
        <f t="shared" si="35"/>
        <v>18329938.900203664</v>
      </c>
      <c r="R491" s="28">
        <f t="shared" si="36"/>
        <v>19348268.839103866</v>
      </c>
      <c r="S491" s="28">
        <f t="shared" si="37"/>
        <v>20366598.778004073</v>
      </c>
      <c r="T491" s="28">
        <f t="shared" si="38"/>
        <v>21384928.716904275</v>
      </c>
      <c r="U491" s="28">
        <f t="shared" si="39"/>
        <v>22403258.655804478</v>
      </c>
      <c r="V491" s="28">
        <f t="shared" si="40"/>
        <v>23421588.59470468</v>
      </c>
      <c r="W491" s="28">
        <f t="shared" si="41"/>
        <v>24439918.533604886</v>
      </c>
    </row>
    <row r="492" spans="1:23" x14ac:dyDescent="0.2">
      <c r="A492" s="28">
        <v>491</v>
      </c>
      <c r="B492" s="28">
        <v>406504.06504065037</v>
      </c>
      <c r="C492" s="28">
        <f t="shared" si="21"/>
        <v>4065040.6504065036</v>
      </c>
      <c r="D492" s="28">
        <f t="shared" si="22"/>
        <v>5081300.8130081296</v>
      </c>
      <c r="E492" s="28">
        <f t="shared" si="23"/>
        <v>6097560.9756097551</v>
      </c>
      <c r="F492" s="28">
        <f t="shared" si="24"/>
        <v>7113821.1382113816</v>
      </c>
      <c r="G492" s="28">
        <f t="shared" si="25"/>
        <v>8130081.3008130072</v>
      </c>
      <c r="H492" s="28">
        <f t="shared" si="26"/>
        <v>9146341.4634146336</v>
      </c>
      <c r="I492" s="28">
        <f t="shared" si="27"/>
        <v>10162601.626016259</v>
      </c>
      <c r="J492" s="28">
        <f t="shared" si="28"/>
        <v>11178861.788617885</v>
      </c>
      <c r="K492" s="28">
        <f t="shared" si="29"/>
        <v>12195121.95121951</v>
      </c>
      <c r="L492" s="28">
        <f t="shared" si="30"/>
        <v>13211382.113821136</v>
      </c>
      <c r="M492" s="28">
        <f t="shared" si="31"/>
        <v>14227642.276422763</v>
      </c>
      <c r="N492" s="28">
        <f t="shared" si="32"/>
        <v>15243902.439024389</v>
      </c>
      <c r="O492" s="28">
        <f t="shared" si="33"/>
        <v>16260162.601626014</v>
      </c>
      <c r="P492" s="28">
        <f t="shared" si="34"/>
        <v>17276422.76422764</v>
      </c>
      <c r="Q492" s="28">
        <f t="shared" si="35"/>
        <v>18292682.926829267</v>
      </c>
      <c r="R492" s="28">
        <f t="shared" si="36"/>
        <v>19308943.089430891</v>
      </c>
      <c r="S492" s="28">
        <f t="shared" si="37"/>
        <v>20325203.252032518</v>
      </c>
      <c r="T492" s="28">
        <f t="shared" si="38"/>
        <v>21341463.414634142</v>
      </c>
      <c r="U492" s="28">
        <f t="shared" si="39"/>
        <v>22357723.577235769</v>
      </c>
      <c r="V492" s="28">
        <f t="shared" si="40"/>
        <v>23373983.739837397</v>
      </c>
      <c r="W492" s="28">
        <f t="shared" si="41"/>
        <v>24390243.902439021</v>
      </c>
    </row>
    <row r="493" spans="1:23" x14ac:dyDescent="0.2">
      <c r="A493" s="28">
        <v>492</v>
      </c>
      <c r="B493" s="28">
        <v>405679.51318458415</v>
      </c>
      <c r="C493" s="28">
        <f t="shared" si="21"/>
        <v>4056795.1318458416</v>
      </c>
      <c r="D493" s="28">
        <f t="shared" si="22"/>
        <v>5070993.9148073019</v>
      </c>
      <c r="E493" s="28">
        <f t="shared" si="23"/>
        <v>6085192.6977687627</v>
      </c>
      <c r="F493" s="28">
        <f t="shared" si="24"/>
        <v>7099391.4807302225</v>
      </c>
      <c r="G493" s="28">
        <f t="shared" si="25"/>
        <v>8113590.2636916833</v>
      </c>
      <c r="H493" s="28">
        <f t="shared" si="26"/>
        <v>9127789.0466531441</v>
      </c>
      <c r="I493" s="28">
        <f t="shared" si="27"/>
        <v>10141987.829614604</v>
      </c>
      <c r="J493" s="28">
        <f t="shared" si="28"/>
        <v>11156186.612576064</v>
      </c>
      <c r="K493" s="28">
        <f t="shared" si="29"/>
        <v>12170385.395537525</v>
      </c>
      <c r="L493" s="28">
        <f t="shared" si="30"/>
        <v>13184584.178498985</v>
      </c>
      <c r="M493" s="28">
        <f t="shared" si="31"/>
        <v>14198782.961460445</v>
      </c>
      <c r="N493" s="28">
        <f t="shared" si="32"/>
        <v>15212981.744421907</v>
      </c>
      <c r="O493" s="28">
        <f t="shared" si="33"/>
        <v>16227180.527383367</v>
      </c>
      <c r="P493" s="28">
        <f t="shared" si="34"/>
        <v>17241379.310344826</v>
      </c>
      <c r="Q493" s="28">
        <f t="shared" si="35"/>
        <v>18255578.093306288</v>
      </c>
      <c r="R493" s="28">
        <f t="shared" si="36"/>
        <v>19269776.876267746</v>
      </c>
      <c r="S493" s="28">
        <f t="shared" si="37"/>
        <v>20283975.659229208</v>
      </c>
      <c r="T493" s="28">
        <f t="shared" si="38"/>
        <v>21298174.442190669</v>
      </c>
      <c r="U493" s="28">
        <f t="shared" si="39"/>
        <v>22312373.225152127</v>
      </c>
      <c r="V493" s="28">
        <f t="shared" si="40"/>
        <v>23326572.008113589</v>
      </c>
      <c r="W493" s="28">
        <f t="shared" si="41"/>
        <v>24340770.791075051</v>
      </c>
    </row>
    <row r="494" spans="1:23" x14ac:dyDescent="0.2">
      <c r="A494" s="28">
        <v>493</v>
      </c>
      <c r="B494" s="28">
        <v>404858.29959514173</v>
      </c>
      <c r="C494" s="28">
        <f t="shared" si="21"/>
        <v>4048582.9959514174</v>
      </c>
      <c r="D494" s="28">
        <f t="shared" si="22"/>
        <v>5060728.7449392714</v>
      </c>
      <c r="E494" s="28">
        <f t="shared" si="23"/>
        <v>6072874.4939271258</v>
      </c>
      <c r="F494" s="28">
        <f t="shared" si="24"/>
        <v>7085020.2429149803</v>
      </c>
      <c r="G494" s="28">
        <f t="shared" si="25"/>
        <v>8097165.9919028347</v>
      </c>
      <c r="H494" s="28">
        <f t="shared" si="26"/>
        <v>9109311.7408906892</v>
      </c>
      <c r="I494" s="28">
        <f t="shared" si="27"/>
        <v>10121457.489878543</v>
      </c>
      <c r="J494" s="28">
        <f t="shared" si="28"/>
        <v>11133603.238866398</v>
      </c>
      <c r="K494" s="28">
        <f t="shared" si="29"/>
        <v>12145748.987854252</v>
      </c>
      <c r="L494" s="28">
        <f t="shared" si="30"/>
        <v>13157894.736842107</v>
      </c>
      <c r="M494" s="28">
        <f t="shared" si="31"/>
        <v>14170040.485829961</v>
      </c>
      <c r="N494" s="28">
        <f t="shared" si="32"/>
        <v>15182186.234817816</v>
      </c>
      <c r="O494" s="28">
        <f t="shared" si="33"/>
        <v>16194331.983805669</v>
      </c>
      <c r="P494" s="28">
        <f t="shared" si="34"/>
        <v>17206477.732793525</v>
      </c>
      <c r="Q494" s="28">
        <f t="shared" si="35"/>
        <v>18218623.481781378</v>
      </c>
      <c r="R494" s="28">
        <f t="shared" si="36"/>
        <v>19230769.230769232</v>
      </c>
      <c r="S494" s="28">
        <f t="shared" si="37"/>
        <v>20242914.979757085</v>
      </c>
      <c r="T494" s="28">
        <f t="shared" si="38"/>
        <v>21255060.728744943</v>
      </c>
      <c r="U494" s="28">
        <f t="shared" si="39"/>
        <v>22267206.477732796</v>
      </c>
      <c r="V494" s="28">
        <f t="shared" si="40"/>
        <v>23279352.22672065</v>
      </c>
      <c r="W494" s="28">
        <f t="shared" si="41"/>
        <v>24291497.975708503</v>
      </c>
    </row>
    <row r="495" spans="1:23" x14ac:dyDescent="0.2">
      <c r="A495" s="28">
        <v>494</v>
      </c>
      <c r="B495" s="28">
        <v>404040.40404040401</v>
      </c>
      <c r="C495" s="28">
        <f t="shared" si="21"/>
        <v>4040404.0404040404</v>
      </c>
      <c r="D495" s="28">
        <f t="shared" si="22"/>
        <v>5050505.0505050505</v>
      </c>
      <c r="E495" s="28">
        <f t="shared" si="23"/>
        <v>6060606.0606060605</v>
      </c>
      <c r="F495" s="28">
        <f t="shared" si="24"/>
        <v>7070707.0707070706</v>
      </c>
      <c r="G495" s="28">
        <f t="shared" si="25"/>
        <v>8080808.0808080807</v>
      </c>
      <c r="H495" s="28">
        <f t="shared" si="26"/>
        <v>9090909.0909090899</v>
      </c>
      <c r="I495" s="28">
        <f t="shared" si="27"/>
        <v>10101010.101010101</v>
      </c>
      <c r="J495" s="28">
        <f t="shared" si="28"/>
        <v>11111111.111111112</v>
      </c>
      <c r="K495" s="28">
        <f t="shared" si="29"/>
        <v>12121212.121212121</v>
      </c>
      <c r="L495" s="28">
        <f t="shared" si="30"/>
        <v>13131313.13131313</v>
      </c>
      <c r="M495" s="28">
        <f t="shared" si="31"/>
        <v>14141414.141414141</v>
      </c>
      <c r="N495" s="28">
        <f t="shared" si="32"/>
        <v>15151515.151515152</v>
      </c>
      <c r="O495" s="28">
        <f t="shared" si="33"/>
        <v>16161616.161616161</v>
      </c>
      <c r="P495" s="28">
        <f t="shared" si="34"/>
        <v>17171717.171717171</v>
      </c>
      <c r="Q495" s="28">
        <f t="shared" si="35"/>
        <v>18181818.18181818</v>
      </c>
      <c r="R495" s="28">
        <f t="shared" si="36"/>
        <v>19191919.191919193</v>
      </c>
      <c r="S495" s="28">
        <f t="shared" si="37"/>
        <v>20202020.202020202</v>
      </c>
      <c r="T495" s="28">
        <f t="shared" si="38"/>
        <v>21212121.212121211</v>
      </c>
      <c r="U495" s="28">
        <f t="shared" si="39"/>
        <v>22222222.222222224</v>
      </c>
      <c r="V495" s="28">
        <f t="shared" si="40"/>
        <v>23232323.232323233</v>
      </c>
      <c r="W495" s="28">
        <f t="shared" si="41"/>
        <v>24242424.242424242</v>
      </c>
    </row>
    <row r="496" spans="1:23" x14ac:dyDescent="0.2">
      <c r="A496" s="28">
        <v>495</v>
      </c>
      <c r="B496" s="28">
        <v>403225.80645161291</v>
      </c>
      <c r="C496" s="28">
        <f t="shared" si="21"/>
        <v>4032258.064516129</v>
      </c>
      <c r="D496" s="28">
        <f t="shared" si="22"/>
        <v>5040322.5806451607</v>
      </c>
      <c r="E496" s="28">
        <f t="shared" si="23"/>
        <v>6048387.0967741935</v>
      </c>
      <c r="F496" s="28">
        <f t="shared" si="24"/>
        <v>7056451.6129032262</v>
      </c>
      <c r="G496" s="28">
        <f t="shared" si="25"/>
        <v>8064516.1290322579</v>
      </c>
      <c r="H496" s="28">
        <f t="shared" si="26"/>
        <v>9072580.6451612897</v>
      </c>
      <c r="I496" s="28">
        <f t="shared" si="27"/>
        <v>10080645.161290321</v>
      </c>
      <c r="J496" s="28">
        <f t="shared" si="28"/>
        <v>11088709.677419355</v>
      </c>
      <c r="K496" s="28">
        <f t="shared" si="29"/>
        <v>12096774.193548387</v>
      </c>
      <c r="L496" s="28">
        <f t="shared" si="30"/>
        <v>13104838.709677419</v>
      </c>
      <c r="M496" s="28">
        <f t="shared" si="31"/>
        <v>14112903.225806452</v>
      </c>
      <c r="N496" s="28">
        <f t="shared" si="32"/>
        <v>15120967.741935484</v>
      </c>
      <c r="O496" s="28">
        <f t="shared" si="33"/>
        <v>16129032.258064516</v>
      </c>
      <c r="P496" s="28">
        <f t="shared" si="34"/>
        <v>17137096.774193548</v>
      </c>
      <c r="Q496" s="28">
        <f t="shared" si="35"/>
        <v>18145161.290322579</v>
      </c>
      <c r="R496" s="28">
        <f t="shared" si="36"/>
        <v>19153225.806451611</v>
      </c>
      <c r="S496" s="28">
        <f t="shared" si="37"/>
        <v>20161290.322580643</v>
      </c>
      <c r="T496" s="28">
        <f t="shared" si="38"/>
        <v>21169354.838709679</v>
      </c>
      <c r="U496" s="28">
        <f t="shared" si="39"/>
        <v>22177419.35483871</v>
      </c>
      <c r="V496" s="28">
        <f t="shared" si="40"/>
        <v>23185483.870967742</v>
      </c>
      <c r="W496" s="28">
        <f t="shared" si="41"/>
        <v>24193548.387096774</v>
      </c>
    </row>
    <row r="497" spans="1:23" x14ac:dyDescent="0.2">
      <c r="A497" s="28">
        <v>496</v>
      </c>
      <c r="B497" s="28">
        <v>402414.48692152917</v>
      </c>
      <c r="C497" s="28">
        <f t="shared" si="21"/>
        <v>4024144.8692152919</v>
      </c>
      <c r="D497" s="28">
        <f t="shared" si="22"/>
        <v>5030181.0865191147</v>
      </c>
      <c r="E497" s="28">
        <f t="shared" si="23"/>
        <v>6036217.3038229384</v>
      </c>
      <c r="F497" s="28">
        <f t="shared" si="24"/>
        <v>7042253.5211267611</v>
      </c>
      <c r="G497" s="28">
        <f t="shared" si="25"/>
        <v>8048289.7384305838</v>
      </c>
      <c r="H497" s="28">
        <f t="shared" si="26"/>
        <v>9054325.9557344075</v>
      </c>
      <c r="I497" s="28">
        <f t="shared" si="27"/>
        <v>10060362.173038229</v>
      </c>
      <c r="J497" s="28">
        <f t="shared" si="28"/>
        <v>11066398.390342053</v>
      </c>
      <c r="K497" s="28">
        <f t="shared" si="29"/>
        <v>12072434.607645877</v>
      </c>
      <c r="L497" s="28">
        <f t="shared" si="30"/>
        <v>13078470.824949699</v>
      </c>
      <c r="M497" s="28">
        <f t="shared" si="31"/>
        <v>14084507.042253522</v>
      </c>
      <c r="N497" s="28">
        <f t="shared" si="32"/>
        <v>15090543.259557344</v>
      </c>
      <c r="O497" s="28">
        <f t="shared" si="33"/>
        <v>16096579.476861168</v>
      </c>
      <c r="P497" s="28">
        <f t="shared" si="34"/>
        <v>17102615.694164991</v>
      </c>
      <c r="Q497" s="28">
        <f t="shared" si="35"/>
        <v>18108651.911468815</v>
      </c>
      <c r="R497" s="28">
        <f t="shared" si="36"/>
        <v>19114688.128772635</v>
      </c>
      <c r="S497" s="28">
        <f t="shared" si="37"/>
        <v>20120724.346076459</v>
      </c>
      <c r="T497" s="28">
        <f t="shared" si="38"/>
        <v>21126760.563380282</v>
      </c>
      <c r="U497" s="28">
        <f t="shared" si="39"/>
        <v>22132796.780684106</v>
      </c>
      <c r="V497" s="28">
        <f t="shared" si="40"/>
        <v>23138832.99798793</v>
      </c>
      <c r="W497" s="28">
        <f t="shared" si="41"/>
        <v>24144869.215291753</v>
      </c>
    </row>
    <row r="498" spans="1:23" x14ac:dyDescent="0.2">
      <c r="A498" s="28">
        <v>497</v>
      </c>
      <c r="B498" s="28">
        <v>401606.42570281122</v>
      </c>
      <c r="C498" s="28">
        <f t="shared" si="21"/>
        <v>4016064.2570281122</v>
      </c>
      <c r="D498" s="28">
        <f t="shared" si="22"/>
        <v>5020080.3212851398</v>
      </c>
      <c r="E498" s="28">
        <f t="shared" si="23"/>
        <v>6024096.3855421683</v>
      </c>
      <c r="F498" s="28">
        <f t="shared" si="24"/>
        <v>7028112.4497991968</v>
      </c>
      <c r="G498" s="28">
        <f t="shared" si="25"/>
        <v>8032128.5140562244</v>
      </c>
      <c r="H498" s="28">
        <f t="shared" si="26"/>
        <v>9036144.578313252</v>
      </c>
      <c r="I498" s="28">
        <f t="shared" si="27"/>
        <v>10040160.64257028</v>
      </c>
      <c r="J498" s="28">
        <f t="shared" si="28"/>
        <v>11044176.706827309</v>
      </c>
      <c r="K498" s="28">
        <f t="shared" si="29"/>
        <v>12048192.771084337</v>
      </c>
      <c r="L498" s="28">
        <f t="shared" si="30"/>
        <v>13052208.835341364</v>
      </c>
      <c r="M498" s="28">
        <f t="shared" si="31"/>
        <v>14056224.899598394</v>
      </c>
      <c r="N498" s="28">
        <f t="shared" si="32"/>
        <v>15060240.963855421</v>
      </c>
      <c r="O498" s="28">
        <f t="shared" si="33"/>
        <v>16064257.028112449</v>
      </c>
      <c r="P498" s="28">
        <f t="shared" si="34"/>
        <v>17068273.092369478</v>
      </c>
      <c r="Q498" s="28">
        <f t="shared" si="35"/>
        <v>18072289.156626504</v>
      </c>
      <c r="R498" s="28">
        <f t="shared" si="36"/>
        <v>19076305.220883533</v>
      </c>
      <c r="S498" s="28">
        <f t="shared" si="37"/>
        <v>20080321.285140559</v>
      </c>
      <c r="T498" s="28">
        <f t="shared" si="38"/>
        <v>21084337.349397589</v>
      </c>
      <c r="U498" s="28">
        <f t="shared" si="39"/>
        <v>22088353.413654618</v>
      </c>
      <c r="V498" s="28">
        <f t="shared" si="40"/>
        <v>23092369.477911644</v>
      </c>
      <c r="W498" s="28">
        <f t="shared" si="41"/>
        <v>24096385.542168673</v>
      </c>
    </row>
    <row r="499" spans="1:23" x14ac:dyDescent="0.2">
      <c r="A499" s="28">
        <v>498</v>
      </c>
      <c r="B499" s="28">
        <v>400801.60320641281</v>
      </c>
      <c r="C499" s="28">
        <f t="shared" si="21"/>
        <v>4008016.0320641282</v>
      </c>
      <c r="D499" s="28">
        <f t="shared" si="22"/>
        <v>5010020.0400801599</v>
      </c>
      <c r="E499" s="28">
        <f t="shared" si="23"/>
        <v>6012024.0480961921</v>
      </c>
      <c r="F499" s="28">
        <f t="shared" si="24"/>
        <v>7014028.0561122242</v>
      </c>
      <c r="G499" s="28">
        <f t="shared" si="25"/>
        <v>8016032.0641282564</v>
      </c>
      <c r="H499" s="28">
        <f t="shared" si="26"/>
        <v>9018036.0721442886</v>
      </c>
      <c r="I499" s="28">
        <f t="shared" si="27"/>
        <v>10020040.08016032</v>
      </c>
      <c r="J499" s="28">
        <f t="shared" si="28"/>
        <v>11022044.088176353</v>
      </c>
      <c r="K499" s="28">
        <f t="shared" si="29"/>
        <v>12024048.096192384</v>
      </c>
      <c r="L499" s="28">
        <f t="shared" si="30"/>
        <v>13026052.104208417</v>
      </c>
      <c r="M499" s="28">
        <f t="shared" si="31"/>
        <v>14028056.112224448</v>
      </c>
      <c r="N499" s="28">
        <f t="shared" si="32"/>
        <v>15030060.120240482</v>
      </c>
      <c r="O499" s="28">
        <f t="shared" si="33"/>
        <v>16032064.128256513</v>
      </c>
      <c r="P499" s="28">
        <f t="shared" si="34"/>
        <v>17034068.136272546</v>
      </c>
      <c r="Q499" s="28">
        <f t="shared" si="35"/>
        <v>18036072.144288577</v>
      </c>
      <c r="R499" s="28">
        <f t="shared" si="36"/>
        <v>19038076.152304608</v>
      </c>
      <c r="S499" s="28">
        <f t="shared" si="37"/>
        <v>20040080.16032064</v>
      </c>
      <c r="T499" s="28">
        <f t="shared" si="38"/>
        <v>21042084.168336675</v>
      </c>
      <c r="U499" s="28">
        <f t="shared" si="39"/>
        <v>22044088.176352706</v>
      </c>
      <c r="V499" s="28">
        <f t="shared" si="40"/>
        <v>23046092.184368737</v>
      </c>
      <c r="W499" s="28">
        <f t="shared" si="41"/>
        <v>24048096.192384768</v>
      </c>
    </row>
    <row r="500" spans="1:23" x14ac:dyDescent="0.2">
      <c r="A500" s="28">
        <v>499</v>
      </c>
      <c r="B500" s="28">
        <v>400000</v>
      </c>
      <c r="C500" s="28">
        <f t="shared" si="21"/>
        <v>4000000</v>
      </c>
      <c r="D500" s="28">
        <f t="shared" si="22"/>
        <v>5000000</v>
      </c>
      <c r="E500" s="28">
        <f t="shared" si="23"/>
        <v>6000000</v>
      </c>
      <c r="F500" s="28">
        <f t="shared" si="24"/>
        <v>7000000</v>
      </c>
      <c r="G500" s="28">
        <f t="shared" si="25"/>
        <v>8000000</v>
      </c>
      <c r="H500" s="28">
        <f t="shared" si="26"/>
        <v>9000000</v>
      </c>
      <c r="I500" s="28">
        <f t="shared" si="27"/>
        <v>10000000</v>
      </c>
      <c r="J500" s="28">
        <f t="shared" si="28"/>
        <v>11000000</v>
      </c>
      <c r="K500" s="28">
        <f t="shared" si="29"/>
        <v>12000000</v>
      </c>
      <c r="L500" s="28">
        <f t="shared" si="30"/>
        <v>13000000</v>
      </c>
      <c r="M500" s="28">
        <f t="shared" si="31"/>
        <v>14000000</v>
      </c>
      <c r="N500" s="28">
        <f t="shared" si="32"/>
        <v>15000000</v>
      </c>
      <c r="O500" s="28">
        <f t="shared" si="33"/>
        <v>16000000</v>
      </c>
      <c r="P500" s="28">
        <f t="shared" si="34"/>
        <v>17000000</v>
      </c>
      <c r="Q500" s="28">
        <f t="shared" si="35"/>
        <v>18000000</v>
      </c>
      <c r="R500" s="28">
        <f t="shared" si="36"/>
        <v>19000000</v>
      </c>
      <c r="S500" s="28">
        <f t="shared" si="37"/>
        <v>20000000</v>
      </c>
      <c r="T500" s="28">
        <f t="shared" si="38"/>
        <v>21000000</v>
      </c>
      <c r="U500" s="28">
        <f t="shared" si="39"/>
        <v>22000000</v>
      </c>
      <c r="V500" s="28">
        <f t="shared" si="40"/>
        <v>23000000</v>
      </c>
      <c r="W500" s="28">
        <f t="shared" si="41"/>
        <v>24000000</v>
      </c>
    </row>
    <row r="501" spans="1:23" x14ac:dyDescent="0.2">
      <c r="A501" s="28">
        <v>500</v>
      </c>
      <c r="B501" s="28">
        <v>399201.59680638724</v>
      </c>
      <c r="C501" s="28">
        <f t="shared" si="21"/>
        <v>3992015.9680638723</v>
      </c>
      <c r="D501" s="28">
        <f t="shared" si="22"/>
        <v>4990019.9600798404</v>
      </c>
      <c r="E501" s="28">
        <f t="shared" si="23"/>
        <v>5988023.9520958085</v>
      </c>
      <c r="F501" s="28">
        <f t="shared" si="24"/>
        <v>6986027.9441117765</v>
      </c>
      <c r="G501" s="28">
        <f t="shared" si="25"/>
        <v>7984031.9361277446</v>
      </c>
      <c r="H501" s="28">
        <f t="shared" si="26"/>
        <v>8982035.9281437136</v>
      </c>
      <c r="I501" s="28">
        <f t="shared" si="27"/>
        <v>9980039.9201596808</v>
      </c>
      <c r="J501" s="28">
        <f t="shared" si="28"/>
        <v>10978043.912175648</v>
      </c>
      <c r="K501" s="28">
        <f t="shared" si="29"/>
        <v>11976047.904191617</v>
      </c>
      <c r="L501" s="28">
        <f t="shared" si="30"/>
        <v>12974051.896207586</v>
      </c>
      <c r="M501" s="28">
        <f t="shared" si="31"/>
        <v>13972055.888223553</v>
      </c>
      <c r="N501" s="28">
        <f t="shared" si="32"/>
        <v>14970059.88023952</v>
      </c>
      <c r="O501" s="28">
        <f t="shared" si="33"/>
        <v>15968063.872255489</v>
      </c>
      <c r="P501" s="28">
        <f t="shared" si="34"/>
        <v>16966067.864271458</v>
      </c>
      <c r="Q501" s="28">
        <f t="shared" si="35"/>
        <v>17964071.856287427</v>
      </c>
      <c r="R501" s="28">
        <f t="shared" si="36"/>
        <v>18962075.848303393</v>
      </c>
      <c r="S501" s="28">
        <f t="shared" si="37"/>
        <v>19960079.840319362</v>
      </c>
      <c r="T501" s="28">
        <f t="shared" si="38"/>
        <v>20958083.832335331</v>
      </c>
      <c r="U501" s="28">
        <f t="shared" si="39"/>
        <v>21956087.824351296</v>
      </c>
      <c r="V501" s="28">
        <f t="shared" si="40"/>
        <v>22954091.816367265</v>
      </c>
      <c r="W501" s="28">
        <f t="shared" si="41"/>
        <v>23952095.808383234</v>
      </c>
    </row>
    <row r="502" spans="1:23" x14ac:dyDescent="0.2">
      <c r="A502" s="28">
        <v>501</v>
      </c>
      <c r="B502" s="28">
        <v>398406.37450199202</v>
      </c>
      <c r="C502" s="28">
        <f t="shared" si="21"/>
        <v>3984063.7450199202</v>
      </c>
      <c r="D502" s="28">
        <f t="shared" si="22"/>
        <v>4980079.6812749002</v>
      </c>
      <c r="E502" s="28">
        <f t="shared" si="23"/>
        <v>5976095.6175298803</v>
      </c>
      <c r="F502" s="28">
        <f t="shared" si="24"/>
        <v>6972111.5537848603</v>
      </c>
      <c r="G502" s="28">
        <f t="shared" si="25"/>
        <v>7968127.4900398403</v>
      </c>
      <c r="H502" s="28">
        <f t="shared" si="26"/>
        <v>8964143.4262948204</v>
      </c>
      <c r="I502" s="28">
        <f t="shared" si="27"/>
        <v>9960159.3625498004</v>
      </c>
      <c r="J502" s="28">
        <f t="shared" si="28"/>
        <v>10956175.29880478</v>
      </c>
      <c r="K502" s="28">
        <f t="shared" si="29"/>
        <v>11952191.235059761</v>
      </c>
      <c r="L502" s="28">
        <f t="shared" si="30"/>
        <v>12948207.171314741</v>
      </c>
      <c r="M502" s="28">
        <f t="shared" si="31"/>
        <v>13944223.107569721</v>
      </c>
      <c r="N502" s="28">
        <f t="shared" si="32"/>
        <v>14940239.043824701</v>
      </c>
      <c r="O502" s="28">
        <f t="shared" si="33"/>
        <v>15936254.980079681</v>
      </c>
      <c r="P502" s="28">
        <f t="shared" si="34"/>
        <v>16932270.916334659</v>
      </c>
      <c r="Q502" s="28">
        <f t="shared" si="35"/>
        <v>17928286.852589641</v>
      </c>
      <c r="R502" s="28">
        <f t="shared" si="36"/>
        <v>18924302.788844623</v>
      </c>
      <c r="S502" s="28">
        <f t="shared" si="37"/>
        <v>19920318.725099601</v>
      </c>
      <c r="T502" s="28">
        <f t="shared" si="38"/>
        <v>20916334.661354579</v>
      </c>
      <c r="U502" s="28">
        <f t="shared" si="39"/>
        <v>21912350.597609561</v>
      </c>
      <c r="V502" s="28">
        <f t="shared" si="40"/>
        <v>22908366.533864543</v>
      </c>
      <c r="W502" s="28">
        <f t="shared" si="41"/>
        <v>23904382.470119521</v>
      </c>
    </row>
    <row r="503" spans="1:23" x14ac:dyDescent="0.2">
      <c r="A503" s="28">
        <v>502</v>
      </c>
      <c r="B503" s="28">
        <v>397614.31411530817</v>
      </c>
      <c r="C503" s="28">
        <f t="shared" si="21"/>
        <v>3976143.1411530818</v>
      </c>
      <c r="D503" s="28">
        <f t="shared" si="22"/>
        <v>4970178.9264413519</v>
      </c>
      <c r="E503" s="28">
        <f t="shared" si="23"/>
        <v>5964214.7117296224</v>
      </c>
      <c r="F503" s="28">
        <f t="shared" si="24"/>
        <v>6958250.497017893</v>
      </c>
      <c r="G503" s="28">
        <f t="shared" si="25"/>
        <v>7952286.2823061636</v>
      </c>
      <c r="H503" s="28">
        <f t="shared" si="26"/>
        <v>8946322.0675944332</v>
      </c>
      <c r="I503" s="28">
        <f t="shared" si="27"/>
        <v>9940357.8528827038</v>
      </c>
      <c r="J503" s="28">
        <f t="shared" si="28"/>
        <v>10934393.638170974</v>
      </c>
      <c r="K503" s="28">
        <f t="shared" si="29"/>
        <v>11928429.423459245</v>
      </c>
      <c r="L503" s="28">
        <f t="shared" si="30"/>
        <v>12922465.208747515</v>
      </c>
      <c r="M503" s="28">
        <f t="shared" si="31"/>
        <v>13916500.994035786</v>
      </c>
      <c r="N503" s="28">
        <f t="shared" si="32"/>
        <v>14910536.779324057</v>
      </c>
      <c r="O503" s="28">
        <f t="shared" si="33"/>
        <v>15904572.564612327</v>
      </c>
      <c r="P503" s="28">
        <f t="shared" si="34"/>
        <v>16898608.349900596</v>
      </c>
      <c r="Q503" s="28">
        <f t="shared" si="35"/>
        <v>17892644.135188866</v>
      </c>
      <c r="R503" s="28">
        <f t="shared" si="36"/>
        <v>18886679.920477137</v>
      </c>
      <c r="S503" s="28">
        <f t="shared" si="37"/>
        <v>19880715.705765408</v>
      </c>
      <c r="T503" s="28">
        <f t="shared" si="38"/>
        <v>20874751.491053678</v>
      </c>
      <c r="U503" s="28">
        <f t="shared" si="39"/>
        <v>21868787.276341949</v>
      </c>
      <c r="V503" s="28">
        <f t="shared" si="40"/>
        <v>22862823.061630219</v>
      </c>
      <c r="W503" s="28">
        <f t="shared" si="41"/>
        <v>23856858.84691849</v>
      </c>
    </row>
    <row r="504" spans="1:23" x14ac:dyDescent="0.2">
      <c r="A504" s="28">
        <v>503</v>
      </c>
      <c r="B504" s="28">
        <v>396825.39682539686</v>
      </c>
      <c r="C504" s="28">
        <f t="shared" si="21"/>
        <v>3968253.9682539687</v>
      </c>
      <c r="D504" s="28">
        <f t="shared" si="22"/>
        <v>4960317.4603174608</v>
      </c>
      <c r="E504" s="28">
        <f t="shared" si="23"/>
        <v>5952380.9523809534</v>
      </c>
      <c r="F504" s="28">
        <f t="shared" si="24"/>
        <v>6944444.444444445</v>
      </c>
      <c r="G504" s="28">
        <f t="shared" si="25"/>
        <v>7936507.9365079375</v>
      </c>
      <c r="H504" s="28">
        <f t="shared" si="26"/>
        <v>8928571.4285714291</v>
      </c>
      <c r="I504" s="28">
        <f t="shared" si="27"/>
        <v>9920634.9206349216</v>
      </c>
      <c r="J504" s="28">
        <f t="shared" si="28"/>
        <v>10912698.412698414</v>
      </c>
      <c r="K504" s="28">
        <f t="shared" si="29"/>
        <v>11904761.904761907</v>
      </c>
      <c r="L504" s="28">
        <f t="shared" si="30"/>
        <v>12896825.396825399</v>
      </c>
      <c r="M504" s="28">
        <f t="shared" si="31"/>
        <v>13888888.88888889</v>
      </c>
      <c r="N504" s="28">
        <f t="shared" si="32"/>
        <v>14880952.380952382</v>
      </c>
      <c r="O504" s="28">
        <f t="shared" si="33"/>
        <v>15873015.873015875</v>
      </c>
      <c r="P504" s="28">
        <f t="shared" si="34"/>
        <v>16865079.365079366</v>
      </c>
      <c r="Q504" s="28">
        <f t="shared" si="35"/>
        <v>17857142.857142858</v>
      </c>
      <c r="R504" s="28">
        <f t="shared" si="36"/>
        <v>18849206.349206351</v>
      </c>
      <c r="S504" s="28">
        <f t="shared" si="37"/>
        <v>19841269.841269843</v>
      </c>
      <c r="T504" s="28">
        <f t="shared" si="38"/>
        <v>20833333.333333336</v>
      </c>
      <c r="U504" s="28">
        <f t="shared" si="39"/>
        <v>21825396.825396828</v>
      </c>
      <c r="V504" s="28">
        <f t="shared" si="40"/>
        <v>22817460.317460321</v>
      </c>
      <c r="W504" s="28">
        <f t="shared" si="41"/>
        <v>23809523.809523813</v>
      </c>
    </row>
    <row r="505" spans="1:23" x14ac:dyDescent="0.2">
      <c r="A505" s="28">
        <v>504</v>
      </c>
      <c r="B505" s="28">
        <v>396039.60396039602</v>
      </c>
      <c r="C505" s="28">
        <f t="shared" si="21"/>
        <v>3960396.0396039602</v>
      </c>
      <c r="D505" s="28">
        <f t="shared" si="22"/>
        <v>4950495.0495049506</v>
      </c>
      <c r="E505" s="28">
        <f t="shared" si="23"/>
        <v>5940594.0594059406</v>
      </c>
      <c r="F505" s="28">
        <f t="shared" si="24"/>
        <v>6930693.0693069305</v>
      </c>
      <c r="G505" s="28">
        <f t="shared" si="25"/>
        <v>7920792.0792079205</v>
      </c>
      <c r="H505" s="28">
        <f t="shared" si="26"/>
        <v>8910891.0891089104</v>
      </c>
      <c r="I505" s="28">
        <f t="shared" si="27"/>
        <v>9900990.0990099013</v>
      </c>
      <c r="J505" s="28">
        <f t="shared" si="28"/>
        <v>10891089.10891089</v>
      </c>
      <c r="K505" s="28">
        <f t="shared" si="29"/>
        <v>11881188.118811881</v>
      </c>
      <c r="L505" s="28">
        <f t="shared" si="30"/>
        <v>12871287.12871287</v>
      </c>
      <c r="M505" s="28">
        <f t="shared" si="31"/>
        <v>13861386.138613861</v>
      </c>
      <c r="N505" s="28">
        <f t="shared" si="32"/>
        <v>14851485.14851485</v>
      </c>
      <c r="O505" s="28">
        <f t="shared" si="33"/>
        <v>15841584.158415841</v>
      </c>
      <c r="P505" s="28">
        <f t="shared" si="34"/>
        <v>16831683.16831683</v>
      </c>
      <c r="Q505" s="28">
        <f t="shared" si="35"/>
        <v>17821782.178217821</v>
      </c>
      <c r="R505" s="28">
        <f t="shared" si="36"/>
        <v>18811881.188118812</v>
      </c>
      <c r="S505" s="28">
        <f t="shared" si="37"/>
        <v>19801980.198019803</v>
      </c>
      <c r="T505" s="28">
        <f t="shared" si="38"/>
        <v>20792079.20792079</v>
      </c>
      <c r="U505" s="28">
        <f t="shared" si="39"/>
        <v>21782178.217821781</v>
      </c>
      <c r="V505" s="28">
        <f t="shared" si="40"/>
        <v>22772277.227722771</v>
      </c>
      <c r="W505" s="28">
        <f t="shared" si="41"/>
        <v>23762376.237623762</v>
      </c>
    </row>
    <row r="506" spans="1:23" x14ac:dyDescent="0.2">
      <c r="A506" s="28">
        <v>505</v>
      </c>
      <c r="B506" s="28">
        <v>395256.91699604742</v>
      </c>
      <c r="C506" s="28">
        <f t="shared" si="21"/>
        <v>3952569.1699604741</v>
      </c>
      <c r="D506" s="28">
        <f t="shared" si="22"/>
        <v>4940711.4624505928</v>
      </c>
      <c r="E506" s="28">
        <f t="shared" si="23"/>
        <v>5928853.754940711</v>
      </c>
      <c r="F506" s="28">
        <f t="shared" si="24"/>
        <v>6916996.0474308301</v>
      </c>
      <c r="G506" s="28">
        <f t="shared" si="25"/>
        <v>7905138.3399209483</v>
      </c>
      <c r="H506" s="28">
        <f t="shared" si="26"/>
        <v>8893280.6324110664</v>
      </c>
      <c r="I506" s="28">
        <f t="shared" si="27"/>
        <v>9881422.9249011856</v>
      </c>
      <c r="J506" s="28">
        <f t="shared" si="28"/>
        <v>10869565.217391305</v>
      </c>
      <c r="K506" s="28">
        <f t="shared" si="29"/>
        <v>11857707.509881422</v>
      </c>
      <c r="L506" s="28">
        <f t="shared" si="30"/>
        <v>12845849.802371541</v>
      </c>
      <c r="M506" s="28">
        <f t="shared" si="31"/>
        <v>13833992.09486166</v>
      </c>
      <c r="N506" s="28">
        <f t="shared" si="32"/>
        <v>14822134.387351777</v>
      </c>
      <c r="O506" s="28">
        <f t="shared" si="33"/>
        <v>15810276.679841897</v>
      </c>
      <c r="P506" s="28">
        <f t="shared" si="34"/>
        <v>16798418.972332016</v>
      </c>
      <c r="Q506" s="28">
        <f t="shared" si="35"/>
        <v>17786561.264822133</v>
      </c>
      <c r="R506" s="28">
        <f t="shared" si="36"/>
        <v>18774703.557312254</v>
      </c>
      <c r="S506" s="28">
        <f t="shared" si="37"/>
        <v>19762845.849802371</v>
      </c>
      <c r="T506" s="28">
        <f t="shared" si="38"/>
        <v>20750988.142292488</v>
      </c>
      <c r="U506" s="28">
        <f t="shared" si="39"/>
        <v>21739130.434782609</v>
      </c>
      <c r="V506" s="28">
        <f t="shared" si="40"/>
        <v>22727272.727272727</v>
      </c>
      <c r="W506" s="28">
        <f t="shared" si="41"/>
        <v>23715415.019762844</v>
      </c>
    </row>
    <row r="507" spans="1:23" x14ac:dyDescent="0.2">
      <c r="A507" s="28">
        <v>506</v>
      </c>
      <c r="B507" s="28">
        <v>394477.31755424064</v>
      </c>
      <c r="C507" s="28">
        <f t="shared" si="21"/>
        <v>3944773.1755424063</v>
      </c>
      <c r="D507" s="28">
        <f t="shared" si="22"/>
        <v>4930966.4694280075</v>
      </c>
      <c r="E507" s="28">
        <f t="shared" si="23"/>
        <v>5917159.7633136092</v>
      </c>
      <c r="F507" s="28">
        <f t="shared" si="24"/>
        <v>6903353.0571992109</v>
      </c>
      <c r="G507" s="28">
        <f t="shared" si="25"/>
        <v>7889546.3510848125</v>
      </c>
      <c r="H507" s="28">
        <f t="shared" si="26"/>
        <v>8875739.6449704133</v>
      </c>
      <c r="I507" s="28">
        <f t="shared" si="27"/>
        <v>9861932.938856015</v>
      </c>
      <c r="J507" s="28">
        <f t="shared" si="28"/>
        <v>10848126.232741617</v>
      </c>
      <c r="K507" s="28">
        <f t="shared" si="29"/>
        <v>11834319.526627218</v>
      </c>
      <c r="L507" s="28">
        <f t="shared" si="30"/>
        <v>12820512.82051282</v>
      </c>
      <c r="M507" s="28">
        <f t="shared" si="31"/>
        <v>13806706.114398422</v>
      </c>
      <c r="N507" s="28">
        <f t="shared" si="32"/>
        <v>14792899.408284023</v>
      </c>
      <c r="O507" s="28">
        <f t="shared" si="33"/>
        <v>15779092.702169625</v>
      </c>
      <c r="P507" s="28">
        <f t="shared" si="34"/>
        <v>16765285.996055227</v>
      </c>
      <c r="Q507" s="28">
        <f t="shared" si="35"/>
        <v>17751479.289940827</v>
      </c>
      <c r="R507" s="28">
        <f t="shared" si="36"/>
        <v>18737672.58382643</v>
      </c>
      <c r="S507" s="28">
        <f t="shared" si="37"/>
        <v>19723865.87771203</v>
      </c>
      <c r="T507" s="28">
        <f t="shared" si="38"/>
        <v>20710059.171597634</v>
      </c>
      <c r="U507" s="28">
        <f t="shared" si="39"/>
        <v>21696252.465483233</v>
      </c>
      <c r="V507" s="28">
        <f t="shared" si="40"/>
        <v>22682445.759368837</v>
      </c>
      <c r="W507" s="28">
        <f t="shared" si="41"/>
        <v>23668639.053254437</v>
      </c>
    </row>
    <row r="508" spans="1:23" x14ac:dyDescent="0.2">
      <c r="A508" s="28">
        <v>507</v>
      </c>
      <c r="B508" s="28">
        <v>393700.78740157478</v>
      </c>
      <c r="C508" s="28">
        <f t="shared" si="21"/>
        <v>3937007.8740157476</v>
      </c>
      <c r="D508" s="28">
        <f t="shared" si="22"/>
        <v>4921259.8425196847</v>
      </c>
      <c r="E508" s="28">
        <f t="shared" si="23"/>
        <v>5905511.8110236209</v>
      </c>
      <c r="F508" s="28">
        <f t="shared" si="24"/>
        <v>6889763.779527558</v>
      </c>
      <c r="G508" s="28">
        <f t="shared" si="25"/>
        <v>7874015.7480314951</v>
      </c>
      <c r="H508" s="28">
        <f t="shared" si="26"/>
        <v>8858267.7165354323</v>
      </c>
      <c r="I508" s="28">
        <f t="shared" si="27"/>
        <v>9842519.6850393694</v>
      </c>
      <c r="J508" s="28">
        <f t="shared" si="28"/>
        <v>10826771.653543307</v>
      </c>
      <c r="K508" s="28">
        <f t="shared" si="29"/>
        <v>11811023.622047242</v>
      </c>
      <c r="L508" s="28">
        <f t="shared" si="30"/>
        <v>12795275.590551179</v>
      </c>
      <c r="M508" s="28">
        <f t="shared" si="31"/>
        <v>13779527.559055116</v>
      </c>
      <c r="N508" s="28">
        <f t="shared" si="32"/>
        <v>14763779.527559053</v>
      </c>
      <c r="O508" s="28">
        <f t="shared" si="33"/>
        <v>15748031.49606299</v>
      </c>
      <c r="P508" s="28">
        <f t="shared" si="34"/>
        <v>16732283.464566927</v>
      </c>
      <c r="Q508" s="28">
        <f t="shared" si="35"/>
        <v>17716535.433070865</v>
      </c>
      <c r="R508" s="28">
        <f t="shared" si="36"/>
        <v>18700787.401574802</v>
      </c>
      <c r="S508" s="28">
        <f t="shared" si="37"/>
        <v>19685039.370078739</v>
      </c>
      <c r="T508" s="28">
        <f t="shared" si="38"/>
        <v>20669291.338582676</v>
      </c>
      <c r="U508" s="28">
        <f t="shared" si="39"/>
        <v>21653543.307086613</v>
      </c>
      <c r="V508" s="28">
        <f t="shared" si="40"/>
        <v>22637795.27559055</v>
      </c>
      <c r="W508" s="28">
        <f t="shared" si="41"/>
        <v>23622047.244094484</v>
      </c>
    </row>
    <row r="509" spans="1:23" x14ac:dyDescent="0.2">
      <c r="A509" s="28">
        <v>508</v>
      </c>
      <c r="B509" s="28">
        <v>392927.30844793713</v>
      </c>
      <c r="C509" s="28">
        <f t="shared" si="21"/>
        <v>3929273.0844793711</v>
      </c>
      <c r="D509" s="28">
        <f t="shared" si="22"/>
        <v>4911591.3555992134</v>
      </c>
      <c r="E509" s="28">
        <f t="shared" si="23"/>
        <v>5893909.6267190566</v>
      </c>
      <c r="F509" s="28">
        <f t="shared" si="24"/>
        <v>6876227.8978388999</v>
      </c>
      <c r="G509" s="28">
        <f t="shared" si="25"/>
        <v>7858546.1689587422</v>
      </c>
      <c r="H509" s="28">
        <f t="shared" si="26"/>
        <v>8840864.4400785845</v>
      </c>
      <c r="I509" s="28">
        <f t="shared" si="27"/>
        <v>9823182.7111984268</v>
      </c>
      <c r="J509" s="28">
        <f t="shared" si="28"/>
        <v>10805500.982318271</v>
      </c>
      <c r="K509" s="28">
        <f t="shared" si="29"/>
        <v>11787819.253438113</v>
      </c>
      <c r="L509" s="28">
        <f t="shared" si="30"/>
        <v>12770137.524557956</v>
      </c>
      <c r="M509" s="28">
        <f t="shared" si="31"/>
        <v>13752455.7956778</v>
      </c>
      <c r="N509" s="28">
        <f t="shared" si="32"/>
        <v>14734774.066797642</v>
      </c>
      <c r="O509" s="28">
        <f t="shared" si="33"/>
        <v>15717092.337917484</v>
      </c>
      <c r="P509" s="28">
        <f t="shared" si="34"/>
        <v>16699410.609037327</v>
      </c>
      <c r="Q509" s="28">
        <f t="shared" si="35"/>
        <v>17681728.880157169</v>
      </c>
      <c r="R509" s="28">
        <f t="shared" si="36"/>
        <v>18664047.151277013</v>
      </c>
      <c r="S509" s="28">
        <f t="shared" si="37"/>
        <v>19646365.422396854</v>
      </c>
      <c r="T509" s="28">
        <f t="shared" si="38"/>
        <v>20628683.693516698</v>
      </c>
      <c r="U509" s="28">
        <f t="shared" si="39"/>
        <v>21611001.964636542</v>
      </c>
      <c r="V509" s="28">
        <f t="shared" si="40"/>
        <v>22593320.235756382</v>
      </c>
      <c r="W509" s="28">
        <f t="shared" si="41"/>
        <v>23575638.506876227</v>
      </c>
    </row>
    <row r="510" spans="1:23" x14ac:dyDescent="0.2">
      <c r="A510" s="28">
        <v>509</v>
      </c>
      <c r="B510" s="28">
        <v>392156.86274509807</v>
      </c>
      <c r="C510" s="28">
        <f t="shared" si="21"/>
        <v>3921568.6274509807</v>
      </c>
      <c r="D510" s="28">
        <f t="shared" si="22"/>
        <v>4901960.7843137262</v>
      </c>
      <c r="E510" s="28">
        <f t="shared" si="23"/>
        <v>5882352.9411764713</v>
      </c>
      <c r="F510" s="28">
        <f t="shared" si="24"/>
        <v>6862745.0980392164</v>
      </c>
      <c r="G510" s="28">
        <f t="shared" si="25"/>
        <v>7843137.2549019614</v>
      </c>
      <c r="H510" s="28">
        <f t="shared" si="26"/>
        <v>8823529.4117647074</v>
      </c>
      <c r="I510" s="28">
        <f t="shared" si="27"/>
        <v>9803921.5686274525</v>
      </c>
      <c r="J510" s="28">
        <f t="shared" si="28"/>
        <v>10784313.725490198</v>
      </c>
      <c r="K510" s="28">
        <f t="shared" si="29"/>
        <v>11764705.882352943</v>
      </c>
      <c r="L510" s="28">
        <f t="shared" si="30"/>
        <v>12745098.039215688</v>
      </c>
      <c r="M510" s="28">
        <f t="shared" si="31"/>
        <v>13725490.196078433</v>
      </c>
      <c r="N510" s="28">
        <f t="shared" si="32"/>
        <v>14705882.352941178</v>
      </c>
      <c r="O510" s="28">
        <f t="shared" si="33"/>
        <v>15686274.509803923</v>
      </c>
      <c r="P510" s="28">
        <f t="shared" si="34"/>
        <v>16666666.666666668</v>
      </c>
      <c r="Q510" s="28">
        <f t="shared" si="35"/>
        <v>17647058.823529415</v>
      </c>
      <c r="R510" s="28">
        <f t="shared" si="36"/>
        <v>18627450.980392158</v>
      </c>
      <c r="S510" s="28">
        <f t="shared" si="37"/>
        <v>19607843.137254905</v>
      </c>
      <c r="T510" s="28">
        <f t="shared" si="38"/>
        <v>20588235.294117648</v>
      </c>
      <c r="U510" s="28">
        <f t="shared" si="39"/>
        <v>21568627.450980395</v>
      </c>
      <c r="V510" s="28">
        <f t="shared" si="40"/>
        <v>22549019.607843138</v>
      </c>
      <c r="W510" s="28">
        <f t="shared" si="41"/>
        <v>23529411.764705885</v>
      </c>
    </row>
    <row r="511" spans="1:23" x14ac:dyDescent="0.2">
      <c r="A511" s="28">
        <v>510</v>
      </c>
      <c r="B511" s="28">
        <v>391389.43248532293</v>
      </c>
      <c r="C511" s="28">
        <f t="shared" si="21"/>
        <v>3913894.3248532293</v>
      </c>
      <c r="D511" s="28">
        <f t="shared" si="22"/>
        <v>4892367.9060665369</v>
      </c>
      <c r="E511" s="28">
        <f t="shared" si="23"/>
        <v>5870841.4872798435</v>
      </c>
      <c r="F511" s="28">
        <f t="shared" si="24"/>
        <v>6849315.0684931511</v>
      </c>
      <c r="G511" s="28">
        <f t="shared" si="25"/>
        <v>7827788.6497064587</v>
      </c>
      <c r="H511" s="28">
        <f t="shared" si="26"/>
        <v>8806262.2309197653</v>
      </c>
      <c r="I511" s="28">
        <f t="shared" si="27"/>
        <v>9784735.8121330738</v>
      </c>
      <c r="J511" s="28">
        <f t="shared" si="28"/>
        <v>10763209.39334638</v>
      </c>
      <c r="K511" s="28">
        <f t="shared" si="29"/>
        <v>11741682.974559687</v>
      </c>
      <c r="L511" s="28">
        <f t="shared" si="30"/>
        <v>12720156.555772996</v>
      </c>
      <c r="M511" s="28">
        <f t="shared" si="31"/>
        <v>13698630.136986302</v>
      </c>
      <c r="N511" s="28">
        <f t="shared" si="32"/>
        <v>14677103.718199611</v>
      </c>
      <c r="O511" s="28">
        <f t="shared" si="33"/>
        <v>15655577.299412917</v>
      </c>
      <c r="P511" s="28">
        <f t="shared" si="34"/>
        <v>16634050.880626224</v>
      </c>
      <c r="Q511" s="28">
        <f t="shared" si="35"/>
        <v>17612524.461839531</v>
      </c>
      <c r="R511" s="28">
        <f t="shared" si="36"/>
        <v>18590998.043052841</v>
      </c>
      <c r="S511" s="28">
        <f t="shared" si="37"/>
        <v>19569471.624266148</v>
      </c>
      <c r="T511" s="28">
        <f t="shared" si="38"/>
        <v>20547945.205479454</v>
      </c>
      <c r="U511" s="28">
        <f t="shared" si="39"/>
        <v>21526418.786692761</v>
      </c>
      <c r="V511" s="28">
        <f t="shared" si="40"/>
        <v>22504892.367906068</v>
      </c>
      <c r="W511" s="28">
        <f t="shared" si="41"/>
        <v>23483365.949119374</v>
      </c>
    </row>
    <row r="512" spans="1:23" x14ac:dyDescent="0.2">
      <c r="A512" s="28">
        <v>511</v>
      </c>
      <c r="B512" s="28">
        <v>390625</v>
      </c>
      <c r="C512" s="28">
        <f t="shared" ref="C512:C701" si="42">B512*10</f>
        <v>3906250</v>
      </c>
      <c r="D512" s="28">
        <f t="shared" ref="D512:D701" si="43">C512*125%</f>
        <v>4882812.5</v>
      </c>
      <c r="E512" s="28">
        <f t="shared" ref="E512:E701" si="44">C512*150%</f>
        <v>5859375</v>
      </c>
      <c r="F512" s="28">
        <f t="shared" ref="F512:F701" si="45">C512*175%</f>
        <v>6835937.5</v>
      </c>
      <c r="G512" s="28">
        <f t="shared" ref="G512:G701" si="46">C512*200%</f>
        <v>7812500</v>
      </c>
      <c r="H512" s="28">
        <f t="shared" ref="H512:H701" si="47">C512*225%</f>
        <v>8789062.5</v>
      </c>
      <c r="I512" s="28">
        <f t="shared" ref="I512:I701" si="48">C512*250%</f>
        <v>9765625</v>
      </c>
      <c r="J512" s="28">
        <f t="shared" ref="J512:J701" si="49">C512*275%</f>
        <v>10742187.5</v>
      </c>
      <c r="K512" s="28">
        <f t="shared" ref="K512:K701" si="50">C512*300%</f>
        <v>11718750</v>
      </c>
      <c r="L512" s="28">
        <f t="shared" ref="L512:L701" si="51">C512*325%</f>
        <v>12695312.5</v>
      </c>
      <c r="M512" s="28">
        <f t="shared" ref="M512:M701" si="52">C512*350%</f>
        <v>13671875</v>
      </c>
      <c r="N512" s="28">
        <f t="shared" ref="N512:N701" si="53">C512*375%</f>
        <v>14648437.5</v>
      </c>
      <c r="O512" s="28">
        <f t="shared" ref="O512:O701" si="54">C512*400%</f>
        <v>15625000</v>
      </c>
      <c r="P512" s="28">
        <f t="shared" ref="P512:P701" si="55">C512*425%</f>
        <v>16601562.5</v>
      </c>
      <c r="Q512" s="28">
        <f t="shared" ref="Q512:Q701" si="56">C512*450%</f>
        <v>17578125</v>
      </c>
      <c r="R512" s="28">
        <f t="shared" ref="R512:R701" si="57">C512*475%</f>
        <v>18554687.5</v>
      </c>
      <c r="S512" s="28">
        <f t="shared" ref="S512:S701" si="58">C512*500%</f>
        <v>19531250</v>
      </c>
      <c r="T512" s="28">
        <f t="shared" ref="T512:T701" si="59">C512*525%</f>
        <v>20507812.5</v>
      </c>
      <c r="U512" s="28">
        <f t="shared" ref="U512:U701" si="60">C512*550%</f>
        <v>21484375</v>
      </c>
      <c r="V512" s="28">
        <f t="shared" ref="V512:V701" si="61">C512*575%</f>
        <v>22460937.5</v>
      </c>
      <c r="W512" s="28">
        <f t="shared" ref="W512:W701" si="62">C512*600%</f>
        <v>23437500</v>
      </c>
    </row>
    <row r="513" spans="1:23" x14ac:dyDescent="0.2">
      <c r="A513" s="28">
        <v>512</v>
      </c>
      <c r="B513" s="28">
        <v>389863.54775828461</v>
      </c>
      <c r="C513" s="28">
        <f t="shared" si="42"/>
        <v>3898635.4775828458</v>
      </c>
      <c r="D513" s="28">
        <f t="shared" si="43"/>
        <v>4873294.3469785573</v>
      </c>
      <c r="E513" s="28">
        <f t="shared" si="44"/>
        <v>5847953.2163742688</v>
      </c>
      <c r="F513" s="28">
        <f t="shared" si="45"/>
        <v>6822612.0857699802</v>
      </c>
      <c r="G513" s="28">
        <f t="shared" si="46"/>
        <v>7797270.9551656917</v>
      </c>
      <c r="H513" s="28">
        <f t="shared" si="47"/>
        <v>8771929.8245614022</v>
      </c>
      <c r="I513" s="28">
        <f t="shared" si="48"/>
        <v>9746588.6939571146</v>
      </c>
      <c r="J513" s="28">
        <f t="shared" si="49"/>
        <v>10721247.563352827</v>
      </c>
      <c r="K513" s="28">
        <f t="shared" si="50"/>
        <v>11695906.432748538</v>
      </c>
      <c r="L513" s="28">
        <f t="shared" si="51"/>
        <v>12670565.302144248</v>
      </c>
      <c r="M513" s="28">
        <f t="shared" si="52"/>
        <v>13645224.17153996</v>
      </c>
      <c r="N513" s="28">
        <f t="shared" si="53"/>
        <v>14619883.040935673</v>
      </c>
      <c r="O513" s="28">
        <f t="shared" si="54"/>
        <v>15594541.910331383</v>
      </c>
      <c r="P513" s="28">
        <f t="shared" si="55"/>
        <v>16569200.779727094</v>
      </c>
      <c r="Q513" s="28">
        <f t="shared" si="56"/>
        <v>17543859.649122804</v>
      </c>
      <c r="R513" s="28">
        <f t="shared" si="57"/>
        <v>18518518.518518519</v>
      </c>
      <c r="S513" s="28">
        <f t="shared" si="58"/>
        <v>19493177.387914229</v>
      </c>
      <c r="T513" s="28">
        <f t="shared" si="59"/>
        <v>20467836.25730994</v>
      </c>
      <c r="U513" s="28">
        <f t="shared" si="60"/>
        <v>21442495.126705654</v>
      </c>
      <c r="V513" s="28">
        <f t="shared" si="61"/>
        <v>22417153.996101364</v>
      </c>
      <c r="W513" s="28">
        <f t="shared" si="62"/>
        <v>23391812.865497075</v>
      </c>
    </row>
    <row r="514" spans="1:23" x14ac:dyDescent="0.2">
      <c r="A514" s="28">
        <v>513</v>
      </c>
      <c r="B514" s="28">
        <v>389105.0583657588</v>
      </c>
      <c r="C514" s="28">
        <f t="shared" si="42"/>
        <v>3891050.5836575879</v>
      </c>
      <c r="D514" s="28">
        <f t="shared" si="43"/>
        <v>4863813.2295719851</v>
      </c>
      <c r="E514" s="28">
        <f t="shared" si="44"/>
        <v>5836575.8754863814</v>
      </c>
      <c r="F514" s="28">
        <f t="shared" si="45"/>
        <v>6809338.5214007786</v>
      </c>
      <c r="G514" s="28">
        <f t="shared" si="46"/>
        <v>7782101.1673151758</v>
      </c>
      <c r="H514" s="28">
        <f t="shared" si="47"/>
        <v>8754863.813229572</v>
      </c>
      <c r="I514" s="28">
        <f t="shared" si="48"/>
        <v>9727626.4591439702</v>
      </c>
      <c r="J514" s="28">
        <f t="shared" si="49"/>
        <v>10700389.105058366</v>
      </c>
      <c r="K514" s="28">
        <f t="shared" si="50"/>
        <v>11673151.750972763</v>
      </c>
      <c r="L514" s="28">
        <f t="shared" si="51"/>
        <v>12645914.396887161</v>
      </c>
      <c r="M514" s="28">
        <f t="shared" si="52"/>
        <v>13618677.042801557</v>
      </c>
      <c r="N514" s="28">
        <f t="shared" si="53"/>
        <v>14591439.688715955</v>
      </c>
      <c r="O514" s="28">
        <f t="shared" si="54"/>
        <v>15564202.334630352</v>
      </c>
      <c r="P514" s="28">
        <f t="shared" si="55"/>
        <v>16536964.980544748</v>
      </c>
      <c r="Q514" s="28">
        <f t="shared" si="56"/>
        <v>17509727.626459144</v>
      </c>
      <c r="R514" s="28">
        <f t="shared" si="57"/>
        <v>18482490.272373542</v>
      </c>
      <c r="S514" s="28">
        <f t="shared" si="58"/>
        <v>19455252.91828794</v>
      </c>
      <c r="T514" s="28">
        <f t="shared" si="59"/>
        <v>20428015.564202335</v>
      </c>
      <c r="U514" s="28">
        <f t="shared" si="60"/>
        <v>21400778.210116733</v>
      </c>
      <c r="V514" s="28">
        <f t="shared" si="61"/>
        <v>22373540.856031131</v>
      </c>
      <c r="W514" s="28">
        <f t="shared" si="62"/>
        <v>23346303.501945525</v>
      </c>
    </row>
    <row r="515" spans="1:23" x14ac:dyDescent="0.2">
      <c r="A515" s="28">
        <v>514</v>
      </c>
      <c r="B515" s="28">
        <v>388349.51456310682</v>
      </c>
      <c r="C515" s="28">
        <f t="shared" si="42"/>
        <v>3883495.1456310684</v>
      </c>
      <c r="D515" s="28">
        <f t="shared" si="43"/>
        <v>4854368.9320388352</v>
      </c>
      <c r="E515" s="28">
        <f t="shared" si="44"/>
        <v>5825242.718446603</v>
      </c>
      <c r="F515" s="28">
        <f t="shared" si="45"/>
        <v>6796116.5048543699</v>
      </c>
      <c r="G515" s="28">
        <f t="shared" si="46"/>
        <v>7766990.2912621368</v>
      </c>
      <c r="H515" s="28">
        <f t="shared" si="47"/>
        <v>8737864.0776699036</v>
      </c>
      <c r="I515" s="28">
        <f t="shared" si="48"/>
        <v>9708737.8640776705</v>
      </c>
      <c r="J515" s="28">
        <f t="shared" si="49"/>
        <v>10679611.650485437</v>
      </c>
      <c r="K515" s="28">
        <f t="shared" si="50"/>
        <v>11650485.436893206</v>
      </c>
      <c r="L515" s="28">
        <f t="shared" si="51"/>
        <v>12621359.223300973</v>
      </c>
      <c r="M515" s="28">
        <f t="shared" si="52"/>
        <v>13592233.00970874</v>
      </c>
      <c r="N515" s="28">
        <f t="shared" si="53"/>
        <v>14563106.796116507</v>
      </c>
      <c r="O515" s="28">
        <f t="shared" si="54"/>
        <v>15533980.582524274</v>
      </c>
      <c r="P515" s="28">
        <f t="shared" si="55"/>
        <v>16504854.36893204</v>
      </c>
      <c r="Q515" s="28">
        <f t="shared" si="56"/>
        <v>17475728.155339807</v>
      </c>
      <c r="R515" s="28">
        <f t="shared" si="57"/>
        <v>18446601.941747576</v>
      </c>
      <c r="S515" s="28">
        <f t="shared" si="58"/>
        <v>19417475.728155341</v>
      </c>
      <c r="T515" s="28">
        <f t="shared" si="59"/>
        <v>20388349.51456311</v>
      </c>
      <c r="U515" s="28">
        <f t="shared" si="60"/>
        <v>21359223.300970875</v>
      </c>
      <c r="V515" s="28">
        <f t="shared" si="61"/>
        <v>22330097.087378643</v>
      </c>
      <c r="W515" s="28">
        <f t="shared" si="62"/>
        <v>23300970.873786412</v>
      </c>
    </row>
    <row r="516" spans="1:23" x14ac:dyDescent="0.2">
      <c r="A516" s="28">
        <v>515</v>
      </c>
      <c r="B516" s="28">
        <v>387596.89922480623</v>
      </c>
      <c r="C516" s="28">
        <f t="shared" si="42"/>
        <v>3875968.992248062</v>
      </c>
      <c r="D516" s="28">
        <f t="shared" si="43"/>
        <v>4844961.2403100776</v>
      </c>
      <c r="E516" s="28">
        <f t="shared" si="44"/>
        <v>5813953.4883720931</v>
      </c>
      <c r="F516" s="28">
        <f t="shared" si="45"/>
        <v>6782945.7364341086</v>
      </c>
      <c r="G516" s="28">
        <f t="shared" si="46"/>
        <v>7751937.9844961241</v>
      </c>
      <c r="H516" s="28">
        <f t="shared" si="47"/>
        <v>8720930.2325581387</v>
      </c>
      <c r="I516" s="28">
        <f t="shared" si="48"/>
        <v>9689922.4806201551</v>
      </c>
      <c r="J516" s="28">
        <f t="shared" si="49"/>
        <v>10658914.728682172</v>
      </c>
      <c r="K516" s="28">
        <f t="shared" si="50"/>
        <v>11627906.976744186</v>
      </c>
      <c r="L516" s="28">
        <f t="shared" si="51"/>
        <v>12596899.224806201</v>
      </c>
      <c r="M516" s="28">
        <f t="shared" si="52"/>
        <v>13565891.472868217</v>
      </c>
      <c r="N516" s="28">
        <f t="shared" si="53"/>
        <v>14534883.720930234</v>
      </c>
      <c r="O516" s="28">
        <f t="shared" si="54"/>
        <v>15503875.968992248</v>
      </c>
      <c r="P516" s="28">
        <f t="shared" si="55"/>
        <v>16472868.217054263</v>
      </c>
      <c r="Q516" s="28">
        <f t="shared" si="56"/>
        <v>17441860.465116277</v>
      </c>
      <c r="R516" s="28">
        <f t="shared" si="57"/>
        <v>18410852.713178296</v>
      </c>
      <c r="S516" s="28">
        <f t="shared" si="58"/>
        <v>19379844.96124031</v>
      </c>
      <c r="T516" s="28">
        <f t="shared" si="59"/>
        <v>20348837.209302325</v>
      </c>
      <c r="U516" s="28">
        <f t="shared" si="60"/>
        <v>21317829.457364343</v>
      </c>
      <c r="V516" s="28">
        <f t="shared" si="61"/>
        <v>22286821.705426358</v>
      </c>
      <c r="W516" s="28">
        <f t="shared" si="62"/>
        <v>23255813.953488372</v>
      </c>
    </row>
    <row r="517" spans="1:23" x14ac:dyDescent="0.2">
      <c r="A517" s="28">
        <v>516</v>
      </c>
      <c r="B517" s="28">
        <v>386847.1953578337</v>
      </c>
      <c r="C517" s="28">
        <f t="shared" si="42"/>
        <v>3868471.9535783371</v>
      </c>
      <c r="D517" s="28">
        <f t="shared" si="43"/>
        <v>4835589.9419729216</v>
      </c>
      <c r="E517" s="28">
        <f t="shared" si="44"/>
        <v>5802707.9303675052</v>
      </c>
      <c r="F517" s="28">
        <f t="shared" si="45"/>
        <v>6769825.9187620897</v>
      </c>
      <c r="G517" s="28">
        <f t="shared" si="46"/>
        <v>7736943.9071566742</v>
      </c>
      <c r="H517" s="28">
        <f t="shared" si="47"/>
        <v>8704061.8955512587</v>
      </c>
      <c r="I517" s="28">
        <f t="shared" si="48"/>
        <v>9671179.8839458432</v>
      </c>
      <c r="J517" s="28">
        <f t="shared" si="49"/>
        <v>10638297.872340428</v>
      </c>
      <c r="K517" s="28">
        <f t="shared" si="50"/>
        <v>11605415.86073501</v>
      </c>
      <c r="L517" s="28">
        <f t="shared" si="51"/>
        <v>12572533.849129595</v>
      </c>
      <c r="M517" s="28">
        <f t="shared" si="52"/>
        <v>13539651.837524179</v>
      </c>
      <c r="N517" s="28">
        <f t="shared" si="53"/>
        <v>14506769.825918764</v>
      </c>
      <c r="O517" s="28">
        <f t="shared" si="54"/>
        <v>15473887.814313348</v>
      </c>
      <c r="P517" s="28">
        <f t="shared" si="55"/>
        <v>16441005.802707933</v>
      </c>
      <c r="Q517" s="28">
        <f t="shared" si="56"/>
        <v>17408123.791102517</v>
      </c>
      <c r="R517" s="28">
        <f t="shared" si="57"/>
        <v>18375241.779497102</v>
      </c>
      <c r="S517" s="28">
        <f t="shared" si="58"/>
        <v>19342359.767891686</v>
      </c>
      <c r="T517" s="28">
        <f t="shared" si="59"/>
        <v>20309477.756286271</v>
      </c>
      <c r="U517" s="28">
        <f t="shared" si="60"/>
        <v>21276595.744680855</v>
      </c>
      <c r="V517" s="28">
        <f t="shared" si="61"/>
        <v>22243713.73307544</v>
      </c>
      <c r="W517" s="28">
        <f t="shared" si="62"/>
        <v>23210831.721470021</v>
      </c>
    </row>
    <row r="518" spans="1:23" x14ac:dyDescent="0.2">
      <c r="A518" s="28">
        <v>517</v>
      </c>
      <c r="B518" s="28">
        <v>386100.38610038609</v>
      </c>
      <c r="C518" s="28">
        <f t="shared" si="42"/>
        <v>3861003.8610038608</v>
      </c>
      <c r="D518" s="28">
        <f t="shared" si="43"/>
        <v>4826254.826254826</v>
      </c>
      <c r="E518" s="28">
        <f t="shared" si="44"/>
        <v>5791505.7915057912</v>
      </c>
      <c r="F518" s="28">
        <f t="shared" si="45"/>
        <v>6756756.7567567565</v>
      </c>
      <c r="G518" s="28">
        <f t="shared" si="46"/>
        <v>7722007.7220077217</v>
      </c>
      <c r="H518" s="28">
        <f t="shared" si="47"/>
        <v>8687258.6872586869</v>
      </c>
      <c r="I518" s="28">
        <f t="shared" si="48"/>
        <v>9652509.6525096521</v>
      </c>
      <c r="J518" s="28">
        <f t="shared" si="49"/>
        <v>10617760.617760617</v>
      </c>
      <c r="K518" s="28">
        <f t="shared" si="50"/>
        <v>11583011.583011582</v>
      </c>
      <c r="L518" s="28">
        <f t="shared" si="51"/>
        <v>12548262.548262548</v>
      </c>
      <c r="M518" s="28">
        <f t="shared" si="52"/>
        <v>13513513.513513513</v>
      </c>
      <c r="N518" s="28">
        <f t="shared" si="53"/>
        <v>14478764.478764478</v>
      </c>
      <c r="O518" s="28">
        <f t="shared" si="54"/>
        <v>15444015.444015443</v>
      </c>
      <c r="P518" s="28">
        <f t="shared" si="55"/>
        <v>16409266.409266409</v>
      </c>
      <c r="Q518" s="28">
        <f t="shared" si="56"/>
        <v>17374517.374517374</v>
      </c>
      <c r="R518" s="28">
        <f t="shared" si="57"/>
        <v>18339768.339768339</v>
      </c>
      <c r="S518" s="28">
        <f t="shared" si="58"/>
        <v>19305019.305019304</v>
      </c>
      <c r="T518" s="28">
        <f t="shared" si="59"/>
        <v>20270270.270270269</v>
      </c>
      <c r="U518" s="28">
        <f t="shared" si="60"/>
        <v>21235521.235521235</v>
      </c>
      <c r="V518" s="28">
        <f t="shared" si="61"/>
        <v>22200772.2007722</v>
      </c>
      <c r="W518" s="28">
        <f t="shared" si="62"/>
        <v>23166023.166023165</v>
      </c>
    </row>
    <row r="519" spans="1:23" x14ac:dyDescent="0.2">
      <c r="A519" s="28">
        <v>518</v>
      </c>
      <c r="B519" s="28">
        <v>385356.45472061657</v>
      </c>
      <c r="C519" s="28">
        <f t="shared" si="42"/>
        <v>3853564.5472061657</v>
      </c>
      <c r="D519" s="28">
        <f t="shared" si="43"/>
        <v>4816955.6840077071</v>
      </c>
      <c r="E519" s="28">
        <f t="shared" si="44"/>
        <v>5780346.8208092488</v>
      </c>
      <c r="F519" s="28">
        <f t="shared" si="45"/>
        <v>6743737.9576107897</v>
      </c>
      <c r="G519" s="28">
        <f t="shared" si="46"/>
        <v>7707129.0944123315</v>
      </c>
      <c r="H519" s="28">
        <f t="shared" si="47"/>
        <v>8670520.2312138733</v>
      </c>
      <c r="I519" s="28">
        <f t="shared" si="48"/>
        <v>9633911.3680154141</v>
      </c>
      <c r="J519" s="28">
        <f t="shared" si="49"/>
        <v>10597302.504816955</v>
      </c>
      <c r="K519" s="28">
        <f t="shared" si="50"/>
        <v>11560693.641618498</v>
      </c>
      <c r="L519" s="28">
        <f t="shared" si="51"/>
        <v>12524084.778420039</v>
      </c>
      <c r="M519" s="28">
        <f t="shared" si="52"/>
        <v>13487475.915221579</v>
      </c>
      <c r="N519" s="28">
        <f t="shared" si="53"/>
        <v>14450867.052023122</v>
      </c>
      <c r="O519" s="28">
        <f t="shared" si="54"/>
        <v>15414258.188824663</v>
      </c>
      <c r="P519" s="28">
        <f t="shared" si="55"/>
        <v>16377649.325626204</v>
      </c>
      <c r="Q519" s="28">
        <f t="shared" si="56"/>
        <v>17341040.462427747</v>
      </c>
      <c r="R519" s="28">
        <f t="shared" si="57"/>
        <v>18304431.599229287</v>
      </c>
      <c r="S519" s="28">
        <f t="shared" si="58"/>
        <v>19267822.736030828</v>
      </c>
      <c r="T519" s="28">
        <f t="shared" si="59"/>
        <v>20231213.872832369</v>
      </c>
      <c r="U519" s="28">
        <f t="shared" si="60"/>
        <v>21194605.00963391</v>
      </c>
      <c r="V519" s="28">
        <f t="shared" si="61"/>
        <v>22157996.146435454</v>
      </c>
      <c r="W519" s="28">
        <f t="shared" si="62"/>
        <v>23121387.283236995</v>
      </c>
    </row>
    <row r="520" spans="1:23" x14ac:dyDescent="0.2">
      <c r="A520" s="28">
        <v>519</v>
      </c>
      <c r="B520" s="28">
        <v>384615.38461538462</v>
      </c>
      <c r="C520" s="28">
        <f t="shared" si="42"/>
        <v>3846153.846153846</v>
      </c>
      <c r="D520" s="28">
        <f t="shared" si="43"/>
        <v>4807692.307692308</v>
      </c>
      <c r="E520" s="28">
        <f t="shared" si="44"/>
        <v>5769230.769230769</v>
      </c>
      <c r="F520" s="28">
        <f t="shared" si="45"/>
        <v>6730769.2307692301</v>
      </c>
      <c r="G520" s="28">
        <f t="shared" si="46"/>
        <v>7692307.692307692</v>
      </c>
      <c r="H520" s="28">
        <f t="shared" si="47"/>
        <v>8653846.153846154</v>
      </c>
      <c r="I520" s="28">
        <f t="shared" si="48"/>
        <v>9615384.615384616</v>
      </c>
      <c r="J520" s="28">
        <f t="shared" si="49"/>
        <v>10576923.076923076</v>
      </c>
      <c r="K520" s="28">
        <f t="shared" si="50"/>
        <v>11538461.538461538</v>
      </c>
      <c r="L520" s="28">
        <f t="shared" si="51"/>
        <v>12500000</v>
      </c>
      <c r="M520" s="28">
        <f t="shared" si="52"/>
        <v>13461538.46153846</v>
      </c>
      <c r="N520" s="28">
        <f t="shared" si="53"/>
        <v>14423076.923076922</v>
      </c>
      <c r="O520" s="28">
        <f t="shared" si="54"/>
        <v>15384615.384615384</v>
      </c>
      <c r="P520" s="28">
        <f t="shared" si="55"/>
        <v>16346153.846153846</v>
      </c>
      <c r="Q520" s="28">
        <f t="shared" si="56"/>
        <v>17307692.307692308</v>
      </c>
      <c r="R520" s="28">
        <f t="shared" si="57"/>
        <v>18269230.769230768</v>
      </c>
      <c r="S520" s="28">
        <f t="shared" si="58"/>
        <v>19230769.230769232</v>
      </c>
      <c r="T520" s="28">
        <f t="shared" si="59"/>
        <v>20192307.692307692</v>
      </c>
      <c r="U520" s="28">
        <f t="shared" si="60"/>
        <v>21153846.153846152</v>
      </c>
      <c r="V520" s="28">
        <f t="shared" si="61"/>
        <v>22115384.615384616</v>
      </c>
      <c r="W520" s="28">
        <f t="shared" si="62"/>
        <v>23076923.076923076</v>
      </c>
    </row>
    <row r="521" spans="1:23" x14ac:dyDescent="0.2">
      <c r="A521" s="28">
        <v>520</v>
      </c>
      <c r="B521" s="28">
        <v>383877.15930902108</v>
      </c>
      <c r="C521" s="28">
        <f t="shared" si="42"/>
        <v>3838771.593090211</v>
      </c>
      <c r="D521" s="28">
        <f t="shared" si="43"/>
        <v>4798464.4913627636</v>
      </c>
      <c r="E521" s="28">
        <f t="shared" si="44"/>
        <v>5758157.389635317</v>
      </c>
      <c r="F521" s="28">
        <f t="shared" si="45"/>
        <v>6717850.2879078696</v>
      </c>
      <c r="G521" s="28">
        <f t="shared" si="46"/>
        <v>7677543.1861804221</v>
      </c>
      <c r="H521" s="28">
        <f t="shared" si="47"/>
        <v>8637236.0844529755</v>
      </c>
      <c r="I521" s="28">
        <f t="shared" si="48"/>
        <v>9596928.9827255271</v>
      </c>
      <c r="J521" s="28">
        <f t="shared" si="49"/>
        <v>10556621.880998081</v>
      </c>
      <c r="K521" s="28">
        <f t="shared" si="50"/>
        <v>11516314.779270634</v>
      </c>
      <c r="L521" s="28">
        <f t="shared" si="51"/>
        <v>12476007.677543186</v>
      </c>
      <c r="M521" s="28">
        <f t="shared" si="52"/>
        <v>13435700.575815739</v>
      </c>
      <c r="N521" s="28">
        <f t="shared" si="53"/>
        <v>14395393.474088291</v>
      </c>
      <c r="O521" s="28">
        <f t="shared" si="54"/>
        <v>15355086.372360844</v>
      </c>
      <c r="P521" s="28">
        <f t="shared" si="55"/>
        <v>16314779.270633398</v>
      </c>
      <c r="Q521" s="28">
        <f t="shared" si="56"/>
        <v>17274472.168905951</v>
      </c>
      <c r="R521" s="28">
        <f t="shared" si="57"/>
        <v>18234165.067178503</v>
      </c>
      <c r="S521" s="28">
        <f t="shared" si="58"/>
        <v>19193857.965451054</v>
      </c>
      <c r="T521" s="28">
        <f t="shared" si="59"/>
        <v>20153550.86372361</v>
      </c>
      <c r="U521" s="28">
        <f t="shared" si="60"/>
        <v>21113243.761996161</v>
      </c>
      <c r="V521" s="28">
        <f t="shared" si="61"/>
        <v>22072936.660268713</v>
      </c>
      <c r="W521" s="28">
        <f t="shared" si="62"/>
        <v>23032629.558541268</v>
      </c>
    </row>
    <row r="522" spans="1:23" x14ac:dyDescent="0.2">
      <c r="A522" s="28">
        <v>521</v>
      </c>
      <c r="B522" s="28">
        <v>383141.76245210727</v>
      </c>
      <c r="C522" s="28">
        <f t="shared" si="42"/>
        <v>3831417.624521073</v>
      </c>
      <c r="D522" s="28">
        <f t="shared" si="43"/>
        <v>4789272.0306513412</v>
      </c>
      <c r="E522" s="28">
        <f t="shared" si="44"/>
        <v>5747126.4367816094</v>
      </c>
      <c r="F522" s="28">
        <f t="shared" si="45"/>
        <v>6704980.8429118777</v>
      </c>
      <c r="G522" s="28">
        <f t="shared" si="46"/>
        <v>7662835.2490421459</v>
      </c>
      <c r="H522" s="28">
        <f t="shared" si="47"/>
        <v>8620689.6551724151</v>
      </c>
      <c r="I522" s="28">
        <f t="shared" si="48"/>
        <v>9578544.0613026824</v>
      </c>
      <c r="J522" s="28">
        <f t="shared" si="49"/>
        <v>10536398.46743295</v>
      </c>
      <c r="K522" s="28">
        <f t="shared" si="50"/>
        <v>11494252.873563219</v>
      </c>
      <c r="L522" s="28">
        <f t="shared" si="51"/>
        <v>12452107.279693488</v>
      </c>
      <c r="M522" s="28">
        <f t="shared" si="52"/>
        <v>13409961.685823755</v>
      </c>
      <c r="N522" s="28">
        <f t="shared" si="53"/>
        <v>14367816.091954023</v>
      </c>
      <c r="O522" s="28">
        <f t="shared" si="54"/>
        <v>15325670.498084292</v>
      </c>
      <c r="P522" s="28">
        <f t="shared" si="55"/>
        <v>16283524.904214561</v>
      </c>
      <c r="Q522" s="28">
        <f t="shared" si="56"/>
        <v>17241379.31034483</v>
      </c>
      <c r="R522" s="28">
        <f t="shared" si="57"/>
        <v>18199233.716475096</v>
      </c>
      <c r="S522" s="28">
        <f t="shared" si="58"/>
        <v>19157088.122605365</v>
      </c>
      <c r="T522" s="28">
        <f t="shared" si="59"/>
        <v>20114942.528735634</v>
      </c>
      <c r="U522" s="28">
        <f t="shared" si="60"/>
        <v>21072796.934865899</v>
      </c>
      <c r="V522" s="28">
        <f t="shared" si="61"/>
        <v>22030651.340996169</v>
      </c>
      <c r="W522" s="28">
        <f t="shared" si="62"/>
        <v>22988505.747126438</v>
      </c>
    </row>
    <row r="523" spans="1:23" x14ac:dyDescent="0.2">
      <c r="A523" s="28">
        <v>522</v>
      </c>
      <c r="B523" s="28">
        <v>382409.17782026768</v>
      </c>
      <c r="C523" s="28">
        <f t="shared" si="42"/>
        <v>3824091.7782026767</v>
      </c>
      <c r="D523" s="28">
        <f t="shared" si="43"/>
        <v>4780114.722753346</v>
      </c>
      <c r="E523" s="28">
        <f t="shared" si="44"/>
        <v>5736137.6673040148</v>
      </c>
      <c r="F523" s="28">
        <f t="shared" si="45"/>
        <v>6692160.6118546845</v>
      </c>
      <c r="G523" s="28">
        <f t="shared" si="46"/>
        <v>7648183.5564053534</v>
      </c>
      <c r="H523" s="28">
        <f t="shared" si="47"/>
        <v>8604206.5009560231</v>
      </c>
      <c r="I523" s="28">
        <f t="shared" si="48"/>
        <v>9560229.4455066919</v>
      </c>
      <c r="J523" s="28">
        <f t="shared" si="49"/>
        <v>10516252.390057361</v>
      </c>
      <c r="K523" s="28">
        <f t="shared" si="50"/>
        <v>11472275.33460803</v>
      </c>
      <c r="L523" s="28">
        <f t="shared" si="51"/>
        <v>12428298.279158698</v>
      </c>
      <c r="M523" s="28">
        <f t="shared" si="52"/>
        <v>13384321.223709369</v>
      </c>
      <c r="N523" s="28">
        <f t="shared" si="53"/>
        <v>14340344.168260038</v>
      </c>
      <c r="O523" s="28">
        <f t="shared" si="54"/>
        <v>15296367.112810707</v>
      </c>
      <c r="P523" s="28">
        <f t="shared" si="55"/>
        <v>16252390.057361376</v>
      </c>
      <c r="Q523" s="28">
        <f t="shared" si="56"/>
        <v>17208413.001912046</v>
      </c>
      <c r="R523" s="28">
        <f t="shared" si="57"/>
        <v>18164435.946462713</v>
      </c>
      <c r="S523" s="28">
        <f t="shared" si="58"/>
        <v>19120458.891013384</v>
      </c>
      <c r="T523" s="28">
        <f t="shared" si="59"/>
        <v>20076481.835564051</v>
      </c>
      <c r="U523" s="28">
        <f t="shared" si="60"/>
        <v>21032504.780114722</v>
      </c>
      <c r="V523" s="28">
        <f t="shared" si="61"/>
        <v>21988527.724665392</v>
      </c>
      <c r="W523" s="28">
        <f t="shared" si="62"/>
        <v>22944550.669216059</v>
      </c>
    </row>
    <row r="524" spans="1:23" x14ac:dyDescent="0.2">
      <c r="A524" s="28">
        <v>523</v>
      </c>
      <c r="B524" s="28">
        <v>381679.38931297709</v>
      </c>
      <c r="C524" s="28">
        <f t="shared" si="42"/>
        <v>3816793.8931297706</v>
      </c>
      <c r="D524" s="28">
        <f t="shared" si="43"/>
        <v>4770992.3664122131</v>
      </c>
      <c r="E524" s="28">
        <f t="shared" si="44"/>
        <v>5725190.8396946564</v>
      </c>
      <c r="F524" s="28">
        <f t="shared" si="45"/>
        <v>6679389.3129770989</v>
      </c>
      <c r="G524" s="28">
        <f t="shared" si="46"/>
        <v>7633587.7862595413</v>
      </c>
      <c r="H524" s="28">
        <f t="shared" si="47"/>
        <v>8587786.2595419846</v>
      </c>
      <c r="I524" s="28">
        <f t="shared" si="48"/>
        <v>9541984.7328244261</v>
      </c>
      <c r="J524" s="28">
        <f t="shared" si="49"/>
        <v>10496183.20610687</v>
      </c>
      <c r="K524" s="28">
        <f t="shared" si="50"/>
        <v>11450381.679389313</v>
      </c>
      <c r="L524" s="28">
        <f t="shared" si="51"/>
        <v>12404580.152671754</v>
      </c>
      <c r="M524" s="28">
        <f t="shared" si="52"/>
        <v>13358778.625954198</v>
      </c>
      <c r="N524" s="28">
        <f t="shared" si="53"/>
        <v>14312977.099236639</v>
      </c>
      <c r="O524" s="28">
        <f t="shared" si="54"/>
        <v>15267175.572519083</v>
      </c>
      <c r="P524" s="28">
        <f t="shared" si="55"/>
        <v>16221374.045801526</v>
      </c>
      <c r="Q524" s="28">
        <f t="shared" si="56"/>
        <v>17175572.519083969</v>
      </c>
      <c r="R524" s="28">
        <f t="shared" si="57"/>
        <v>18129770.992366411</v>
      </c>
      <c r="S524" s="28">
        <f t="shared" si="58"/>
        <v>19083969.465648852</v>
      </c>
      <c r="T524" s="28">
        <f t="shared" si="59"/>
        <v>20038167.938931298</v>
      </c>
      <c r="U524" s="28">
        <f t="shared" si="60"/>
        <v>20992366.412213739</v>
      </c>
      <c r="V524" s="28">
        <f t="shared" si="61"/>
        <v>21946564.885496181</v>
      </c>
      <c r="W524" s="28">
        <f t="shared" si="62"/>
        <v>22900763.358778626</v>
      </c>
    </row>
    <row r="525" spans="1:23" x14ac:dyDescent="0.2">
      <c r="A525" s="28">
        <v>524</v>
      </c>
      <c r="B525" s="28">
        <v>380952.38095238095</v>
      </c>
      <c r="C525" s="28">
        <f t="shared" si="42"/>
        <v>3809523.8095238097</v>
      </c>
      <c r="D525" s="28">
        <f t="shared" si="43"/>
        <v>4761904.7619047621</v>
      </c>
      <c r="E525" s="28">
        <f t="shared" si="44"/>
        <v>5714285.7142857146</v>
      </c>
      <c r="F525" s="28">
        <f t="shared" si="45"/>
        <v>6666666.666666667</v>
      </c>
      <c r="G525" s="28">
        <f t="shared" si="46"/>
        <v>7619047.6190476194</v>
      </c>
      <c r="H525" s="28">
        <f t="shared" si="47"/>
        <v>8571428.5714285709</v>
      </c>
      <c r="I525" s="28">
        <f t="shared" si="48"/>
        <v>9523809.5238095243</v>
      </c>
      <c r="J525" s="28">
        <f t="shared" si="49"/>
        <v>10476190.476190478</v>
      </c>
      <c r="K525" s="28">
        <f t="shared" si="50"/>
        <v>11428571.428571429</v>
      </c>
      <c r="L525" s="28">
        <f t="shared" si="51"/>
        <v>12380952.380952381</v>
      </c>
      <c r="M525" s="28">
        <f t="shared" si="52"/>
        <v>13333333.333333334</v>
      </c>
      <c r="N525" s="28">
        <f t="shared" si="53"/>
        <v>14285714.285714287</v>
      </c>
      <c r="O525" s="28">
        <f t="shared" si="54"/>
        <v>15238095.238095239</v>
      </c>
      <c r="P525" s="28">
        <f t="shared" si="55"/>
        <v>16190476.19047619</v>
      </c>
      <c r="Q525" s="28">
        <f t="shared" si="56"/>
        <v>17142857.142857142</v>
      </c>
      <c r="R525" s="28">
        <f t="shared" si="57"/>
        <v>18095238.095238097</v>
      </c>
      <c r="S525" s="28">
        <f t="shared" si="58"/>
        <v>19047619.047619049</v>
      </c>
      <c r="T525" s="28">
        <f t="shared" si="59"/>
        <v>20000000</v>
      </c>
      <c r="U525" s="28">
        <f t="shared" si="60"/>
        <v>20952380.952380955</v>
      </c>
      <c r="V525" s="28">
        <f t="shared" si="61"/>
        <v>21904761.904761907</v>
      </c>
      <c r="W525" s="28">
        <f t="shared" si="62"/>
        <v>22857142.857142858</v>
      </c>
    </row>
    <row r="526" spans="1:23" x14ac:dyDescent="0.2">
      <c r="A526" s="28">
        <v>525</v>
      </c>
      <c r="B526" s="28">
        <v>380228.13688212924</v>
      </c>
      <c r="C526" s="28">
        <f t="shared" si="42"/>
        <v>3802281.3688212922</v>
      </c>
      <c r="D526" s="28">
        <f t="shared" si="43"/>
        <v>4752851.7110266155</v>
      </c>
      <c r="E526" s="28">
        <f t="shared" si="44"/>
        <v>5703422.0532319378</v>
      </c>
      <c r="F526" s="28">
        <f t="shared" si="45"/>
        <v>6653992.3954372611</v>
      </c>
      <c r="G526" s="28">
        <f t="shared" si="46"/>
        <v>7604562.7376425844</v>
      </c>
      <c r="H526" s="28">
        <f t="shared" si="47"/>
        <v>8555133.0798479076</v>
      </c>
      <c r="I526" s="28">
        <f t="shared" si="48"/>
        <v>9505703.4220532309</v>
      </c>
      <c r="J526" s="28">
        <f t="shared" si="49"/>
        <v>10456273.764258554</v>
      </c>
      <c r="K526" s="28">
        <f t="shared" si="50"/>
        <v>11406844.106463876</v>
      </c>
      <c r="L526" s="28">
        <f t="shared" si="51"/>
        <v>12357414.448669199</v>
      </c>
      <c r="M526" s="28">
        <f t="shared" si="52"/>
        <v>13307984.790874522</v>
      </c>
      <c r="N526" s="28">
        <f t="shared" si="53"/>
        <v>14258555.133079845</v>
      </c>
      <c r="O526" s="28">
        <f t="shared" si="54"/>
        <v>15209125.475285169</v>
      </c>
      <c r="P526" s="28">
        <f t="shared" si="55"/>
        <v>16159695.817490492</v>
      </c>
      <c r="Q526" s="28">
        <f t="shared" si="56"/>
        <v>17110266.159695815</v>
      </c>
      <c r="R526" s="28">
        <f t="shared" si="57"/>
        <v>18060836.501901139</v>
      </c>
      <c r="S526" s="28">
        <f t="shared" si="58"/>
        <v>19011406.844106462</v>
      </c>
      <c r="T526" s="28">
        <f t="shared" si="59"/>
        <v>19961977.186311785</v>
      </c>
      <c r="U526" s="28">
        <f t="shared" si="60"/>
        <v>20912547.528517108</v>
      </c>
      <c r="V526" s="28">
        <f t="shared" si="61"/>
        <v>21863117.870722432</v>
      </c>
      <c r="W526" s="28">
        <f t="shared" si="62"/>
        <v>22813688.212927751</v>
      </c>
    </row>
    <row r="527" spans="1:23" x14ac:dyDescent="0.2">
      <c r="A527" s="28">
        <v>526</v>
      </c>
      <c r="B527" s="28">
        <v>379506.64136622392</v>
      </c>
      <c r="C527" s="28">
        <f t="shared" si="42"/>
        <v>3795066.413662239</v>
      </c>
      <c r="D527" s="28">
        <f t="shared" si="43"/>
        <v>4743833.017077799</v>
      </c>
      <c r="E527" s="28">
        <f t="shared" si="44"/>
        <v>5692599.620493358</v>
      </c>
      <c r="F527" s="28">
        <f t="shared" si="45"/>
        <v>6641366.223908918</v>
      </c>
      <c r="G527" s="28">
        <f t="shared" si="46"/>
        <v>7590132.827324478</v>
      </c>
      <c r="H527" s="28">
        <f t="shared" si="47"/>
        <v>8538899.4307400379</v>
      </c>
      <c r="I527" s="28">
        <f t="shared" si="48"/>
        <v>9487666.0341555979</v>
      </c>
      <c r="J527" s="28">
        <f t="shared" si="49"/>
        <v>10436432.637571158</v>
      </c>
      <c r="K527" s="28">
        <f t="shared" si="50"/>
        <v>11385199.240986716</v>
      </c>
      <c r="L527" s="28">
        <f t="shared" si="51"/>
        <v>12333965.844402276</v>
      </c>
      <c r="M527" s="28">
        <f t="shared" si="52"/>
        <v>13282732.447817836</v>
      </c>
      <c r="N527" s="28">
        <f t="shared" si="53"/>
        <v>14231499.051233396</v>
      </c>
      <c r="O527" s="28">
        <f t="shared" si="54"/>
        <v>15180265.654648956</v>
      </c>
      <c r="P527" s="28">
        <f t="shared" si="55"/>
        <v>16129032.258064516</v>
      </c>
      <c r="Q527" s="28">
        <f t="shared" si="56"/>
        <v>17077798.861480076</v>
      </c>
      <c r="R527" s="28">
        <f t="shared" si="57"/>
        <v>18026565.464895636</v>
      </c>
      <c r="S527" s="28">
        <f t="shared" si="58"/>
        <v>18975332.068311196</v>
      </c>
      <c r="T527" s="28">
        <f t="shared" si="59"/>
        <v>19924098.671726756</v>
      </c>
      <c r="U527" s="28">
        <f t="shared" si="60"/>
        <v>20872865.275142316</v>
      </c>
      <c r="V527" s="28">
        <f t="shared" si="61"/>
        <v>21821631.878557876</v>
      </c>
      <c r="W527" s="28">
        <f t="shared" si="62"/>
        <v>22770398.481973432</v>
      </c>
    </row>
    <row r="528" spans="1:23" x14ac:dyDescent="0.2">
      <c r="A528" s="28">
        <v>527</v>
      </c>
      <c r="B528" s="28">
        <v>378787.87878787878</v>
      </c>
      <c r="C528" s="28">
        <f t="shared" si="42"/>
        <v>3787878.7878787881</v>
      </c>
      <c r="D528" s="28">
        <f t="shared" si="43"/>
        <v>4734848.4848484853</v>
      </c>
      <c r="E528" s="28">
        <f t="shared" si="44"/>
        <v>5681818.1818181816</v>
      </c>
      <c r="F528" s="28">
        <f t="shared" si="45"/>
        <v>6628787.8787878789</v>
      </c>
      <c r="G528" s="28">
        <f t="shared" si="46"/>
        <v>7575757.5757575762</v>
      </c>
      <c r="H528" s="28">
        <f t="shared" si="47"/>
        <v>8522727.2727272734</v>
      </c>
      <c r="I528" s="28">
        <f t="shared" si="48"/>
        <v>9469696.9696969707</v>
      </c>
      <c r="J528" s="28">
        <f t="shared" si="49"/>
        <v>10416666.666666668</v>
      </c>
      <c r="K528" s="28">
        <f t="shared" si="50"/>
        <v>11363636.363636363</v>
      </c>
      <c r="L528" s="28">
        <f t="shared" si="51"/>
        <v>12310606.060606061</v>
      </c>
      <c r="M528" s="28">
        <f t="shared" si="52"/>
        <v>13257575.757575758</v>
      </c>
      <c r="N528" s="28">
        <f t="shared" si="53"/>
        <v>14204545.454545455</v>
      </c>
      <c r="O528" s="28">
        <f t="shared" si="54"/>
        <v>15151515.151515152</v>
      </c>
      <c r="P528" s="28">
        <f t="shared" si="55"/>
        <v>16098484.84848485</v>
      </c>
      <c r="Q528" s="28">
        <f t="shared" si="56"/>
        <v>17045454.545454547</v>
      </c>
      <c r="R528" s="28">
        <f t="shared" si="57"/>
        <v>17992424.242424242</v>
      </c>
      <c r="S528" s="28">
        <f t="shared" si="58"/>
        <v>18939393.939393941</v>
      </c>
      <c r="T528" s="28">
        <f t="shared" si="59"/>
        <v>19886363.636363637</v>
      </c>
      <c r="U528" s="28">
        <f t="shared" si="60"/>
        <v>20833333.333333336</v>
      </c>
      <c r="V528" s="28">
        <f t="shared" si="61"/>
        <v>21780303.030303031</v>
      </c>
      <c r="W528" s="28">
        <f t="shared" si="62"/>
        <v>22727272.727272727</v>
      </c>
    </row>
    <row r="529" spans="1:23" x14ac:dyDescent="0.2">
      <c r="A529" s="28">
        <v>528</v>
      </c>
      <c r="B529" s="28">
        <v>378071.83364839316</v>
      </c>
      <c r="C529" s="28">
        <f t="shared" si="42"/>
        <v>3780718.3364839316</v>
      </c>
      <c r="D529" s="28">
        <f t="shared" si="43"/>
        <v>4725897.9206049144</v>
      </c>
      <c r="E529" s="28">
        <f t="shared" si="44"/>
        <v>5671077.5047258977</v>
      </c>
      <c r="F529" s="28">
        <f t="shared" si="45"/>
        <v>6616257.08884688</v>
      </c>
      <c r="G529" s="28">
        <f t="shared" si="46"/>
        <v>7561436.6729678633</v>
      </c>
      <c r="H529" s="28">
        <f t="shared" si="47"/>
        <v>8506616.2570888456</v>
      </c>
      <c r="I529" s="28">
        <f t="shared" si="48"/>
        <v>9451795.8412098289</v>
      </c>
      <c r="J529" s="28">
        <f t="shared" si="49"/>
        <v>10396975.425330812</v>
      </c>
      <c r="K529" s="28">
        <f t="shared" si="50"/>
        <v>11342155.009451795</v>
      </c>
      <c r="L529" s="28">
        <f t="shared" si="51"/>
        <v>12287334.593572779</v>
      </c>
      <c r="M529" s="28">
        <f t="shared" si="52"/>
        <v>13232514.17769376</v>
      </c>
      <c r="N529" s="28">
        <f t="shared" si="53"/>
        <v>14177693.761814743</v>
      </c>
      <c r="O529" s="28">
        <f t="shared" si="54"/>
        <v>15122873.345935727</v>
      </c>
      <c r="P529" s="28">
        <f t="shared" si="55"/>
        <v>16068052.93005671</v>
      </c>
      <c r="Q529" s="28">
        <f t="shared" si="56"/>
        <v>17013232.514177691</v>
      </c>
      <c r="R529" s="28">
        <f t="shared" si="57"/>
        <v>17958412.098298676</v>
      </c>
      <c r="S529" s="28">
        <f t="shared" si="58"/>
        <v>18903591.682419658</v>
      </c>
      <c r="T529" s="28">
        <f t="shared" si="59"/>
        <v>19848771.266540643</v>
      </c>
      <c r="U529" s="28">
        <f t="shared" si="60"/>
        <v>20793950.850661624</v>
      </c>
      <c r="V529" s="28">
        <f t="shared" si="61"/>
        <v>21739130.434782606</v>
      </c>
      <c r="W529" s="28">
        <f t="shared" si="62"/>
        <v>22684310.018903591</v>
      </c>
    </row>
    <row r="530" spans="1:23" x14ac:dyDescent="0.2">
      <c r="A530" s="28">
        <v>529</v>
      </c>
      <c r="B530" s="28">
        <v>377358.49056603771</v>
      </c>
      <c r="C530" s="28">
        <f t="shared" si="42"/>
        <v>3773584.9056603769</v>
      </c>
      <c r="D530" s="28">
        <f t="shared" si="43"/>
        <v>4716981.1320754709</v>
      </c>
      <c r="E530" s="28">
        <f t="shared" si="44"/>
        <v>5660377.3584905658</v>
      </c>
      <c r="F530" s="28">
        <f t="shared" si="45"/>
        <v>6603773.5849056598</v>
      </c>
      <c r="G530" s="28">
        <f t="shared" si="46"/>
        <v>7547169.8113207538</v>
      </c>
      <c r="H530" s="28">
        <f t="shared" si="47"/>
        <v>8490566.0377358478</v>
      </c>
      <c r="I530" s="28">
        <f t="shared" si="48"/>
        <v>9433962.2641509417</v>
      </c>
      <c r="J530" s="28">
        <f t="shared" si="49"/>
        <v>10377358.490566036</v>
      </c>
      <c r="K530" s="28">
        <f t="shared" si="50"/>
        <v>11320754.716981132</v>
      </c>
      <c r="L530" s="28">
        <f t="shared" si="51"/>
        <v>12264150.943396226</v>
      </c>
      <c r="M530" s="28">
        <f t="shared" si="52"/>
        <v>13207547.16981132</v>
      </c>
      <c r="N530" s="28">
        <f t="shared" si="53"/>
        <v>14150943.396226414</v>
      </c>
      <c r="O530" s="28">
        <f t="shared" si="54"/>
        <v>15094339.622641508</v>
      </c>
      <c r="P530" s="28">
        <f t="shared" si="55"/>
        <v>16037735.849056602</v>
      </c>
      <c r="Q530" s="28">
        <f t="shared" si="56"/>
        <v>16981132.075471696</v>
      </c>
      <c r="R530" s="28">
        <f t="shared" si="57"/>
        <v>17924528.30188679</v>
      </c>
      <c r="S530" s="28">
        <f t="shared" si="58"/>
        <v>18867924.528301883</v>
      </c>
      <c r="T530" s="28">
        <f t="shared" si="59"/>
        <v>19811320.754716977</v>
      </c>
      <c r="U530" s="28">
        <f t="shared" si="60"/>
        <v>20754716.981132071</v>
      </c>
      <c r="V530" s="28">
        <f t="shared" si="61"/>
        <v>21698113.207547165</v>
      </c>
      <c r="W530" s="28">
        <f t="shared" si="62"/>
        <v>22641509.433962263</v>
      </c>
    </row>
    <row r="531" spans="1:23" x14ac:dyDescent="0.2">
      <c r="A531" s="28">
        <v>530</v>
      </c>
      <c r="B531" s="28">
        <v>376647.83427495288</v>
      </c>
      <c r="C531" s="28">
        <f t="shared" si="42"/>
        <v>3766478.3427495286</v>
      </c>
      <c r="D531" s="28">
        <f t="shared" si="43"/>
        <v>4708097.9284369107</v>
      </c>
      <c r="E531" s="28">
        <f t="shared" si="44"/>
        <v>5649717.5141242929</v>
      </c>
      <c r="F531" s="28">
        <f t="shared" si="45"/>
        <v>6591337.099811675</v>
      </c>
      <c r="G531" s="28">
        <f t="shared" si="46"/>
        <v>7532956.6854990572</v>
      </c>
      <c r="H531" s="28">
        <f t="shared" si="47"/>
        <v>8474576.2711864393</v>
      </c>
      <c r="I531" s="28">
        <f t="shared" si="48"/>
        <v>9416195.8568738215</v>
      </c>
      <c r="J531" s="28">
        <f t="shared" si="49"/>
        <v>10357815.442561204</v>
      </c>
      <c r="K531" s="28">
        <f t="shared" si="50"/>
        <v>11299435.028248586</v>
      </c>
      <c r="L531" s="28">
        <f t="shared" si="51"/>
        <v>12241054.613935968</v>
      </c>
      <c r="M531" s="28">
        <f t="shared" si="52"/>
        <v>13182674.19962335</v>
      </c>
      <c r="N531" s="28">
        <f t="shared" si="53"/>
        <v>14124293.785310732</v>
      </c>
      <c r="O531" s="28">
        <f t="shared" si="54"/>
        <v>15065913.370998114</v>
      </c>
      <c r="P531" s="28">
        <f t="shared" si="55"/>
        <v>16007532.956685496</v>
      </c>
      <c r="Q531" s="28">
        <f t="shared" si="56"/>
        <v>16949152.542372879</v>
      </c>
      <c r="R531" s="28">
        <f t="shared" si="57"/>
        <v>17890772.128060259</v>
      </c>
      <c r="S531" s="28">
        <f t="shared" si="58"/>
        <v>18832391.713747643</v>
      </c>
      <c r="T531" s="28">
        <f t="shared" si="59"/>
        <v>19774011.299435027</v>
      </c>
      <c r="U531" s="28">
        <f t="shared" si="60"/>
        <v>20715630.885122407</v>
      </c>
      <c r="V531" s="28">
        <f t="shared" si="61"/>
        <v>21657250.470809788</v>
      </c>
      <c r="W531" s="28">
        <f t="shared" si="62"/>
        <v>22598870.056497172</v>
      </c>
    </row>
    <row r="532" spans="1:23" x14ac:dyDescent="0.2">
      <c r="A532" s="28">
        <v>531</v>
      </c>
      <c r="B532" s="28">
        <v>375939.84962406015</v>
      </c>
      <c r="C532" s="28">
        <f t="shared" si="42"/>
        <v>3759398.4962406014</v>
      </c>
      <c r="D532" s="28">
        <f t="shared" si="43"/>
        <v>4699248.1203007521</v>
      </c>
      <c r="E532" s="28">
        <f t="shared" si="44"/>
        <v>5639097.7443609023</v>
      </c>
      <c r="F532" s="28">
        <f t="shared" si="45"/>
        <v>6578947.3684210526</v>
      </c>
      <c r="G532" s="28">
        <f t="shared" si="46"/>
        <v>7518796.9924812028</v>
      </c>
      <c r="H532" s="28">
        <f t="shared" si="47"/>
        <v>8458646.616541354</v>
      </c>
      <c r="I532" s="28">
        <f t="shared" si="48"/>
        <v>9398496.2406015042</v>
      </c>
      <c r="J532" s="28">
        <f t="shared" si="49"/>
        <v>10338345.864661654</v>
      </c>
      <c r="K532" s="28">
        <f t="shared" si="50"/>
        <v>11278195.488721805</v>
      </c>
      <c r="L532" s="28">
        <f t="shared" si="51"/>
        <v>12218045.112781955</v>
      </c>
      <c r="M532" s="28">
        <f t="shared" si="52"/>
        <v>13157894.736842105</v>
      </c>
      <c r="N532" s="28">
        <f t="shared" si="53"/>
        <v>14097744.360902255</v>
      </c>
      <c r="O532" s="28">
        <f t="shared" si="54"/>
        <v>15037593.984962406</v>
      </c>
      <c r="P532" s="28">
        <f t="shared" si="55"/>
        <v>15977443.609022556</v>
      </c>
      <c r="Q532" s="28">
        <f t="shared" si="56"/>
        <v>16917293.233082708</v>
      </c>
      <c r="R532" s="28">
        <f t="shared" si="57"/>
        <v>17857142.857142858</v>
      </c>
      <c r="S532" s="28">
        <f t="shared" si="58"/>
        <v>18796992.481203008</v>
      </c>
      <c r="T532" s="28">
        <f t="shared" si="59"/>
        <v>19736842.105263159</v>
      </c>
      <c r="U532" s="28">
        <f t="shared" si="60"/>
        <v>20676691.729323309</v>
      </c>
      <c r="V532" s="28">
        <f t="shared" si="61"/>
        <v>21616541.353383459</v>
      </c>
      <c r="W532" s="28">
        <f t="shared" si="62"/>
        <v>22556390.977443609</v>
      </c>
    </row>
    <row r="533" spans="1:23" x14ac:dyDescent="0.2">
      <c r="A533" s="28">
        <v>532</v>
      </c>
      <c r="B533" s="28">
        <v>375234.52157598501</v>
      </c>
      <c r="C533" s="28">
        <f t="shared" si="42"/>
        <v>3752345.2157598501</v>
      </c>
      <c r="D533" s="28">
        <f t="shared" si="43"/>
        <v>4690431.5196998129</v>
      </c>
      <c r="E533" s="28">
        <f t="shared" si="44"/>
        <v>5628517.8236397747</v>
      </c>
      <c r="F533" s="28">
        <f t="shared" si="45"/>
        <v>6566604.1275797375</v>
      </c>
      <c r="G533" s="28">
        <f t="shared" si="46"/>
        <v>7504690.4315197002</v>
      </c>
      <c r="H533" s="28">
        <f t="shared" si="47"/>
        <v>8442776.735459663</v>
      </c>
      <c r="I533" s="28">
        <f t="shared" si="48"/>
        <v>9380863.0393996257</v>
      </c>
      <c r="J533" s="28">
        <f t="shared" si="49"/>
        <v>10318949.343339588</v>
      </c>
      <c r="K533" s="28">
        <f t="shared" si="50"/>
        <v>11257035.647279549</v>
      </c>
      <c r="L533" s="28">
        <f t="shared" si="51"/>
        <v>12195121.951219512</v>
      </c>
      <c r="M533" s="28">
        <f t="shared" si="52"/>
        <v>13133208.255159475</v>
      </c>
      <c r="N533" s="28">
        <f t="shared" si="53"/>
        <v>14071294.559099438</v>
      </c>
      <c r="O533" s="28">
        <f t="shared" si="54"/>
        <v>15009380.8630394</v>
      </c>
      <c r="P533" s="28">
        <f t="shared" si="55"/>
        <v>15947467.166979363</v>
      </c>
      <c r="Q533" s="28">
        <f t="shared" si="56"/>
        <v>16885553.470919326</v>
      </c>
      <c r="R533" s="28">
        <f t="shared" si="57"/>
        <v>17823639.774859287</v>
      </c>
      <c r="S533" s="28">
        <f t="shared" si="58"/>
        <v>18761726.078799251</v>
      </c>
      <c r="T533" s="28">
        <f t="shared" si="59"/>
        <v>19699812.382739212</v>
      </c>
      <c r="U533" s="28">
        <f t="shared" si="60"/>
        <v>20637898.686679177</v>
      </c>
      <c r="V533" s="28">
        <f t="shared" si="61"/>
        <v>21575984.990619138</v>
      </c>
      <c r="W533" s="28">
        <f t="shared" si="62"/>
        <v>22514071.294559099</v>
      </c>
    </row>
    <row r="534" spans="1:23" x14ac:dyDescent="0.2">
      <c r="A534" s="28">
        <v>533</v>
      </c>
      <c r="B534" s="28">
        <v>374531.83520599251</v>
      </c>
      <c r="C534" s="28">
        <f t="shared" si="42"/>
        <v>3745318.352059925</v>
      </c>
      <c r="D534" s="28">
        <f t="shared" si="43"/>
        <v>4681647.9400749058</v>
      </c>
      <c r="E534" s="28">
        <f t="shared" si="44"/>
        <v>5617977.5280898875</v>
      </c>
      <c r="F534" s="28">
        <f t="shared" si="45"/>
        <v>6554307.1161048692</v>
      </c>
      <c r="G534" s="28">
        <f t="shared" si="46"/>
        <v>7490636.70411985</v>
      </c>
      <c r="H534" s="28">
        <f t="shared" si="47"/>
        <v>8426966.2921348307</v>
      </c>
      <c r="I534" s="28">
        <f t="shared" si="48"/>
        <v>9363295.8801498115</v>
      </c>
      <c r="J534" s="28">
        <f t="shared" si="49"/>
        <v>10299625.468164794</v>
      </c>
      <c r="K534" s="28">
        <f t="shared" si="50"/>
        <v>11235955.056179775</v>
      </c>
      <c r="L534" s="28">
        <f t="shared" si="51"/>
        <v>12172284.644194756</v>
      </c>
      <c r="M534" s="28">
        <f t="shared" si="52"/>
        <v>13108614.232209738</v>
      </c>
      <c r="N534" s="28">
        <f t="shared" si="53"/>
        <v>14044943.820224719</v>
      </c>
      <c r="O534" s="28">
        <f t="shared" si="54"/>
        <v>14981273.4082397</v>
      </c>
      <c r="P534" s="28">
        <f t="shared" si="55"/>
        <v>15917602.996254681</v>
      </c>
      <c r="Q534" s="28">
        <f t="shared" si="56"/>
        <v>16853932.584269661</v>
      </c>
      <c r="R534" s="28">
        <f t="shared" si="57"/>
        <v>17790262.172284644</v>
      </c>
      <c r="S534" s="28">
        <f t="shared" si="58"/>
        <v>18726591.760299623</v>
      </c>
      <c r="T534" s="28">
        <f t="shared" si="59"/>
        <v>19662921.348314606</v>
      </c>
      <c r="U534" s="28">
        <f t="shared" si="60"/>
        <v>20599250.936329588</v>
      </c>
      <c r="V534" s="28">
        <f t="shared" si="61"/>
        <v>21535580.524344567</v>
      </c>
      <c r="W534" s="28">
        <f t="shared" si="62"/>
        <v>22471910.11235955</v>
      </c>
    </row>
    <row r="535" spans="1:23" x14ac:dyDescent="0.2">
      <c r="A535" s="28">
        <v>534</v>
      </c>
      <c r="B535" s="28">
        <v>373831.77570093458</v>
      </c>
      <c r="C535" s="28">
        <f t="shared" si="42"/>
        <v>3738317.757009346</v>
      </c>
      <c r="D535" s="28">
        <f t="shared" si="43"/>
        <v>4672897.1962616825</v>
      </c>
      <c r="E535" s="28">
        <f t="shared" si="44"/>
        <v>5607476.6355140191</v>
      </c>
      <c r="F535" s="28">
        <f t="shared" si="45"/>
        <v>6542056.0747663556</v>
      </c>
      <c r="G535" s="28">
        <f t="shared" si="46"/>
        <v>7476635.5140186921</v>
      </c>
      <c r="H535" s="28">
        <f t="shared" si="47"/>
        <v>8411214.9532710277</v>
      </c>
      <c r="I535" s="28">
        <f t="shared" si="48"/>
        <v>9345794.3925233651</v>
      </c>
      <c r="J535" s="28">
        <f t="shared" si="49"/>
        <v>10280373.831775703</v>
      </c>
      <c r="K535" s="28">
        <f t="shared" si="50"/>
        <v>11214953.271028038</v>
      </c>
      <c r="L535" s="28">
        <f t="shared" si="51"/>
        <v>12149532.710280374</v>
      </c>
      <c r="M535" s="28">
        <f t="shared" si="52"/>
        <v>13084112.149532711</v>
      </c>
      <c r="N535" s="28">
        <f t="shared" si="53"/>
        <v>14018691.588785049</v>
      </c>
      <c r="O535" s="28">
        <f t="shared" si="54"/>
        <v>14953271.028037384</v>
      </c>
      <c r="P535" s="28">
        <f t="shared" si="55"/>
        <v>15887850.46728972</v>
      </c>
      <c r="Q535" s="28">
        <f t="shared" si="56"/>
        <v>16822429.906542055</v>
      </c>
      <c r="R535" s="28">
        <f t="shared" si="57"/>
        <v>17757009.345794395</v>
      </c>
      <c r="S535" s="28">
        <f t="shared" si="58"/>
        <v>18691588.78504673</v>
      </c>
      <c r="T535" s="28">
        <f t="shared" si="59"/>
        <v>19626168.224299066</v>
      </c>
      <c r="U535" s="28">
        <f t="shared" si="60"/>
        <v>20560747.663551405</v>
      </c>
      <c r="V535" s="28">
        <f t="shared" si="61"/>
        <v>21495327.102803741</v>
      </c>
      <c r="W535" s="28">
        <f t="shared" si="62"/>
        <v>22429906.542056076</v>
      </c>
    </row>
    <row r="536" spans="1:23" x14ac:dyDescent="0.2">
      <c r="A536" s="28">
        <v>535</v>
      </c>
      <c r="B536" s="28">
        <v>373134.32835820899</v>
      </c>
      <c r="C536" s="28">
        <f t="shared" si="42"/>
        <v>3731343.2835820899</v>
      </c>
      <c r="D536" s="28">
        <f t="shared" si="43"/>
        <v>4664179.1044776123</v>
      </c>
      <c r="E536" s="28">
        <f t="shared" si="44"/>
        <v>5597014.9253731351</v>
      </c>
      <c r="F536" s="28">
        <f t="shared" si="45"/>
        <v>6529850.746268657</v>
      </c>
      <c r="G536" s="28">
        <f t="shared" si="46"/>
        <v>7462686.5671641799</v>
      </c>
      <c r="H536" s="28">
        <f t="shared" si="47"/>
        <v>8395522.3880597018</v>
      </c>
      <c r="I536" s="28">
        <f t="shared" si="48"/>
        <v>9328358.2089552246</v>
      </c>
      <c r="J536" s="28">
        <f t="shared" si="49"/>
        <v>10261194.029850747</v>
      </c>
      <c r="K536" s="28">
        <f t="shared" si="50"/>
        <v>11194029.85074627</v>
      </c>
      <c r="L536" s="28">
        <f t="shared" si="51"/>
        <v>12126865.671641793</v>
      </c>
      <c r="M536" s="28">
        <f t="shared" si="52"/>
        <v>13059701.492537314</v>
      </c>
      <c r="N536" s="28">
        <f t="shared" si="53"/>
        <v>13992537.313432837</v>
      </c>
      <c r="O536" s="28">
        <f t="shared" si="54"/>
        <v>14925373.13432836</v>
      </c>
      <c r="P536" s="28">
        <f t="shared" si="55"/>
        <v>15858208.955223883</v>
      </c>
      <c r="Q536" s="28">
        <f t="shared" si="56"/>
        <v>16791044.776119404</v>
      </c>
      <c r="R536" s="28">
        <f t="shared" si="57"/>
        <v>17723880.597014926</v>
      </c>
      <c r="S536" s="28">
        <f t="shared" si="58"/>
        <v>18656716.417910449</v>
      </c>
      <c r="T536" s="28">
        <f t="shared" si="59"/>
        <v>19589552.238805972</v>
      </c>
      <c r="U536" s="28">
        <f t="shared" si="60"/>
        <v>20522388.059701495</v>
      </c>
      <c r="V536" s="28">
        <f t="shared" si="61"/>
        <v>21455223.880597018</v>
      </c>
      <c r="W536" s="28">
        <f t="shared" si="62"/>
        <v>22388059.701492541</v>
      </c>
    </row>
    <row r="537" spans="1:23" x14ac:dyDescent="0.2">
      <c r="A537" s="28">
        <v>536</v>
      </c>
      <c r="B537" s="28">
        <v>372439.47858473001</v>
      </c>
      <c r="C537" s="28">
        <f t="shared" si="42"/>
        <v>3724394.7858473002</v>
      </c>
      <c r="D537" s="28">
        <f t="shared" si="43"/>
        <v>4655493.4823091254</v>
      </c>
      <c r="E537" s="28">
        <f t="shared" si="44"/>
        <v>5586592.1787709501</v>
      </c>
      <c r="F537" s="28">
        <f t="shared" si="45"/>
        <v>6517690.8752327757</v>
      </c>
      <c r="G537" s="28">
        <f t="shared" si="46"/>
        <v>7448789.5716946004</v>
      </c>
      <c r="H537" s="28">
        <f t="shared" si="47"/>
        <v>8379888.2681564251</v>
      </c>
      <c r="I537" s="28">
        <f t="shared" si="48"/>
        <v>9310986.9646182507</v>
      </c>
      <c r="J537" s="28">
        <f t="shared" si="49"/>
        <v>10242085.661080075</v>
      </c>
      <c r="K537" s="28">
        <f t="shared" si="50"/>
        <v>11173184.3575419</v>
      </c>
      <c r="L537" s="28">
        <f t="shared" si="51"/>
        <v>12104283.054003725</v>
      </c>
      <c r="M537" s="28">
        <f t="shared" si="52"/>
        <v>13035381.750465551</v>
      </c>
      <c r="N537" s="28">
        <f t="shared" si="53"/>
        <v>13966480.446927376</v>
      </c>
      <c r="O537" s="28">
        <f t="shared" si="54"/>
        <v>14897579.143389201</v>
      </c>
      <c r="P537" s="28">
        <f t="shared" si="55"/>
        <v>15828677.839851025</v>
      </c>
      <c r="Q537" s="28">
        <f t="shared" si="56"/>
        <v>16759776.53631285</v>
      </c>
      <c r="R537" s="28">
        <f t="shared" si="57"/>
        <v>17690875.232774675</v>
      </c>
      <c r="S537" s="28">
        <f t="shared" si="58"/>
        <v>18621973.929236501</v>
      </c>
      <c r="T537" s="28">
        <f t="shared" si="59"/>
        <v>19553072.625698324</v>
      </c>
      <c r="U537" s="28">
        <f t="shared" si="60"/>
        <v>20484171.322160151</v>
      </c>
      <c r="V537" s="28">
        <f t="shared" si="61"/>
        <v>21415270.018621977</v>
      </c>
      <c r="W537" s="28">
        <f t="shared" si="62"/>
        <v>22346368.7150838</v>
      </c>
    </row>
    <row r="538" spans="1:23" x14ac:dyDescent="0.2">
      <c r="A538" s="28">
        <v>537</v>
      </c>
      <c r="B538" s="28">
        <v>371747.21189591079</v>
      </c>
      <c r="C538" s="28">
        <f t="shared" si="42"/>
        <v>3717472.1189591079</v>
      </c>
      <c r="D538" s="28">
        <f t="shared" si="43"/>
        <v>4646840.148698885</v>
      </c>
      <c r="E538" s="28">
        <f t="shared" si="44"/>
        <v>5576208.1784386616</v>
      </c>
      <c r="F538" s="28">
        <f t="shared" si="45"/>
        <v>6505576.2081784392</v>
      </c>
      <c r="G538" s="28">
        <f t="shared" si="46"/>
        <v>7434944.2379182158</v>
      </c>
      <c r="H538" s="28">
        <f t="shared" si="47"/>
        <v>8364312.2676579924</v>
      </c>
      <c r="I538" s="28">
        <f t="shared" si="48"/>
        <v>9293680.29739777</v>
      </c>
      <c r="J538" s="28">
        <f t="shared" si="49"/>
        <v>10223048.327137547</v>
      </c>
      <c r="K538" s="28">
        <f t="shared" si="50"/>
        <v>11152416.356877323</v>
      </c>
      <c r="L538" s="28">
        <f t="shared" si="51"/>
        <v>12081784.3866171</v>
      </c>
      <c r="M538" s="28">
        <f t="shared" si="52"/>
        <v>13011152.416356878</v>
      </c>
      <c r="N538" s="28">
        <f t="shared" si="53"/>
        <v>13940520.446096655</v>
      </c>
      <c r="O538" s="28">
        <f t="shared" si="54"/>
        <v>14869888.475836432</v>
      </c>
      <c r="P538" s="28">
        <f t="shared" si="55"/>
        <v>15799256.505576208</v>
      </c>
      <c r="Q538" s="28">
        <f t="shared" si="56"/>
        <v>16728624.535315985</v>
      </c>
      <c r="R538" s="28">
        <f t="shared" si="57"/>
        <v>17657992.565055761</v>
      </c>
      <c r="S538" s="28">
        <f t="shared" si="58"/>
        <v>18587360.59479554</v>
      </c>
      <c r="T538" s="28">
        <f t="shared" si="59"/>
        <v>19516728.624535315</v>
      </c>
      <c r="U538" s="28">
        <f t="shared" si="60"/>
        <v>20446096.654275093</v>
      </c>
      <c r="V538" s="28">
        <f t="shared" si="61"/>
        <v>21375464.684014872</v>
      </c>
      <c r="W538" s="28">
        <f t="shared" si="62"/>
        <v>22304832.713754646</v>
      </c>
    </row>
    <row r="539" spans="1:23" x14ac:dyDescent="0.2">
      <c r="A539" s="28">
        <v>538</v>
      </c>
      <c r="B539" s="28">
        <v>371057.51391465677</v>
      </c>
      <c r="C539" s="28">
        <f t="shared" si="42"/>
        <v>3710575.1391465678</v>
      </c>
      <c r="D539" s="28">
        <f t="shared" si="43"/>
        <v>4638218.9239332099</v>
      </c>
      <c r="E539" s="28">
        <f t="shared" si="44"/>
        <v>5565862.7087198514</v>
      </c>
      <c r="F539" s="28">
        <f t="shared" si="45"/>
        <v>6493506.493506494</v>
      </c>
      <c r="G539" s="28">
        <f t="shared" si="46"/>
        <v>7421150.2782931356</v>
      </c>
      <c r="H539" s="28">
        <f t="shared" si="47"/>
        <v>8348794.0630797772</v>
      </c>
      <c r="I539" s="28">
        <f t="shared" si="48"/>
        <v>9276437.8478664197</v>
      </c>
      <c r="J539" s="28">
        <f t="shared" si="49"/>
        <v>10204081.632653061</v>
      </c>
      <c r="K539" s="28">
        <f t="shared" si="50"/>
        <v>11131725.417439703</v>
      </c>
      <c r="L539" s="28">
        <f t="shared" si="51"/>
        <v>12059369.202226344</v>
      </c>
      <c r="M539" s="28">
        <f t="shared" si="52"/>
        <v>12987012.987012988</v>
      </c>
      <c r="N539" s="28">
        <f t="shared" si="53"/>
        <v>13914656.77179963</v>
      </c>
      <c r="O539" s="28">
        <f t="shared" si="54"/>
        <v>14842300.556586271</v>
      </c>
      <c r="P539" s="28">
        <f t="shared" si="55"/>
        <v>15769944.341372913</v>
      </c>
      <c r="Q539" s="28">
        <f t="shared" si="56"/>
        <v>16697588.126159554</v>
      </c>
      <c r="R539" s="28">
        <f t="shared" si="57"/>
        <v>17625231.910946198</v>
      </c>
      <c r="S539" s="28">
        <f t="shared" si="58"/>
        <v>18552875.695732839</v>
      </c>
      <c r="T539" s="28">
        <f t="shared" si="59"/>
        <v>19480519.480519481</v>
      </c>
      <c r="U539" s="28">
        <f t="shared" si="60"/>
        <v>20408163.265306123</v>
      </c>
      <c r="V539" s="28">
        <f t="shared" si="61"/>
        <v>21335807.050092764</v>
      </c>
      <c r="W539" s="28">
        <f t="shared" si="62"/>
        <v>22263450.834879406</v>
      </c>
    </row>
    <row r="540" spans="1:23" x14ac:dyDescent="0.2">
      <c r="A540" s="28">
        <v>539</v>
      </c>
      <c r="B540" s="28">
        <v>370370.37037037039</v>
      </c>
      <c r="C540" s="28">
        <f t="shared" si="42"/>
        <v>3703703.7037037038</v>
      </c>
      <c r="D540" s="28">
        <f t="shared" si="43"/>
        <v>4629629.6296296297</v>
      </c>
      <c r="E540" s="28">
        <f t="shared" si="44"/>
        <v>5555555.555555556</v>
      </c>
      <c r="F540" s="28">
        <f t="shared" si="45"/>
        <v>6481481.4814814813</v>
      </c>
      <c r="G540" s="28">
        <f t="shared" si="46"/>
        <v>7407407.4074074076</v>
      </c>
      <c r="H540" s="28">
        <f t="shared" si="47"/>
        <v>8333333.333333334</v>
      </c>
      <c r="I540" s="28">
        <f t="shared" si="48"/>
        <v>9259259.2592592593</v>
      </c>
      <c r="J540" s="28">
        <f t="shared" si="49"/>
        <v>10185185.185185185</v>
      </c>
      <c r="K540" s="28">
        <f t="shared" si="50"/>
        <v>11111111.111111112</v>
      </c>
      <c r="L540" s="28">
        <f t="shared" si="51"/>
        <v>12037037.037037037</v>
      </c>
      <c r="M540" s="28">
        <f t="shared" si="52"/>
        <v>12962962.962962963</v>
      </c>
      <c r="N540" s="28">
        <f t="shared" si="53"/>
        <v>13888888.88888889</v>
      </c>
      <c r="O540" s="28">
        <f t="shared" si="54"/>
        <v>14814814.814814815</v>
      </c>
      <c r="P540" s="28">
        <f t="shared" si="55"/>
        <v>15740740.740740741</v>
      </c>
      <c r="Q540" s="28">
        <f t="shared" si="56"/>
        <v>16666666.666666668</v>
      </c>
      <c r="R540" s="28">
        <f t="shared" si="57"/>
        <v>17592592.592592593</v>
      </c>
      <c r="S540" s="28">
        <f t="shared" si="58"/>
        <v>18518518.518518519</v>
      </c>
      <c r="T540" s="28">
        <f t="shared" si="59"/>
        <v>19444444.444444444</v>
      </c>
      <c r="U540" s="28">
        <f t="shared" si="60"/>
        <v>20370370.370370369</v>
      </c>
      <c r="V540" s="28">
        <f t="shared" si="61"/>
        <v>21296296.296296299</v>
      </c>
      <c r="W540" s="28">
        <f t="shared" si="62"/>
        <v>22222222.222222224</v>
      </c>
    </row>
    <row r="541" spans="1:23" x14ac:dyDescent="0.2">
      <c r="A541" s="28">
        <v>540</v>
      </c>
      <c r="B541" s="28">
        <v>369685.76709796669</v>
      </c>
      <c r="C541" s="28">
        <f t="shared" si="42"/>
        <v>3696857.670979667</v>
      </c>
      <c r="D541" s="28">
        <f t="shared" si="43"/>
        <v>4621072.0887245834</v>
      </c>
      <c r="E541" s="28">
        <f t="shared" si="44"/>
        <v>5545286.5064695003</v>
      </c>
      <c r="F541" s="28">
        <f t="shared" si="45"/>
        <v>6469500.9242144171</v>
      </c>
      <c r="G541" s="28">
        <f t="shared" si="46"/>
        <v>7393715.341959334</v>
      </c>
      <c r="H541" s="28">
        <f t="shared" si="47"/>
        <v>8317929.7597042508</v>
      </c>
      <c r="I541" s="28">
        <f t="shared" si="48"/>
        <v>9242144.1774491668</v>
      </c>
      <c r="J541" s="28">
        <f t="shared" si="49"/>
        <v>10166358.595194085</v>
      </c>
      <c r="K541" s="28">
        <f t="shared" si="50"/>
        <v>11090573.012939001</v>
      </c>
      <c r="L541" s="28">
        <f t="shared" si="51"/>
        <v>12014787.430683918</v>
      </c>
      <c r="M541" s="28">
        <f t="shared" si="52"/>
        <v>12939001.848428834</v>
      </c>
      <c r="N541" s="28">
        <f t="shared" si="53"/>
        <v>13863216.266173752</v>
      </c>
      <c r="O541" s="28">
        <f t="shared" si="54"/>
        <v>14787430.683918668</v>
      </c>
      <c r="P541" s="28">
        <f t="shared" si="55"/>
        <v>15711645.101663584</v>
      </c>
      <c r="Q541" s="28">
        <f t="shared" si="56"/>
        <v>16635859.519408502</v>
      </c>
      <c r="R541" s="28">
        <f t="shared" si="57"/>
        <v>17560073.937153418</v>
      </c>
      <c r="S541" s="28">
        <f t="shared" si="58"/>
        <v>18484288.354898334</v>
      </c>
      <c r="T541" s="28">
        <f t="shared" si="59"/>
        <v>19408502.772643253</v>
      </c>
      <c r="U541" s="28">
        <f t="shared" si="60"/>
        <v>20332717.190388169</v>
      </c>
      <c r="V541" s="28">
        <f t="shared" si="61"/>
        <v>21256931.608133085</v>
      </c>
      <c r="W541" s="28">
        <f t="shared" si="62"/>
        <v>22181146.025878001</v>
      </c>
    </row>
    <row r="542" spans="1:23" x14ac:dyDescent="0.2">
      <c r="A542" s="28">
        <v>541</v>
      </c>
      <c r="B542" s="28">
        <v>369003.6900369004</v>
      </c>
      <c r="C542" s="28">
        <f t="shared" si="42"/>
        <v>3690036.9003690039</v>
      </c>
      <c r="D542" s="28">
        <f t="shared" si="43"/>
        <v>4612546.1254612552</v>
      </c>
      <c r="E542" s="28">
        <f t="shared" si="44"/>
        <v>5535055.3505535061</v>
      </c>
      <c r="F542" s="28">
        <f t="shared" si="45"/>
        <v>6457564.5756457569</v>
      </c>
      <c r="G542" s="28">
        <f t="shared" si="46"/>
        <v>7380073.8007380078</v>
      </c>
      <c r="H542" s="28">
        <f t="shared" si="47"/>
        <v>8302583.0258302586</v>
      </c>
      <c r="I542" s="28">
        <f t="shared" si="48"/>
        <v>9225092.2509225104</v>
      </c>
      <c r="J542" s="28">
        <f t="shared" si="49"/>
        <v>10147601.476014761</v>
      </c>
      <c r="K542" s="28">
        <f t="shared" si="50"/>
        <v>11070110.701107012</v>
      </c>
      <c r="L542" s="28">
        <f t="shared" si="51"/>
        <v>11992619.926199263</v>
      </c>
      <c r="M542" s="28">
        <f t="shared" si="52"/>
        <v>12915129.151291514</v>
      </c>
      <c r="N542" s="28">
        <f t="shared" si="53"/>
        <v>13837638.376383765</v>
      </c>
      <c r="O542" s="28">
        <f t="shared" si="54"/>
        <v>14760147.601476016</v>
      </c>
      <c r="P542" s="28">
        <f t="shared" si="55"/>
        <v>15682656.826568266</v>
      </c>
      <c r="Q542" s="28">
        <f t="shared" si="56"/>
        <v>16605166.051660517</v>
      </c>
      <c r="R542" s="28">
        <f t="shared" si="57"/>
        <v>17527675.27675277</v>
      </c>
      <c r="S542" s="28">
        <f t="shared" si="58"/>
        <v>18450184.501845021</v>
      </c>
      <c r="T542" s="28">
        <f t="shared" si="59"/>
        <v>19372693.726937272</v>
      </c>
      <c r="U542" s="28">
        <f t="shared" si="60"/>
        <v>20295202.952029523</v>
      </c>
      <c r="V542" s="28">
        <f t="shared" si="61"/>
        <v>21217712.177121773</v>
      </c>
      <c r="W542" s="28">
        <f t="shared" si="62"/>
        <v>22140221.402214024</v>
      </c>
    </row>
    <row r="543" spans="1:23" x14ac:dyDescent="0.2">
      <c r="A543" s="28">
        <v>542</v>
      </c>
      <c r="B543" s="28">
        <v>368324.12523020257</v>
      </c>
      <c r="C543" s="28">
        <f t="shared" si="42"/>
        <v>3683241.2523020254</v>
      </c>
      <c r="D543" s="28">
        <f t="shared" si="43"/>
        <v>4604051.5653775316</v>
      </c>
      <c r="E543" s="28">
        <f t="shared" si="44"/>
        <v>5524861.8784530386</v>
      </c>
      <c r="F543" s="28">
        <f t="shared" si="45"/>
        <v>6445672.1915285448</v>
      </c>
      <c r="G543" s="28">
        <f t="shared" si="46"/>
        <v>7366482.5046040509</v>
      </c>
      <c r="H543" s="28">
        <f t="shared" si="47"/>
        <v>8287292.817679557</v>
      </c>
      <c r="I543" s="28">
        <f t="shared" si="48"/>
        <v>9208103.1307550631</v>
      </c>
      <c r="J543" s="28">
        <f t="shared" si="49"/>
        <v>10128913.44383057</v>
      </c>
      <c r="K543" s="28">
        <f t="shared" si="50"/>
        <v>11049723.756906077</v>
      </c>
      <c r="L543" s="28">
        <f t="shared" si="51"/>
        <v>11970534.069981582</v>
      </c>
      <c r="M543" s="28">
        <f t="shared" si="52"/>
        <v>12891344.38305709</v>
      </c>
      <c r="N543" s="28">
        <f t="shared" si="53"/>
        <v>13812154.696132595</v>
      </c>
      <c r="O543" s="28">
        <f t="shared" si="54"/>
        <v>14732965.009208102</v>
      </c>
      <c r="P543" s="28">
        <f t="shared" si="55"/>
        <v>15653775.322283609</v>
      </c>
      <c r="Q543" s="28">
        <f t="shared" si="56"/>
        <v>16574585.635359114</v>
      </c>
      <c r="R543" s="28">
        <f t="shared" si="57"/>
        <v>17495395.948434621</v>
      </c>
      <c r="S543" s="28">
        <f t="shared" si="58"/>
        <v>18416206.261510126</v>
      </c>
      <c r="T543" s="28">
        <f t="shared" si="59"/>
        <v>19337016.574585635</v>
      </c>
      <c r="U543" s="28">
        <f t="shared" si="60"/>
        <v>20257826.88766114</v>
      </c>
      <c r="V543" s="28">
        <f t="shared" si="61"/>
        <v>21178637.200736646</v>
      </c>
      <c r="W543" s="28">
        <f t="shared" si="62"/>
        <v>22099447.513812155</v>
      </c>
    </row>
    <row r="544" spans="1:23" x14ac:dyDescent="0.2">
      <c r="A544" s="28">
        <v>543</v>
      </c>
      <c r="B544" s="28">
        <v>367647.0588235294</v>
      </c>
      <c r="C544" s="28">
        <f t="shared" si="42"/>
        <v>3676470.588235294</v>
      </c>
      <c r="D544" s="28">
        <f t="shared" si="43"/>
        <v>4595588.2352941176</v>
      </c>
      <c r="E544" s="28">
        <f t="shared" si="44"/>
        <v>5514705.8823529407</v>
      </c>
      <c r="F544" s="28">
        <f t="shared" si="45"/>
        <v>6433823.5294117648</v>
      </c>
      <c r="G544" s="28">
        <f t="shared" si="46"/>
        <v>7352941.176470588</v>
      </c>
      <c r="H544" s="28">
        <f t="shared" si="47"/>
        <v>8272058.8235294111</v>
      </c>
      <c r="I544" s="28">
        <f t="shared" si="48"/>
        <v>9191176.4705882352</v>
      </c>
      <c r="J544" s="28">
        <f t="shared" si="49"/>
        <v>10110294.117647059</v>
      </c>
      <c r="K544" s="28">
        <f t="shared" si="50"/>
        <v>11029411.764705881</v>
      </c>
      <c r="L544" s="28">
        <f t="shared" si="51"/>
        <v>11948529.411764706</v>
      </c>
      <c r="M544" s="28">
        <f t="shared" si="52"/>
        <v>12867647.05882353</v>
      </c>
      <c r="N544" s="28">
        <f t="shared" si="53"/>
        <v>13786764.705882352</v>
      </c>
      <c r="O544" s="28">
        <f t="shared" si="54"/>
        <v>14705882.352941176</v>
      </c>
      <c r="P544" s="28">
        <f t="shared" si="55"/>
        <v>15625000</v>
      </c>
      <c r="Q544" s="28">
        <f t="shared" si="56"/>
        <v>16544117.647058822</v>
      </c>
      <c r="R544" s="28">
        <f t="shared" si="57"/>
        <v>17463235.294117648</v>
      </c>
      <c r="S544" s="28">
        <f t="shared" si="58"/>
        <v>18382352.94117647</v>
      </c>
      <c r="T544" s="28">
        <f t="shared" si="59"/>
        <v>19301470.588235293</v>
      </c>
      <c r="U544" s="28">
        <f t="shared" si="60"/>
        <v>20220588.235294119</v>
      </c>
      <c r="V544" s="28">
        <f t="shared" si="61"/>
        <v>21139705.882352941</v>
      </c>
      <c r="W544" s="28">
        <f t="shared" si="62"/>
        <v>22058823.529411763</v>
      </c>
    </row>
    <row r="545" spans="1:23" x14ac:dyDescent="0.2">
      <c r="A545" s="28">
        <v>544</v>
      </c>
      <c r="B545" s="28">
        <v>366972.47706422018</v>
      </c>
      <c r="C545" s="28">
        <f t="shared" si="42"/>
        <v>3669724.7706422019</v>
      </c>
      <c r="D545" s="28">
        <f t="shared" si="43"/>
        <v>4587155.963302752</v>
      </c>
      <c r="E545" s="28">
        <f t="shared" si="44"/>
        <v>5504587.1559633026</v>
      </c>
      <c r="F545" s="28">
        <f t="shared" si="45"/>
        <v>6422018.3486238532</v>
      </c>
      <c r="G545" s="28">
        <f t="shared" si="46"/>
        <v>7339449.5412844038</v>
      </c>
      <c r="H545" s="28">
        <f t="shared" si="47"/>
        <v>8256880.7339449544</v>
      </c>
      <c r="I545" s="28">
        <f t="shared" si="48"/>
        <v>9174311.926605504</v>
      </c>
      <c r="J545" s="28">
        <f t="shared" si="49"/>
        <v>10091743.119266056</v>
      </c>
      <c r="K545" s="28">
        <f t="shared" si="50"/>
        <v>11009174.311926605</v>
      </c>
      <c r="L545" s="28">
        <f t="shared" si="51"/>
        <v>11926605.504587157</v>
      </c>
      <c r="M545" s="28">
        <f t="shared" si="52"/>
        <v>12844036.697247706</v>
      </c>
      <c r="N545" s="28">
        <f t="shared" si="53"/>
        <v>13761467.889908258</v>
      </c>
      <c r="O545" s="28">
        <f t="shared" si="54"/>
        <v>14678899.082568808</v>
      </c>
      <c r="P545" s="28">
        <f t="shared" si="55"/>
        <v>15596330.275229357</v>
      </c>
      <c r="Q545" s="28">
        <f t="shared" si="56"/>
        <v>16513761.467889909</v>
      </c>
      <c r="R545" s="28">
        <f t="shared" si="57"/>
        <v>17431192.66055046</v>
      </c>
      <c r="S545" s="28">
        <f t="shared" si="58"/>
        <v>18348623.853211008</v>
      </c>
      <c r="T545" s="28">
        <f t="shared" si="59"/>
        <v>19266055.04587156</v>
      </c>
      <c r="U545" s="28">
        <f t="shared" si="60"/>
        <v>20183486.238532111</v>
      </c>
      <c r="V545" s="28">
        <f t="shared" si="61"/>
        <v>21100917.431192663</v>
      </c>
      <c r="W545" s="28">
        <f t="shared" si="62"/>
        <v>22018348.62385321</v>
      </c>
    </row>
    <row r="546" spans="1:23" x14ac:dyDescent="0.2">
      <c r="A546" s="28">
        <v>545</v>
      </c>
      <c r="B546" s="28">
        <v>366300.3663003663</v>
      </c>
      <c r="C546" s="28">
        <f t="shared" si="42"/>
        <v>3663003.6630036631</v>
      </c>
      <c r="D546" s="28">
        <f t="shared" si="43"/>
        <v>4578754.5787545787</v>
      </c>
      <c r="E546" s="28">
        <f t="shared" si="44"/>
        <v>5494505.4945054948</v>
      </c>
      <c r="F546" s="28">
        <f t="shared" si="45"/>
        <v>6410256.41025641</v>
      </c>
      <c r="G546" s="28">
        <f t="shared" si="46"/>
        <v>7326007.3260073261</v>
      </c>
      <c r="H546" s="28">
        <f t="shared" si="47"/>
        <v>8241758.2417582422</v>
      </c>
      <c r="I546" s="28">
        <f t="shared" si="48"/>
        <v>9157509.1575091574</v>
      </c>
      <c r="J546" s="28">
        <f t="shared" si="49"/>
        <v>10073260.073260073</v>
      </c>
      <c r="K546" s="28">
        <f t="shared" si="50"/>
        <v>10989010.98901099</v>
      </c>
      <c r="L546" s="28">
        <f t="shared" si="51"/>
        <v>11904761.904761905</v>
      </c>
      <c r="M546" s="28">
        <f t="shared" si="52"/>
        <v>12820512.82051282</v>
      </c>
      <c r="N546" s="28">
        <f t="shared" si="53"/>
        <v>13736263.736263737</v>
      </c>
      <c r="O546" s="28">
        <f t="shared" si="54"/>
        <v>14652014.652014652</v>
      </c>
      <c r="P546" s="28">
        <f t="shared" si="55"/>
        <v>15567765.567765567</v>
      </c>
      <c r="Q546" s="28">
        <f t="shared" si="56"/>
        <v>16483516.483516484</v>
      </c>
      <c r="R546" s="28">
        <f t="shared" si="57"/>
        <v>17399267.399267398</v>
      </c>
      <c r="S546" s="28">
        <f t="shared" si="58"/>
        <v>18315018.315018315</v>
      </c>
      <c r="T546" s="28">
        <f t="shared" si="59"/>
        <v>19230769.230769232</v>
      </c>
      <c r="U546" s="28">
        <f t="shared" si="60"/>
        <v>20146520.146520145</v>
      </c>
      <c r="V546" s="28">
        <f t="shared" si="61"/>
        <v>21062271.062271062</v>
      </c>
      <c r="W546" s="28">
        <f t="shared" si="62"/>
        <v>21978021.978021979</v>
      </c>
    </row>
    <row r="547" spans="1:23" x14ac:dyDescent="0.2">
      <c r="A547" s="28">
        <v>546</v>
      </c>
      <c r="B547" s="28">
        <v>365630.71297989029</v>
      </c>
      <c r="C547" s="28">
        <f t="shared" si="42"/>
        <v>3656307.1297989031</v>
      </c>
      <c r="D547" s="28">
        <f t="shared" si="43"/>
        <v>4570383.9122486291</v>
      </c>
      <c r="E547" s="28">
        <f t="shared" si="44"/>
        <v>5484460.6946983542</v>
      </c>
      <c r="F547" s="28">
        <f t="shared" si="45"/>
        <v>6398537.4771480802</v>
      </c>
      <c r="G547" s="28">
        <f t="shared" si="46"/>
        <v>7312614.2595978063</v>
      </c>
      <c r="H547" s="28">
        <f t="shared" si="47"/>
        <v>8226691.0420475323</v>
      </c>
      <c r="I547" s="28">
        <f t="shared" si="48"/>
        <v>9140767.8244972583</v>
      </c>
      <c r="J547" s="28">
        <f t="shared" si="49"/>
        <v>10054844.606946984</v>
      </c>
      <c r="K547" s="28">
        <f t="shared" si="50"/>
        <v>10968921.389396708</v>
      </c>
      <c r="L547" s="28">
        <f t="shared" si="51"/>
        <v>11882998.171846434</v>
      </c>
      <c r="M547" s="28">
        <f t="shared" si="52"/>
        <v>12797074.95429616</v>
      </c>
      <c r="N547" s="28">
        <f t="shared" si="53"/>
        <v>13711151.736745887</v>
      </c>
      <c r="O547" s="28">
        <f t="shared" si="54"/>
        <v>14625228.519195613</v>
      </c>
      <c r="P547" s="28">
        <f t="shared" si="55"/>
        <v>15539305.301645339</v>
      </c>
      <c r="Q547" s="28">
        <f t="shared" si="56"/>
        <v>16453382.084095065</v>
      </c>
      <c r="R547" s="28">
        <f t="shared" si="57"/>
        <v>17367458.866544791</v>
      </c>
      <c r="S547" s="28">
        <f t="shared" si="58"/>
        <v>18281535.648994517</v>
      </c>
      <c r="T547" s="28">
        <f t="shared" si="59"/>
        <v>19195612.431444243</v>
      </c>
      <c r="U547" s="28">
        <f t="shared" si="60"/>
        <v>20109689.213893969</v>
      </c>
      <c r="V547" s="28">
        <f t="shared" si="61"/>
        <v>21023765.996343695</v>
      </c>
      <c r="W547" s="28">
        <f t="shared" si="62"/>
        <v>21937842.778793417</v>
      </c>
    </row>
    <row r="548" spans="1:23" x14ac:dyDescent="0.2">
      <c r="A548" s="28">
        <v>547</v>
      </c>
      <c r="B548" s="28">
        <v>364963.50364963501</v>
      </c>
      <c r="C548" s="28">
        <f t="shared" si="42"/>
        <v>3649635.0364963501</v>
      </c>
      <c r="D548" s="28">
        <f t="shared" si="43"/>
        <v>4562043.7956204377</v>
      </c>
      <c r="E548" s="28">
        <f t="shared" si="44"/>
        <v>5474452.5547445249</v>
      </c>
      <c r="F548" s="28">
        <f t="shared" si="45"/>
        <v>6386861.313868613</v>
      </c>
      <c r="G548" s="28">
        <f t="shared" si="46"/>
        <v>7299270.0729927002</v>
      </c>
      <c r="H548" s="28">
        <f t="shared" si="47"/>
        <v>8211678.8321167873</v>
      </c>
      <c r="I548" s="28">
        <f t="shared" si="48"/>
        <v>9124087.5912408754</v>
      </c>
      <c r="J548" s="28">
        <f t="shared" si="49"/>
        <v>10036496.350364963</v>
      </c>
      <c r="K548" s="28">
        <f t="shared" si="50"/>
        <v>10948905.10948905</v>
      </c>
      <c r="L548" s="28">
        <f t="shared" si="51"/>
        <v>11861313.868613137</v>
      </c>
      <c r="M548" s="28">
        <f t="shared" si="52"/>
        <v>12773722.627737226</v>
      </c>
      <c r="N548" s="28">
        <f t="shared" si="53"/>
        <v>13686131.386861313</v>
      </c>
      <c r="O548" s="28">
        <f t="shared" si="54"/>
        <v>14598540.1459854</v>
      </c>
      <c r="P548" s="28">
        <f t="shared" si="55"/>
        <v>15510948.905109487</v>
      </c>
      <c r="Q548" s="28">
        <f t="shared" si="56"/>
        <v>16423357.664233575</v>
      </c>
      <c r="R548" s="28">
        <f t="shared" si="57"/>
        <v>17335766.423357662</v>
      </c>
      <c r="S548" s="28">
        <f t="shared" si="58"/>
        <v>18248175.182481751</v>
      </c>
      <c r="T548" s="28">
        <f t="shared" si="59"/>
        <v>19160583.941605836</v>
      </c>
      <c r="U548" s="28">
        <f t="shared" si="60"/>
        <v>20072992.700729925</v>
      </c>
      <c r="V548" s="28">
        <f t="shared" si="61"/>
        <v>20985401.459854014</v>
      </c>
      <c r="W548" s="28">
        <f t="shared" si="62"/>
        <v>21897810.2189781</v>
      </c>
    </row>
    <row r="549" spans="1:23" x14ac:dyDescent="0.2">
      <c r="A549" s="28">
        <v>548</v>
      </c>
      <c r="B549" s="28">
        <v>364298.72495446267</v>
      </c>
      <c r="C549" s="28">
        <f t="shared" si="42"/>
        <v>3642987.2495446266</v>
      </c>
      <c r="D549" s="28">
        <f t="shared" si="43"/>
        <v>4553734.0619307831</v>
      </c>
      <c r="E549" s="28">
        <f t="shared" si="44"/>
        <v>5464480.8743169401</v>
      </c>
      <c r="F549" s="28">
        <f t="shared" si="45"/>
        <v>6375227.6867030961</v>
      </c>
      <c r="G549" s="28">
        <f t="shared" si="46"/>
        <v>7285974.4990892531</v>
      </c>
      <c r="H549" s="28">
        <f t="shared" si="47"/>
        <v>8196721.3114754101</v>
      </c>
      <c r="I549" s="28">
        <f t="shared" si="48"/>
        <v>9107468.1238615662</v>
      </c>
      <c r="J549" s="28">
        <f t="shared" si="49"/>
        <v>10018214.936247723</v>
      </c>
      <c r="K549" s="28">
        <f t="shared" si="50"/>
        <v>10928961.74863388</v>
      </c>
      <c r="L549" s="28">
        <f t="shared" si="51"/>
        <v>11839708.561020037</v>
      </c>
      <c r="M549" s="28">
        <f t="shared" si="52"/>
        <v>12750455.373406192</v>
      </c>
      <c r="N549" s="28">
        <f t="shared" si="53"/>
        <v>13661202.185792349</v>
      </c>
      <c r="O549" s="28">
        <f t="shared" si="54"/>
        <v>14571948.998178506</v>
      </c>
      <c r="P549" s="28">
        <f t="shared" si="55"/>
        <v>15482695.810564663</v>
      </c>
      <c r="Q549" s="28">
        <f t="shared" si="56"/>
        <v>16393442.62295082</v>
      </c>
      <c r="R549" s="28">
        <f t="shared" si="57"/>
        <v>17304189.435336977</v>
      </c>
      <c r="S549" s="28">
        <f t="shared" si="58"/>
        <v>18214936.247723132</v>
      </c>
      <c r="T549" s="28">
        <f t="shared" si="59"/>
        <v>19125683.060109291</v>
      </c>
      <c r="U549" s="28">
        <f t="shared" si="60"/>
        <v>20036429.872495446</v>
      </c>
      <c r="V549" s="28">
        <f t="shared" si="61"/>
        <v>20947176.684881601</v>
      </c>
      <c r="W549" s="28">
        <f t="shared" si="62"/>
        <v>21857923.49726776</v>
      </c>
    </row>
    <row r="550" spans="1:23" x14ac:dyDescent="0.2">
      <c r="A550" s="28">
        <v>549</v>
      </c>
      <c r="B550" s="28">
        <v>363636.36363636359</v>
      </c>
      <c r="C550" s="28">
        <f t="shared" si="42"/>
        <v>3636363.6363636358</v>
      </c>
      <c r="D550" s="28">
        <f t="shared" si="43"/>
        <v>4545454.5454545449</v>
      </c>
      <c r="E550" s="28">
        <f t="shared" si="44"/>
        <v>5454545.4545454532</v>
      </c>
      <c r="F550" s="28">
        <f t="shared" si="45"/>
        <v>6363636.3636363624</v>
      </c>
      <c r="G550" s="28">
        <f t="shared" si="46"/>
        <v>7272727.2727272715</v>
      </c>
      <c r="H550" s="28">
        <f t="shared" si="47"/>
        <v>8181818.1818181807</v>
      </c>
      <c r="I550" s="28">
        <f t="shared" si="48"/>
        <v>9090909.0909090899</v>
      </c>
      <c r="J550" s="28">
        <f t="shared" si="49"/>
        <v>9999999.9999999981</v>
      </c>
      <c r="K550" s="28">
        <f t="shared" si="50"/>
        <v>10909090.909090906</v>
      </c>
      <c r="L550" s="28">
        <f t="shared" si="51"/>
        <v>11818181.818181816</v>
      </c>
      <c r="M550" s="28">
        <f t="shared" si="52"/>
        <v>12727272.727272725</v>
      </c>
      <c r="N550" s="28">
        <f t="shared" si="53"/>
        <v>13636363.636363635</v>
      </c>
      <c r="O550" s="28">
        <f t="shared" si="54"/>
        <v>14545454.545454543</v>
      </c>
      <c r="P550" s="28">
        <f t="shared" si="55"/>
        <v>15454545.454545451</v>
      </c>
      <c r="Q550" s="28">
        <f t="shared" si="56"/>
        <v>16363636.363636361</v>
      </c>
      <c r="R550" s="28">
        <f t="shared" si="57"/>
        <v>17272727.27272727</v>
      </c>
      <c r="S550" s="28">
        <f t="shared" si="58"/>
        <v>18181818.18181818</v>
      </c>
      <c r="T550" s="28">
        <f t="shared" si="59"/>
        <v>19090909.090909086</v>
      </c>
      <c r="U550" s="28">
        <f t="shared" si="60"/>
        <v>19999999.999999996</v>
      </c>
      <c r="V550" s="28">
        <f t="shared" si="61"/>
        <v>20909090.909090906</v>
      </c>
      <c r="W550" s="28">
        <f t="shared" si="62"/>
        <v>21818181.818181813</v>
      </c>
    </row>
    <row r="551" spans="1:23" x14ac:dyDescent="0.2">
      <c r="A551" s="28">
        <v>550</v>
      </c>
      <c r="B551" s="28">
        <v>362976.40653357533</v>
      </c>
      <c r="C551" s="28">
        <f t="shared" si="42"/>
        <v>3629764.0653357534</v>
      </c>
      <c r="D551" s="28">
        <f t="shared" si="43"/>
        <v>4537205.081669692</v>
      </c>
      <c r="E551" s="28">
        <f t="shared" si="44"/>
        <v>5444646.0980036296</v>
      </c>
      <c r="F551" s="28">
        <f t="shared" si="45"/>
        <v>6352087.1143375682</v>
      </c>
      <c r="G551" s="28">
        <f t="shared" si="46"/>
        <v>7259528.1306715067</v>
      </c>
      <c r="H551" s="28">
        <f t="shared" si="47"/>
        <v>8166969.1470054453</v>
      </c>
      <c r="I551" s="28">
        <f t="shared" si="48"/>
        <v>9074410.1633393839</v>
      </c>
      <c r="J551" s="28">
        <f t="shared" si="49"/>
        <v>9981851.1796733215</v>
      </c>
      <c r="K551" s="28">
        <f t="shared" si="50"/>
        <v>10889292.196007259</v>
      </c>
      <c r="L551" s="28">
        <f t="shared" si="51"/>
        <v>11796733.212341199</v>
      </c>
      <c r="M551" s="28">
        <f t="shared" si="52"/>
        <v>12704174.228675136</v>
      </c>
      <c r="N551" s="28">
        <f t="shared" si="53"/>
        <v>13611615.245009076</v>
      </c>
      <c r="O551" s="28">
        <f t="shared" si="54"/>
        <v>14519056.261343013</v>
      </c>
      <c r="P551" s="28">
        <f t="shared" si="55"/>
        <v>15426497.277676951</v>
      </c>
      <c r="Q551" s="28">
        <f t="shared" si="56"/>
        <v>16333938.294010891</v>
      </c>
      <c r="R551" s="28">
        <f t="shared" si="57"/>
        <v>17241379.31034483</v>
      </c>
      <c r="S551" s="28">
        <f t="shared" si="58"/>
        <v>18148820.326678768</v>
      </c>
      <c r="T551" s="28">
        <f t="shared" si="59"/>
        <v>19056261.343012705</v>
      </c>
      <c r="U551" s="28">
        <f t="shared" si="60"/>
        <v>19963702.359346643</v>
      </c>
      <c r="V551" s="28">
        <f t="shared" si="61"/>
        <v>20871143.375680581</v>
      </c>
      <c r="W551" s="28">
        <f t="shared" si="62"/>
        <v>21778584.392014518</v>
      </c>
    </row>
    <row r="552" spans="1:23" x14ac:dyDescent="0.2">
      <c r="A552" s="28">
        <v>551</v>
      </c>
      <c r="B552" s="28">
        <v>362318.84057971014</v>
      </c>
      <c r="C552" s="28">
        <f t="shared" si="42"/>
        <v>3623188.4057971016</v>
      </c>
      <c r="D552" s="28">
        <f t="shared" si="43"/>
        <v>4528985.5072463769</v>
      </c>
      <c r="E552" s="28">
        <f t="shared" si="44"/>
        <v>5434782.6086956523</v>
      </c>
      <c r="F552" s="28">
        <f t="shared" si="45"/>
        <v>6340579.7101449277</v>
      </c>
      <c r="G552" s="28">
        <f t="shared" si="46"/>
        <v>7246376.8115942031</v>
      </c>
      <c r="H552" s="28">
        <f t="shared" si="47"/>
        <v>8152173.9130434785</v>
      </c>
      <c r="I552" s="28">
        <f t="shared" si="48"/>
        <v>9057971.0144927539</v>
      </c>
      <c r="J552" s="28">
        <f t="shared" si="49"/>
        <v>9963768.1159420293</v>
      </c>
      <c r="K552" s="28">
        <f t="shared" si="50"/>
        <v>10869565.217391305</v>
      </c>
      <c r="L552" s="28">
        <f t="shared" si="51"/>
        <v>11775362.31884058</v>
      </c>
      <c r="M552" s="28">
        <f t="shared" si="52"/>
        <v>12681159.420289855</v>
      </c>
      <c r="N552" s="28">
        <f t="shared" si="53"/>
        <v>13586956.521739131</v>
      </c>
      <c r="O552" s="28">
        <f t="shared" si="54"/>
        <v>14492753.623188406</v>
      </c>
      <c r="P552" s="28">
        <f t="shared" si="55"/>
        <v>15398550.724637682</v>
      </c>
      <c r="Q552" s="28">
        <f t="shared" si="56"/>
        <v>16304347.826086957</v>
      </c>
      <c r="R552" s="28">
        <f t="shared" si="57"/>
        <v>17210144.927536234</v>
      </c>
      <c r="S552" s="28">
        <f t="shared" si="58"/>
        <v>18115942.028985508</v>
      </c>
      <c r="T552" s="28">
        <f t="shared" si="59"/>
        <v>19021739.130434781</v>
      </c>
      <c r="U552" s="28">
        <f t="shared" si="60"/>
        <v>19927536.231884059</v>
      </c>
      <c r="V552" s="28">
        <f t="shared" si="61"/>
        <v>20833333.333333336</v>
      </c>
      <c r="W552" s="28">
        <f t="shared" si="62"/>
        <v>21739130.434782609</v>
      </c>
    </row>
    <row r="553" spans="1:23" x14ac:dyDescent="0.2">
      <c r="A553" s="28">
        <v>552</v>
      </c>
      <c r="B553" s="28">
        <v>361663.65280289331</v>
      </c>
      <c r="C553" s="28">
        <f t="shared" si="42"/>
        <v>3616636.5280289333</v>
      </c>
      <c r="D553" s="28">
        <f t="shared" si="43"/>
        <v>4520795.6600361671</v>
      </c>
      <c r="E553" s="28">
        <f t="shared" si="44"/>
        <v>5424954.7920434</v>
      </c>
      <c r="F553" s="28">
        <f t="shared" si="45"/>
        <v>6329113.9240506329</v>
      </c>
      <c r="G553" s="28">
        <f t="shared" si="46"/>
        <v>7233273.0560578667</v>
      </c>
      <c r="H553" s="28">
        <f t="shared" si="47"/>
        <v>8137432.1880651005</v>
      </c>
      <c r="I553" s="28">
        <f t="shared" si="48"/>
        <v>9041591.3200723343</v>
      </c>
      <c r="J553" s="28">
        <f t="shared" si="49"/>
        <v>9945750.4520795662</v>
      </c>
      <c r="K553" s="28">
        <f t="shared" si="50"/>
        <v>10849909.5840868</v>
      </c>
      <c r="L553" s="28">
        <f t="shared" si="51"/>
        <v>11754068.716094034</v>
      </c>
      <c r="M553" s="28">
        <f t="shared" si="52"/>
        <v>12658227.848101266</v>
      </c>
      <c r="N553" s="28">
        <f t="shared" si="53"/>
        <v>13562386.9801085</v>
      </c>
      <c r="O553" s="28">
        <f t="shared" si="54"/>
        <v>14466546.112115733</v>
      </c>
      <c r="P553" s="28">
        <f t="shared" si="55"/>
        <v>15370705.244122967</v>
      </c>
      <c r="Q553" s="28">
        <f t="shared" si="56"/>
        <v>16274864.376130201</v>
      </c>
      <c r="R553" s="28">
        <f t="shared" si="57"/>
        <v>17179023.508137435</v>
      </c>
      <c r="S553" s="28">
        <f t="shared" si="58"/>
        <v>18083182.640144669</v>
      </c>
      <c r="T553" s="28">
        <f t="shared" si="59"/>
        <v>18987341.772151899</v>
      </c>
      <c r="U553" s="28">
        <f t="shared" si="60"/>
        <v>19891500.904159132</v>
      </c>
      <c r="V553" s="28">
        <f t="shared" si="61"/>
        <v>20795660.036166366</v>
      </c>
      <c r="W553" s="28">
        <f t="shared" si="62"/>
        <v>21699819.1681736</v>
      </c>
    </row>
    <row r="554" spans="1:23" x14ac:dyDescent="0.2">
      <c r="A554" s="28">
        <v>553</v>
      </c>
      <c r="B554" s="28">
        <v>361010.83032490977</v>
      </c>
      <c r="C554" s="28">
        <f t="shared" si="42"/>
        <v>3610108.3032490974</v>
      </c>
      <c r="D554" s="28">
        <f t="shared" si="43"/>
        <v>4512635.379061372</v>
      </c>
      <c r="E554" s="28">
        <f t="shared" si="44"/>
        <v>5415162.4548736457</v>
      </c>
      <c r="F554" s="28">
        <f t="shared" si="45"/>
        <v>6317689.5306859203</v>
      </c>
      <c r="G554" s="28">
        <f t="shared" si="46"/>
        <v>7220216.6064981949</v>
      </c>
      <c r="H554" s="28">
        <f t="shared" si="47"/>
        <v>8122743.6823104694</v>
      </c>
      <c r="I554" s="28">
        <f t="shared" si="48"/>
        <v>9025270.758122744</v>
      </c>
      <c r="J554" s="28">
        <f t="shared" si="49"/>
        <v>9927797.8339350186</v>
      </c>
      <c r="K554" s="28">
        <f t="shared" si="50"/>
        <v>10830324.909747291</v>
      </c>
      <c r="L554" s="28">
        <f t="shared" si="51"/>
        <v>11732851.985559566</v>
      </c>
      <c r="M554" s="28">
        <f t="shared" si="52"/>
        <v>12635379.061371841</v>
      </c>
      <c r="N554" s="28">
        <f t="shared" si="53"/>
        <v>13537906.137184115</v>
      </c>
      <c r="O554" s="28">
        <f t="shared" si="54"/>
        <v>14440433.21299639</v>
      </c>
      <c r="P554" s="28">
        <f t="shared" si="55"/>
        <v>15342960.288808664</v>
      </c>
      <c r="Q554" s="28">
        <f t="shared" si="56"/>
        <v>16245487.364620939</v>
      </c>
      <c r="R554" s="28">
        <f t="shared" si="57"/>
        <v>17148014.440433212</v>
      </c>
      <c r="S554" s="28">
        <f t="shared" si="58"/>
        <v>18050541.516245488</v>
      </c>
      <c r="T554" s="28">
        <f t="shared" si="59"/>
        <v>18953068.592057761</v>
      </c>
      <c r="U554" s="28">
        <f t="shared" si="60"/>
        <v>19855595.667870037</v>
      </c>
      <c r="V554" s="28">
        <f t="shared" si="61"/>
        <v>20758122.74368231</v>
      </c>
      <c r="W554" s="28">
        <f t="shared" si="62"/>
        <v>21660649.819494583</v>
      </c>
    </row>
    <row r="555" spans="1:23" x14ac:dyDescent="0.2">
      <c r="A555" s="28">
        <v>554</v>
      </c>
      <c r="B555" s="28">
        <v>360360.36036036036</v>
      </c>
      <c r="C555" s="28">
        <f t="shared" si="42"/>
        <v>3603603.6036036033</v>
      </c>
      <c r="D555" s="28">
        <f t="shared" si="43"/>
        <v>4504504.5045045037</v>
      </c>
      <c r="E555" s="28">
        <f t="shared" si="44"/>
        <v>5405405.405405405</v>
      </c>
      <c r="F555" s="28">
        <f t="shared" si="45"/>
        <v>6306306.3063063063</v>
      </c>
      <c r="G555" s="28">
        <f t="shared" si="46"/>
        <v>7207207.2072072066</v>
      </c>
      <c r="H555" s="28">
        <f t="shared" si="47"/>
        <v>8108108.108108107</v>
      </c>
      <c r="I555" s="28">
        <f t="shared" si="48"/>
        <v>9009009.0090090074</v>
      </c>
      <c r="J555" s="28">
        <f t="shared" si="49"/>
        <v>9909909.9099099096</v>
      </c>
      <c r="K555" s="28">
        <f t="shared" si="50"/>
        <v>10810810.81081081</v>
      </c>
      <c r="L555" s="28">
        <f t="shared" si="51"/>
        <v>11711711.71171171</v>
      </c>
      <c r="M555" s="28">
        <f t="shared" si="52"/>
        <v>12612612.612612613</v>
      </c>
      <c r="N555" s="28">
        <f t="shared" si="53"/>
        <v>13513513.513513513</v>
      </c>
      <c r="O555" s="28">
        <f t="shared" si="54"/>
        <v>14414414.414414413</v>
      </c>
      <c r="P555" s="28">
        <f t="shared" si="55"/>
        <v>15315315.315315314</v>
      </c>
      <c r="Q555" s="28">
        <f t="shared" si="56"/>
        <v>16216216.216216214</v>
      </c>
      <c r="R555" s="28">
        <f t="shared" si="57"/>
        <v>17117117.117117114</v>
      </c>
      <c r="S555" s="28">
        <f t="shared" si="58"/>
        <v>18018018.018018015</v>
      </c>
      <c r="T555" s="28">
        <f t="shared" si="59"/>
        <v>18918918.918918919</v>
      </c>
      <c r="U555" s="28">
        <f t="shared" si="60"/>
        <v>19819819.819819819</v>
      </c>
      <c r="V555" s="28">
        <f t="shared" si="61"/>
        <v>20720720.72072072</v>
      </c>
      <c r="W555" s="28">
        <f t="shared" si="62"/>
        <v>21621621.62162162</v>
      </c>
    </row>
    <row r="556" spans="1:23" x14ac:dyDescent="0.2">
      <c r="A556" s="28">
        <v>555</v>
      </c>
      <c r="B556" s="28">
        <v>359712.23021582735</v>
      </c>
      <c r="C556" s="28">
        <f t="shared" si="42"/>
        <v>3597122.3021582738</v>
      </c>
      <c r="D556" s="28">
        <f t="shared" si="43"/>
        <v>4496402.8776978422</v>
      </c>
      <c r="E556" s="28">
        <f t="shared" si="44"/>
        <v>5395683.4532374106</v>
      </c>
      <c r="F556" s="28">
        <f t="shared" si="45"/>
        <v>6294964.0287769791</v>
      </c>
      <c r="G556" s="28">
        <f t="shared" si="46"/>
        <v>7194244.6043165475</v>
      </c>
      <c r="H556" s="28">
        <f t="shared" si="47"/>
        <v>8093525.179856116</v>
      </c>
      <c r="I556" s="28">
        <f t="shared" si="48"/>
        <v>8992805.7553956844</v>
      </c>
      <c r="J556" s="28">
        <f t="shared" si="49"/>
        <v>9892086.3309352528</v>
      </c>
      <c r="K556" s="28">
        <f t="shared" si="50"/>
        <v>10791366.906474821</v>
      </c>
      <c r="L556" s="28">
        <f t="shared" si="51"/>
        <v>11690647.48201439</v>
      </c>
      <c r="M556" s="28">
        <f t="shared" si="52"/>
        <v>12589928.057553958</v>
      </c>
      <c r="N556" s="28">
        <f t="shared" si="53"/>
        <v>13489208.633093527</v>
      </c>
      <c r="O556" s="28">
        <f t="shared" si="54"/>
        <v>14388489.208633095</v>
      </c>
      <c r="P556" s="28">
        <f t="shared" si="55"/>
        <v>15287769.784172663</v>
      </c>
      <c r="Q556" s="28">
        <f t="shared" si="56"/>
        <v>16187050.359712232</v>
      </c>
      <c r="R556" s="28">
        <f t="shared" si="57"/>
        <v>17086330.935251802</v>
      </c>
      <c r="S556" s="28">
        <f t="shared" si="58"/>
        <v>17985611.510791369</v>
      </c>
      <c r="T556" s="28">
        <f t="shared" si="59"/>
        <v>18884892.086330935</v>
      </c>
      <c r="U556" s="28">
        <f t="shared" si="60"/>
        <v>19784172.661870506</v>
      </c>
      <c r="V556" s="28">
        <f t="shared" si="61"/>
        <v>20683453.237410076</v>
      </c>
      <c r="W556" s="28">
        <f t="shared" si="62"/>
        <v>21582733.812949643</v>
      </c>
    </row>
    <row r="557" spans="1:23" x14ac:dyDescent="0.2">
      <c r="A557" s="28">
        <v>556</v>
      </c>
      <c r="B557" s="28">
        <v>359066.42728904844</v>
      </c>
      <c r="C557" s="28">
        <f t="shared" si="42"/>
        <v>3590664.2728904844</v>
      </c>
      <c r="D557" s="28">
        <f t="shared" si="43"/>
        <v>4488330.3411131054</v>
      </c>
      <c r="E557" s="28">
        <f t="shared" si="44"/>
        <v>5385996.4093357269</v>
      </c>
      <c r="F557" s="28">
        <f t="shared" si="45"/>
        <v>6283662.4775583474</v>
      </c>
      <c r="G557" s="28">
        <f t="shared" si="46"/>
        <v>7181328.5457809689</v>
      </c>
      <c r="H557" s="28">
        <f t="shared" si="47"/>
        <v>8078994.6140035903</v>
      </c>
      <c r="I557" s="28">
        <f t="shared" si="48"/>
        <v>8976660.6822262108</v>
      </c>
      <c r="J557" s="28">
        <f t="shared" si="49"/>
        <v>9874326.7504488323</v>
      </c>
      <c r="K557" s="28">
        <f t="shared" si="50"/>
        <v>10771992.818671454</v>
      </c>
      <c r="L557" s="28">
        <f t="shared" si="51"/>
        <v>11669658.886894075</v>
      </c>
      <c r="M557" s="28">
        <f t="shared" si="52"/>
        <v>12567324.955116695</v>
      </c>
      <c r="N557" s="28">
        <f t="shared" si="53"/>
        <v>13464991.023339316</v>
      </c>
      <c r="O557" s="28">
        <f t="shared" si="54"/>
        <v>14362657.091561938</v>
      </c>
      <c r="P557" s="28">
        <f t="shared" si="55"/>
        <v>15260323.159784559</v>
      </c>
      <c r="Q557" s="28">
        <f t="shared" si="56"/>
        <v>16157989.228007181</v>
      </c>
      <c r="R557" s="28">
        <f t="shared" si="57"/>
        <v>17055655.296229802</v>
      </c>
      <c r="S557" s="28">
        <f t="shared" si="58"/>
        <v>17953321.364452422</v>
      </c>
      <c r="T557" s="28">
        <f t="shared" si="59"/>
        <v>18850987.432675045</v>
      </c>
      <c r="U557" s="28">
        <f t="shared" si="60"/>
        <v>19748653.500897665</v>
      </c>
      <c r="V557" s="28">
        <f t="shared" si="61"/>
        <v>20646319.569120284</v>
      </c>
      <c r="W557" s="28">
        <f t="shared" si="62"/>
        <v>21543985.637342907</v>
      </c>
    </row>
    <row r="558" spans="1:23" x14ac:dyDescent="0.2">
      <c r="A558" s="28">
        <v>557</v>
      </c>
      <c r="B558" s="28">
        <v>358422.93906810036</v>
      </c>
      <c r="C558" s="28">
        <f t="shared" si="42"/>
        <v>3584229.3906810037</v>
      </c>
      <c r="D558" s="28">
        <f t="shared" si="43"/>
        <v>4480286.7383512547</v>
      </c>
      <c r="E558" s="28">
        <f t="shared" si="44"/>
        <v>5376344.0860215053</v>
      </c>
      <c r="F558" s="28">
        <f t="shared" si="45"/>
        <v>6272401.4336917568</v>
      </c>
      <c r="G558" s="28">
        <f t="shared" si="46"/>
        <v>7168458.7813620074</v>
      </c>
      <c r="H558" s="28">
        <f t="shared" si="47"/>
        <v>8064516.1290322579</v>
      </c>
      <c r="I558" s="28">
        <f t="shared" si="48"/>
        <v>8960573.4767025094</v>
      </c>
      <c r="J558" s="28">
        <f t="shared" si="49"/>
        <v>9856630.824372761</v>
      </c>
      <c r="K558" s="28">
        <f t="shared" si="50"/>
        <v>10752688.172043011</v>
      </c>
      <c r="L558" s="28">
        <f t="shared" si="51"/>
        <v>11648745.519713262</v>
      </c>
      <c r="M558" s="28">
        <f t="shared" si="52"/>
        <v>12544802.867383514</v>
      </c>
      <c r="N558" s="28">
        <f t="shared" si="53"/>
        <v>13440860.215053763</v>
      </c>
      <c r="O558" s="28">
        <f t="shared" si="54"/>
        <v>14336917.562724015</v>
      </c>
      <c r="P558" s="28">
        <f t="shared" si="55"/>
        <v>15232974.910394266</v>
      </c>
      <c r="Q558" s="28">
        <f t="shared" si="56"/>
        <v>16129032.258064516</v>
      </c>
      <c r="R558" s="28">
        <f t="shared" si="57"/>
        <v>17025089.605734769</v>
      </c>
      <c r="S558" s="28">
        <f t="shared" si="58"/>
        <v>17921146.953405019</v>
      </c>
      <c r="T558" s="28">
        <f t="shared" si="59"/>
        <v>18817204.301075269</v>
      </c>
      <c r="U558" s="28">
        <f t="shared" si="60"/>
        <v>19713261.648745522</v>
      </c>
      <c r="V558" s="28">
        <f t="shared" si="61"/>
        <v>20609318.996415772</v>
      </c>
      <c r="W558" s="28">
        <f t="shared" si="62"/>
        <v>21505376.344086021</v>
      </c>
    </row>
    <row r="559" spans="1:23" x14ac:dyDescent="0.2">
      <c r="A559" s="28">
        <v>558</v>
      </c>
      <c r="B559" s="28">
        <v>357781.75313059037</v>
      </c>
      <c r="C559" s="28">
        <f t="shared" si="42"/>
        <v>3577817.5313059036</v>
      </c>
      <c r="D559" s="28">
        <f t="shared" si="43"/>
        <v>4472271.914132379</v>
      </c>
      <c r="E559" s="28">
        <f t="shared" si="44"/>
        <v>5366726.2969588554</v>
      </c>
      <c r="F559" s="28">
        <f t="shared" si="45"/>
        <v>6261180.6797853317</v>
      </c>
      <c r="G559" s="28">
        <f t="shared" si="46"/>
        <v>7155635.0626118071</v>
      </c>
      <c r="H559" s="28">
        <f t="shared" si="47"/>
        <v>8050089.4454382826</v>
      </c>
      <c r="I559" s="28">
        <f t="shared" si="48"/>
        <v>8944543.828264758</v>
      </c>
      <c r="J559" s="28">
        <f t="shared" si="49"/>
        <v>9838998.2110912353</v>
      </c>
      <c r="K559" s="28">
        <f t="shared" si="50"/>
        <v>10733452.593917711</v>
      </c>
      <c r="L559" s="28">
        <f t="shared" si="51"/>
        <v>11627906.976744186</v>
      </c>
      <c r="M559" s="28">
        <f t="shared" si="52"/>
        <v>12522361.359570663</v>
      </c>
      <c r="N559" s="28">
        <f t="shared" si="53"/>
        <v>13416815.742397139</v>
      </c>
      <c r="O559" s="28">
        <f t="shared" si="54"/>
        <v>14311270.125223614</v>
      </c>
      <c r="P559" s="28">
        <f t="shared" si="55"/>
        <v>15205724.50805009</v>
      </c>
      <c r="Q559" s="28">
        <f t="shared" si="56"/>
        <v>16100178.890876565</v>
      </c>
      <c r="R559" s="28">
        <f t="shared" si="57"/>
        <v>16994633.273703042</v>
      </c>
      <c r="S559" s="28">
        <f t="shared" si="58"/>
        <v>17889087.656529516</v>
      </c>
      <c r="T559" s="28">
        <f t="shared" si="59"/>
        <v>18783542.039355993</v>
      </c>
      <c r="U559" s="28">
        <f t="shared" si="60"/>
        <v>19677996.422182471</v>
      </c>
      <c r="V559" s="28">
        <f t="shared" si="61"/>
        <v>20572450.805008944</v>
      </c>
      <c r="W559" s="28">
        <f t="shared" si="62"/>
        <v>21466905.187835421</v>
      </c>
    </row>
    <row r="560" spans="1:23" x14ac:dyDescent="0.2">
      <c r="A560" s="28">
        <v>559</v>
      </c>
      <c r="B560" s="28">
        <v>357142.85714285716</v>
      </c>
      <c r="C560" s="28">
        <f t="shared" si="42"/>
        <v>3571428.5714285718</v>
      </c>
      <c r="D560" s="28">
        <f t="shared" si="43"/>
        <v>4464285.7142857146</v>
      </c>
      <c r="E560" s="28">
        <f t="shared" si="44"/>
        <v>5357142.8571428582</v>
      </c>
      <c r="F560" s="28">
        <f t="shared" si="45"/>
        <v>6250000.0000000009</v>
      </c>
      <c r="G560" s="28">
        <f t="shared" si="46"/>
        <v>7142857.1428571437</v>
      </c>
      <c r="H560" s="28">
        <f t="shared" si="47"/>
        <v>8035714.2857142864</v>
      </c>
      <c r="I560" s="28">
        <f t="shared" si="48"/>
        <v>8928571.4285714291</v>
      </c>
      <c r="J560" s="28">
        <f t="shared" si="49"/>
        <v>9821428.5714285728</v>
      </c>
      <c r="K560" s="28">
        <f t="shared" si="50"/>
        <v>10714285.714285716</v>
      </c>
      <c r="L560" s="28">
        <f t="shared" si="51"/>
        <v>11607142.857142858</v>
      </c>
      <c r="M560" s="28">
        <f t="shared" si="52"/>
        <v>12500000.000000002</v>
      </c>
      <c r="N560" s="28">
        <f t="shared" si="53"/>
        <v>13392857.142857144</v>
      </c>
      <c r="O560" s="28">
        <f t="shared" si="54"/>
        <v>14285714.285714287</v>
      </c>
      <c r="P560" s="28">
        <f t="shared" si="55"/>
        <v>15178571.428571431</v>
      </c>
      <c r="Q560" s="28">
        <f t="shared" si="56"/>
        <v>16071428.571428573</v>
      </c>
      <c r="R560" s="28">
        <f t="shared" si="57"/>
        <v>16964285.714285716</v>
      </c>
      <c r="S560" s="28">
        <f t="shared" si="58"/>
        <v>17857142.857142858</v>
      </c>
      <c r="T560" s="28">
        <f t="shared" si="59"/>
        <v>18750000.000000004</v>
      </c>
      <c r="U560" s="28">
        <f t="shared" si="60"/>
        <v>19642857.142857146</v>
      </c>
      <c r="V560" s="28">
        <f t="shared" si="61"/>
        <v>20535714.285714287</v>
      </c>
      <c r="W560" s="28">
        <f t="shared" si="62"/>
        <v>21428571.428571433</v>
      </c>
    </row>
    <row r="561" spans="1:23" x14ac:dyDescent="0.2">
      <c r="A561" s="28">
        <v>560</v>
      </c>
      <c r="B561" s="28">
        <v>356506.23885918007</v>
      </c>
      <c r="C561" s="28">
        <f t="shared" si="42"/>
        <v>3565062.3885918008</v>
      </c>
      <c r="D561" s="28">
        <f t="shared" si="43"/>
        <v>4456327.9857397508</v>
      </c>
      <c r="E561" s="28">
        <f t="shared" si="44"/>
        <v>5347593.5828877017</v>
      </c>
      <c r="F561" s="28">
        <f t="shared" si="45"/>
        <v>6238859.1800356517</v>
      </c>
      <c r="G561" s="28">
        <f t="shared" si="46"/>
        <v>7130124.7771836016</v>
      </c>
      <c r="H561" s="28">
        <f t="shared" si="47"/>
        <v>8021390.3743315516</v>
      </c>
      <c r="I561" s="28">
        <f t="shared" si="48"/>
        <v>8912655.9714795016</v>
      </c>
      <c r="J561" s="28">
        <f t="shared" si="49"/>
        <v>9803921.5686274525</v>
      </c>
      <c r="K561" s="28">
        <f t="shared" si="50"/>
        <v>10695187.165775403</v>
      </c>
      <c r="L561" s="28">
        <f t="shared" si="51"/>
        <v>11586452.762923352</v>
      </c>
      <c r="M561" s="28">
        <f t="shared" si="52"/>
        <v>12477718.360071303</v>
      </c>
      <c r="N561" s="28">
        <f t="shared" si="53"/>
        <v>13368983.957219252</v>
      </c>
      <c r="O561" s="28">
        <f t="shared" si="54"/>
        <v>14260249.554367203</v>
      </c>
      <c r="P561" s="28">
        <f t="shared" si="55"/>
        <v>15151515.151515154</v>
      </c>
      <c r="Q561" s="28">
        <f t="shared" si="56"/>
        <v>16042780.748663103</v>
      </c>
      <c r="R561" s="28">
        <f t="shared" si="57"/>
        <v>16934046.345811054</v>
      </c>
      <c r="S561" s="28">
        <f t="shared" si="58"/>
        <v>17825311.942959003</v>
      </c>
      <c r="T561" s="28">
        <f t="shared" si="59"/>
        <v>18716577.540106956</v>
      </c>
      <c r="U561" s="28">
        <f t="shared" si="60"/>
        <v>19607843.137254905</v>
      </c>
      <c r="V561" s="28">
        <f t="shared" si="61"/>
        <v>20499108.734402854</v>
      </c>
      <c r="W561" s="28">
        <f t="shared" si="62"/>
        <v>21390374.331550807</v>
      </c>
    </row>
    <row r="562" spans="1:23" x14ac:dyDescent="0.2">
      <c r="A562" s="28">
        <v>561</v>
      </c>
      <c r="B562" s="28">
        <v>355871.88612099644</v>
      </c>
      <c r="C562" s="28">
        <f t="shared" si="42"/>
        <v>3558718.8612099644</v>
      </c>
      <c r="D562" s="28">
        <f t="shared" si="43"/>
        <v>4448398.5765124559</v>
      </c>
      <c r="E562" s="28">
        <f t="shared" si="44"/>
        <v>5338078.2918149466</v>
      </c>
      <c r="F562" s="28">
        <f t="shared" si="45"/>
        <v>6227758.0071174372</v>
      </c>
      <c r="G562" s="28">
        <f t="shared" si="46"/>
        <v>7117437.7224199288</v>
      </c>
      <c r="H562" s="28">
        <f t="shared" si="47"/>
        <v>8007117.4377224203</v>
      </c>
      <c r="I562" s="28">
        <f t="shared" si="48"/>
        <v>8896797.1530249119</v>
      </c>
      <c r="J562" s="28">
        <f t="shared" si="49"/>
        <v>9786476.8683274016</v>
      </c>
      <c r="K562" s="28">
        <f t="shared" si="50"/>
        <v>10676156.583629893</v>
      </c>
      <c r="L562" s="28">
        <f t="shared" si="51"/>
        <v>11565836.298932385</v>
      </c>
      <c r="M562" s="28">
        <f t="shared" si="52"/>
        <v>12455516.014234874</v>
      </c>
      <c r="N562" s="28">
        <f t="shared" si="53"/>
        <v>13345195.729537366</v>
      </c>
      <c r="O562" s="28">
        <f t="shared" si="54"/>
        <v>14234875.444839858</v>
      </c>
      <c r="P562" s="28">
        <f t="shared" si="55"/>
        <v>15124555.160142349</v>
      </c>
      <c r="Q562" s="28">
        <f t="shared" si="56"/>
        <v>16014234.875444841</v>
      </c>
      <c r="R562" s="28">
        <f t="shared" si="57"/>
        <v>16903914.59074733</v>
      </c>
      <c r="S562" s="28">
        <f t="shared" si="58"/>
        <v>17793594.306049824</v>
      </c>
      <c r="T562" s="28">
        <f t="shared" si="59"/>
        <v>18683274.021352313</v>
      </c>
      <c r="U562" s="28">
        <f t="shared" si="60"/>
        <v>19572953.736654803</v>
      </c>
      <c r="V562" s="28">
        <f t="shared" si="61"/>
        <v>20462633.451957297</v>
      </c>
      <c r="W562" s="28">
        <f t="shared" si="62"/>
        <v>21352313.167259786</v>
      </c>
    </row>
    <row r="563" spans="1:23" x14ac:dyDescent="0.2">
      <c r="A563" s="28">
        <v>562</v>
      </c>
      <c r="B563" s="28">
        <v>355239.7868561279</v>
      </c>
      <c r="C563" s="28">
        <f t="shared" si="42"/>
        <v>3552397.868561279</v>
      </c>
      <c r="D563" s="28">
        <f t="shared" si="43"/>
        <v>4440497.3357015988</v>
      </c>
      <c r="E563" s="28">
        <f t="shared" si="44"/>
        <v>5328596.8028419185</v>
      </c>
      <c r="F563" s="28">
        <f t="shared" si="45"/>
        <v>6216696.2699822383</v>
      </c>
      <c r="G563" s="28">
        <f t="shared" si="46"/>
        <v>7104795.7371225581</v>
      </c>
      <c r="H563" s="28">
        <f t="shared" si="47"/>
        <v>7992895.2042628778</v>
      </c>
      <c r="I563" s="28">
        <f t="shared" si="48"/>
        <v>8880994.6714031976</v>
      </c>
      <c r="J563" s="28">
        <f t="shared" si="49"/>
        <v>9769094.1385435164</v>
      </c>
      <c r="K563" s="28">
        <f t="shared" si="50"/>
        <v>10657193.605683837</v>
      </c>
      <c r="L563" s="28">
        <f t="shared" si="51"/>
        <v>11545293.072824158</v>
      </c>
      <c r="M563" s="28">
        <f t="shared" si="52"/>
        <v>12433392.539964477</v>
      </c>
      <c r="N563" s="28">
        <f t="shared" si="53"/>
        <v>13321492.007104795</v>
      </c>
      <c r="O563" s="28">
        <f t="shared" si="54"/>
        <v>14209591.474245116</v>
      </c>
      <c r="P563" s="28">
        <f t="shared" si="55"/>
        <v>15097690.941385437</v>
      </c>
      <c r="Q563" s="28">
        <f t="shared" si="56"/>
        <v>15985790.408525756</v>
      </c>
      <c r="R563" s="28">
        <f t="shared" si="57"/>
        <v>16873889.875666074</v>
      </c>
      <c r="S563" s="28">
        <f t="shared" si="58"/>
        <v>17761989.342806395</v>
      </c>
      <c r="T563" s="28">
        <f t="shared" si="59"/>
        <v>18650088.809946716</v>
      </c>
      <c r="U563" s="28">
        <f t="shared" si="60"/>
        <v>19538188.277087033</v>
      </c>
      <c r="V563" s="28">
        <f t="shared" si="61"/>
        <v>20426287.744227353</v>
      </c>
      <c r="W563" s="28">
        <f t="shared" si="62"/>
        <v>21314387.211367674</v>
      </c>
    </row>
    <row r="564" spans="1:23" x14ac:dyDescent="0.2">
      <c r="A564" s="28">
        <v>563</v>
      </c>
      <c r="B564" s="28">
        <v>354609.92907801422</v>
      </c>
      <c r="C564" s="28">
        <f t="shared" si="42"/>
        <v>3546099.2907801419</v>
      </c>
      <c r="D564" s="28">
        <f t="shared" si="43"/>
        <v>4432624.1134751774</v>
      </c>
      <c r="E564" s="28">
        <f t="shared" si="44"/>
        <v>5319148.9361702129</v>
      </c>
      <c r="F564" s="28">
        <f t="shared" si="45"/>
        <v>6205673.7588652484</v>
      </c>
      <c r="G564" s="28">
        <f t="shared" si="46"/>
        <v>7092198.5815602839</v>
      </c>
      <c r="H564" s="28">
        <f t="shared" si="47"/>
        <v>7978723.4042553194</v>
      </c>
      <c r="I564" s="28">
        <f t="shared" si="48"/>
        <v>8865248.2269503549</v>
      </c>
      <c r="J564" s="28">
        <f t="shared" si="49"/>
        <v>9751773.0496453904</v>
      </c>
      <c r="K564" s="28">
        <f t="shared" si="50"/>
        <v>10638297.872340426</v>
      </c>
      <c r="L564" s="28">
        <f t="shared" si="51"/>
        <v>11524822.695035461</v>
      </c>
      <c r="M564" s="28">
        <f t="shared" si="52"/>
        <v>12411347.517730497</v>
      </c>
      <c r="N564" s="28">
        <f t="shared" si="53"/>
        <v>13297872.340425532</v>
      </c>
      <c r="O564" s="28">
        <f t="shared" si="54"/>
        <v>14184397.163120568</v>
      </c>
      <c r="P564" s="28">
        <f t="shared" si="55"/>
        <v>15070921.985815603</v>
      </c>
      <c r="Q564" s="28">
        <f t="shared" si="56"/>
        <v>15957446.808510639</v>
      </c>
      <c r="R564" s="28">
        <f t="shared" si="57"/>
        <v>16843971.631205674</v>
      </c>
      <c r="S564" s="28">
        <f t="shared" si="58"/>
        <v>17730496.45390071</v>
      </c>
      <c r="T564" s="28">
        <f t="shared" si="59"/>
        <v>18617021.276595745</v>
      </c>
      <c r="U564" s="28">
        <f t="shared" si="60"/>
        <v>19503546.099290781</v>
      </c>
      <c r="V564" s="28">
        <f t="shared" si="61"/>
        <v>20390070.921985816</v>
      </c>
      <c r="W564" s="28">
        <f t="shared" si="62"/>
        <v>21276595.744680852</v>
      </c>
    </row>
    <row r="565" spans="1:23" x14ac:dyDescent="0.2">
      <c r="A565" s="28">
        <v>564</v>
      </c>
      <c r="B565" s="28">
        <v>353982.30088495574</v>
      </c>
      <c r="C565" s="28">
        <f t="shared" si="42"/>
        <v>3539823.0088495575</v>
      </c>
      <c r="D565" s="28">
        <f t="shared" si="43"/>
        <v>4424778.7610619469</v>
      </c>
      <c r="E565" s="28">
        <f t="shared" si="44"/>
        <v>5309734.5132743362</v>
      </c>
      <c r="F565" s="28">
        <f t="shared" si="45"/>
        <v>6194690.2654867256</v>
      </c>
      <c r="G565" s="28">
        <f t="shared" si="46"/>
        <v>7079646.017699115</v>
      </c>
      <c r="H565" s="28">
        <f t="shared" si="47"/>
        <v>7964601.7699115044</v>
      </c>
      <c r="I565" s="28">
        <f t="shared" si="48"/>
        <v>8849557.5221238937</v>
      </c>
      <c r="J565" s="28">
        <f t="shared" si="49"/>
        <v>9734513.2743362822</v>
      </c>
      <c r="K565" s="28">
        <f t="shared" si="50"/>
        <v>10619469.026548672</v>
      </c>
      <c r="L565" s="28">
        <f t="shared" si="51"/>
        <v>11504424.778761063</v>
      </c>
      <c r="M565" s="28">
        <f t="shared" si="52"/>
        <v>12389380.530973451</v>
      </c>
      <c r="N565" s="28">
        <f t="shared" si="53"/>
        <v>13274336.28318584</v>
      </c>
      <c r="O565" s="28">
        <f t="shared" si="54"/>
        <v>14159292.03539823</v>
      </c>
      <c r="P565" s="28">
        <f t="shared" si="55"/>
        <v>15044247.78761062</v>
      </c>
      <c r="Q565" s="28">
        <f t="shared" si="56"/>
        <v>15929203.539823009</v>
      </c>
      <c r="R565" s="28">
        <f t="shared" si="57"/>
        <v>16814159.292035397</v>
      </c>
      <c r="S565" s="28">
        <f t="shared" si="58"/>
        <v>17699115.044247787</v>
      </c>
      <c r="T565" s="28">
        <f t="shared" si="59"/>
        <v>18584070.796460178</v>
      </c>
      <c r="U565" s="28">
        <f t="shared" si="60"/>
        <v>19469026.548672564</v>
      </c>
      <c r="V565" s="28">
        <f t="shared" si="61"/>
        <v>20353982.300884955</v>
      </c>
      <c r="W565" s="28">
        <f t="shared" si="62"/>
        <v>21238938.053097345</v>
      </c>
    </row>
    <row r="566" spans="1:23" x14ac:dyDescent="0.2">
      <c r="A566" s="28">
        <v>565</v>
      </c>
      <c r="B566" s="28">
        <v>353356.89045936393</v>
      </c>
      <c r="C566" s="28">
        <f t="shared" si="42"/>
        <v>3533568.9045936391</v>
      </c>
      <c r="D566" s="28">
        <f t="shared" si="43"/>
        <v>4416961.1307420488</v>
      </c>
      <c r="E566" s="28">
        <f t="shared" si="44"/>
        <v>5300353.3568904586</v>
      </c>
      <c r="F566" s="28">
        <f t="shared" si="45"/>
        <v>6183745.5830388684</v>
      </c>
      <c r="G566" s="28">
        <f t="shared" si="46"/>
        <v>7067137.8091872782</v>
      </c>
      <c r="H566" s="28">
        <f t="shared" si="47"/>
        <v>7950530.0353356879</v>
      </c>
      <c r="I566" s="28">
        <f t="shared" si="48"/>
        <v>8833922.2614840977</v>
      </c>
      <c r="J566" s="28">
        <f t="shared" si="49"/>
        <v>9717314.4876325075</v>
      </c>
      <c r="K566" s="28">
        <f t="shared" si="50"/>
        <v>10600706.713780917</v>
      </c>
      <c r="L566" s="28">
        <f t="shared" si="51"/>
        <v>11484098.939929327</v>
      </c>
      <c r="M566" s="28">
        <f t="shared" si="52"/>
        <v>12367491.166077737</v>
      </c>
      <c r="N566" s="28">
        <f t="shared" si="53"/>
        <v>13250883.392226147</v>
      </c>
      <c r="O566" s="28">
        <f t="shared" si="54"/>
        <v>14134275.618374556</v>
      </c>
      <c r="P566" s="28">
        <f t="shared" si="55"/>
        <v>15017667.844522966</v>
      </c>
      <c r="Q566" s="28">
        <f t="shared" si="56"/>
        <v>15901060.070671376</v>
      </c>
      <c r="R566" s="28">
        <f t="shared" si="57"/>
        <v>16784452.296819784</v>
      </c>
      <c r="S566" s="28">
        <f t="shared" si="58"/>
        <v>17667844.522968195</v>
      </c>
      <c r="T566" s="28">
        <f t="shared" si="59"/>
        <v>18551236.749116607</v>
      </c>
      <c r="U566" s="28">
        <f t="shared" si="60"/>
        <v>19434628.975265015</v>
      </c>
      <c r="V566" s="28">
        <f t="shared" si="61"/>
        <v>20318021.201413423</v>
      </c>
      <c r="W566" s="28">
        <f t="shared" si="62"/>
        <v>21201413.427561834</v>
      </c>
    </row>
    <row r="567" spans="1:23" x14ac:dyDescent="0.2">
      <c r="A567" s="28">
        <v>566</v>
      </c>
      <c r="B567" s="28">
        <v>352733.68606701941</v>
      </c>
      <c r="C567" s="28">
        <f t="shared" si="42"/>
        <v>3527336.860670194</v>
      </c>
      <c r="D567" s="28">
        <f t="shared" si="43"/>
        <v>4409171.0758377425</v>
      </c>
      <c r="E567" s="28">
        <f t="shared" si="44"/>
        <v>5291005.291005291</v>
      </c>
      <c r="F567" s="28">
        <f t="shared" si="45"/>
        <v>6172839.5061728396</v>
      </c>
      <c r="G567" s="28">
        <f t="shared" si="46"/>
        <v>7054673.7213403881</v>
      </c>
      <c r="H567" s="28">
        <f t="shared" si="47"/>
        <v>7936507.9365079366</v>
      </c>
      <c r="I567" s="28">
        <f t="shared" si="48"/>
        <v>8818342.1516754851</v>
      </c>
      <c r="J567" s="28">
        <f t="shared" si="49"/>
        <v>9700176.3668430336</v>
      </c>
      <c r="K567" s="28">
        <f t="shared" si="50"/>
        <v>10582010.582010582</v>
      </c>
      <c r="L567" s="28">
        <f t="shared" si="51"/>
        <v>11463844.797178131</v>
      </c>
      <c r="M567" s="28">
        <f t="shared" si="52"/>
        <v>12345679.012345679</v>
      </c>
      <c r="N567" s="28">
        <f t="shared" si="53"/>
        <v>13227513.227513228</v>
      </c>
      <c r="O567" s="28">
        <f t="shared" si="54"/>
        <v>14109347.442680776</v>
      </c>
      <c r="P567" s="28">
        <f t="shared" si="55"/>
        <v>14991181.657848325</v>
      </c>
      <c r="Q567" s="28">
        <f t="shared" si="56"/>
        <v>15873015.873015873</v>
      </c>
      <c r="R567" s="28">
        <f t="shared" si="57"/>
        <v>16754850.088183422</v>
      </c>
      <c r="S567" s="28">
        <f t="shared" si="58"/>
        <v>17636684.30335097</v>
      </c>
      <c r="T567" s="28">
        <f t="shared" si="59"/>
        <v>18518518.518518519</v>
      </c>
      <c r="U567" s="28">
        <f t="shared" si="60"/>
        <v>19400352.733686067</v>
      </c>
      <c r="V567" s="28">
        <f t="shared" si="61"/>
        <v>20282186.948853616</v>
      </c>
      <c r="W567" s="28">
        <f t="shared" si="62"/>
        <v>21164021.164021164</v>
      </c>
    </row>
    <row r="568" spans="1:23" x14ac:dyDescent="0.2">
      <c r="A568" s="28">
        <v>567</v>
      </c>
      <c r="B568" s="28">
        <v>352112.67605633801</v>
      </c>
      <c r="C568" s="28">
        <f t="shared" si="42"/>
        <v>3521126.7605633801</v>
      </c>
      <c r="D568" s="28">
        <f t="shared" si="43"/>
        <v>4401408.4507042253</v>
      </c>
      <c r="E568" s="28">
        <f t="shared" si="44"/>
        <v>5281690.1408450697</v>
      </c>
      <c r="F568" s="28">
        <f t="shared" si="45"/>
        <v>6161971.8309859149</v>
      </c>
      <c r="G568" s="28">
        <f t="shared" si="46"/>
        <v>7042253.5211267602</v>
      </c>
      <c r="H568" s="28">
        <f t="shared" si="47"/>
        <v>7922535.2112676054</v>
      </c>
      <c r="I568" s="28">
        <f t="shared" si="48"/>
        <v>8802816.9014084507</v>
      </c>
      <c r="J568" s="28">
        <f t="shared" si="49"/>
        <v>9683098.5915492959</v>
      </c>
      <c r="K568" s="28">
        <f t="shared" si="50"/>
        <v>10563380.281690139</v>
      </c>
      <c r="L568" s="28">
        <f t="shared" si="51"/>
        <v>11443661.971830985</v>
      </c>
      <c r="M568" s="28">
        <f t="shared" si="52"/>
        <v>12323943.66197183</v>
      </c>
      <c r="N568" s="28">
        <f t="shared" si="53"/>
        <v>13204225.352112675</v>
      </c>
      <c r="O568" s="28">
        <f t="shared" si="54"/>
        <v>14084507.04225352</v>
      </c>
      <c r="P568" s="28">
        <f t="shared" si="55"/>
        <v>14964788.732394366</v>
      </c>
      <c r="Q568" s="28">
        <f t="shared" si="56"/>
        <v>15845070.422535211</v>
      </c>
      <c r="R568" s="28">
        <f t="shared" si="57"/>
        <v>16725352.112676056</v>
      </c>
      <c r="S568" s="28">
        <f t="shared" si="58"/>
        <v>17605633.802816901</v>
      </c>
      <c r="T568" s="28">
        <f t="shared" si="59"/>
        <v>18485915.492957745</v>
      </c>
      <c r="U568" s="28">
        <f t="shared" si="60"/>
        <v>19366197.183098592</v>
      </c>
      <c r="V568" s="28">
        <f t="shared" si="61"/>
        <v>20246478.873239435</v>
      </c>
      <c r="W568" s="28">
        <f t="shared" si="62"/>
        <v>21126760.563380279</v>
      </c>
    </row>
    <row r="569" spans="1:23" x14ac:dyDescent="0.2">
      <c r="A569" s="28">
        <v>568</v>
      </c>
      <c r="B569" s="28">
        <v>351493.848857645</v>
      </c>
      <c r="C569" s="28">
        <f t="shared" si="42"/>
        <v>3514938.4885764499</v>
      </c>
      <c r="D569" s="28">
        <f t="shared" si="43"/>
        <v>4393673.1107205627</v>
      </c>
      <c r="E569" s="28">
        <f t="shared" si="44"/>
        <v>5272407.7328646751</v>
      </c>
      <c r="F569" s="28">
        <f t="shared" si="45"/>
        <v>6151142.3550087875</v>
      </c>
      <c r="G569" s="28">
        <f t="shared" si="46"/>
        <v>7029876.9771528998</v>
      </c>
      <c r="H569" s="28">
        <f t="shared" si="47"/>
        <v>7908611.5992970122</v>
      </c>
      <c r="I569" s="28">
        <f t="shared" si="48"/>
        <v>8787346.2214411255</v>
      </c>
      <c r="J569" s="28">
        <f t="shared" si="49"/>
        <v>9666080.8435852379</v>
      </c>
      <c r="K569" s="28">
        <f t="shared" si="50"/>
        <v>10544815.46572935</v>
      </c>
      <c r="L569" s="28">
        <f t="shared" si="51"/>
        <v>11423550.087873463</v>
      </c>
      <c r="M569" s="28">
        <f t="shared" si="52"/>
        <v>12302284.710017575</v>
      </c>
      <c r="N569" s="28">
        <f t="shared" si="53"/>
        <v>13181019.332161687</v>
      </c>
      <c r="O569" s="28">
        <f t="shared" si="54"/>
        <v>14059753.9543058</v>
      </c>
      <c r="P569" s="28">
        <f t="shared" si="55"/>
        <v>14938488.576449912</v>
      </c>
      <c r="Q569" s="28">
        <f t="shared" si="56"/>
        <v>15817223.198594024</v>
      </c>
      <c r="R569" s="28">
        <f t="shared" si="57"/>
        <v>16695957.820738137</v>
      </c>
      <c r="S569" s="28">
        <f t="shared" si="58"/>
        <v>17574692.442882251</v>
      </c>
      <c r="T569" s="28">
        <f t="shared" si="59"/>
        <v>18453427.065026361</v>
      </c>
      <c r="U569" s="28">
        <f t="shared" si="60"/>
        <v>19332161.687170476</v>
      </c>
      <c r="V569" s="28">
        <f t="shared" si="61"/>
        <v>20210896.309314586</v>
      </c>
      <c r="W569" s="28">
        <f t="shared" si="62"/>
        <v>21089630.9314587</v>
      </c>
    </row>
    <row r="570" spans="1:23" x14ac:dyDescent="0.2">
      <c r="A570" s="28">
        <v>569</v>
      </c>
      <c r="B570" s="28">
        <v>350877.19298245612</v>
      </c>
      <c r="C570" s="28">
        <f t="shared" si="42"/>
        <v>3508771.9298245613</v>
      </c>
      <c r="D570" s="28">
        <f t="shared" si="43"/>
        <v>4385964.912280702</v>
      </c>
      <c r="E570" s="28">
        <f t="shared" si="44"/>
        <v>5263157.8947368423</v>
      </c>
      <c r="F570" s="28">
        <f t="shared" si="45"/>
        <v>6140350.8771929825</v>
      </c>
      <c r="G570" s="28">
        <f t="shared" si="46"/>
        <v>7017543.8596491227</v>
      </c>
      <c r="H570" s="28">
        <f t="shared" si="47"/>
        <v>7894736.8421052629</v>
      </c>
      <c r="I570" s="28">
        <f t="shared" si="48"/>
        <v>8771929.8245614041</v>
      </c>
      <c r="J570" s="28">
        <f t="shared" si="49"/>
        <v>9649122.8070175443</v>
      </c>
      <c r="K570" s="28">
        <f t="shared" si="50"/>
        <v>10526315.789473685</v>
      </c>
      <c r="L570" s="28">
        <f t="shared" si="51"/>
        <v>11403508.771929825</v>
      </c>
      <c r="M570" s="28">
        <f t="shared" si="52"/>
        <v>12280701.754385965</v>
      </c>
      <c r="N570" s="28">
        <f t="shared" si="53"/>
        <v>13157894.736842105</v>
      </c>
      <c r="O570" s="28">
        <f t="shared" si="54"/>
        <v>14035087.719298245</v>
      </c>
      <c r="P570" s="28">
        <f t="shared" si="55"/>
        <v>14912280.701754386</v>
      </c>
      <c r="Q570" s="28">
        <f t="shared" si="56"/>
        <v>15789473.684210526</v>
      </c>
      <c r="R570" s="28">
        <f t="shared" si="57"/>
        <v>16666666.666666666</v>
      </c>
      <c r="S570" s="28">
        <f t="shared" si="58"/>
        <v>17543859.649122808</v>
      </c>
      <c r="T570" s="28">
        <f t="shared" si="59"/>
        <v>18421052.631578948</v>
      </c>
      <c r="U570" s="28">
        <f t="shared" si="60"/>
        <v>19298245.614035089</v>
      </c>
      <c r="V570" s="28">
        <f t="shared" si="61"/>
        <v>20175438.596491229</v>
      </c>
      <c r="W570" s="28">
        <f t="shared" si="62"/>
        <v>21052631.578947369</v>
      </c>
    </row>
    <row r="571" spans="1:23" x14ac:dyDescent="0.2">
      <c r="A571" s="28">
        <v>570</v>
      </c>
      <c r="B571" s="28">
        <v>350262.69702276704</v>
      </c>
      <c r="C571" s="28">
        <f t="shared" si="42"/>
        <v>3502626.9702276704</v>
      </c>
      <c r="D571" s="28">
        <f t="shared" si="43"/>
        <v>4378283.7127845883</v>
      </c>
      <c r="E571" s="28">
        <f t="shared" si="44"/>
        <v>5253940.4553415058</v>
      </c>
      <c r="F571" s="28">
        <f t="shared" si="45"/>
        <v>6129597.1978984233</v>
      </c>
      <c r="G571" s="28">
        <f t="shared" si="46"/>
        <v>7005253.9404553408</v>
      </c>
      <c r="H571" s="28">
        <f t="shared" si="47"/>
        <v>7880910.6830122583</v>
      </c>
      <c r="I571" s="28">
        <f t="shared" si="48"/>
        <v>8756567.4255691767</v>
      </c>
      <c r="J571" s="28">
        <f t="shared" si="49"/>
        <v>9632224.1681260932</v>
      </c>
      <c r="K571" s="28">
        <f t="shared" si="50"/>
        <v>10507880.910683012</v>
      </c>
      <c r="L571" s="28">
        <f t="shared" si="51"/>
        <v>11383537.653239928</v>
      </c>
      <c r="M571" s="28">
        <f t="shared" si="52"/>
        <v>12259194.395796847</v>
      </c>
      <c r="N571" s="28">
        <f t="shared" si="53"/>
        <v>13134851.138353763</v>
      </c>
      <c r="O571" s="28">
        <f t="shared" si="54"/>
        <v>14010507.880910682</v>
      </c>
      <c r="P571" s="28">
        <f t="shared" si="55"/>
        <v>14886164.6234676</v>
      </c>
      <c r="Q571" s="28">
        <f t="shared" si="56"/>
        <v>15761821.366024517</v>
      </c>
      <c r="R571" s="28">
        <f t="shared" si="57"/>
        <v>16637478.108581435</v>
      </c>
      <c r="S571" s="28">
        <f t="shared" si="58"/>
        <v>17513134.851138353</v>
      </c>
      <c r="T571" s="28">
        <f t="shared" si="59"/>
        <v>18388791.593695268</v>
      </c>
      <c r="U571" s="28">
        <f t="shared" si="60"/>
        <v>19264448.336252186</v>
      </c>
      <c r="V571" s="28">
        <f t="shared" si="61"/>
        <v>20140105.078809105</v>
      </c>
      <c r="W571" s="28">
        <f t="shared" si="62"/>
        <v>21015761.821366023</v>
      </c>
    </row>
    <row r="572" spans="1:23" x14ac:dyDescent="0.2">
      <c r="A572" s="28">
        <v>571</v>
      </c>
      <c r="B572" s="28">
        <v>349650.34965034964</v>
      </c>
      <c r="C572" s="28">
        <f t="shared" si="42"/>
        <v>3496503.4965034965</v>
      </c>
      <c r="D572" s="28">
        <f t="shared" si="43"/>
        <v>4370629.3706293702</v>
      </c>
      <c r="E572" s="28">
        <f t="shared" si="44"/>
        <v>5244755.2447552448</v>
      </c>
      <c r="F572" s="28">
        <f t="shared" si="45"/>
        <v>6118881.1188811194</v>
      </c>
      <c r="G572" s="28">
        <f t="shared" si="46"/>
        <v>6993006.9930069931</v>
      </c>
      <c r="H572" s="28">
        <f t="shared" si="47"/>
        <v>7867132.8671328668</v>
      </c>
      <c r="I572" s="28">
        <f t="shared" si="48"/>
        <v>8741258.7412587404</v>
      </c>
      <c r="J572" s="28">
        <f t="shared" si="49"/>
        <v>9615384.615384616</v>
      </c>
      <c r="K572" s="28">
        <f t="shared" si="50"/>
        <v>10489510.48951049</v>
      </c>
      <c r="L572" s="28">
        <f t="shared" si="51"/>
        <v>11363636.363636363</v>
      </c>
      <c r="M572" s="28">
        <f t="shared" si="52"/>
        <v>12237762.237762239</v>
      </c>
      <c r="N572" s="28">
        <f t="shared" si="53"/>
        <v>13111888.111888113</v>
      </c>
      <c r="O572" s="28">
        <f t="shared" si="54"/>
        <v>13986013.986013986</v>
      </c>
      <c r="P572" s="28">
        <f t="shared" si="55"/>
        <v>14860139.86013986</v>
      </c>
      <c r="Q572" s="28">
        <f t="shared" si="56"/>
        <v>15734265.734265734</v>
      </c>
      <c r="R572" s="28">
        <f t="shared" si="57"/>
        <v>16608391.608391609</v>
      </c>
      <c r="S572" s="28">
        <f t="shared" si="58"/>
        <v>17482517.482517481</v>
      </c>
      <c r="T572" s="28">
        <f t="shared" si="59"/>
        <v>18356643.356643356</v>
      </c>
      <c r="U572" s="28">
        <f t="shared" si="60"/>
        <v>19230769.230769232</v>
      </c>
      <c r="V572" s="28">
        <f t="shared" si="61"/>
        <v>20104895.104895104</v>
      </c>
      <c r="W572" s="28">
        <f t="shared" si="62"/>
        <v>20979020.979020979</v>
      </c>
    </row>
    <row r="573" spans="1:23" x14ac:dyDescent="0.2">
      <c r="A573" s="28">
        <v>572</v>
      </c>
      <c r="B573" s="28">
        <v>349040.13961605582</v>
      </c>
      <c r="C573" s="28">
        <f t="shared" si="42"/>
        <v>3490401.3961605583</v>
      </c>
      <c r="D573" s="28">
        <f t="shared" si="43"/>
        <v>4363001.7452006983</v>
      </c>
      <c r="E573" s="28">
        <f t="shared" si="44"/>
        <v>5235602.0942408377</v>
      </c>
      <c r="F573" s="28">
        <f t="shared" si="45"/>
        <v>6108202.4432809772</v>
      </c>
      <c r="G573" s="28">
        <f t="shared" si="46"/>
        <v>6980802.7923211167</v>
      </c>
      <c r="H573" s="28">
        <f t="shared" si="47"/>
        <v>7853403.1413612561</v>
      </c>
      <c r="I573" s="28">
        <f t="shared" si="48"/>
        <v>8726003.4904013965</v>
      </c>
      <c r="J573" s="28">
        <f t="shared" si="49"/>
        <v>9598603.839441536</v>
      </c>
      <c r="K573" s="28">
        <f t="shared" si="50"/>
        <v>10471204.188481675</v>
      </c>
      <c r="L573" s="28">
        <f t="shared" si="51"/>
        <v>11343804.537521815</v>
      </c>
      <c r="M573" s="28">
        <f t="shared" si="52"/>
        <v>12216404.886561954</v>
      </c>
      <c r="N573" s="28">
        <f t="shared" si="53"/>
        <v>13089005.235602094</v>
      </c>
      <c r="O573" s="28">
        <f t="shared" si="54"/>
        <v>13961605.584642233</v>
      </c>
      <c r="P573" s="28">
        <f t="shared" si="55"/>
        <v>14834205.933682373</v>
      </c>
      <c r="Q573" s="28">
        <f t="shared" si="56"/>
        <v>15706806.282722512</v>
      </c>
      <c r="R573" s="28">
        <f t="shared" si="57"/>
        <v>16579406.631762652</v>
      </c>
      <c r="S573" s="28">
        <f t="shared" si="58"/>
        <v>17452006.980802793</v>
      </c>
      <c r="T573" s="28">
        <f t="shared" si="59"/>
        <v>18324607.329842933</v>
      </c>
      <c r="U573" s="28">
        <f t="shared" si="60"/>
        <v>19197207.678883072</v>
      </c>
      <c r="V573" s="28">
        <f t="shared" si="61"/>
        <v>20069808.027923211</v>
      </c>
      <c r="W573" s="28">
        <f t="shared" si="62"/>
        <v>20942408.376963351</v>
      </c>
    </row>
    <row r="574" spans="1:23" x14ac:dyDescent="0.2">
      <c r="A574" s="28">
        <v>573</v>
      </c>
      <c r="B574" s="28">
        <v>348432.05574912892</v>
      </c>
      <c r="C574" s="28">
        <f t="shared" si="42"/>
        <v>3484320.5574912895</v>
      </c>
      <c r="D574" s="28">
        <f t="shared" si="43"/>
        <v>4355400.6968641113</v>
      </c>
      <c r="E574" s="28">
        <f t="shared" si="44"/>
        <v>5226480.8362369342</v>
      </c>
      <c r="F574" s="28">
        <f t="shared" si="45"/>
        <v>6097560.975609757</v>
      </c>
      <c r="G574" s="28">
        <f t="shared" si="46"/>
        <v>6968641.1149825789</v>
      </c>
      <c r="H574" s="28">
        <f t="shared" si="47"/>
        <v>7839721.2543554008</v>
      </c>
      <c r="I574" s="28">
        <f t="shared" si="48"/>
        <v>8710801.3937282227</v>
      </c>
      <c r="J574" s="28">
        <f t="shared" si="49"/>
        <v>9581881.5331010465</v>
      </c>
      <c r="K574" s="28">
        <f t="shared" si="50"/>
        <v>10452961.672473868</v>
      </c>
      <c r="L574" s="28">
        <f t="shared" si="51"/>
        <v>11324041.81184669</v>
      </c>
      <c r="M574" s="28">
        <f t="shared" si="52"/>
        <v>12195121.951219514</v>
      </c>
      <c r="N574" s="28">
        <f t="shared" si="53"/>
        <v>13066202.090592336</v>
      </c>
      <c r="O574" s="28">
        <f t="shared" si="54"/>
        <v>13937282.229965158</v>
      </c>
      <c r="P574" s="28">
        <f t="shared" si="55"/>
        <v>14808362.36933798</v>
      </c>
      <c r="Q574" s="28">
        <f t="shared" si="56"/>
        <v>15679442.508710802</v>
      </c>
      <c r="R574" s="28">
        <f t="shared" si="57"/>
        <v>16550522.648083625</v>
      </c>
      <c r="S574" s="28">
        <f t="shared" si="58"/>
        <v>17421602.787456445</v>
      </c>
      <c r="T574" s="28">
        <f t="shared" si="59"/>
        <v>18292682.926829271</v>
      </c>
      <c r="U574" s="28">
        <f t="shared" si="60"/>
        <v>19163763.066202093</v>
      </c>
      <c r="V574" s="28">
        <f t="shared" si="61"/>
        <v>20034843.205574915</v>
      </c>
      <c r="W574" s="28">
        <f t="shared" si="62"/>
        <v>20905923.344947737</v>
      </c>
    </row>
    <row r="575" spans="1:23" x14ac:dyDescent="0.2">
      <c r="A575" s="28">
        <v>574</v>
      </c>
      <c r="B575" s="28">
        <v>347826.08695652173</v>
      </c>
      <c r="C575" s="28">
        <f t="shared" si="42"/>
        <v>3478260.8695652173</v>
      </c>
      <c r="D575" s="28">
        <f t="shared" si="43"/>
        <v>4347826.0869565215</v>
      </c>
      <c r="E575" s="28">
        <f t="shared" si="44"/>
        <v>5217391.3043478262</v>
      </c>
      <c r="F575" s="28">
        <f t="shared" si="45"/>
        <v>6086956.5217391299</v>
      </c>
      <c r="G575" s="28">
        <f t="shared" si="46"/>
        <v>6956521.7391304346</v>
      </c>
      <c r="H575" s="28">
        <f t="shared" si="47"/>
        <v>7826086.9565217393</v>
      </c>
      <c r="I575" s="28">
        <f t="shared" si="48"/>
        <v>8695652.173913043</v>
      </c>
      <c r="J575" s="28">
        <f t="shared" si="49"/>
        <v>9565217.3913043477</v>
      </c>
      <c r="K575" s="28">
        <f t="shared" si="50"/>
        <v>10434782.608695652</v>
      </c>
      <c r="L575" s="28">
        <f t="shared" si="51"/>
        <v>11304347.826086957</v>
      </c>
      <c r="M575" s="28">
        <f t="shared" si="52"/>
        <v>12173913.04347826</v>
      </c>
      <c r="N575" s="28">
        <f t="shared" si="53"/>
        <v>13043478.260869564</v>
      </c>
      <c r="O575" s="28">
        <f t="shared" si="54"/>
        <v>13913043.478260869</v>
      </c>
      <c r="P575" s="28">
        <f t="shared" si="55"/>
        <v>14782608.695652174</v>
      </c>
      <c r="Q575" s="28">
        <f t="shared" si="56"/>
        <v>15652173.913043479</v>
      </c>
      <c r="R575" s="28">
        <f t="shared" si="57"/>
        <v>16521739.130434781</v>
      </c>
      <c r="S575" s="28">
        <f t="shared" si="58"/>
        <v>17391304.347826086</v>
      </c>
      <c r="T575" s="28">
        <f t="shared" si="59"/>
        <v>18260869.565217391</v>
      </c>
      <c r="U575" s="28">
        <f t="shared" si="60"/>
        <v>19130434.782608695</v>
      </c>
      <c r="V575" s="28">
        <f t="shared" si="61"/>
        <v>20000000</v>
      </c>
      <c r="W575" s="28">
        <f t="shared" si="62"/>
        <v>20869565.217391305</v>
      </c>
    </row>
    <row r="576" spans="1:23" x14ac:dyDescent="0.2">
      <c r="A576" s="28">
        <v>575</v>
      </c>
      <c r="B576" s="28">
        <v>347222.22222222219</v>
      </c>
      <c r="C576" s="28">
        <f t="shared" si="42"/>
        <v>3472222.222222222</v>
      </c>
      <c r="D576" s="28">
        <f t="shared" si="43"/>
        <v>4340277.777777778</v>
      </c>
      <c r="E576" s="28">
        <f t="shared" si="44"/>
        <v>5208333.333333333</v>
      </c>
      <c r="F576" s="28">
        <f t="shared" si="45"/>
        <v>6076388.8888888881</v>
      </c>
      <c r="G576" s="28">
        <f t="shared" si="46"/>
        <v>6944444.444444444</v>
      </c>
      <c r="H576" s="28">
        <f t="shared" si="47"/>
        <v>7812500</v>
      </c>
      <c r="I576" s="28">
        <f t="shared" si="48"/>
        <v>8680555.555555556</v>
      </c>
      <c r="J576" s="28">
        <f t="shared" si="49"/>
        <v>9548611.1111111101</v>
      </c>
      <c r="K576" s="28">
        <f t="shared" si="50"/>
        <v>10416666.666666666</v>
      </c>
      <c r="L576" s="28">
        <f t="shared" si="51"/>
        <v>11284722.222222222</v>
      </c>
      <c r="M576" s="28">
        <f t="shared" si="52"/>
        <v>12152777.777777776</v>
      </c>
      <c r="N576" s="28">
        <f t="shared" si="53"/>
        <v>13020833.333333332</v>
      </c>
      <c r="O576" s="28">
        <f t="shared" si="54"/>
        <v>13888888.888888888</v>
      </c>
      <c r="P576" s="28">
        <f t="shared" si="55"/>
        <v>14756944.444444444</v>
      </c>
      <c r="Q576" s="28">
        <f t="shared" si="56"/>
        <v>15625000</v>
      </c>
      <c r="R576" s="28">
        <f t="shared" si="57"/>
        <v>16493055.555555554</v>
      </c>
      <c r="S576" s="28">
        <f t="shared" si="58"/>
        <v>17361111.111111112</v>
      </c>
      <c r="T576" s="28">
        <f t="shared" si="59"/>
        <v>18229166.666666664</v>
      </c>
      <c r="U576" s="28">
        <f t="shared" si="60"/>
        <v>19097222.22222222</v>
      </c>
      <c r="V576" s="28">
        <f t="shared" si="61"/>
        <v>19965277.777777776</v>
      </c>
      <c r="W576" s="28">
        <f t="shared" si="62"/>
        <v>20833333.333333332</v>
      </c>
    </row>
    <row r="577" spans="1:23" x14ac:dyDescent="0.2">
      <c r="A577" s="28">
        <v>576</v>
      </c>
      <c r="B577" s="28">
        <v>346620.45060658577</v>
      </c>
      <c r="C577" s="28">
        <f t="shared" si="42"/>
        <v>3466204.5060658576</v>
      </c>
      <c r="D577" s="28">
        <f t="shared" si="43"/>
        <v>4332755.6325823218</v>
      </c>
      <c r="E577" s="28">
        <f t="shared" si="44"/>
        <v>5199306.7590987869</v>
      </c>
      <c r="F577" s="28">
        <f t="shared" si="45"/>
        <v>6065857.885615251</v>
      </c>
      <c r="G577" s="28">
        <f t="shared" si="46"/>
        <v>6932409.0121317152</v>
      </c>
      <c r="H577" s="28">
        <f t="shared" si="47"/>
        <v>7798960.1386481794</v>
      </c>
      <c r="I577" s="28">
        <f t="shared" si="48"/>
        <v>8665511.2651646435</v>
      </c>
      <c r="J577" s="28">
        <f t="shared" si="49"/>
        <v>9532062.3916811086</v>
      </c>
      <c r="K577" s="28">
        <f t="shared" si="50"/>
        <v>10398613.518197574</v>
      </c>
      <c r="L577" s="28">
        <f t="shared" si="51"/>
        <v>11265164.644714037</v>
      </c>
      <c r="M577" s="28">
        <f t="shared" si="52"/>
        <v>12131715.771230502</v>
      </c>
      <c r="N577" s="28">
        <f t="shared" si="53"/>
        <v>12998266.897746965</v>
      </c>
      <c r="O577" s="28">
        <f t="shared" si="54"/>
        <v>13864818.02426343</v>
      </c>
      <c r="P577" s="28">
        <f t="shared" si="55"/>
        <v>14731369.150779895</v>
      </c>
      <c r="Q577" s="28">
        <f t="shared" si="56"/>
        <v>15597920.277296359</v>
      </c>
      <c r="R577" s="28">
        <f t="shared" si="57"/>
        <v>16464471.403812824</v>
      </c>
      <c r="S577" s="28">
        <f t="shared" si="58"/>
        <v>17331022.530329287</v>
      </c>
      <c r="T577" s="28">
        <f t="shared" si="59"/>
        <v>18197573.656845752</v>
      </c>
      <c r="U577" s="28">
        <f t="shared" si="60"/>
        <v>19064124.783362217</v>
      </c>
      <c r="V577" s="28">
        <f t="shared" si="61"/>
        <v>19930675.909878682</v>
      </c>
      <c r="W577" s="28">
        <f t="shared" si="62"/>
        <v>20797227.036395147</v>
      </c>
    </row>
    <row r="578" spans="1:23" x14ac:dyDescent="0.2">
      <c r="A578" s="28">
        <v>577</v>
      </c>
      <c r="B578" s="28">
        <v>346020.76124567474</v>
      </c>
      <c r="C578" s="28">
        <f t="shared" si="42"/>
        <v>3460207.6124567473</v>
      </c>
      <c r="D578" s="28">
        <f t="shared" si="43"/>
        <v>4325259.5155709339</v>
      </c>
      <c r="E578" s="28">
        <f t="shared" si="44"/>
        <v>5190311.4186851215</v>
      </c>
      <c r="F578" s="28">
        <f t="shared" si="45"/>
        <v>6055363.3217993081</v>
      </c>
      <c r="G578" s="28">
        <f t="shared" si="46"/>
        <v>6920415.2249134947</v>
      </c>
      <c r="H578" s="28">
        <f t="shared" si="47"/>
        <v>7785467.1280276813</v>
      </c>
      <c r="I578" s="28">
        <f t="shared" si="48"/>
        <v>8650519.0311418679</v>
      </c>
      <c r="J578" s="28">
        <f t="shared" si="49"/>
        <v>9515570.9342560545</v>
      </c>
      <c r="K578" s="28">
        <f t="shared" si="50"/>
        <v>10380622.837370243</v>
      </c>
      <c r="L578" s="28">
        <f t="shared" si="51"/>
        <v>11245674.74048443</v>
      </c>
      <c r="M578" s="28">
        <f t="shared" si="52"/>
        <v>12110726.643598616</v>
      </c>
      <c r="N578" s="28">
        <f t="shared" si="53"/>
        <v>12975778.546712803</v>
      </c>
      <c r="O578" s="28">
        <f t="shared" si="54"/>
        <v>13840830.449826989</v>
      </c>
      <c r="P578" s="28">
        <f t="shared" si="55"/>
        <v>14705882.352941176</v>
      </c>
      <c r="Q578" s="28">
        <f t="shared" si="56"/>
        <v>15570934.256055363</v>
      </c>
      <c r="R578" s="28">
        <f t="shared" si="57"/>
        <v>16435986.159169549</v>
      </c>
      <c r="S578" s="28">
        <f t="shared" si="58"/>
        <v>17301038.062283736</v>
      </c>
      <c r="T578" s="28">
        <f t="shared" si="59"/>
        <v>18166089.965397924</v>
      </c>
      <c r="U578" s="28">
        <f t="shared" si="60"/>
        <v>19031141.868512109</v>
      </c>
      <c r="V578" s="28">
        <f t="shared" si="61"/>
        <v>19896193.771626297</v>
      </c>
      <c r="W578" s="28">
        <f t="shared" si="62"/>
        <v>20761245.674740486</v>
      </c>
    </row>
    <row r="579" spans="1:23" x14ac:dyDescent="0.2">
      <c r="A579" s="28">
        <v>578</v>
      </c>
      <c r="B579" s="28">
        <v>345423.14335060451</v>
      </c>
      <c r="C579" s="28">
        <f t="shared" si="42"/>
        <v>3454231.433506045</v>
      </c>
      <c r="D579" s="28">
        <f t="shared" si="43"/>
        <v>4317789.2918825559</v>
      </c>
      <c r="E579" s="28">
        <f t="shared" si="44"/>
        <v>5181347.1502590673</v>
      </c>
      <c r="F579" s="28">
        <f t="shared" si="45"/>
        <v>6044905.0086355787</v>
      </c>
      <c r="G579" s="28">
        <f t="shared" si="46"/>
        <v>6908462.86701209</v>
      </c>
      <c r="H579" s="28">
        <f t="shared" si="47"/>
        <v>7772020.7253886014</v>
      </c>
      <c r="I579" s="28">
        <f t="shared" si="48"/>
        <v>8635578.5837651119</v>
      </c>
      <c r="J579" s="28">
        <f t="shared" si="49"/>
        <v>9499136.4421416242</v>
      </c>
      <c r="K579" s="28">
        <f t="shared" si="50"/>
        <v>10362694.300518135</v>
      </c>
      <c r="L579" s="28">
        <f t="shared" si="51"/>
        <v>11226252.158894647</v>
      </c>
      <c r="M579" s="28">
        <f t="shared" si="52"/>
        <v>12089810.017271157</v>
      </c>
      <c r="N579" s="28">
        <f t="shared" si="53"/>
        <v>12953367.87564767</v>
      </c>
      <c r="O579" s="28">
        <f t="shared" si="54"/>
        <v>13816925.73402418</v>
      </c>
      <c r="P579" s="28">
        <f t="shared" si="55"/>
        <v>14680483.592400691</v>
      </c>
      <c r="Q579" s="28">
        <f t="shared" si="56"/>
        <v>15544041.450777203</v>
      </c>
      <c r="R579" s="28">
        <f t="shared" si="57"/>
        <v>16407599.309153713</v>
      </c>
      <c r="S579" s="28">
        <f t="shared" si="58"/>
        <v>17271157.167530224</v>
      </c>
      <c r="T579" s="28">
        <f t="shared" si="59"/>
        <v>18134715.025906738</v>
      </c>
      <c r="U579" s="28">
        <f t="shared" si="60"/>
        <v>18998272.884283248</v>
      </c>
      <c r="V579" s="28">
        <f t="shared" si="61"/>
        <v>19861830.742659759</v>
      </c>
      <c r="W579" s="28">
        <f t="shared" si="62"/>
        <v>20725388.601036269</v>
      </c>
    </row>
    <row r="580" spans="1:23" x14ac:dyDescent="0.2">
      <c r="A580" s="28">
        <v>579</v>
      </c>
      <c r="B580" s="28">
        <v>344827.58620689658</v>
      </c>
      <c r="C580" s="28">
        <f t="shared" si="42"/>
        <v>3448275.862068966</v>
      </c>
      <c r="D580" s="28">
        <f t="shared" si="43"/>
        <v>4310344.8275862075</v>
      </c>
      <c r="E580" s="28">
        <f t="shared" si="44"/>
        <v>5172413.793103449</v>
      </c>
      <c r="F580" s="28">
        <f t="shared" si="45"/>
        <v>6034482.7586206906</v>
      </c>
      <c r="G580" s="28">
        <f t="shared" si="46"/>
        <v>6896551.7241379321</v>
      </c>
      <c r="H580" s="28">
        <f t="shared" si="47"/>
        <v>7758620.6896551736</v>
      </c>
      <c r="I580" s="28">
        <f t="shared" si="48"/>
        <v>8620689.6551724151</v>
      </c>
      <c r="J580" s="28">
        <f t="shared" si="49"/>
        <v>9482758.6206896566</v>
      </c>
      <c r="K580" s="28">
        <f t="shared" si="50"/>
        <v>10344827.586206898</v>
      </c>
      <c r="L580" s="28">
        <f t="shared" si="51"/>
        <v>11206896.55172414</v>
      </c>
      <c r="M580" s="28">
        <f t="shared" si="52"/>
        <v>12068965.517241381</v>
      </c>
      <c r="N580" s="28">
        <f t="shared" si="53"/>
        <v>12931034.482758623</v>
      </c>
      <c r="O580" s="28">
        <f t="shared" si="54"/>
        <v>13793103.448275864</v>
      </c>
      <c r="P580" s="28">
        <f t="shared" si="55"/>
        <v>14655172.413793106</v>
      </c>
      <c r="Q580" s="28">
        <f t="shared" si="56"/>
        <v>15517241.379310347</v>
      </c>
      <c r="R580" s="28">
        <f t="shared" si="57"/>
        <v>16379310.344827589</v>
      </c>
      <c r="S580" s="28">
        <f t="shared" si="58"/>
        <v>17241379.31034483</v>
      </c>
      <c r="T580" s="28">
        <f t="shared" si="59"/>
        <v>18103448.275862072</v>
      </c>
      <c r="U580" s="28">
        <f t="shared" si="60"/>
        <v>18965517.241379313</v>
      </c>
      <c r="V580" s="28">
        <f t="shared" si="61"/>
        <v>19827586.206896555</v>
      </c>
      <c r="W580" s="28">
        <f t="shared" si="62"/>
        <v>20689655.172413796</v>
      </c>
    </row>
    <row r="581" spans="1:23" x14ac:dyDescent="0.2">
      <c r="A581" s="28">
        <v>580</v>
      </c>
      <c r="B581" s="28">
        <v>344234.07917383825</v>
      </c>
      <c r="C581" s="28">
        <f t="shared" si="42"/>
        <v>3442340.7917383825</v>
      </c>
      <c r="D581" s="28">
        <f t="shared" si="43"/>
        <v>4302925.9896729784</v>
      </c>
      <c r="E581" s="28">
        <f t="shared" si="44"/>
        <v>5163511.1876075733</v>
      </c>
      <c r="F581" s="28">
        <f t="shared" si="45"/>
        <v>6024096.3855421692</v>
      </c>
      <c r="G581" s="28">
        <f t="shared" si="46"/>
        <v>6884681.5834767651</v>
      </c>
      <c r="H581" s="28">
        <f t="shared" si="47"/>
        <v>7745266.7814113609</v>
      </c>
      <c r="I581" s="28">
        <f t="shared" si="48"/>
        <v>8605851.9793459568</v>
      </c>
      <c r="J581" s="28">
        <f t="shared" si="49"/>
        <v>9466437.1772805527</v>
      </c>
      <c r="K581" s="28">
        <f t="shared" si="50"/>
        <v>10327022.375215147</v>
      </c>
      <c r="L581" s="28">
        <f t="shared" si="51"/>
        <v>11187607.573149743</v>
      </c>
      <c r="M581" s="28">
        <f t="shared" si="52"/>
        <v>12048192.771084338</v>
      </c>
      <c r="N581" s="28">
        <f t="shared" si="53"/>
        <v>12908777.969018934</v>
      </c>
      <c r="O581" s="28">
        <f t="shared" si="54"/>
        <v>13769363.16695353</v>
      </c>
      <c r="P581" s="28">
        <f t="shared" si="55"/>
        <v>14629948.364888126</v>
      </c>
      <c r="Q581" s="28">
        <f t="shared" si="56"/>
        <v>15490533.562822722</v>
      </c>
      <c r="R581" s="28">
        <f t="shared" si="57"/>
        <v>16351118.760757318</v>
      </c>
      <c r="S581" s="28">
        <f t="shared" si="58"/>
        <v>17211703.958691914</v>
      </c>
      <c r="T581" s="28">
        <f t="shared" si="59"/>
        <v>18072289.156626508</v>
      </c>
      <c r="U581" s="28">
        <f t="shared" si="60"/>
        <v>18932874.354561105</v>
      </c>
      <c r="V581" s="28">
        <f t="shared" si="61"/>
        <v>19793459.552495699</v>
      </c>
      <c r="W581" s="28">
        <f t="shared" si="62"/>
        <v>20654044.750430293</v>
      </c>
    </row>
    <row r="582" spans="1:23" x14ac:dyDescent="0.2">
      <c r="A582" s="28">
        <v>581</v>
      </c>
      <c r="B582" s="28">
        <v>343642.61168384878</v>
      </c>
      <c r="C582" s="28">
        <f t="shared" si="42"/>
        <v>3436426.1168384878</v>
      </c>
      <c r="D582" s="28">
        <f t="shared" si="43"/>
        <v>4295532.64604811</v>
      </c>
      <c r="E582" s="28">
        <f t="shared" si="44"/>
        <v>5154639.1752577312</v>
      </c>
      <c r="F582" s="28">
        <f t="shared" si="45"/>
        <v>6013745.7044673534</v>
      </c>
      <c r="G582" s="28">
        <f t="shared" si="46"/>
        <v>6872852.2336769756</v>
      </c>
      <c r="H582" s="28">
        <f t="shared" si="47"/>
        <v>7731958.7628865978</v>
      </c>
      <c r="I582" s="28">
        <f t="shared" si="48"/>
        <v>8591065.29209622</v>
      </c>
      <c r="J582" s="28">
        <f t="shared" si="49"/>
        <v>9450171.8213058412</v>
      </c>
      <c r="K582" s="28">
        <f t="shared" si="50"/>
        <v>10309278.350515462</v>
      </c>
      <c r="L582" s="28">
        <f t="shared" si="51"/>
        <v>11168384.879725086</v>
      </c>
      <c r="M582" s="28">
        <f t="shared" si="52"/>
        <v>12027491.408934707</v>
      </c>
      <c r="N582" s="28">
        <f t="shared" si="53"/>
        <v>12886597.93814433</v>
      </c>
      <c r="O582" s="28">
        <f t="shared" si="54"/>
        <v>13745704.467353951</v>
      </c>
      <c r="P582" s="28">
        <f t="shared" si="55"/>
        <v>14604810.996563572</v>
      </c>
      <c r="Q582" s="28">
        <f t="shared" si="56"/>
        <v>15463917.525773196</v>
      </c>
      <c r="R582" s="28">
        <f t="shared" si="57"/>
        <v>16323024.054982817</v>
      </c>
      <c r="S582" s="28">
        <f t="shared" si="58"/>
        <v>17182130.58419244</v>
      </c>
      <c r="T582" s="28">
        <f t="shared" si="59"/>
        <v>18041237.113402061</v>
      </c>
      <c r="U582" s="28">
        <f t="shared" si="60"/>
        <v>18900343.642611682</v>
      </c>
      <c r="V582" s="28">
        <f t="shared" si="61"/>
        <v>19759450.171821304</v>
      </c>
      <c r="W582" s="28">
        <f t="shared" si="62"/>
        <v>20618556.701030925</v>
      </c>
    </row>
    <row r="583" spans="1:23" x14ac:dyDescent="0.2">
      <c r="A583" s="28">
        <v>582</v>
      </c>
      <c r="B583" s="28">
        <v>343053.17324185249</v>
      </c>
      <c r="C583" s="28">
        <f t="shared" si="42"/>
        <v>3430531.732418525</v>
      </c>
      <c r="D583" s="28">
        <f t="shared" si="43"/>
        <v>4288164.6655231565</v>
      </c>
      <c r="E583" s="28">
        <f t="shared" si="44"/>
        <v>5145797.5986277871</v>
      </c>
      <c r="F583" s="28">
        <f t="shared" si="45"/>
        <v>6003430.5317324186</v>
      </c>
      <c r="G583" s="28">
        <f t="shared" si="46"/>
        <v>6861063.4648370501</v>
      </c>
      <c r="H583" s="28">
        <f t="shared" si="47"/>
        <v>7718696.3979416816</v>
      </c>
      <c r="I583" s="28">
        <f t="shared" si="48"/>
        <v>8576329.331046313</v>
      </c>
      <c r="J583" s="28">
        <f t="shared" si="49"/>
        <v>9433962.2641509436</v>
      </c>
      <c r="K583" s="28">
        <f t="shared" si="50"/>
        <v>10291595.197255574</v>
      </c>
      <c r="L583" s="28">
        <f t="shared" si="51"/>
        <v>11149228.130360207</v>
      </c>
      <c r="M583" s="28">
        <f t="shared" si="52"/>
        <v>12006861.063464837</v>
      </c>
      <c r="N583" s="28">
        <f t="shared" si="53"/>
        <v>12864493.99656947</v>
      </c>
      <c r="O583" s="28">
        <f t="shared" si="54"/>
        <v>13722126.9296741</v>
      </c>
      <c r="P583" s="28">
        <f t="shared" si="55"/>
        <v>14579759.862778731</v>
      </c>
      <c r="Q583" s="28">
        <f t="shared" si="56"/>
        <v>15437392.795883363</v>
      </c>
      <c r="R583" s="28">
        <f t="shared" si="57"/>
        <v>16295025.728987994</v>
      </c>
      <c r="S583" s="28">
        <f t="shared" si="58"/>
        <v>17152658.662092626</v>
      </c>
      <c r="T583" s="28">
        <f t="shared" si="59"/>
        <v>18010291.595197257</v>
      </c>
      <c r="U583" s="28">
        <f t="shared" si="60"/>
        <v>18867924.528301887</v>
      </c>
      <c r="V583" s="28">
        <f t="shared" si="61"/>
        <v>19725557.461406518</v>
      </c>
      <c r="W583" s="28">
        <f t="shared" si="62"/>
        <v>20583190.394511148</v>
      </c>
    </row>
    <row r="584" spans="1:23" x14ac:dyDescent="0.2">
      <c r="A584" s="28">
        <v>583</v>
      </c>
      <c r="B584" s="28">
        <v>342465.75342465751</v>
      </c>
      <c r="C584" s="28">
        <f t="shared" si="42"/>
        <v>3424657.5342465751</v>
      </c>
      <c r="D584" s="28">
        <f t="shared" si="43"/>
        <v>4280821.9178082189</v>
      </c>
      <c r="E584" s="28">
        <f t="shared" si="44"/>
        <v>5136986.3013698626</v>
      </c>
      <c r="F584" s="28">
        <f t="shared" si="45"/>
        <v>5993150.6849315064</v>
      </c>
      <c r="G584" s="28">
        <f t="shared" si="46"/>
        <v>6849315.0684931502</v>
      </c>
      <c r="H584" s="28">
        <f t="shared" si="47"/>
        <v>7705479.4520547939</v>
      </c>
      <c r="I584" s="28">
        <f t="shared" si="48"/>
        <v>8561643.8356164377</v>
      </c>
      <c r="J584" s="28">
        <f t="shared" si="49"/>
        <v>9417808.2191780806</v>
      </c>
      <c r="K584" s="28">
        <f t="shared" si="50"/>
        <v>10273972.602739725</v>
      </c>
      <c r="L584" s="28">
        <f t="shared" si="51"/>
        <v>11130136.98630137</v>
      </c>
      <c r="M584" s="28">
        <f t="shared" si="52"/>
        <v>11986301.369863013</v>
      </c>
      <c r="N584" s="28">
        <f t="shared" si="53"/>
        <v>12842465.753424656</v>
      </c>
      <c r="O584" s="28">
        <f t="shared" si="54"/>
        <v>13698630.1369863</v>
      </c>
      <c r="P584" s="28">
        <f t="shared" si="55"/>
        <v>14554794.520547945</v>
      </c>
      <c r="Q584" s="28">
        <f t="shared" si="56"/>
        <v>15410958.904109588</v>
      </c>
      <c r="R584" s="28">
        <f t="shared" si="57"/>
        <v>16267123.287671231</v>
      </c>
      <c r="S584" s="28">
        <f t="shared" si="58"/>
        <v>17123287.671232875</v>
      </c>
      <c r="T584" s="28">
        <f t="shared" si="59"/>
        <v>17979452.05479452</v>
      </c>
      <c r="U584" s="28">
        <f t="shared" si="60"/>
        <v>18835616.438356161</v>
      </c>
      <c r="V584" s="28">
        <f t="shared" si="61"/>
        <v>19691780.821917806</v>
      </c>
      <c r="W584" s="28">
        <f t="shared" si="62"/>
        <v>20547945.205479451</v>
      </c>
    </row>
    <row r="585" spans="1:23" x14ac:dyDescent="0.2">
      <c r="A585" s="28">
        <v>584</v>
      </c>
      <c r="B585" s="28">
        <v>341880.34188034188</v>
      </c>
      <c r="C585" s="28">
        <f t="shared" si="42"/>
        <v>3418803.418803419</v>
      </c>
      <c r="D585" s="28">
        <f t="shared" si="43"/>
        <v>4273504.273504274</v>
      </c>
      <c r="E585" s="28">
        <f t="shared" si="44"/>
        <v>5128205.128205128</v>
      </c>
      <c r="F585" s="28">
        <f t="shared" si="45"/>
        <v>5982905.982905983</v>
      </c>
      <c r="G585" s="28">
        <f t="shared" si="46"/>
        <v>6837606.837606838</v>
      </c>
      <c r="H585" s="28">
        <f t="shared" si="47"/>
        <v>7692307.692307693</v>
      </c>
      <c r="I585" s="28">
        <f t="shared" si="48"/>
        <v>8547008.5470085479</v>
      </c>
      <c r="J585" s="28">
        <f t="shared" si="49"/>
        <v>9401709.401709402</v>
      </c>
      <c r="K585" s="28">
        <f t="shared" si="50"/>
        <v>10256410.256410256</v>
      </c>
      <c r="L585" s="28">
        <f t="shared" si="51"/>
        <v>11111111.111111112</v>
      </c>
      <c r="M585" s="28">
        <f t="shared" si="52"/>
        <v>11965811.965811966</v>
      </c>
      <c r="N585" s="28">
        <f t="shared" si="53"/>
        <v>12820512.820512822</v>
      </c>
      <c r="O585" s="28">
        <f t="shared" si="54"/>
        <v>13675213.675213676</v>
      </c>
      <c r="P585" s="28">
        <f t="shared" si="55"/>
        <v>14529914.52991453</v>
      </c>
      <c r="Q585" s="28">
        <f t="shared" si="56"/>
        <v>15384615.384615386</v>
      </c>
      <c r="R585" s="28">
        <f t="shared" si="57"/>
        <v>16239316.23931624</v>
      </c>
      <c r="S585" s="28">
        <f t="shared" si="58"/>
        <v>17094017.094017096</v>
      </c>
      <c r="T585" s="28">
        <f t="shared" si="59"/>
        <v>17948717.948717948</v>
      </c>
      <c r="U585" s="28">
        <f t="shared" si="60"/>
        <v>18803418.803418804</v>
      </c>
      <c r="V585" s="28">
        <f t="shared" si="61"/>
        <v>19658119.65811966</v>
      </c>
      <c r="W585" s="28">
        <f t="shared" si="62"/>
        <v>20512820.512820512</v>
      </c>
    </row>
    <row r="586" spans="1:23" x14ac:dyDescent="0.2">
      <c r="A586" s="28">
        <v>585</v>
      </c>
      <c r="B586" s="28">
        <v>341296.92832764506</v>
      </c>
      <c r="C586" s="28">
        <f t="shared" si="42"/>
        <v>3412969.2832764508</v>
      </c>
      <c r="D586" s="28">
        <f t="shared" si="43"/>
        <v>4266211.6040955633</v>
      </c>
      <c r="E586" s="28">
        <f t="shared" si="44"/>
        <v>5119453.9249146767</v>
      </c>
      <c r="F586" s="28">
        <f t="shared" si="45"/>
        <v>5972696.2457337892</v>
      </c>
      <c r="G586" s="28">
        <f t="shared" si="46"/>
        <v>6825938.5665529016</v>
      </c>
      <c r="H586" s="28">
        <f t="shared" si="47"/>
        <v>7679180.8873720141</v>
      </c>
      <c r="I586" s="28">
        <f t="shared" si="48"/>
        <v>8532423.2081911266</v>
      </c>
      <c r="J586" s="28">
        <f t="shared" si="49"/>
        <v>9385665.52901024</v>
      </c>
      <c r="K586" s="28">
        <f t="shared" si="50"/>
        <v>10238907.849829353</v>
      </c>
      <c r="L586" s="28">
        <f t="shared" si="51"/>
        <v>11092150.170648465</v>
      </c>
      <c r="M586" s="28">
        <f t="shared" si="52"/>
        <v>11945392.491467578</v>
      </c>
      <c r="N586" s="28">
        <f t="shared" si="53"/>
        <v>12798634.81228669</v>
      </c>
      <c r="O586" s="28">
        <f t="shared" si="54"/>
        <v>13651877.133105803</v>
      </c>
      <c r="P586" s="28">
        <f t="shared" si="55"/>
        <v>14505119.453924917</v>
      </c>
      <c r="Q586" s="28">
        <f t="shared" si="56"/>
        <v>15358361.774744028</v>
      </c>
      <c r="R586" s="28">
        <f t="shared" si="57"/>
        <v>16211604.095563142</v>
      </c>
      <c r="S586" s="28">
        <f t="shared" si="58"/>
        <v>17064846.416382253</v>
      </c>
      <c r="T586" s="28">
        <f t="shared" si="59"/>
        <v>17918088.737201367</v>
      </c>
      <c r="U586" s="28">
        <f t="shared" si="60"/>
        <v>18771331.05802048</v>
      </c>
      <c r="V586" s="28">
        <f t="shared" si="61"/>
        <v>19624573.378839593</v>
      </c>
      <c r="W586" s="28">
        <f t="shared" si="62"/>
        <v>20477815.699658707</v>
      </c>
    </row>
    <row r="587" spans="1:23" x14ac:dyDescent="0.2">
      <c r="A587" s="28">
        <v>586</v>
      </c>
      <c r="B587" s="28">
        <v>340715.50255536626</v>
      </c>
      <c r="C587" s="28">
        <f t="shared" si="42"/>
        <v>3407155.0255536623</v>
      </c>
      <c r="D587" s="28">
        <f t="shared" si="43"/>
        <v>4258943.7819420779</v>
      </c>
      <c r="E587" s="28">
        <f t="shared" si="44"/>
        <v>5110732.5383304935</v>
      </c>
      <c r="F587" s="28">
        <f t="shared" si="45"/>
        <v>5962521.2947189091</v>
      </c>
      <c r="G587" s="28">
        <f t="shared" si="46"/>
        <v>6814310.0511073247</v>
      </c>
      <c r="H587" s="28">
        <f t="shared" si="47"/>
        <v>7666098.8074957402</v>
      </c>
      <c r="I587" s="28">
        <f t="shared" si="48"/>
        <v>8517887.5638841558</v>
      </c>
      <c r="J587" s="28">
        <f t="shared" si="49"/>
        <v>9369676.3202725723</v>
      </c>
      <c r="K587" s="28">
        <f t="shared" si="50"/>
        <v>10221465.076660987</v>
      </c>
      <c r="L587" s="28">
        <f t="shared" si="51"/>
        <v>11073253.833049402</v>
      </c>
      <c r="M587" s="28">
        <f t="shared" si="52"/>
        <v>11925042.589437818</v>
      </c>
      <c r="N587" s="28">
        <f t="shared" si="53"/>
        <v>12776831.345826235</v>
      </c>
      <c r="O587" s="28">
        <f t="shared" si="54"/>
        <v>13628620.102214649</v>
      </c>
      <c r="P587" s="28">
        <f t="shared" si="55"/>
        <v>14480408.858603064</v>
      </c>
      <c r="Q587" s="28">
        <f t="shared" si="56"/>
        <v>15332197.61499148</v>
      </c>
      <c r="R587" s="28">
        <f t="shared" si="57"/>
        <v>16183986.371379897</v>
      </c>
      <c r="S587" s="28">
        <f t="shared" si="58"/>
        <v>17035775.127768312</v>
      </c>
      <c r="T587" s="28">
        <f t="shared" si="59"/>
        <v>17887563.884156726</v>
      </c>
      <c r="U587" s="28">
        <f t="shared" si="60"/>
        <v>18739352.640545145</v>
      </c>
      <c r="V587" s="28">
        <f t="shared" si="61"/>
        <v>19591141.396933559</v>
      </c>
      <c r="W587" s="28">
        <f t="shared" si="62"/>
        <v>20442930.153321974</v>
      </c>
    </row>
    <row r="588" spans="1:23" x14ac:dyDescent="0.2">
      <c r="A588" s="28">
        <v>587</v>
      </c>
      <c r="B588" s="28">
        <v>340136.0544217687</v>
      </c>
      <c r="C588" s="28">
        <f t="shared" si="42"/>
        <v>3401360.5442176871</v>
      </c>
      <c r="D588" s="28">
        <f t="shared" si="43"/>
        <v>4251700.6802721089</v>
      </c>
      <c r="E588" s="28">
        <f t="shared" si="44"/>
        <v>5102040.8163265307</v>
      </c>
      <c r="F588" s="28">
        <f t="shared" si="45"/>
        <v>5952380.9523809524</v>
      </c>
      <c r="G588" s="28">
        <f t="shared" si="46"/>
        <v>6802721.0884353742</v>
      </c>
      <c r="H588" s="28">
        <f t="shared" si="47"/>
        <v>7653061.224489796</v>
      </c>
      <c r="I588" s="28">
        <f t="shared" si="48"/>
        <v>8503401.3605442178</v>
      </c>
      <c r="J588" s="28">
        <f t="shared" si="49"/>
        <v>9353741.4965986386</v>
      </c>
      <c r="K588" s="28">
        <f t="shared" si="50"/>
        <v>10204081.632653061</v>
      </c>
      <c r="L588" s="28">
        <f t="shared" si="51"/>
        <v>11054421.768707484</v>
      </c>
      <c r="M588" s="28">
        <f t="shared" si="52"/>
        <v>11904761.904761905</v>
      </c>
      <c r="N588" s="28">
        <f t="shared" si="53"/>
        <v>12755102.040816326</v>
      </c>
      <c r="O588" s="28">
        <f t="shared" si="54"/>
        <v>13605442.176870748</v>
      </c>
      <c r="P588" s="28">
        <f t="shared" si="55"/>
        <v>14455782.312925171</v>
      </c>
      <c r="Q588" s="28">
        <f t="shared" si="56"/>
        <v>15306122.448979592</v>
      </c>
      <c r="R588" s="28">
        <f t="shared" si="57"/>
        <v>16156462.585034013</v>
      </c>
      <c r="S588" s="28">
        <f t="shared" si="58"/>
        <v>17006802.721088436</v>
      </c>
      <c r="T588" s="28">
        <f t="shared" si="59"/>
        <v>17857142.857142858</v>
      </c>
      <c r="U588" s="28">
        <f t="shared" si="60"/>
        <v>18707482.993197277</v>
      </c>
      <c r="V588" s="28">
        <f t="shared" si="61"/>
        <v>19557823.1292517</v>
      </c>
      <c r="W588" s="28">
        <f t="shared" si="62"/>
        <v>20408163.265306123</v>
      </c>
    </row>
    <row r="589" spans="1:23" x14ac:dyDescent="0.2">
      <c r="A589" s="28">
        <v>588</v>
      </c>
      <c r="B589" s="28">
        <v>339558.57385398983</v>
      </c>
      <c r="C589" s="28">
        <f t="shared" si="42"/>
        <v>3395585.7385398983</v>
      </c>
      <c r="D589" s="28">
        <f t="shared" si="43"/>
        <v>4244482.173174873</v>
      </c>
      <c r="E589" s="28">
        <f t="shared" si="44"/>
        <v>5093378.6078098472</v>
      </c>
      <c r="F589" s="28">
        <f t="shared" si="45"/>
        <v>5942275.0424448224</v>
      </c>
      <c r="G589" s="28">
        <f t="shared" si="46"/>
        <v>6791171.4770797966</v>
      </c>
      <c r="H589" s="28">
        <f t="shared" si="47"/>
        <v>7640067.9117147708</v>
      </c>
      <c r="I589" s="28">
        <f t="shared" si="48"/>
        <v>8488964.346349746</v>
      </c>
      <c r="J589" s="28">
        <f t="shared" si="49"/>
        <v>9337860.7809847202</v>
      </c>
      <c r="K589" s="28">
        <f t="shared" si="50"/>
        <v>10186757.215619694</v>
      </c>
      <c r="L589" s="28">
        <f t="shared" si="51"/>
        <v>11035653.650254669</v>
      </c>
      <c r="M589" s="28">
        <f t="shared" si="52"/>
        <v>11884550.084889645</v>
      </c>
      <c r="N589" s="28">
        <f t="shared" si="53"/>
        <v>12733446.519524619</v>
      </c>
      <c r="O589" s="28">
        <f t="shared" si="54"/>
        <v>13582342.954159593</v>
      </c>
      <c r="P589" s="28">
        <f t="shared" si="55"/>
        <v>14431239.388794567</v>
      </c>
      <c r="Q589" s="28">
        <f t="shared" si="56"/>
        <v>15280135.823429542</v>
      </c>
      <c r="R589" s="28">
        <f t="shared" si="57"/>
        <v>16129032.258064518</v>
      </c>
      <c r="S589" s="28">
        <f t="shared" si="58"/>
        <v>16977928.692699492</v>
      </c>
      <c r="T589" s="28">
        <f t="shared" si="59"/>
        <v>17826825.127334464</v>
      </c>
      <c r="U589" s="28">
        <f t="shared" si="60"/>
        <v>18675721.56196944</v>
      </c>
      <c r="V589" s="28">
        <f t="shared" si="61"/>
        <v>19524617.996604417</v>
      </c>
      <c r="W589" s="28">
        <f t="shared" si="62"/>
        <v>20373514.431239389</v>
      </c>
    </row>
    <row r="590" spans="1:23" x14ac:dyDescent="0.2">
      <c r="A590" s="28">
        <v>589</v>
      </c>
      <c r="B590" s="28">
        <v>338983.05084745761</v>
      </c>
      <c r="C590" s="28">
        <f t="shared" si="42"/>
        <v>3389830.5084745763</v>
      </c>
      <c r="D590" s="28">
        <f t="shared" si="43"/>
        <v>4237288.1355932206</v>
      </c>
      <c r="E590" s="28">
        <f t="shared" si="44"/>
        <v>5084745.762711864</v>
      </c>
      <c r="F590" s="28">
        <f t="shared" si="45"/>
        <v>5932203.3898305083</v>
      </c>
      <c r="G590" s="28">
        <f t="shared" si="46"/>
        <v>6779661.0169491526</v>
      </c>
      <c r="H590" s="28">
        <f t="shared" si="47"/>
        <v>7627118.6440677969</v>
      </c>
      <c r="I590" s="28">
        <f t="shared" si="48"/>
        <v>8474576.2711864412</v>
      </c>
      <c r="J590" s="28">
        <f t="shared" si="49"/>
        <v>9322033.8983050846</v>
      </c>
      <c r="K590" s="28">
        <f t="shared" si="50"/>
        <v>10169491.525423728</v>
      </c>
      <c r="L590" s="28">
        <f t="shared" si="51"/>
        <v>11016949.152542373</v>
      </c>
      <c r="M590" s="28">
        <f t="shared" si="52"/>
        <v>11864406.779661017</v>
      </c>
      <c r="N590" s="28">
        <f t="shared" si="53"/>
        <v>12711864.406779662</v>
      </c>
      <c r="O590" s="28">
        <f t="shared" si="54"/>
        <v>13559322.033898305</v>
      </c>
      <c r="P590" s="28">
        <f t="shared" si="55"/>
        <v>14406779.661016949</v>
      </c>
      <c r="Q590" s="28">
        <f t="shared" si="56"/>
        <v>15254237.288135594</v>
      </c>
      <c r="R590" s="28">
        <f t="shared" si="57"/>
        <v>16101694.915254237</v>
      </c>
      <c r="S590" s="28">
        <f t="shared" si="58"/>
        <v>16949152.542372882</v>
      </c>
      <c r="T590" s="28">
        <f t="shared" si="59"/>
        <v>17796610.169491526</v>
      </c>
      <c r="U590" s="28">
        <f t="shared" si="60"/>
        <v>18644067.796610169</v>
      </c>
      <c r="V590" s="28">
        <f t="shared" si="61"/>
        <v>19491525.423728812</v>
      </c>
      <c r="W590" s="28">
        <f t="shared" si="62"/>
        <v>20338983.050847456</v>
      </c>
    </row>
    <row r="591" spans="1:23" x14ac:dyDescent="0.2">
      <c r="A591" s="28">
        <v>590</v>
      </c>
      <c r="B591" s="28">
        <v>338409.47546531301</v>
      </c>
      <c r="C591" s="28">
        <f t="shared" si="42"/>
        <v>3384094.7546531302</v>
      </c>
      <c r="D591" s="28">
        <f t="shared" si="43"/>
        <v>4230118.4433164131</v>
      </c>
      <c r="E591" s="28">
        <f t="shared" si="44"/>
        <v>5076142.1319796955</v>
      </c>
      <c r="F591" s="28">
        <f t="shared" si="45"/>
        <v>5922165.820642978</v>
      </c>
      <c r="G591" s="28">
        <f t="shared" si="46"/>
        <v>6768189.5093062604</v>
      </c>
      <c r="H591" s="28">
        <f t="shared" si="47"/>
        <v>7614213.1979695428</v>
      </c>
      <c r="I591" s="28">
        <f t="shared" si="48"/>
        <v>8460236.8866328262</v>
      </c>
      <c r="J591" s="28">
        <f t="shared" si="49"/>
        <v>9306260.5752961077</v>
      </c>
      <c r="K591" s="28">
        <f t="shared" si="50"/>
        <v>10152284.263959391</v>
      </c>
      <c r="L591" s="28">
        <f t="shared" si="51"/>
        <v>10998307.952622673</v>
      </c>
      <c r="M591" s="28">
        <f t="shared" si="52"/>
        <v>11844331.641285956</v>
      </c>
      <c r="N591" s="28">
        <f t="shared" si="53"/>
        <v>12690355.329949237</v>
      </c>
      <c r="O591" s="28">
        <f t="shared" si="54"/>
        <v>13536379.018612521</v>
      </c>
      <c r="P591" s="28">
        <f t="shared" si="55"/>
        <v>14382402.707275804</v>
      </c>
      <c r="Q591" s="28">
        <f t="shared" si="56"/>
        <v>15228426.395939086</v>
      </c>
      <c r="R591" s="28">
        <f t="shared" si="57"/>
        <v>16074450.084602369</v>
      </c>
      <c r="S591" s="28">
        <f t="shared" si="58"/>
        <v>16920473.773265652</v>
      </c>
      <c r="T591" s="28">
        <f t="shared" si="59"/>
        <v>17766497.461928934</v>
      </c>
      <c r="U591" s="28">
        <f t="shared" si="60"/>
        <v>18612521.150592215</v>
      </c>
      <c r="V591" s="28">
        <f t="shared" si="61"/>
        <v>19458544.839255497</v>
      </c>
      <c r="W591" s="28">
        <f t="shared" si="62"/>
        <v>20304568.527918782</v>
      </c>
    </row>
    <row r="592" spans="1:23" x14ac:dyDescent="0.2">
      <c r="A592" s="28">
        <v>591</v>
      </c>
      <c r="B592" s="28">
        <v>337837.83783783781</v>
      </c>
      <c r="C592" s="28">
        <f t="shared" si="42"/>
        <v>3378378.3783783782</v>
      </c>
      <c r="D592" s="28">
        <f t="shared" si="43"/>
        <v>4222972.9729729723</v>
      </c>
      <c r="E592" s="28">
        <f t="shared" si="44"/>
        <v>5067567.5675675673</v>
      </c>
      <c r="F592" s="28">
        <f t="shared" si="45"/>
        <v>5912162.1621621624</v>
      </c>
      <c r="G592" s="28">
        <f t="shared" si="46"/>
        <v>6756756.7567567565</v>
      </c>
      <c r="H592" s="28">
        <f t="shared" si="47"/>
        <v>7601351.3513513505</v>
      </c>
      <c r="I592" s="28">
        <f t="shared" si="48"/>
        <v>8445945.9459459446</v>
      </c>
      <c r="J592" s="28">
        <f t="shared" si="49"/>
        <v>9290540.5405405406</v>
      </c>
      <c r="K592" s="28">
        <f t="shared" si="50"/>
        <v>10135135.135135135</v>
      </c>
      <c r="L592" s="28">
        <f t="shared" si="51"/>
        <v>10979729.729729729</v>
      </c>
      <c r="M592" s="28">
        <f t="shared" si="52"/>
        <v>11824324.324324325</v>
      </c>
      <c r="N592" s="28">
        <f t="shared" si="53"/>
        <v>12668918.918918919</v>
      </c>
      <c r="O592" s="28">
        <f t="shared" si="54"/>
        <v>13513513.513513513</v>
      </c>
      <c r="P592" s="28">
        <f t="shared" si="55"/>
        <v>14358108.108108107</v>
      </c>
      <c r="Q592" s="28">
        <f t="shared" si="56"/>
        <v>15202702.702702701</v>
      </c>
      <c r="R592" s="28">
        <f t="shared" si="57"/>
        <v>16047297.297297297</v>
      </c>
      <c r="S592" s="28">
        <f t="shared" si="58"/>
        <v>16891891.891891889</v>
      </c>
      <c r="T592" s="28">
        <f t="shared" si="59"/>
        <v>17736486.486486487</v>
      </c>
      <c r="U592" s="28">
        <f t="shared" si="60"/>
        <v>18581081.081081081</v>
      </c>
      <c r="V592" s="28">
        <f t="shared" si="61"/>
        <v>19425675.675675675</v>
      </c>
      <c r="W592" s="28">
        <f t="shared" si="62"/>
        <v>20270270.270270269</v>
      </c>
    </row>
    <row r="593" spans="1:23" x14ac:dyDescent="0.2">
      <c r="A593" s="28">
        <v>592</v>
      </c>
      <c r="B593" s="28">
        <v>337268.12816188869</v>
      </c>
      <c r="C593" s="28">
        <f t="shared" si="42"/>
        <v>3372681.2816188866</v>
      </c>
      <c r="D593" s="28">
        <f t="shared" si="43"/>
        <v>4215851.6020236081</v>
      </c>
      <c r="E593" s="28">
        <f t="shared" si="44"/>
        <v>5059021.9224283304</v>
      </c>
      <c r="F593" s="28">
        <f t="shared" si="45"/>
        <v>5902192.2428330518</v>
      </c>
      <c r="G593" s="28">
        <f t="shared" si="46"/>
        <v>6745362.5632377733</v>
      </c>
      <c r="H593" s="28">
        <f t="shared" si="47"/>
        <v>7588532.8836424947</v>
      </c>
      <c r="I593" s="28">
        <f t="shared" si="48"/>
        <v>8431703.2040472161</v>
      </c>
      <c r="J593" s="28">
        <f t="shared" si="49"/>
        <v>9274873.5244519375</v>
      </c>
      <c r="K593" s="28">
        <f t="shared" si="50"/>
        <v>10118043.844856661</v>
      </c>
      <c r="L593" s="28">
        <f t="shared" si="51"/>
        <v>10961214.165261382</v>
      </c>
      <c r="M593" s="28">
        <f t="shared" si="52"/>
        <v>11804384.485666104</v>
      </c>
      <c r="N593" s="28">
        <f t="shared" si="53"/>
        <v>12647554.806070825</v>
      </c>
      <c r="O593" s="28">
        <f t="shared" si="54"/>
        <v>13490725.126475547</v>
      </c>
      <c r="P593" s="28">
        <f t="shared" si="55"/>
        <v>14333895.446880268</v>
      </c>
      <c r="Q593" s="28">
        <f t="shared" si="56"/>
        <v>15177065.767284989</v>
      </c>
      <c r="R593" s="28">
        <f t="shared" si="57"/>
        <v>16020236.087689711</v>
      </c>
      <c r="S593" s="28">
        <f t="shared" si="58"/>
        <v>16863406.408094432</v>
      </c>
      <c r="T593" s="28">
        <f t="shared" si="59"/>
        <v>17706576.728499155</v>
      </c>
      <c r="U593" s="28">
        <f t="shared" si="60"/>
        <v>18549747.048903875</v>
      </c>
      <c r="V593" s="28">
        <f t="shared" si="61"/>
        <v>19392917.369308598</v>
      </c>
      <c r="W593" s="28">
        <f t="shared" si="62"/>
        <v>20236087.689713322</v>
      </c>
    </row>
    <row r="594" spans="1:23" x14ac:dyDescent="0.2">
      <c r="A594" s="28">
        <v>593</v>
      </c>
      <c r="B594" s="28">
        <v>336700.33670033672</v>
      </c>
      <c r="C594" s="28">
        <f t="shared" si="42"/>
        <v>3367003.3670033673</v>
      </c>
      <c r="D594" s="28">
        <f t="shared" si="43"/>
        <v>4208754.2087542089</v>
      </c>
      <c r="E594" s="28">
        <f t="shared" si="44"/>
        <v>5050505.0505050514</v>
      </c>
      <c r="F594" s="28">
        <f t="shared" si="45"/>
        <v>5892255.892255893</v>
      </c>
      <c r="G594" s="28">
        <f t="shared" si="46"/>
        <v>6734006.7340067346</v>
      </c>
      <c r="H594" s="28">
        <f t="shared" si="47"/>
        <v>7575757.5757575762</v>
      </c>
      <c r="I594" s="28">
        <f t="shared" si="48"/>
        <v>8417508.4175084177</v>
      </c>
      <c r="J594" s="28">
        <f t="shared" si="49"/>
        <v>9259259.2592592593</v>
      </c>
      <c r="K594" s="28">
        <f t="shared" si="50"/>
        <v>10101010.101010103</v>
      </c>
      <c r="L594" s="28">
        <f t="shared" si="51"/>
        <v>10942760.942760944</v>
      </c>
      <c r="M594" s="28">
        <f t="shared" si="52"/>
        <v>11784511.784511786</v>
      </c>
      <c r="N594" s="28">
        <f t="shared" si="53"/>
        <v>12626262.626262628</v>
      </c>
      <c r="O594" s="28">
        <f t="shared" si="54"/>
        <v>13468013.468013469</v>
      </c>
      <c r="P594" s="28">
        <f t="shared" si="55"/>
        <v>14309764.309764311</v>
      </c>
      <c r="Q594" s="28">
        <f t="shared" si="56"/>
        <v>15151515.151515152</v>
      </c>
      <c r="R594" s="28">
        <f t="shared" si="57"/>
        <v>15993265.993265994</v>
      </c>
      <c r="S594" s="28">
        <f t="shared" si="58"/>
        <v>16835016.835016835</v>
      </c>
      <c r="T594" s="28">
        <f t="shared" si="59"/>
        <v>17676767.676767677</v>
      </c>
      <c r="U594" s="28">
        <f t="shared" si="60"/>
        <v>18518518.518518519</v>
      </c>
      <c r="V594" s="28">
        <f t="shared" si="61"/>
        <v>19360269.36026936</v>
      </c>
      <c r="W594" s="28">
        <f t="shared" si="62"/>
        <v>20202020.202020206</v>
      </c>
    </row>
    <row r="595" spans="1:23" x14ac:dyDescent="0.2">
      <c r="A595" s="28">
        <v>594</v>
      </c>
      <c r="B595" s="28">
        <v>336134.45378151262</v>
      </c>
      <c r="C595" s="28">
        <f t="shared" si="42"/>
        <v>3361344.5378151261</v>
      </c>
      <c r="D595" s="28">
        <f t="shared" si="43"/>
        <v>4201680.6722689075</v>
      </c>
      <c r="E595" s="28">
        <f t="shared" si="44"/>
        <v>5042016.8067226894</v>
      </c>
      <c r="F595" s="28">
        <f t="shared" si="45"/>
        <v>5882352.9411764704</v>
      </c>
      <c r="G595" s="28">
        <f t="shared" si="46"/>
        <v>6722689.0756302522</v>
      </c>
      <c r="H595" s="28">
        <f t="shared" si="47"/>
        <v>7563025.2100840341</v>
      </c>
      <c r="I595" s="28">
        <f t="shared" si="48"/>
        <v>8403361.3445378151</v>
      </c>
      <c r="J595" s="28">
        <f t="shared" si="49"/>
        <v>9243697.478991596</v>
      </c>
      <c r="K595" s="28">
        <f t="shared" si="50"/>
        <v>10084033.613445379</v>
      </c>
      <c r="L595" s="28">
        <f t="shared" si="51"/>
        <v>10924369.74789916</v>
      </c>
      <c r="M595" s="28">
        <f t="shared" si="52"/>
        <v>11764705.882352941</v>
      </c>
      <c r="N595" s="28">
        <f t="shared" si="53"/>
        <v>12605042.016806724</v>
      </c>
      <c r="O595" s="28">
        <f t="shared" si="54"/>
        <v>13445378.151260504</v>
      </c>
      <c r="P595" s="28">
        <f t="shared" si="55"/>
        <v>14285714.285714285</v>
      </c>
      <c r="Q595" s="28">
        <f t="shared" si="56"/>
        <v>15126050.420168068</v>
      </c>
      <c r="R595" s="28">
        <f t="shared" si="57"/>
        <v>15966386.554621849</v>
      </c>
      <c r="S595" s="28">
        <f t="shared" si="58"/>
        <v>16806722.68907563</v>
      </c>
      <c r="T595" s="28">
        <f t="shared" si="59"/>
        <v>17647058.823529411</v>
      </c>
      <c r="U595" s="28">
        <f t="shared" si="60"/>
        <v>18487394.957983192</v>
      </c>
      <c r="V595" s="28">
        <f t="shared" si="61"/>
        <v>19327731.092436977</v>
      </c>
      <c r="W595" s="28">
        <f t="shared" si="62"/>
        <v>20168067.226890758</v>
      </c>
    </row>
    <row r="596" spans="1:23" x14ac:dyDescent="0.2">
      <c r="A596" s="28">
        <v>595</v>
      </c>
      <c r="B596" s="28">
        <v>335570.46979865769</v>
      </c>
      <c r="C596" s="28">
        <f t="shared" si="42"/>
        <v>3355704.6979865767</v>
      </c>
      <c r="D596" s="28">
        <f t="shared" si="43"/>
        <v>4194630.8724832209</v>
      </c>
      <c r="E596" s="28">
        <f t="shared" si="44"/>
        <v>5033557.0469798651</v>
      </c>
      <c r="F596" s="28">
        <f t="shared" si="45"/>
        <v>5872483.2214765092</v>
      </c>
      <c r="G596" s="28">
        <f t="shared" si="46"/>
        <v>6711409.3959731534</v>
      </c>
      <c r="H596" s="28">
        <f t="shared" si="47"/>
        <v>7550335.5704697976</v>
      </c>
      <c r="I596" s="28">
        <f t="shared" si="48"/>
        <v>8389261.7449664418</v>
      </c>
      <c r="J596" s="28">
        <f t="shared" si="49"/>
        <v>9228187.9194630869</v>
      </c>
      <c r="K596" s="28">
        <f t="shared" si="50"/>
        <v>10067114.09395973</v>
      </c>
      <c r="L596" s="28">
        <f t="shared" si="51"/>
        <v>10906040.268456373</v>
      </c>
      <c r="M596" s="28">
        <f t="shared" si="52"/>
        <v>11744966.442953018</v>
      </c>
      <c r="N596" s="28">
        <f t="shared" si="53"/>
        <v>12583892.617449664</v>
      </c>
      <c r="O596" s="28">
        <f t="shared" si="54"/>
        <v>13422818.791946307</v>
      </c>
      <c r="P596" s="28">
        <f t="shared" si="55"/>
        <v>14261744.96644295</v>
      </c>
      <c r="Q596" s="28">
        <f t="shared" si="56"/>
        <v>15100671.140939595</v>
      </c>
      <c r="R596" s="28">
        <f t="shared" si="57"/>
        <v>15939597.31543624</v>
      </c>
      <c r="S596" s="28">
        <f t="shared" si="58"/>
        <v>16778523.489932884</v>
      </c>
      <c r="T596" s="28">
        <f t="shared" si="59"/>
        <v>17617449.664429527</v>
      </c>
      <c r="U596" s="28">
        <f t="shared" si="60"/>
        <v>18456375.838926174</v>
      </c>
      <c r="V596" s="28">
        <f t="shared" si="61"/>
        <v>19295302.013422817</v>
      </c>
      <c r="W596" s="28">
        <f t="shared" si="62"/>
        <v>20134228.18791946</v>
      </c>
    </row>
    <row r="597" spans="1:23" x14ac:dyDescent="0.2">
      <c r="A597" s="28">
        <v>596</v>
      </c>
      <c r="B597" s="28">
        <v>335008.37520938023</v>
      </c>
      <c r="C597" s="28">
        <f t="shared" si="42"/>
        <v>3350083.7520938022</v>
      </c>
      <c r="D597" s="28">
        <f t="shared" si="43"/>
        <v>4187604.690117253</v>
      </c>
      <c r="E597" s="28">
        <f t="shared" si="44"/>
        <v>5025125.6281407028</v>
      </c>
      <c r="F597" s="28">
        <f t="shared" si="45"/>
        <v>5862646.5661641536</v>
      </c>
      <c r="G597" s="28">
        <f t="shared" si="46"/>
        <v>6700167.5041876044</v>
      </c>
      <c r="H597" s="28">
        <f t="shared" si="47"/>
        <v>7537688.4422110552</v>
      </c>
      <c r="I597" s="28">
        <f t="shared" si="48"/>
        <v>8375209.380234506</v>
      </c>
      <c r="J597" s="28">
        <f t="shared" si="49"/>
        <v>9212730.3182579558</v>
      </c>
      <c r="K597" s="28">
        <f t="shared" si="50"/>
        <v>10050251.256281406</v>
      </c>
      <c r="L597" s="28">
        <f t="shared" si="51"/>
        <v>10887772.194304857</v>
      </c>
      <c r="M597" s="28">
        <f t="shared" si="52"/>
        <v>11725293.132328307</v>
      </c>
      <c r="N597" s="28">
        <f t="shared" si="53"/>
        <v>12562814.070351759</v>
      </c>
      <c r="O597" s="28">
        <f t="shared" si="54"/>
        <v>13400335.008375209</v>
      </c>
      <c r="P597" s="28">
        <f t="shared" si="55"/>
        <v>14237855.946398659</v>
      </c>
      <c r="Q597" s="28">
        <f t="shared" si="56"/>
        <v>15075376.88442211</v>
      </c>
      <c r="R597" s="28">
        <f t="shared" si="57"/>
        <v>15912897.82244556</v>
      </c>
      <c r="S597" s="28">
        <f t="shared" si="58"/>
        <v>16750418.760469012</v>
      </c>
      <c r="T597" s="28">
        <f t="shared" si="59"/>
        <v>17587939.69849246</v>
      </c>
      <c r="U597" s="28">
        <f t="shared" si="60"/>
        <v>18425460.636515912</v>
      </c>
      <c r="V597" s="28">
        <f t="shared" si="61"/>
        <v>19262981.574539363</v>
      </c>
      <c r="W597" s="28">
        <f t="shared" si="62"/>
        <v>20100502.512562811</v>
      </c>
    </row>
    <row r="598" spans="1:23" x14ac:dyDescent="0.2">
      <c r="A598" s="28">
        <v>597</v>
      </c>
      <c r="B598" s="28">
        <v>334448.16053511703</v>
      </c>
      <c r="C598" s="28">
        <f t="shared" si="42"/>
        <v>3344481.6053511705</v>
      </c>
      <c r="D598" s="28">
        <f t="shared" si="43"/>
        <v>4180602.0066889632</v>
      </c>
      <c r="E598" s="28">
        <f t="shared" si="44"/>
        <v>5016722.4080267558</v>
      </c>
      <c r="F598" s="28">
        <f t="shared" si="45"/>
        <v>5852842.809364548</v>
      </c>
      <c r="G598" s="28">
        <f t="shared" si="46"/>
        <v>6688963.210702341</v>
      </c>
      <c r="H598" s="28">
        <f t="shared" si="47"/>
        <v>7525083.6120401341</v>
      </c>
      <c r="I598" s="28">
        <f t="shared" si="48"/>
        <v>8361204.0133779263</v>
      </c>
      <c r="J598" s="28">
        <f t="shared" si="49"/>
        <v>9197324.4147157185</v>
      </c>
      <c r="K598" s="28">
        <f t="shared" si="50"/>
        <v>10033444.816053512</v>
      </c>
      <c r="L598" s="28">
        <f t="shared" si="51"/>
        <v>10869565.217391305</v>
      </c>
      <c r="M598" s="28">
        <f t="shared" si="52"/>
        <v>11705685.618729096</v>
      </c>
      <c r="N598" s="28">
        <f t="shared" si="53"/>
        <v>12541806.020066889</v>
      </c>
      <c r="O598" s="28">
        <f t="shared" si="54"/>
        <v>13377926.421404682</v>
      </c>
      <c r="P598" s="28">
        <f t="shared" si="55"/>
        <v>14214046.822742475</v>
      </c>
      <c r="Q598" s="28">
        <f t="shared" si="56"/>
        <v>15050167.224080268</v>
      </c>
      <c r="R598" s="28">
        <f t="shared" si="57"/>
        <v>15886287.62541806</v>
      </c>
      <c r="S598" s="28">
        <f t="shared" si="58"/>
        <v>16722408.026755853</v>
      </c>
      <c r="T598" s="28">
        <f t="shared" si="59"/>
        <v>17558528.428093646</v>
      </c>
      <c r="U598" s="28">
        <f t="shared" si="60"/>
        <v>18394648.829431437</v>
      </c>
      <c r="V598" s="28">
        <f t="shared" si="61"/>
        <v>19230769.230769232</v>
      </c>
      <c r="W598" s="28">
        <f t="shared" si="62"/>
        <v>20066889.632107023</v>
      </c>
    </row>
    <row r="599" spans="1:23" x14ac:dyDescent="0.2">
      <c r="A599" s="28">
        <v>598</v>
      </c>
      <c r="B599" s="28">
        <v>333889.81636060099</v>
      </c>
      <c r="C599" s="28">
        <f t="shared" si="42"/>
        <v>3338898.1636060099</v>
      </c>
      <c r="D599" s="28">
        <f t="shared" si="43"/>
        <v>4173622.7045075125</v>
      </c>
      <c r="E599" s="28">
        <f t="shared" si="44"/>
        <v>5008347.2454090146</v>
      </c>
      <c r="F599" s="28">
        <f t="shared" si="45"/>
        <v>5843071.7863105172</v>
      </c>
      <c r="G599" s="28">
        <f t="shared" si="46"/>
        <v>6677796.3272120198</v>
      </c>
      <c r="H599" s="28">
        <f t="shared" si="47"/>
        <v>7512520.8681135224</v>
      </c>
      <c r="I599" s="28">
        <f t="shared" si="48"/>
        <v>8347245.409015025</v>
      </c>
      <c r="J599" s="28">
        <f t="shared" si="49"/>
        <v>9181969.9499165267</v>
      </c>
      <c r="K599" s="28">
        <f t="shared" si="50"/>
        <v>10016694.490818029</v>
      </c>
      <c r="L599" s="28">
        <f t="shared" si="51"/>
        <v>10851419.031719532</v>
      </c>
      <c r="M599" s="28">
        <f t="shared" si="52"/>
        <v>11686143.572621034</v>
      </c>
      <c r="N599" s="28">
        <f t="shared" si="53"/>
        <v>12520868.113522537</v>
      </c>
      <c r="O599" s="28">
        <f t="shared" si="54"/>
        <v>13355592.65442404</v>
      </c>
      <c r="P599" s="28">
        <f t="shared" si="55"/>
        <v>14190317.195325542</v>
      </c>
      <c r="Q599" s="28">
        <f t="shared" si="56"/>
        <v>15025041.736227045</v>
      </c>
      <c r="R599" s="28">
        <f t="shared" si="57"/>
        <v>15859766.277128547</v>
      </c>
      <c r="S599" s="28">
        <f t="shared" si="58"/>
        <v>16694490.81803005</v>
      </c>
      <c r="T599" s="28">
        <f t="shared" si="59"/>
        <v>17529215.358931553</v>
      </c>
      <c r="U599" s="28">
        <f t="shared" si="60"/>
        <v>18363939.899833053</v>
      </c>
      <c r="V599" s="28">
        <f t="shared" si="61"/>
        <v>19198664.440734558</v>
      </c>
      <c r="W599" s="28">
        <f t="shared" si="62"/>
        <v>20033388.981636059</v>
      </c>
    </row>
    <row r="600" spans="1:23" x14ac:dyDescent="0.2">
      <c r="A600" s="28">
        <v>599</v>
      </c>
      <c r="B600" s="28">
        <v>333333.33333333337</v>
      </c>
      <c r="C600" s="28">
        <f t="shared" si="42"/>
        <v>3333333.333333334</v>
      </c>
      <c r="D600" s="28">
        <f t="shared" si="43"/>
        <v>4166666.6666666674</v>
      </c>
      <c r="E600" s="28">
        <f t="shared" si="44"/>
        <v>5000000.0000000009</v>
      </c>
      <c r="F600" s="28">
        <f t="shared" si="45"/>
        <v>5833333.333333334</v>
      </c>
      <c r="G600" s="28">
        <f t="shared" si="46"/>
        <v>6666666.6666666679</v>
      </c>
      <c r="H600" s="28">
        <f t="shared" si="47"/>
        <v>7500000.0000000019</v>
      </c>
      <c r="I600" s="28">
        <f t="shared" si="48"/>
        <v>8333333.3333333349</v>
      </c>
      <c r="J600" s="28">
        <f t="shared" si="49"/>
        <v>9166666.6666666679</v>
      </c>
      <c r="K600" s="28">
        <f t="shared" si="50"/>
        <v>10000000.000000002</v>
      </c>
      <c r="L600" s="28">
        <f t="shared" si="51"/>
        <v>10833333.333333336</v>
      </c>
      <c r="M600" s="28">
        <f t="shared" si="52"/>
        <v>11666666.666666668</v>
      </c>
      <c r="N600" s="28">
        <f t="shared" si="53"/>
        <v>12500000.000000002</v>
      </c>
      <c r="O600" s="28">
        <f t="shared" si="54"/>
        <v>13333333.333333336</v>
      </c>
      <c r="P600" s="28">
        <f t="shared" si="55"/>
        <v>14166666.66666667</v>
      </c>
      <c r="Q600" s="28">
        <f t="shared" si="56"/>
        <v>15000000.000000004</v>
      </c>
      <c r="R600" s="28">
        <f t="shared" si="57"/>
        <v>15833333.333333336</v>
      </c>
      <c r="S600" s="28">
        <f t="shared" si="58"/>
        <v>16666666.66666667</v>
      </c>
      <c r="T600" s="28">
        <f t="shared" si="59"/>
        <v>17500000.000000004</v>
      </c>
      <c r="U600" s="28">
        <f t="shared" si="60"/>
        <v>18333333.333333336</v>
      </c>
      <c r="V600" s="28">
        <f t="shared" si="61"/>
        <v>19166666.666666672</v>
      </c>
      <c r="W600" s="28">
        <f t="shared" si="62"/>
        <v>20000000.000000004</v>
      </c>
    </row>
    <row r="601" spans="1:23" x14ac:dyDescent="0.2">
      <c r="A601" s="28">
        <v>600</v>
      </c>
      <c r="B601" s="28">
        <v>332778.70216306159</v>
      </c>
      <c r="C601" s="28">
        <f t="shared" si="42"/>
        <v>3327787.0216306159</v>
      </c>
      <c r="D601" s="28">
        <f t="shared" si="43"/>
        <v>4159733.7770382697</v>
      </c>
      <c r="E601" s="28">
        <f t="shared" si="44"/>
        <v>4991680.5324459244</v>
      </c>
      <c r="F601" s="28">
        <f t="shared" si="45"/>
        <v>5823627.2878535781</v>
      </c>
      <c r="G601" s="28">
        <f t="shared" si="46"/>
        <v>6655574.0432612319</v>
      </c>
      <c r="H601" s="28">
        <f t="shared" si="47"/>
        <v>7487520.7986688856</v>
      </c>
      <c r="I601" s="28">
        <f t="shared" si="48"/>
        <v>8319467.5540765394</v>
      </c>
      <c r="J601" s="28">
        <f t="shared" si="49"/>
        <v>9151414.3094841931</v>
      </c>
      <c r="K601" s="28">
        <f t="shared" si="50"/>
        <v>9983361.0648918487</v>
      </c>
      <c r="L601" s="28">
        <f t="shared" si="51"/>
        <v>10815307.820299502</v>
      </c>
      <c r="M601" s="28">
        <f t="shared" si="52"/>
        <v>11647254.575707156</v>
      </c>
      <c r="N601" s="28">
        <f t="shared" si="53"/>
        <v>12479201.33111481</v>
      </c>
      <c r="O601" s="28">
        <f t="shared" si="54"/>
        <v>13311148.086522464</v>
      </c>
      <c r="P601" s="28">
        <f t="shared" si="55"/>
        <v>14143094.841930117</v>
      </c>
      <c r="Q601" s="28">
        <f t="shared" si="56"/>
        <v>14975041.597337771</v>
      </c>
      <c r="R601" s="28">
        <f t="shared" si="57"/>
        <v>15806988.352745425</v>
      </c>
      <c r="S601" s="28">
        <f t="shared" si="58"/>
        <v>16638935.108153079</v>
      </c>
      <c r="T601" s="28">
        <f t="shared" si="59"/>
        <v>17470881.863560732</v>
      </c>
      <c r="U601" s="28">
        <f t="shared" si="60"/>
        <v>18302828.618968386</v>
      </c>
      <c r="V601" s="28">
        <f t="shared" si="61"/>
        <v>19134775.37437604</v>
      </c>
      <c r="W601" s="28">
        <f t="shared" si="62"/>
        <v>19966722.129783697</v>
      </c>
    </row>
    <row r="602" spans="1:23" x14ac:dyDescent="0.2">
      <c r="A602" s="28">
        <v>601</v>
      </c>
      <c r="B602" s="28">
        <v>332225.91362126247</v>
      </c>
      <c r="C602" s="28">
        <f t="shared" si="42"/>
        <v>3322259.1362126246</v>
      </c>
      <c r="D602" s="28">
        <f t="shared" si="43"/>
        <v>4152823.9202657808</v>
      </c>
      <c r="E602" s="28">
        <f t="shared" si="44"/>
        <v>4983388.7043189369</v>
      </c>
      <c r="F602" s="28">
        <f t="shared" si="45"/>
        <v>5813953.4883720931</v>
      </c>
      <c r="G602" s="28">
        <f t="shared" si="46"/>
        <v>6644518.2724252492</v>
      </c>
      <c r="H602" s="28">
        <f t="shared" si="47"/>
        <v>7475083.0564784054</v>
      </c>
      <c r="I602" s="28">
        <f t="shared" si="48"/>
        <v>8305647.8405315615</v>
      </c>
      <c r="J602" s="28">
        <f t="shared" si="49"/>
        <v>9136212.6245847177</v>
      </c>
      <c r="K602" s="28">
        <f t="shared" si="50"/>
        <v>9966777.4086378738</v>
      </c>
      <c r="L602" s="28">
        <f t="shared" si="51"/>
        <v>10797342.19269103</v>
      </c>
      <c r="M602" s="28">
        <f t="shared" si="52"/>
        <v>11627906.976744186</v>
      </c>
      <c r="N602" s="28">
        <f t="shared" si="53"/>
        <v>12458471.760797342</v>
      </c>
      <c r="O602" s="28">
        <f t="shared" si="54"/>
        <v>13289036.544850498</v>
      </c>
      <c r="P602" s="28">
        <f t="shared" si="55"/>
        <v>14119601.328903655</v>
      </c>
      <c r="Q602" s="28">
        <f t="shared" si="56"/>
        <v>14950166.112956811</v>
      </c>
      <c r="R602" s="28">
        <f t="shared" si="57"/>
        <v>15780730.897009967</v>
      </c>
      <c r="S602" s="28">
        <f t="shared" si="58"/>
        <v>16611295.681063123</v>
      </c>
      <c r="T602" s="28">
        <f t="shared" si="59"/>
        <v>17441860.465116277</v>
      </c>
      <c r="U602" s="28">
        <f t="shared" si="60"/>
        <v>18272425.249169435</v>
      </c>
      <c r="V602" s="28">
        <f t="shared" si="61"/>
        <v>19102990.033222593</v>
      </c>
      <c r="W602" s="28">
        <f t="shared" si="62"/>
        <v>19933554.817275748</v>
      </c>
    </row>
    <row r="603" spans="1:23" x14ac:dyDescent="0.2">
      <c r="A603" s="28">
        <v>602</v>
      </c>
      <c r="B603" s="28">
        <v>331674.95854063018</v>
      </c>
      <c r="C603" s="28">
        <f t="shared" si="42"/>
        <v>3316749.5854063015</v>
      </c>
      <c r="D603" s="28">
        <f t="shared" si="43"/>
        <v>4145936.9817578769</v>
      </c>
      <c r="E603" s="28">
        <f t="shared" si="44"/>
        <v>4975124.3781094523</v>
      </c>
      <c r="F603" s="28">
        <f t="shared" si="45"/>
        <v>5804311.7744610272</v>
      </c>
      <c r="G603" s="28">
        <f t="shared" si="46"/>
        <v>6633499.1708126031</v>
      </c>
      <c r="H603" s="28">
        <f t="shared" si="47"/>
        <v>7462686.5671641789</v>
      </c>
      <c r="I603" s="28">
        <f t="shared" si="48"/>
        <v>8291873.9635157539</v>
      </c>
      <c r="J603" s="28">
        <f t="shared" si="49"/>
        <v>9121061.3598673288</v>
      </c>
      <c r="K603" s="28">
        <f t="shared" si="50"/>
        <v>9950248.7562189046</v>
      </c>
      <c r="L603" s="28">
        <f t="shared" si="51"/>
        <v>10779436.15257048</v>
      </c>
      <c r="M603" s="28">
        <f t="shared" si="52"/>
        <v>11608623.548922054</v>
      </c>
      <c r="N603" s="28">
        <f t="shared" si="53"/>
        <v>12437810.94527363</v>
      </c>
      <c r="O603" s="28">
        <f t="shared" si="54"/>
        <v>13266998.341625206</v>
      </c>
      <c r="P603" s="28">
        <f t="shared" si="55"/>
        <v>14096185.737976782</v>
      </c>
      <c r="Q603" s="28">
        <f t="shared" si="56"/>
        <v>14925373.134328358</v>
      </c>
      <c r="R603" s="28">
        <f t="shared" si="57"/>
        <v>15754560.530679932</v>
      </c>
      <c r="S603" s="28">
        <f t="shared" si="58"/>
        <v>16583747.927031508</v>
      </c>
      <c r="T603" s="28">
        <f t="shared" si="59"/>
        <v>17412935.323383082</v>
      </c>
      <c r="U603" s="28">
        <f t="shared" si="60"/>
        <v>18242122.719734658</v>
      </c>
      <c r="V603" s="28">
        <f t="shared" si="61"/>
        <v>19071310.116086233</v>
      </c>
      <c r="W603" s="28">
        <f t="shared" si="62"/>
        <v>19900497.512437809</v>
      </c>
    </row>
    <row r="604" spans="1:23" x14ac:dyDescent="0.2">
      <c r="A604" s="28">
        <v>603</v>
      </c>
      <c r="B604" s="28">
        <v>331125.82781456952</v>
      </c>
      <c r="C604" s="28">
        <f t="shared" si="42"/>
        <v>3311258.2781456951</v>
      </c>
      <c r="D604" s="28">
        <f t="shared" si="43"/>
        <v>4139072.8476821189</v>
      </c>
      <c r="E604" s="28">
        <f t="shared" si="44"/>
        <v>4966887.4172185427</v>
      </c>
      <c r="F604" s="28">
        <f t="shared" si="45"/>
        <v>5794701.9867549669</v>
      </c>
      <c r="G604" s="28">
        <f t="shared" si="46"/>
        <v>6622516.5562913902</v>
      </c>
      <c r="H604" s="28">
        <f t="shared" si="47"/>
        <v>7450331.1258278135</v>
      </c>
      <c r="I604" s="28">
        <f t="shared" si="48"/>
        <v>8278145.6953642378</v>
      </c>
      <c r="J604" s="28">
        <f t="shared" si="49"/>
        <v>9105960.264900662</v>
      </c>
      <c r="K604" s="28">
        <f t="shared" si="50"/>
        <v>9933774.8344370853</v>
      </c>
      <c r="L604" s="28">
        <f t="shared" si="51"/>
        <v>10761589.403973509</v>
      </c>
      <c r="M604" s="28">
        <f t="shared" si="52"/>
        <v>11589403.973509934</v>
      </c>
      <c r="N604" s="28">
        <f t="shared" si="53"/>
        <v>12417218.543046357</v>
      </c>
      <c r="O604" s="28">
        <f t="shared" si="54"/>
        <v>13245033.11258278</v>
      </c>
      <c r="P604" s="28">
        <f t="shared" si="55"/>
        <v>14072847.682119204</v>
      </c>
      <c r="Q604" s="28">
        <f t="shared" si="56"/>
        <v>14900662.251655627</v>
      </c>
      <c r="R604" s="28">
        <f t="shared" si="57"/>
        <v>15728476.821192052</v>
      </c>
      <c r="S604" s="28">
        <f t="shared" si="58"/>
        <v>16556291.390728476</v>
      </c>
      <c r="T604" s="28">
        <f t="shared" si="59"/>
        <v>17384105.960264899</v>
      </c>
      <c r="U604" s="28">
        <f t="shared" si="60"/>
        <v>18211920.529801324</v>
      </c>
      <c r="V604" s="28">
        <f t="shared" si="61"/>
        <v>19039735.099337745</v>
      </c>
      <c r="W604" s="28">
        <f t="shared" si="62"/>
        <v>19867549.668874171</v>
      </c>
    </row>
    <row r="605" spans="1:23" x14ac:dyDescent="0.2">
      <c r="A605" s="28">
        <v>604</v>
      </c>
      <c r="B605" s="28">
        <v>330578.51239669422</v>
      </c>
      <c r="C605" s="28">
        <f t="shared" si="42"/>
        <v>3305785.1239669421</v>
      </c>
      <c r="D605" s="28">
        <f t="shared" si="43"/>
        <v>4132231.4049586775</v>
      </c>
      <c r="E605" s="28">
        <f t="shared" si="44"/>
        <v>4958677.6859504133</v>
      </c>
      <c r="F605" s="28">
        <f t="shared" si="45"/>
        <v>5785123.9669421483</v>
      </c>
      <c r="G605" s="28">
        <f t="shared" si="46"/>
        <v>6611570.2479338842</v>
      </c>
      <c r="H605" s="28">
        <f t="shared" si="47"/>
        <v>7438016.52892562</v>
      </c>
      <c r="I605" s="28">
        <f t="shared" si="48"/>
        <v>8264462.809917355</v>
      </c>
      <c r="J605" s="28">
        <f t="shared" si="49"/>
        <v>9090909.0909090899</v>
      </c>
      <c r="K605" s="28">
        <f t="shared" si="50"/>
        <v>9917355.3719008267</v>
      </c>
      <c r="L605" s="28">
        <f t="shared" si="51"/>
        <v>10743801.652892562</v>
      </c>
      <c r="M605" s="28">
        <f t="shared" si="52"/>
        <v>11570247.933884297</v>
      </c>
      <c r="N605" s="28">
        <f t="shared" si="53"/>
        <v>12396694.214876033</v>
      </c>
      <c r="O605" s="28">
        <f t="shared" si="54"/>
        <v>13223140.495867768</v>
      </c>
      <c r="P605" s="28">
        <f t="shared" si="55"/>
        <v>14049586.776859503</v>
      </c>
      <c r="Q605" s="28">
        <f t="shared" si="56"/>
        <v>14876033.05785124</v>
      </c>
      <c r="R605" s="28">
        <f t="shared" si="57"/>
        <v>15702479.338842975</v>
      </c>
      <c r="S605" s="28">
        <f t="shared" si="58"/>
        <v>16528925.61983471</v>
      </c>
      <c r="T605" s="28">
        <f t="shared" si="59"/>
        <v>17355371.900826447</v>
      </c>
      <c r="U605" s="28">
        <f t="shared" si="60"/>
        <v>18181818.18181818</v>
      </c>
      <c r="V605" s="28">
        <f t="shared" si="61"/>
        <v>19008264.462809917</v>
      </c>
      <c r="W605" s="28">
        <f t="shared" si="62"/>
        <v>19834710.743801653</v>
      </c>
    </row>
    <row r="606" spans="1:23" x14ac:dyDescent="0.2">
      <c r="A606" s="28">
        <v>605</v>
      </c>
      <c r="B606" s="28">
        <v>330033.00330033002</v>
      </c>
      <c r="C606" s="28">
        <f t="shared" si="42"/>
        <v>3300330.0330033004</v>
      </c>
      <c r="D606" s="28">
        <f t="shared" si="43"/>
        <v>4125412.5412541255</v>
      </c>
      <c r="E606" s="28">
        <f t="shared" si="44"/>
        <v>4950495.0495049506</v>
      </c>
      <c r="F606" s="28">
        <f t="shared" si="45"/>
        <v>5775577.5577557757</v>
      </c>
      <c r="G606" s="28">
        <f t="shared" si="46"/>
        <v>6600660.0660066009</v>
      </c>
      <c r="H606" s="28">
        <f t="shared" si="47"/>
        <v>7425742.574257426</v>
      </c>
      <c r="I606" s="28">
        <f t="shared" si="48"/>
        <v>8250825.0825082511</v>
      </c>
      <c r="J606" s="28">
        <f t="shared" si="49"/>
        <v>9075907.5907590762</v>
      </c>
      <c r="K606" s="28">
        <f t="shared" si="50"/>
        <v>9900990.0990099013</v>
      </c>
      <c r="L606" s="28">
        <f t="shared" si="51"/>
        <v>10726072.607260726</v>
      </c>
      <c r="M606" s="28">
        <f t="shared" si="52"/>
        <v>11551155.115511551</v>
      </c>
      <c r="N606" s="28">
        <f t="shared" si="53"/>
        <v>12376237.623762377</v>
      </c>
      <c r="O606" s="28">
        <f t="shared" si="54"/>
        <v>13201320.132013202</v>
      </c>
      <c r="P606" s="28">
        <f t="shared" si="55"/>
        <v>14026402.640264027</v>
      </c>
      <c r="Q606" s="28">
        <f t="shared" si="56"/>
        <v>14851485.148514852</v>
      </c>
      <c r="R606" s="28">
        <f t="shared" si="57"/>
        <v>15676567.656765677</v>
      </c>
      <c r="S606" s="28">
        <f t="shared" si="58"/>
        <v>16501650.165016502</v>
      </c>
      <c r="T606" s="28">
        <f t="shared" si="59"/>
        <v>17326732.673267327</v>
      </c>
      <c r="U606" s="28">
        <f t="shared" si="60"/>
        <v>18151815.181518152</v>
      </c>
      <c r="V606" s="28">
        <f t="shared" si="61"/>
        <v>18976897.689768977</v>
      </c>
      <c r="W606" s="28">
        <f t="shared" si="62"/>
        <v>19801980.198019803</v>
      </c>
    </row>
    <row r="607" spans="1:23" x14ac:dyDescent="0.2">
      <c r="A607" s="28">
        <v>606</v>
      </c>
      <c r="B607" s="28">
        <v>329489.29159802303</v>
      </c>
      <c r="C607" s="28">
        <f t="shared" si="42"/>
        <v>3294892.9159802301</v>
      </c>
      <c r="D607" s="28">
        <f t="shared" si="43"/>
        <v>4118616.1449752878</v>
      </c>
      <c r="E607" s="28">
        <f t="shared" si="44"/>
        <v>4942339.3739703447</v>
      </c>
      <c r="F607" s="28">
        <f t="shared" si="45"/>
        <v>5766062.6029654024</v>
      </c>
      <c r="G607" s="28">
        <f t="shared" si="46"/>
        <v>6589785.8319604602</v>
      </c>
      <c r="H607" s="28">
        <f t="shared" si="47"/>
        <v>7413509.0609555179</v>
      </c>
      <c r="I607" s="28">
        <f t="shared" si="48"/>
        <v>8237232.2899505757</v>
      </c>
      <c r="J607" s="28">
        <f t="shared" si="49"/>
        <v>9060955.5189456325</v>
      </c>
      <c r="K607" s="28">
        <f t="shared" si="50"/>
        <v>9884678.7479406893</v>
      </c>
      <c r="L607" s="28">
        <f t="shared" si="51"/>
        <v>10708401.976935748</v>
      </c>
      <c r="M607" s="28">
        <f t="shared" si="52"/>
        <v>11532125.205930805</v>
      </c>
      <c r="N607" s="28">
        <f t="shared" si="53"/>
        <v>12355848.434925864</v>
      </c>
      <c r="O607" s="28">
        <f t="shared" si="54"/>
        <v>13179571.66392092</v>
      </c>
      <c r="P607" s="28">
        <f t="shared" si="55"/>
        <v>14003294.892915977</v>
      </c>
      <c r="Q607" s="28">
        <f t="shared" si="56"/>
        <v>14827018.121911036</v>
      </c>
      <c r="R607" s="28">
        <f t="shared" si="57"/>
        <v>15650741.350906093</v>
      </c>
      <c r="S607" s="28">
        <f t="shared" si="58"/>
        <v>16474464.579901151</v>
      </c>
      <c r="T607" s="28">
        <f t="shared" si="59"/>
        <v>17298187.808896206</v>
      </c>
      <c r="U607" s="28">
        <f t="shared" si="60"/>
        <v>18121911.037891265</v>
      </c>
      <c r="V607" s="28">
        <f t="shared" si="61"/>
        <v>18945634.266886324</v>
      </c>
      <c r="W607" s="28">
        <f t="shared" si="62"/>
        <v>19769357.495881379</v>
      </c>
    </row>
    <row r="608" spans="1:23" x14ac:dyDescent="0.2">
      <c r="A608" s="28">
        <v>607</v>
      </c>
      <c r="B608" s="28">
        <v>328947.36842105264</v>
      </c>
      <c r="C608" s="28">
        <f t="shared" si="42"/>
        <v>3289473.6842105263</v>
      </c>
      <c r="D608" s="28">
        <f t="shared" si="43"/>
        <v>4111842.1052631577</v>
      </c>
      <c r="E608" s="28">
        <f t="shared" si="44"/>
        <v>4934210.5263157897</v>
      </c>
      <c r="F608" s="28">
        <f t="shared" si="45"/>
        <v>5756578.9473684207</v>
      </c>
      <c r="G608" s="28">
        <f t="shared" si="46"/>
        <v>6578947.3684210526</v>
      </c>
      <c r="H608" s="28">
        <f t="shared" si="47"/>
        <v>7401315.7894736845</v>
      </c>
      <c r="I608" s="28">
        <f t="shared" si="48"/>
        <v>8223684.2105263155</v>
      </c>
      <c r="J608" s="28">
        <f t="shared" si="49"/>
        <v>9046052.6315789465</v>
      </c>
      <c r="K608" s="28">
        <f t="shared" si="50"/>
        <v>9868421.0526315793</v>
      </c>
      <c r="L608" s="28">
        <f t="shared" si="51"/>
        <v>10690789.47368421</v>
      </c>
      <c r="M608" s="28">
        <f t="shared" si="52"/>
        <v>11513157.894736841</v>
      </c>
      <c r="N608" s="28">
        <f t="shared" si="53"/>
        <v>12335526.315789474</v>
      </c>
      <c r="O608" s="28">
        <f t="shared" si="54"/>
        <v>13157894.736842105</v>
      </c>
      <c r="P608" s="28">
        <f t="shared" si="55"/>
        <v>13980263.157894736</v>
      </c>
      <c r="Q608" s="28">
        <f t="shared" si="56"/>
        <v>14802631.578947369</v>
      </c>
      <c r="R608" s="28">
        <f t="shared" si="57"/>
        <v>15625000</v>
      </c>
      <c r="S608" s="28">
        <f t="shared" si="58"/>
        <v>16447368.421052631</v>
      </c>
      <c r="T608" s="28">
        <f t="shared" si="59"/>
        <v>17269736.842105262</v>
      </c>
      <c r="U608" s="28">
        <f t="shared" si="60"/>
        <v>18092105.263157893</v>
      </c>
      <c r="V608" s="28">
        <f t="shared" si="61"/>
        <v>18914473.684210528</v>
      </c>
      <c r="W608" s="28">
        <f t="shared" si="62"/>
        <v>19736842.105263159</v>
      </c>
    </row>
    <row r="609" spans="1:23" x14ac:dyDescent="0.2">
      <c r="A609" s="28">
        <v>608</v>
      </c>
      <c r="B609" s="28">
        <v>328407.22495894908</v>
      </c>
      <c r="C609" s="28">
        <f t="shared" si="42"/>
        <v>3284072.2495894907</v>
      </c>
      <c r="D609" s="28">
        <f t="shared" si="43"/>
        <v>4105090.3119868636</v>
      </c>
      <c r="E609" s="28">
        <f t="shared" si="44"/>
        <v>4926108.3743842356</v>
      </c>
      <c r="F609" s="28">
        <f t="shared" si="45"/>
        <v>5747126.4367816085</v>
      </c>
      <c r="G609" s="28">
        <f t="shared" si="46"/>
        <v>6568144.4991789814</v>
      </c>
      <c r="H609" s="28">
        <f t="shared" si="47"/>
        <v>7389162.5615763543</v>
      </c>
      <c r="I609" s="28">
        <f t="shared" si="48"/>
        <v>8210180.6239737272</v>
      </c>
      <c r="J609" s="28">
        <f t="shared" si="49"/>
        <v>9031198.6863710992</v>
      </c>
      <c r="K609" s="28">
        <f t="shared" si="50"/>
        <v>9852216.7487684712</v>
      </c>
      <c r="L609" s="28">
        <f t="shared" si="51"/>
        <v>10673234.811165845</v>
      </c>
      <c r="M609" s="28">
        <f t="shared" si="52"/>
        <v>11494252.873563217</v>
      </c>
      <c r="N609" s="28">
        <f t="shared" si="53"/>
        <v>12315270.935960591</v>
      </c>
      <c r="O609" s="28">
        <f t="shared" si="54"/>
        <v>13136288.998357963</v>
      </c>
      <c r="P609" s="28">
        <f t="shared" si="55"/>
        <v>13957307.060755335</v>
      </c>
      <c r="Q609" s="28">
        <f t="shared" si="56"/>
        <v>14778325.123152709</v>
      </c>
      <c r="R609" s="28">
        <f t="shared" si="57"/>
        <v>15599343.185550081</v>
      </c>
      <c r="S609" s="28">
        <f t="shared" si="58"/>
        <v>16420361.247947454</v>
      </c>
      <c r="T609" s="28">
        <f t="shared" si="59"/>
        <v>17241379.310344826</v>
      </c>
      <c r="U609" s="28">
        <f t="shared" si="60"/>
        <v>18062397.372742198</v>
      </c>
      <c r="V609" s="28">
        <f t="shared" si="61"/>
        <v>18883415.43513957</v>
      </c>
      <c r="W609" s="28">
        <f t="shared" si="62"/>
        <v>19704433.497536942</v>
      </c>
    </row>
    <row r="610" spans="1:23" x14ac:dyDescent="0.2">
      <c r="A610" s="28">
        <v>609</v>
      </c>
      <c r="B610" s="28">
        <v>327868.85245901637</v>
      </c>
      <c r="C610" s="28">
        <f t="shared" si="42"/>
        <v>3278688.5245901635</v>
      </c>
      <c r="D610" s="28">
        <f t="shared" si="43"/>
        <v>4098360.6557377046</v>
      </c>
      <c r="E610" s="28">
        <f t="shared" si="44"/>
        <v>4918032.7868852448</v>
      </c>
      <c r="F610" s="28">
        <f t="shared" si="45"/>
        <v>5737704.9180327859</v>
      </c>
      <c r="G610" s="28">
        <f t="shared" si="46"/>
        <v>6557377.049180327</v>
      </c>
      <c r="H610" s="28">
        <f t="shared" si="47"/>
        <v>7377049.1803278681</v>
      </c>
      <c r="I610" s="28">
        <f t="shared" si="48"/>
        <v>8196721.3114754092</v>
      </c>
      <c r="J610" s="28">
        <f t="shared" si="49"/>
        <v>9016393.4426229503</v>
      </c>
      <c r="K610" s="28">
        <f t="shared" si="50"/>
        <v>9836065.5737704895</v>
      </c>
      <c r="L610" s="28">
        <f t="shared" si="51"/>
        <v>10655737.704918031</v>
      </c>
      <c r="M610" s="28">
        <f t="shared" si="52"/>
        <v>11475409.836065572</v>
      </c>
      <c r="N610" s="28">
        <f t="shared" si="53"/>
        <v>12295081.967213113</v>
      </c>
      <c r="O610" s="28">
        <f t="shared" si="54"/>
        <v>13114754.098360654</v>
      </c>
      <c r="P610" s="28">
        <f t="shared" si="55"/>
        <v>13934426.229508195</v>
      </c>
      <c r="Q610" s="28">
        <f t="shared" si="56"/>
        <v>14754098.360655736</v>
      </c>
      <c r="R610" s="28">
        <f t="shared" si="57"/>
        <v>15573770.491803277</v>
      </c>
      <c r="S610" s="28">
        <f t="shared" si="58"/>
        <v>16393442.622950818</v>
      </c>
      <c r="T610" s="28">
        <f t="shared" si="59"/>
        <v>17213114.754098359</v>
      </c>
      <c r="U610" s="28">
        <f t="shared" si="60"/>
        <v>18032786.885245901</v>
      </c>
      <c r="V610" s="28">
        <f t="shared" si="61"/>
        <v>18852459.016393442</v>
      </c>
      <c r="W610" s="28">
        <f t="shared" si="62"/>
        <v>19672131.147540979</v>
      </c>
    </row>
    <row r="611" spans="1:23" x14ac:dyDescent="0.2">
      <c r="A611" s="28">
        <v>610</v>
      </c>
      <c r="B611" s="28">
        <v>327332.24222585926</v>
      </c>
      <c r="C611" s="28">
        <f t="shared" si="42"/>
        <v>3273322.4222585927</v>
      </c>
      <c r="D611" s="28">
        <f t="shared" si="43"/>
        <v>4091653.027823241</v>
      </c>
      <c r="E611" s="28">
        <f t="shared" si="44"/>
        <v>4909983.6333878888</v>
      </c>
      <c r="F611" s="28">
        <f t="shared" si="45"/>
        <v>5728314.2389525371</v>
      </c>
      <c r="G611" s="28">
        <f t="shared" si="46"/>
        <v>6546644.8445171854</v>
      </c>
      <c r="H611" s="28">
        <f t="shared" si="47"/>
        <v>7364975.4500818336</v>
      </c>
      <c r="I611" s="28">
        <f t="shared" si="48"/>
        <v>8183306.0556464819</v>
      </c>
      <c r="J611" s="28">
        <f t="shared" si="49"/>
        <v>9001636.6612111293</v>
      </c>
      <c r="K611" s="28">
        <f t="shared" si="50"/>
        <v>9819967.2667757776</v>
      </c>
      <c r="L611" s="28">
        <f t="shared" si="51"/>
        <v>10638297.872340426</v>
      </c>
      <c r="M611" s="28">
        <f t="shared" si="52"/>
        <v>11456628.477905074</v>
      </c>
      <c r="N611" s="28">
        <f t="shared" si="53"/>
        <v>12274959.083469722</v>
      </c>
      <c r="O611" s="28">
        <f t="shared" si="54"/>
        <v>13093289.689034371</v>
      </c>
      <c r="P611" s="28">
        <f t="shared" si="55"/>
        <v>13911620.294599019</v>
      </c>
      <c r="Q611" s="28">
        <f t="shared" si="56"/>
        <v>14729950.900163667</v>
      </c>
      <c r="R611" s="28">
        <f t="shared" si="57"/>
        <v>15548281.505728316</v>
      </c>
      <c r="S611" s="28">
        <f t="shared" si="58"/>
        <v>16366612.111292964</v>
      </c>
      <c r="T611" s="28">
        <f t="shared" si="59"/>
        <v>17184942.716857612</v>
      </c>
      <c r="U611" s="28">
        <f t="shared" si="60"/>
        <v>18003273.322422259</v>
      </c>
      <c r="V611" s="28">
        <f t="shared" si="61"/>
        <v>18821603.927986909</v>
      </c>
      <c r="W611" s="28">
        <f t="shared" si="62"/>
        <v>19639934.533551555</v>
      </c>
    </row>
    <row r="612" spans="1:23" x14ac:dyDescent="0.2">
      <c r="A612" s="28">
        <v>611</v>
      </c>
      <c r="B612" s="28">
        <v>326797.38562091504</v>
      </c>
      <c r="C612" s="28">
        <f t="shared" si="42"/>
        <v>3267973.8562091505</v>
      </c>
      <c r="D612" s="28">
        <f t="shared" si="43"/>
        <v>4084967.3202614384</v>
      </c>
      <c r="E612" s="28">
        <f t="shared" si="44"/>
        <v>4901960.7843137253</v>
      </c>
      <c r="F612" s="28">
        <f t="shared" si="45"/>
        <v>5718954.2483660132</v>
      </c>
      <c r="G612" s="28">
        <f t="shared" si="46"/>
        <v>6535947.712418301</v>
      </c>
      <c r="H612" s="28">
        <f t="shared" si="47"/>
        <v>7352941.1764705889</v>
      </c>
      <c r="I612" s="28">
        <f t="shared" si="48"/>
        <v>8169934.6405228768</v>
      </c>
      <c r="J612" s="28">
        <f t="shared" si="49"/>
        <v>8986928.1045751646</v>
      </c>
      <c r="K612" s="28">
        <f t="shared" si="50"/>
        <v>9803921.5686274506</v>
      </c>
      <c r="L612" s="28">
        <f t="shared" si="51"/>
        <v>10620915.032679738</v>
      </c>
      <c r="M612" s="28">
        <f t="shared" si="52"/>
        <v>11437908.496732026</v>
      </c>
      <c r="N612" s="28">
        <f t="shared" si="53"/>
        <v>12254901.960784314</v>
      </c>
      <c r="O612" s="28">
        <f t="shared" si="54"/>
        <v>13071895.424836602</v>
      </c>
      <c r="P612" s="28">
        <f t="shared" si="55"/>
        <v>13888888.88888889</v>
      </c>
      <c r="Q612" s="28">
        <f t="shared" si="56"/>
        <v>14705882.352941178</v>
      </c>
      <c r="R612" s="28">
        <f t="shared" si="57"/>
        <v>15522875.816993466</v>
      </c>
      <c r="S612" s="28">
        <f t="shared" si="58"/>
        <v>16339869.281045754</v>
      </c>
      <c r="T612" s="28">
        <f t="shared" si="59"/>
        <v>17156862.74509804</v>
      </c>
      <c r="U612" s="28">
        <f t="shared" si="60"/>
        <v>17973856.209150329</v>
      </c>
      <c r="V612" s="28">
        <f t="shared" si="61"/>
        <v>18790849.673202615</v>
      </c>
      <c r="W612" s="28">
        <f t="shared" si="62"/>
        <v>19607843.137254901</v>
      </c>
    </row>
    <row r="613" spans="1:23" x14ac:dyDescent="0.2">
      <c r="A613" s="28">
        <v>612</v>
      </c>
      <c r="B613" s="28">
        <v>326264.2740619902</v>
      </c>
      <c r="C613" s="28">
        <f t="shared" si="42"/>
        <v>3262642.740619902</v>
      </c>
      <c r="D613" s="28">
        <f t="shared" si="43"/>
        <v>4078303.4257748774</v>
      </c>
      <c r="E613" s="28">
        <f t="shared" si="44"/>
        <v>4893964.1109298533</v>
      </c>
      <c r="F613" s="28">
        <f t="shared" si="45"/>
        <v>5709624.7960848287</v>
      </c>
      <c r="G613" s="28">
        <f t="shared" si="46"/>
        <v>6525285.4812398041</v>
      </c>
      <c r="H613" s="28">
        <f t="shared" si="47"/>
        <v>7340946.1663947795</v>
      </c>
      <c r="I613" s="28">
        <f t="shared" si="48"/>
        <v>8156606.8515497549</v>
      </c>
      <c r="J613" s="28">
        <f t="shared" si="49"/>
        <v>8972267.5367047302</v>
      </c>
      <c r="K613" s="28">
        <f t="shared" si="50"/>
        <v>9787928.2218597066</v>
      </c>
      <c r="L613" s="28">
        <f t="shared" si="51"/>
        <v>10603588.907014681</v>
      </c>
      <c r="M613" s="28">
        <f t="shared" si="52"/>
        <v>11419249.592169657</v>
      </c>
      <c r="N613" s="28">
        <f t="shared" si="53"/>
        <v>12234910.277324632</v>
      </c>
      <c r="O613" s="28">
        <f t="shared" si="54"/>
        <v>13050570.962479608</v>
      </c>
      <c r="P613" s="28">
        <f t="shared" si="55"/>
        <v>13866231.647634584</v>
      </c>
      <c r="Q613" s="28">
        <f t="shared" si="56"/>
        <v>14681892.332789559</v>
      </c>
      <c r="R613" s="28">
        <f t="shared" si="57"/>
        <v>15497553.017944535</v>
      </c>
      <c r="S613" s="28">
        <f t="shared" si="58"/>
        <v>16313213.70309951</v>
      </c>
      <c r="T613" s="28">
        <f t="shared" si="59"/>
        <v>17128874.388254486</v>
      </c>
      <c r="U613" s="28">
        <f t="shared" si="60"/>
        <v>17944535.07340946</v>
      </c>
      <c r="V613" s="28">
        <f t="shared" si="61"/>
        <v>18760195.758564435</v>
      </c>
      <c r="W613" s="28">
        <f t="shared" si="62"/>
        <v>19575856.443719413</v>
      </c>
    </row>
    <row r="614" spans="1:23" x14ac:dyDescent="0.2">
      <c r="A614" s="28">
        <v>613</v>
      </c>
      <c r="B614" s="28">
        <v>325732.89902280131</v>
      </c>
      <c r="C614" s="28">
        <f t="shared" si="42"/>
        <v>3257328.9902280131</v>
      </c>
      <c r="D614" s="28">
        <f t="shared" si="43"/>
        <v>4071661.2377850162</v>
      </c>
      <c r="E614" s="28">
        <f t="shared" si="44"/>
        <v>4885993.4853420202</v>
      </c>
      <c r="F614" s="28">
        <f t="shared" si="45"/>
        <v>5700325.7328990232</v>
      </c>
      <c r="G614" s="28">
        <f t="shared" si="46"/>
        <v>6514657.9804560263</v>
      </c>
      <c r="H614" s="28">
        <f t="shared" si="47"/>
        <v>7328990.2280130293</v>
      </c>
      <c r="I614" s="28">
        <f t="shared" si="48"/>
        <v>8143322.4755700324</v>
      </c>
      <c r="J614" s="28">
        <f t="shared" si="49"/>
        <v>8957654.7231270354</v>
      </c>
      <c r="K614" s="28">
        <f t="shared" si="50"/>
        <v>9771986.9706840403</v>
      </c>
      <c r="L614" s="28">
        <f t="shared" si="51"/>
        <v>10586319.218241043</v>
      </c>
      <c r="M614" s="28">
        <f t="shared" si="52"/>
        <v>11400651.465798046</v>
      </c>
      <c r="N614" s="28">
        <f t="shared" si="53"/>
        <v>12214983.713355049</v>
      </c>
      <c r="O614" s="28">
        <f t="shared" si="54"/>
        <v>13029315.960912053</v>
      </c>
      <c r="P614" s="28">
        <f t="shared" si="55"/>
        <v>13843648.208469056</v>
      </c>
      <c r="Q614" s="28">
        <f t="shared" si="56"/>
        <v>14657980.456026059</v>
      </c>
      <c r="R614" s="28">
        <f t="shared" si="57"/>
        <v>15472312.703583062</v>
      </c>
      <c r="S614" s="28">
        <f t="shared" si="58"/>
        <v>16286644.951140065</v>
      </c>
      <c r="T614" s="28">
        <f t="shared" si="59"/>
        <v>17100977.198697068</v>
      </c>
      <c r="U614" s="28">
        <f t="shared" si="60"/>
        <v>17915309.446254071</v>
      </c>
      <c r="V614" s="28">
        <f t="shared" si="61"/>
        <v>18729641.693811074</v>
      </c>
      <c r="W614" s="28">
        <f t="shared" si="62"/>
        <v>19543973.941368081</v>
      </c>
    </row>
    <row r="615" spans="1:23" x14ac:dyDescent="0.2">
      <c r="A615" s="28">
        <v>614</v>
      </c>
      <c r="B615" s="28">
        <v>325203.25203252031</v>
      </c>
      <c r="C615" s="28">
        <f t="shared" si="42"/>
        <v>3252032.520325203</v>
      </c>
      <c r="D615" s="28">
        <f t="shared" si="43"/>
        <v>4065040.6504065036</v>
      </c>
      <c r="E615" s="28">
        <f t="shared" si="44"/>
        <v>4878048.7804878047</v>
      </c>
      <c r="F615" s="28">
        <f t="shared" si="45"/>
        <v>5691056.9105691053</v>
      </c>
      <c r="G615" s="28">
        <f t="shared" si="46"/>
        <v>6504065.0406504059</v>
      </c>
      <c r="H615" s="28">
        <f t="shared" si="47"/>
        <v>7317073.1707317065</v>
      </c>
      <c r="I615" s="28">
        <f t="shared" si="48"/>
        <v>8130081.3008130072</v>
      </c>
      <c r="J615" s="28">
        <f t="shared" si="49"/>
        <v>8943089.4308943078</v>
      </c>
      <c r="K615" s="28">
        <f t="shared" si="50"/>
        <v>9756097.5609756093</v>
      </c>
      <c r="L615" s="28">
        <f t="shared" si="51"/>
        <v>10569105.691056909</v>
      </c>
      <c r="M615" s="28">
        <f t="shared" si="52"/>
        <v>11382113.821138211</v>
      </c>
      <c r="N615" s="28">
        <f t="shared" si="53"/>
        <v>12195121.95121951</v>
      </c>
      <c r="O615" s="28">
        <f t="shared" si="54"/>
        <v>13008130.081300812</v>
      </c>
      <c r="P615" s="28">
        <f t="shared" si="55"/>
        <v>13821138.211382113</v>
      </c>
      <c r="Q615" s="28">
        <f t="shared" si="56"/>
        <v>14634146.341463413</v>
      </c>
      <c r="R615" s="28">
        <f t="shared" si="57"/>
        <v>15447154.471544715</v>
      </c>
      <c r="S615" s="28">
        <f t="shared" si="58"/>
        <v>16260162.601626014</v>
      </c>
      <c r="T615" s="28">
        <f t="shared" si="59"/>
        <v>17073170.731707316</v>
      </c>
      <c r="U615" s="28">
        <f t="shared" si="60"/>
        <v>17886178.861788616</v>
      </c>
      <c r="V615" s="28">
        <f t="shared" si="61"/>
        <v>18699186.991869915</v>
      </c>
      <c r="W615" s="28">
        <f t="shared" si="62"/>
        <v>19512195.121951219</v>
      </c>
    </row>
    <row r="616" spans="1:23" x14ac:dyDescent="0.2">
      <c r="A616" s="28">
        <v>615</v>
      </c>
      <c r="B616" s="28">
        <v>324675.32467532466</v>
      </c>
      <c r="C616" s="28">
        <f t="shared" si="42"/>
        <v>3246753.2467532465</v>
      </c>
      <c r="D616" s="28">
        <f t="shared" si="43"/>
        <v>4058441.5584415579</v>
      </c>
      <c r="E616" s="28">
        <f t="shared" si="44"/>
        <v>4870129.8701298703</v>
      </c>
      <c r="F616" s="28">
        <f t="shared" si="45"/>
        <v>5681818.1818181816</v>
      </c>
      <c r="G616" s="28">
        <f t="shared" si="46"/>
        <v>6493506.493506493</v>
      </c>
      <c r="H616" s="28">
        <f t="shared" si="47"/>
        <v>7305194.8051948044</v>
      </c>
      <c r="I616" s="28">
        <f t="shared" si="48"/>
        <v>8116883.1168831158</v>
      </c>
      <c r="J616" s="28">
        <f t="shared" si="49"/>
        <v>8928571.4285714272</v>
      </c>
      <c r="K616" s="28">
        <f t="shared" si="50"/>
        <v>9740259.7402597405</v>
      </c>
      <c r="L616" s="28">
        <f t="shared" si="51"/>
        <v>10551948.051948052</v>
      </c>
      <c r="M616" s="28">
        <f t="shared" si="52"/>
        <v>11363636.363636363</v>
      </c>
      <c r="N616" s="28">
        <f t="shared" si="53"/>
        <v>12175324.675324675</v>
      </c>
      <c r="O616" s="28">
        <f t="shared" si="54"/>
        <v>12987012.987012986</v>
      </c>
      <c r="P616" s="28">
        <f t="shared" si="55"/>
        <v>13798701.298701297</v>
      </c>
      <c r="Q616" s="28">
        <f t="shared" si="56"/>
        <v>14610389.610389609</v>
      </c>
      <c r="R616" s="28">
        <f t="shared" si="57"/>
        <v>15422077.92207792</v>
      </c>
      <c r="S616" s="28">
        <f t="shared" si="58"/>
        <v>16233766.233766232</v>
      </c>
      <c r="T616" s="28">
        <f t="shared" si="59"/>
        <v>17045454.545454543</v>
      </c>
      <c r="U616" s="28">
        <f t="shared" si="60"/>
        <v>17857142.857142854</v>
      </c>
      <c r="V616" s="28">
        <f t="shared" si="61"/>
        <v>18668831.168831166</v>
      </c>
      <c r="W616" s="28">
        <f t="shared" si="62"/>
        <v>19480519.480519481</v>
      </c>
    </row>
    <row r="617" spans="1:23" x14ac:dyDescent="0.2">
      <c r="A617" s="28">
        <v>616</v>
      </c>
      <c r="B617" s="28">
        <v>324149.10858995136</v>
      </c>
      <c r="C617" s="28">
        <f t="shared" si="42"/>
        <v>3241491.0858995137</v>
      </c>
      <c r="D617" s="28">
        <f t="shared" si="43"/>
        <v>4051863.857374392</v>
      </c>
      <c r="E617" s="28">
        <f t="shared" si="44"/>
        <v>4862236.6288492708</v>
      </c>
      <c r="F617" s="28">
        <f t="shared" si="45"/>
        <v>5672609.4003241491</v>
      </c>
      <c r="G617" s="28">
        <f t="shared" si="46"/>
        <v>6482982.1717990274</v>
      </c>
      <c r="H617" s="28">
        <f t="shared" si="47"/>
        <v>7293354.9432739057</v>
      </c>
      <c r="I617" s="28">
        <f t="shared" si="48"/>
        <v>8103727.714748784</v>
      </c>
      <c r="J617" s="28">
        <f t="shared" si="49"/>
        <v>8914100.4862236623</v>
      </c>
      <c r="K617" s="28">
        <f t="shared" si="50"/>
        <v>9724473.2576985415</v>
      </c>
      <c r="L617" s="28">
        <f t="shared" si="51"/>
        <v>10534846.029173419</v>
      </c>
      <c r="M617" s="28">
        <f t="shared" si="52"/>
        <v>11345218.800648298</v>
      </c>
      <c r="N617" s="28">
        <f t="shared" si="53"/>
        <v>12155591.572123175</v>
      </c>
      <c r="O617" s="28">
        <f t="shared" si="54"/>
        <v>12965964.343598055</v>
      </c>
      <c r="P617" s="28">
        <f t="shared" si="55"/>
        <v>13776337.115072934</v>
      </c>
      <c r="Q617" s="28">
        <f t="shared" si="56"/>
        <v>14586709.886547811</v>
      </c>
      <c r="R617" s="28">
        <f t="shared" si="57"/>
        <v>15397082.658022691</v>
      </c>
      <c r="S617" s="28">
        <f t="shared" si="58"/>
        <v>16207455.429497568</v>
      </c>
      <c r="T617" s="28">
        <f t="shared" si="59"/>
        <v>17017828.200972445</v>
      </c>
      <c r="U617" s="28">
        <f t="shared" si="60"/>
        <v>17828200.972447325</v>
      </c>
      <c r="V617" s="28">
        <f t="shared" si="61"/>
        <v>18638573.743922204</v>
      </c>
      <c r="W617" s="28">
        <f t="shared" si="62"/>
        <v>19448946.515397083</v>
      </c>
    </row>
    <row r="618" spans="1:23" x14ac:dyDescent="0.2">
      <c r="A618" s="28">
        <v>617</v>
      </c>
      <c r="B618" s="28">
        <v>323624.59546925564</v>
      </c>
      <c r="C618" s="28">
        <f t="shared" si="42"/>
        <v>3236245.9546925565</v>
      </c>
      <c r="D618" s="28">
        <f t="shared" si="43"/>
        <v>4045307.4433656959</v>
      </c>
      <c r="E618" s="28">
        <f t="shared" si="44"/>
        <v>4854368.9320388343</v>
      </c>
      <c r="F618" s="28">
        <f t="shared" si="45"/>
        <v>5663430.4207119737</v>
      </c>
      <c r="G618" s="28">
        <f t="shared" si="46"/>
        <v>6472491.909385113</v>
      </c>
      <c r="H618" s="28">
        <f t="shared" si="47"/>
        <v>7281553.3980582524</v>
      </c>
      <c r="I618" s="28">
        <f t="shared" si="48"/>
        <v>8090614.8867313918</v>
      </c>
      <c r="J618" s="28">
        <f t="shared" si="49"/>
        <v>8899676.3754045311</v>
      </c>
      <c r="K618" s="28">
        <f t="shared" si="50"/>
        <v>9708737.8640776686</v>
      </c>
      <c r="L618" s="28">
        <f t="shared" si="51"/>
        <v>10517799.352750808</v>
      </c>
      <c r="M618" s="28">
        <f t="shared" si="52"/>
        <v>11326860.841423947</v>
      </c>
      <c r="N618" s="28">
        <f t="shared" si="53"/>
        <v>12135922.330097087</v>
      </c>
      <c r="O618" s="28">
        <f t="shared" si="54"/>
        <v>12944983.818770226</v>
      </c>
      <c r="P618" s="28">
        <f t="shared" si="55"/>
        <v>13754045.307443365</v>
      </c>
      <c r="Q618" s="28">
        <f t="shared" si="56"/>
        <v>14563106.796116505</v>
      </c>
      <c r="R618" s="28">
        <f t="shared" si="57"/>
        <v>15372168.284789644</v>
      </c>
      <c r="S618" s="28">
        <f t="shared" si="58"/>
        <v>16181229.773462784</v>
      </c>
      <c r="T618" s="28">
        <f t="shared" si="59"/>
        <v>16990291.262135923</v>
      </c>
      <c r="U618" s="28">
        <f t="shared" si="60"/>
        <v>17799352.750809062</v>
      </c>
      <c r="V618" s="28">
        <f t="shared" si="61"/>
        <v>18608414.239482202</v>
      </c>
      <c r="W618" s="28">
        <f t="shared" si="62"/>
        <v>19417475.728155337</v>
      </c>
    </row>
    <row r="619" spans="1:23" x14ac:dyDescent="0.2">
      <c r="A619" s="28">
        <v>618</v>
      </c>
      <c r="B619" s="28">
        <v>323101.77705977386</v>
      </c>
      <c r="C619" s="28">
        <f t="shared" si="42"/>
        <v>3231017.7705977387</v>
      </c>
      <c r="D619" s="28">
        <f t="shared" si="43"/>
        <v>4038772.2132471735</v>
      </c>
      <c r="E619" s="28">
        <f t="shared" si="44"/>
        <v>4846526.6558966078</v>
      </c>
      <c r="F619" s="28">
        <f t="shared" si="45"/>
        <v>5654281.098546043</v>
      </c>
      <c r="G619" s="28">
        <f t="shared" si="46"/>
        <v>6462035.5411954774</v>
      </c>
      <c r="H619" s="28">
        <f t="shared" si="47"/>
        <v>7269789.9838449117</v>
      </c>
      <c r="I619" s="28">
        <f t="shared" si="48"/>
        <v>8077544.4264943469</v>
      </c>
      <c r="J619" s="28">
        <f t="shared" si="49"/>
        <v>8885298.8691437822</v>
      </c>
      <c r="K619" s="28">
        <f t="shared" si="50"/>
        <v>9693053.3117932156</v>
      </c>
      <c r="L619" s="28">
        <f t="shared" si="51"/>
        <v>10500807.754442651</v>
      </c>
      <c r="M619" s="28">
        <f t="shared" si="52"/>
        <v>11308562.197092086</v>
      </c>
      <c r="N619" s="28">
        <f t="shared" si="53"/>
        <v>12116316.639741519</v>
      </c>
      <c r="O619" s="28">
        <f t="shared" si="54"/>
        <v>12924071.082390955</v>
      </c>
      <c r="P619" s="28">
        <f t="shared" si="55"/>
        <v>13731825.52504039</v>
      </c>
      <c r="Q619" s="28">
        <f t="shared" si="56"/>
        <v>14539579.967689823</v>
      </c>
      <c r="R619" s="28">
        <f t="shared" si="57"/>
        <v>15347334.410339259</v>
      </c>
      <c r="S619" s="28">
        <f t="shared" si="58"/>
        <v>16155088.852988694</v>
      </c>
      <c r="T619" s="28">
        <f t="shared" si="59"/>
        <v>16962843.295638129</v>
      </c>
      <c r="U619" s="28">
        <f t="shared" si="60"/>
        <v>17770597.738287564</v>
      </c>
      <c r="V619" s="28">
        <f t="shared" si="61"/>
        <v>18578352.180936996</v>
      </c>
      <c r="W619" s="28">
        <f t="shared" si="62"/>
        <v>19386106.623586431</v>
      </c>
    </row>
    <row r="620" spans="1:23" x14ac:dyDescent="0.2">
      <c r="A620" s="28">
        <v>619</v>
      </c>
      <c r="B620" s="28">
        <v>322580.6451612903</v>
      </c>
      <c r="C620" s="28">
        <f t="shared" si="42"/>
        <v>3225806.4516129028</v>
      </c>
      <c r="D620" s="28">
        <f t="shared" si="43"/>
        <v>4032258.0645161285</v>
      </c>
      <c r="E620" s="28">
        <f t="shared" si="44"/>
        <v>4838709.6774193542</v>
      </c>
      <c r="F620" s="28">
        <f t="shared" si="45"/>
        <v>5645161.2903225794</v>
      </c>
      <c r="G620" s="28">
        <f t="shared" si="46"/>
        <v>6451612.9032258056</v>
      </c>
      <c r="H620" s="28">
        <f t="shared" si="47"/>
        <v>7258064.5161290318</v>
      </c>
      <c r="I620" s="28">
        <f t="shared" si="48"/>
        <v>8064516.129032257</v>
      </c>
      <c r="J620" s="28">
        <f t="shared" si="49"/>
        <v>8870967.7419354822</v>
      </c>
      <c r="K620" s="28">
        <f t="shared" si="50"/>
        <v>9677419.3548387084</v>
      </c>
      <c r="L620" s="28">
        <f t="shared" si="51"/>
        <v>10483870.967741935</v>
      </c>
      <c r="M620" s="28">
        <f t="shared" si="52"/>
        <v>11290322.580645159</v>
      </c>
      <c r="N620" s="28">
        <f t="shared" si="53"/>
        <v>12096774.193548385</v>
      </c>
      <c r="O620" s="28">
        <f t="shared" si="54"/>
        <v>12903225.806451611</v>
      </c>
      <c r="P620" s="28">
        <f t="shared" si="55"/>
        <v>13709677.419354837</v>
      </c>
      <c r="Q620" s="28">
        <f t="shared" si="56"/>
        <v>14516129.032258064</v>
      </c>
      <c r="R620" s="28">
        <f t="shared" si="57"/>
        <v>15322580.645161288</v>
      </c>
      <c r="S620" s="28">
        <f t="shared" si="58"/>
        <v>16129032.258064514</v>
      </c>
      <c r="T620" s="28">
        <f t="shared" si="59"/>
        <v>16935483.870967738</v>
      </c>
      <c r="U620" s="28">
        <f t="shared" si="60"/>
        <v>17741935.483870964</v>
      </c>
      <c r="V620" s="28">
        <f t="shared" si="61"/>
        <v>18548387.096774191</v>
      </c>
      <c r="W620" s="28">
        <f t="shared" si="62"/>
        <v>19354838.709677417</v>
      </c>
    </row>
    <row r="621" spans="1:23" x14ac:dyDescent="0.2">
      <c r="A621" s="28">
        <v>620</v>
      </c>
      <c r="B621" s="28">
        <v>322061.19162640901</v>
      </c>
      <c r="C621" s="28">
        <f t="shared" si="42"/>
        <v>3220611.9162640902</v>
      </c>
      <c r="D621" s="28">
        <f t="shared" si="43"/>
        <v>4025764.8953301129</v>
      </c>
      <c r="E621" s="28">
        <f t="shared" si="44"/>
        <v>4830917.8743961351</v>
      </c>
      <c r="F621" s="28">
        <f t="shared" si="45"/>
        <v>5636070.8534621578</v>
      </c>
      <c r="G621" s="28">
        <f t="shared" si="46"/>
        <v>6441223.8325281804</v>
      </c>
      <c r="H621" s="28">
        <f t="shared" si="47"/>
        <v>7246376.8115942031</v>
      </c>
      <c r="I621" s="28">
        <f t="shared" si="48"/>
        <v>8051529.7906602258</v>
      </c>
      <c r="J621" s="28">
        <f t="shared" si="49"/>
        <v>8856682.7697262485</v>
      </c>
      <c r="K621" s="28">
        <f t="shared" si="50"/>
        <v>9661835.7487922702</v>
      </c>
      <c r="L621" s="28">
        <f t="shared" si="51"/>
        <v>10466988.727858294</v>
      </c>
      <c r="M621" s="28">
        <f t="shared" si="52"/>
        <v>11272141.706924316</v>
      </c>
      <c r="N621" s="28">
        <f t="shared" si="53"/>
        <v>12077294.685990339</v>
      </c>
      <c r="O621" s="28">
        <f t="shared" si="54"/>
        <v>12882447.665056361</v>
      </c>
      <c r="P621" s="28">
        <f t="shared" si="55"/>
        <v>13687600.644122383</v>
      </c>
      <c r="Q621" s="28">
        <f t="shared" si="56"/>
        <v>14492753.623188406</v>
      </c>
      <c r="R621" s="28">
        <f t="shared" si="57"/>
        <v>15297906.602254428</v>
      </c>
      <c r="S621" s="28">
        <f t="shared" si="58"/>
        <v>16103059.581320452</v>
      </c>
      <c r="T621" s="28">
        <f t="shared" si="59"/>
        <v>16908212.560386475</v>
      </c>
      <c r="U621" s="28">
        <f t="shared" si="60"/>
        <v>17713365.539452497</v>
      </c>
      <c r="V621" s="28">
        <f t="shared" si="61"/>
        <v>18518518.518518519</v>
      </c>
      <c r="W621" s="28">
        <f t="shared" si="62"/>
        <v>19323671.49758454</v>
      </c>
    </row>
    <row r="622" spans="1:23" x14ac:dyDescent="0.2">
      <c r="A622" s="28">
        <v>621</v>
      </c>
      <c r="B622" s="28">
        <v>321543.40836012864</v>
      </c>
      <c r="C622" s="28">
        <f t="shared" si="42"/>
        <v>3215434.0836012866</v>
      </c>
      <c r="D622" s="28">
        <f t="shared" si="43"/>
        <v>4019292.6045016083</v>
      </c>
      <c r="E622" s="28">
        <f t="shared" si="44"/>
        <v>4823151.12540193</v>
      </c>
      <c r="F622" s="28">
        <f t="shared" si="45"/>
        <v>5627009.6463022511</v>
      </c>
      <c r="G622" s="28">
        <f t="shared" si="46"/>
        <v>6430868.1672025733</v>
      </c>
      <c r="H622" s="28">
        <f t="shared" si="47"/>
        <v>7234726.6881028954</v>
      </c>
      <c r="I622" s="28">
        <f t="shared" si="48"/>
        <v>8038585.2090032166</v>
      </c>
      <c r="J622" s="28">
        <f t="shared" si="49"/>
        <v>8842443.7299035378</v>
      </c>
      <c r="K622" s="28">
        <f t="shared" si="50"/>
        <v>9646302.2508038599</v>
      </c>
      <c r="L622" s="28">
        <f t="shared" si="51"/>
        <v>10450160.771704182</v>
      </c>
      <c r="M622" s="28">
        <f t="shared" si="52"/>
        <v>11254019.292604502</v>
      </c>
      <c r="N622" s="28">
        <f t="shared" si="53"/>
        <v>12057877.813504824</v>
      </c>
      <c r="O622" s="28">
        <f t="shared" si="54"/>
        <v>12861736.334405147</v>
      </c>
      <c r="P622" s="28">
        <f t="shared" si="55"/>
        <v>13665594.855305469</v>
      </c>
      <c r="Q622" s="28">
        <f t="shared" si="56"/>
        <v>14469453.376205791</v>
      </c>
      <c r="R622" s="28">
        <f t="shared" si="57"/>
        <v>15273311.897106111</v>
      </c>
      <c r="S622" s="28">
        <f t="shared" si="58"/>
        <v>16077170.418006433</v>
      </c>
      <c r="T622" s="28">
        <f t="shared" si="59"/>
        <v>16881028.938906755</v>
      </c>
      <c r="U622" s="28">
        <f t="shared" si="60"/>
        <v>17684887.459807076</v>
      </c>
      <c r="V622" s="28">
        <f t="shared" si="61"/>
        <v>18488745.9807074</v>
      </c>
      <c r="W622" s="28">
        <f t="shared" si="62"/>
        <v>19292604.50160772</v>
      </c>
    </row>
    <row r="623" spans="1:23" x14ac:dyDescent="0.2">
      <c r="A623" s="28">
        <v>622</v>
      </c>
      <c r="B623" s="28">
        <v>321027.28731942218</v>
      </c>
      <c r="C623" s="28">
        <f t="shared" si="42"/>
        <v>3210272.8731942219</v>
      </c>
      <c r="D623" s="28">
        <f t="shared" si="43"/>
        <v>4012841.0914927772</v>
      </c>
      <c r="E623" s="28">
        <f t="shared" si="44"/>
        <v>4815409.309791333</v>
      </c>
      <c r="F623" s="28">
        <f t="shared" si="45"/>
        <v>5617977.5280898884</v>
      </c>
      <c r="G623" s="28">
        <f t="shared" si="46"/>
        <v>6420545.7463884437</v>
      </c>
      <c r="H623" s="28">
        <f t="shared" si="47"/>
        <v>7223113.9646869991</v>
      </c>
      <c r="I623" s="28">
        <f t="shared" si="48"/>
        <v>8025682.1829855544</v>
      </c>
      <c r="J623" s="28">
        <f t="shared" si="49"/>
        <v>8828250.4012841098</v>
      </c>
      <c r="K623" s="28">
        <f t="shared" si="50"/>
        <v>9630818.6195826661</v>
      </c>
      <c r="L623" s="28">
        <f t="shared" si="51"/>
        <v>10433386.837881221</v>
      </c>
      <c r="M623" s="28">
        <f t="shared" si="52"/>
        <v>11235955.056179777</v>
      </c>
      <c r="N623" s="28">
        <f t="shared" si="53"/>
        <v>12038523.274478331</v>
      </c>
      <c r="O623" s="28">
        <f t="shared" si="54"/>
        <v>12841091.492776887</v>
      </c>
      <c r="P623" s="28">
        <f t="shared" si="55"/>
        <v>13643659.711075444</v>
      </c>
      <c r="Q623" s="28">
        <f t="shared" si="56"/>
        <v>14446227.929373998</v>
      </c>
      <c r="R623" s="28">
        <f t="shared" si="57"/>
        <v>15248796.147672554</v>
      </c>
      <c r="S623" s="28">
        <f t="shared" si="58"/>
        <v>16051364.365971109</v>
      </c>
      <c r="T623" s="28">
        <f t="shared" si="59"/>
        <v>16853932.584269665</v>
      </c>
      <c r="U623" s="28">
        <f t="shared" si="60"/>
        <v>17656500.80256822</v>
      </c>
      <c r="V623" s="28">
        <f t="shared" si="61"/>
        <v>18459069.020866774</v>
      </c>
      <c r="W623" s="28">
        <f t="shared" si="62"/>
        <v>19261637.239165332</v>
      </c>
    </row>
    <row r="624" spans="1:23" x14ac:dyDescent="0.2">
      <c r="A624" s="28">
        <v>623</v>
      </c>
      <c r="B624" s="28">
        <v>320512.8205128205</v>
      </c>
      <c r="C624" s="28">
        <f t="shared" si="42"/>
        <v>3205128.205128205</v>
      </c>
      <c r="D624" s="28">
        <f t="shared" si="43"/>
        <v>4006410.256410256</v>
      </c>
      <c r="E624" s="28">
        <f t="shared" si="44"/>
        <v>4807692.307692308</v>
      </c>
      <c r="F624" s="28">
        <f t="shared" si="45"/>
        <v>5608974.358974359</v>
      </c>
      <c r="G624" s="28">
        <f t="shared" si="46"/>
        <v>6410256.41025641</v>
      </c>
      <c r="H624" s="28">
        <f t="shared" si="47"/>
        <v>7211538.461538461</v>
      </c>
      <c r="I624" s="28">
        <f t="shared" si="48"/>
        <v>8012820.5128205121</v>
      </c>
      <c r="J624" s="28">
        <f t="shared" si="49"/>
        <v>8814102.564102564</v>
      </c>
      <c r="K624" s="28">
        <f t="shared" si="50"/>
        <v>9615384.615384616</v>
      </c>
      <c r="L624" s="28">
        <f t="shared" si="51"/>
        <v>10416666.666666666</v>
      </c>
      <c r="M624" s="28">
        <f t="shared" si="52"/>
        <v>11217948.717948718</v>
      </c>
      <c r="N624" s="28">
        <f t="shared" si="53"/>
        <v>12019230.769230768</v>
      </c>
      <c r="O624" s="28">
        <f t="shared" si="54"/>
        <v>12820512.82051282</v>
      </c>
      <c r="P624" s="28">
        <f t="shared" si="55"/>
        <v>13621794.871794872</v>
      </c>
      <c r="Q624" s="28">
        <f t="shared" si="56"/>
        <v>14423076.923076922</v>
      </c>
      <c r="R624" s="28">
        <f t="shared" si="57"/>
        <v>15224358.974358974</v>
      </c>
      <c r="S624" s="28">
        <f t="shared" si="58"/>
        <v>16025641.025641024</v>
      </c>
      <c r="T624" s="28">
        <f t="shared" si="59"/>
        <v>16826923.076923076</v>
      </c>
      <c r="U624" s="28">
        <f t="shared" si="60"/>
        <v>17628205.128205128</v>
      </c>
      <c r="V624" s="28">
        <f t="shared" si="61"/>
        <v>18429487.17948718</v>
      </c>
      <c r="W624" s="28">
        <f t="shared" si="62"/>
        <v>19230769.230769232</v>
      </c>
    </row>
    <row r="625" spans="1:23" x14ac:dyDescent="0.2">
      <c r="A625" s="28">
        <v>624</v>
      </c>
      <c r="B625" s="28">
        <v>320000</v>
      </c>
      <c r="C625" s="28">
        <f t="shared" si="42"/>
        <v>3200000</v>
      </c>
      <c r="D625" s="28">
        <f t="shared" si="43"/>
        <v>4000000</v>
      </c>
      <c r="E625" s="28">
        <f t="shared" si="44"/>
        <v>4800000</v>
      </c>
      <c r="F625" s="28">
        <f t="shared" si="45"/>
        <v>5600000</v>
      </c>
      <c r="G625" s="28">
        <f t="shared" si="46"/>
        <v>6400000</v>
      </c>
      <c r="H625" s="28">
        <f t="shared" si="47"/>
        <v>7200000</v>
      </c>
      <c r="I625" s="28">
        <f t="shared" si="48"/>
        <v>8000000</v>
      </c>
      <c r="J625" s="28">
        <f t="shared" si="49"/>
        <v>8800000</v>
      </c>
      <c r="K625" s="28">
        <f t="shared" si="50"/>
        <v>9600000</v>
      </c>
      <c r="L625" s="28">
        <f t="shared" si="51"/>
        <v>10400000</v>
      </c>
      <c r="M625" s="28">
        <f t="shared" si="52"/>
        <v>11200000</v>
      </c>
      <c r="N625" s="28">
        <f t="shared" si="53"/>
        <v>12000000</v>
      </c>
      <c r="O625" s="28">
        <f t="shared" si="54"/>
        <v>12800000</v>
      </c>
      <c r="P625" s="28">
        <f t="shared" si="55"/>
        <v>13600000</v>
      </c>
      <c r="Q625" s="28">
        <f t="shared" si="56"/>
        <v>14400000</v>
      </c>
      <c r="R625" s="28">
        <f t="shared" si="57"/>
        <v>15200000</v>
      </c>
      <c r="S625" s="28">
        <f t="shared" si="58"/>
        <v>16000000</v>
      </c>
      <c r="T625" s="28">
        <f t="shared" si="59"/>
        <v>16800000</v>
      </c>
      <c r="U625" s="28">
        <f t="shared" si="60"/>
        <v>17600000</v>
      </c>
      <c r="V625" s="28">
        <f t="shared" si="61"/>
        <v>18400000</v>
      </c>
      <c r="W625" s="28">
        <f t="shared" si="62"/>
        <v>19200000</v>
      </c>
    </row>
    <row r="626" spans="1:23" x14ac:dyDescent="0.2">
      <c r="A626" s="28">
        <v>625</v>
      </c>
      <c r="B626" s="28">
        <v>319488.81789137376</v>
      </c>
      <c r="C626" s="28">
        <f t="shared" si="42"/>
        <v>3194888.1789137376</v>
      </c>
      <c r="D626" s="28">
        <f t="shared" si="43"/>
        <v>3993610.2236421723</v>
      </c>
      <c r="E626" s="28">
        <f t="shared" si="44"/>
        <v>4792332.268370606</v>
      </c>
      <c r="F626" s="28">
        <f t="shared" si="45"/>
        <v>5591054.3130990406</v>
      </c>
      <c r="G626" s="28">
        <f t="shared" si="46"/>
        <v>6389776.3578274753</v>
      </c>
      <c r="H626" s="28">
        <f t="shared" si="47"/>
        <v>7188498.4025559099</v>
      </c>
      <c r="I626" s="28">
        <f t="shared" si="48"/>
        <v>7987220.4472843446</v>
      </c>
      <c r="J626" s="28">
        <f t="shared" si="49"/>
        <v>8785942.4920127783</v>
      </c>
      <c r="K626" s="28">
        <f t="shared" si="50"/>
        <v>9584664.536741212</v>
      </c>
      <c r="L626" s="28">
        <f t="shared" si="51"/>
        <v>10383386.581469648</v>
      </c>
      <c r="M626" s="28">
        <f t="shared" si="52"/>
        <v>11182108.626198081</v>
      </c>
      <c r="N626" s="28">
        <f t="shared" si="53"/>
        <v>11980830.670926517</v>
      </c>
      <c r="O626" s="28">
        <f t="shared" si="54"/>
        <v>12779552.715654951</v>
      </c>
      <c r="P626" s="28">
        <f t="shared" si="55"/>
        <v>13578274.760383384</v>
      </c>
      <c r="Q626" s="28">
        <f t="shared" si="56"/>
        <v>14376996.80511182</v>
      </c>
      <c r="R626" s="28">
        <f t="shared" si="57"/>
        <v>15175718.849840254</v>
      </c>
      <c r="S626" s="28">
        <f t="shared" si="58"/>
        <v>15974440.894568689</v>
      </c>
      <c r="T626" s="28">
        <f t="shared" si="59"/>
        <v>16773162.939297123</v>
      </c>
      <c r="U626" s="28">
        <f t="shared" si="60"/>
        <v>17571884.984025557</v>
      </c>
      <c r="V626" s="28">
        <f t="shared" si="61"/>
        <v>18370607.028753992</v>
      </c>
      <c r="W626" s="28">
        <f t="shared" si="62"/>
        <v>19169329.073482424</v>
      </c>
    </row>
    <row r="627" spans="1:23" x14ac:dyDescent="0.2">
      <c r="A627" s="28">
        <v>626</v>
      </c>
      <c r="B627" s="28">
        <v>318979.2663476874</v>
      </c>
      <c r="C627" s="28">
        <f t="shared" si="42"/>
        <v>3189792.6634768741</v>
      </c>
      <c r="D627" s="28">
        <f t="shared" si="43"/>
        <v>3987240.8293460924</v>
      </c>
      <c r="E627" s="28">
        <f t="shared" si="44"/>
        <v>4784688.9952153116</v>
      </c>
      <c r="F627" s="28">
        <f t="shared" si="45"/>
        <v>5582137.1610845299</v>
      </c>
      <c r="G627" s="28">
        <f t="shared" si="46"/>
        <v>6379585.3269537482</v>
      </c>
      <c r="H627" s="28">
        <f t="shared" si="47"/>
        <v>7177033.4928229665</v>
      </c>
      <c r="I627" s="28">
        <f t="shared" si="48"/>
        <v>7974481.6586921848</v>
      </c>
      <c r="J627" s="28">
        <f t="shared" si="49"/>
        <v>8771929.8245614041</v>
      </c>
      <c r="K627" s="28">
        <f t="shared" si="50"/>
        <v>9569377.9904306233</v>
      </c>
      <c r="L627" s="28">
        <f t="shared" si="51"/>
        <v>10366826.156299841</v>
      </c>
      <c r="M627" s="28">
        <f t="shared" si="52"/>
        <v>11164274.32216906</v>
      </c>
      <c r="N627" s="28">
        <f t="shared" si="53"/>
        <v>11961722.488038277</v>
      </c>
      <c r="O627" s="28">
        <f t="shared" si="54"/>
        <v>12759170.653907496</v>
      </c>
      <c r="P627" s="28">
        <f t="shared" si="55"/>
        <v>13556618.819776716</v>
      </c>
      <c r="Q627" s="28">
        <f t="shared" si="56"/>
        <v>14354066.985645933</v>
      </c>
      <c r="R627" s="28">
        <f t="shared" si="57"/>
        <v>15151515.151515152</v>
      </c>
      <c r="S627" s="28">
        <f t="shared" si="58"/>
        <v>15948963.31738437</v>
      </c>
      <c r="T627" s="28">
        <f t="shared" si="59"/>
        <v>16746411.483253589</v>
      </c>
      <c r="U627" s="28">
        <f t="shared" si="60"/>
        <v>17543859.649122808</v>
      </c>
      <c r="V627" s="28">
        <f t="shared" si="61"/>
        <v>18341307.814992025</v>
      </c>
      <c r="W627" s="28">
        <f t="shared" si="62"/>
        <v>19138755.980861247</v>
      </c>
    </row>
    <row r="628" spans="1:23" x14ac:dyDescent="0.2">
      <c r="A628" s="28">
        <v>627</v>
      </c>
      <c r="B628" s="28">
        <v>318471.33757961786</v>
      </c>
      <c r="C628" s="28">
        <f t="shared" si="42"/>
        <v>3184713.3757961784</v>
      </c>
      <c r="D628" s="28">
        <f t="shared" si="43"/>
        <v>3980891.7197452229</v>
      </c>
      <c r="E628" s="28">
        <f t="shared" si="44"/>
        <v>4777070.0636942675</v>
      </c>
      <c r="F628" s="28">
        <f t="shared" si="45"/>
        <v>5573248.4076433126</v>
      </c>
      <c r="G628" s="28">
        <f t="shared" si="46"/>
        <v>6369426.7515923567</v>
      </c>
      <c r="H628" s="28">
        <f t="shared" si="47"/>
        <v>7165605.0955414008</v>
      </c>
      <c r="I628" s="28">
        <f t="shared" si="48"/>
        <v>7961783.4394904459</v>
      </c>
      <c r="J628" s="28">
        <f t="shared" si="49"/>
        <v>8757961.7834394909</v>
      </c>
      <c r="K628" s="28">
        <f t="shared" si="50"/>
        <v>9554140.1273885351</v>
      </c>
      <c r="L628" s="28">
        <f t="shared" si="51"/>
        <v>10350318.471337579</v>
      </c>
      <c r="M628" s="28">
        <f t="shared" si="52"/>
        <v>11146496.815286625</v>
      </c>
      <c r="N628" s="28">
        <f t="shared" si="53"/>
        <v>11942675.159235669</v>
      </c>
      <c r="O628" s="28">
        <f t="shared" si="54"/>
        <v>12738853.503184713</v>
      </c>
      <c r="P628" s="28">
        <f t="shared" si="55"/>
        <v>13535031.847133758</v>
      </c>
      <c r="Q628" s="28">
        <f t="shared" si="56"/>
        <v>14331210.191082802</v>
      </c>
      <c r="R628" s="28">
        <f t="shared" si="57"/>
        <v>15127388.535031848</v>
      </c>
      <c r="S628" s="28">
        <f t="shared" si="58"/>
        <v>15923566.878980892</v>
      </c>
      <c r="T628" s="28">
        <f t="shared" si="59"/>
        <v>16719745.222929936</v>
      </c>
      <c r="U628" s="28">
        <f t="shared" si="60"/>
        <v>17515923.566878982</v>
      </c>
      <c r="V628" s="28">
        <f t="shared" si="61"/>
        <v>18312101.910828024</v>
      </c>
      <c r="W628" s="28">
        <f t="shared" si="62"/>
        <v>19108280.25477707</v>
      </c>
    </row>
    <row r="629" spans="1:23" x14ac:dyDescent="0.2">
      <c r="A629" s="28">
        <v>628</v>
      </c>
      <c r="B629" s="28">
        <v>317965.02384737681</v>
      </c>
      <c r="C629" s="28">
        <f t="shared" si="42"/>
        <v>3179650.2384737683</v>
      </c>
      <c r="D629" s="28">
        <f t="shared" si="43"/>
        <v>3974562.7980922107</v>
      </c>
      <c r="E629" s="28">
        <f t="shared" si="44"/>
        <v>4769475.3577106521</v>
      </c>
      <c r="F629" s="28">
        <f t="shared" si="45"/>
        <v>5564387.9173290944</v>
      </c>
      <c r="G629" s="28">
        <f t="shared" si="46"/>
        <v>6359300.4769475367</v>
      </c>
      <c r="H629" s="28">
        <f t="shared" si="47"/>
        <v>7154213.036565979</v>
      </c>
      <c r="I629" s="28">
        <f t="shared" si="48"/>
        <v>7949125.5961844213</v>
      </c>
      <c r="J629" s="28">
        <f t="shared" si="49"/>
        <v>8744038.1558028627</v>
      </c>
      <c r="K629" s="28">
        <f t="shared" si="50"/>
        <v>9538950.7154213041</v>
      </c>
      <c r="L629" s="28">
        <f t="shared" si="51"/>
        <v>10333863.275039747</v>
      </c>
      <c r="M629" s="28">
        <f t="shared" si="52"/>
        <v>11128775.834658189</v>
      </c>
      <c r="N629" s="28">
        <f t="shared" si="53"/>
        <v>11923688.394276632</v>
      </c>
      <c r="O629" s="28">
        <f t="shared" si="54"/>
        <v>12718600.953895073</v>
      </c>
      <c r="P629" s="28">
        <f t="shared" si="55"/>
        <v>13513513.513513515</v>
      </c>
      <c r="Q629" s="28">
        <f t="shared" si="56"/>
        <v>14308426.073131958</v>
      </c>
      <c r="R629" s="28">
        <f t="shared" si="57"/>
        <v>15103338.632750399</v>
      </c>
      <c r="S629" s="28">
        <f t="shared" si="58"/>
        <v>15898251.192368843</v>
      </c>
      <c r="T629" s="28">
        <f t="shared" si="59"/>
        <v>16693163.751987284</v>
      </c>
      <c r="U629" s="28">
        <f t="shared" si="60"/>
        <v>17488076.311605725</v>
      </c>
      <c r="V629" s="28">
        <f t="shared" si="61"/>
        <v>18282988.871224169</v>
      </c>
      <c r="W629" s="28">
        <f t="shared" si="62"/>
        <v>19077901.430842608</v>
      </c>
    </row>
    <row r="630" spans="1:23" x14ac:dyDescent="0.2">
      <c r="A630" s="28">
        <v>629</v>
      </c>
      <c r="B630" s="28">
        <v>317460.31746031746</v>
      </c>
      <c r="C630" s="28">
        <f t="shared" si="42"/>
        <v>3174603.1746031744</v>
      </c>
      <c r="D630" s="28">
        <f t="shared" si="43"/>
        <v>3968253.9682539683</v>
      </c>
      <c r="E630" s="28">
        <f t="shared" si="44"/>
        <v>4761904.7619047612</v>
      </c>
      <c r="F630" s="28">
        <f t="shared" si="45"/>
        <v>5555555.555555555</v>
      </c>
      <c r="G630" s="28">
        <f t="shared" si="46"/>
        <v>6349206.3492063489</v>
      </c>
      <c r="H630" s="28">
        <f t="shared" si="47"/>
        <v>7142857.1428571427</v>
      </c>
      <c r="I630" s="28">
        <f t="shared" si="48"/>
        <v>7936507.9365079366</v>
      </c>
      <c r="J630" s="28">
        <f t="shared" si="49"/>
        <v>8730158.7301587295</v>
      </c>
      <c r="K630" s="28">
        <f t="shared" si="50"/>
        <v>9523809.5238095224</v>
      </c>
      <c r="L630" s="28">
        <f t="shared" si="51"/>
        <v>10317460.317460317</v>
      </c>
      <c r="M630" s="28">
        <f t="shared" si="52"/>
        <v>11111111.11111111</v>
      </c>
      <c r="N630" s="28">
        <f t="shared" si="53"/>
        <v>11904761.904761905</v>
      </c>
      <c r="O630" s="28">
        <f t="shared" si="54"/>
        <v>12698412.698412698</v>
      </c>
      <c r="P630" s="28">
        <f t="shared" si="55"/>
        <v>13492063.492063491</v>
      </c>
      <c r="Q630" s="28">
        <f t="shared" si="56"/>
        <v>14285714.285714285</v>
      </c>
      <c r="R630" s="28">
        <f t="shared" si="57"/>
        <v>15079365.079365078</v>
      </c>
      <c r="S630" s="28">
        <f t="shared" si="58"/>
        <v>15873015.873015873</v>
      </c>
      <c r="T630" s="28">
        <f t="shared" si="59"/>
        <v>16666666.666666666</v>
      </c>
      <c r="U630" s="28">
        <f t="shared" si="60"/>
        <v>17460317.460317459</v>
      </c>
      <c r="V630" s="28">
        <f t="shared" si="61"/>
        <v>18253968.253968254</v>
      </c>
      <c r="W630" s="28">
        <f t="shared" si="62"/>
        <v>19047619.047619045</v>
      </c>
    </row>
    <row r="631" spans="1:23" x14ac:dyDescent="0.2">
      <c r="A631" s="28">
        <v>630</v>
      </c>
      <c r="B631" s="28">
        <v>316957.21077654517</v>
      </c>
      <c r="C631" s="28">
        <f t="shared" si="42"/>
        <v>3169572.1077654515</v>
      </c>
      <c r="D631" s="28">
        <f t="shared" si="43"/>
        <v>3961965.1347068143</v>
      </c>
      <c r="E631" s="28">
        <f t="shared" si="44"/>
        <v>4754358.1616481775</v>
      </c>
      <c r="F631" s="28">
        <f t="shared" si="45"/>
        <v>5546751.1885895403</v>
      </c>
      <c r="G631" s="28">
        <f t="shared" si="46"/>
        <v>6339144.2155309031</v>
      </c>
      <c r="H631" s="28">
        <f t="shared" si="47"/>
        <v>7131537.2424722658</v>
      </c>
      <c r="I631" s="28">
        <f t="shared" si="48"/>
        <v>7923930.2694136286</v>
      </c>
      <c r="J631" s="28">
        <f t="shared" si="49"/>
        <v>8716323.2963549923</v>
      </c>
      <c r="K631" s="28">
        <f t="shared" si="50"/>
        <v>9508716.3232963551</v>
      </c>
      <c r="L631" s="28">
        <f t="shared" si="51"/>
        <v>10301109.350237718</v>
      </c>
      <c r="M631" s="28">
        <f t="shared" si="52"/>
        <v>11093502.377179081</v>
      </c>
      <c r="N631" s="28">
        <f t="shared" si="53"/>
        <v>11885895.404120443</v>
      </c>
      <c r="O631" s="28">
        <f t="shared" si="54"/>
        <v>12678288.431061806</v>
      </c>
      <c r="P631" s="28">
        <f t="shared" si="55"/>
        <v>13470681.458003169</v>
      </c>
      <c r="Q631" s="28">
        <f t="shared" si="56"/>
        <v>14263074.484944532</v>
      </c>
      <c r="R631" s="28">
        <f t="shared" si="57"/>
        <v>15055467.511885894</v>
      </c>
      <c r="S631" s="28">
        <f t="shared" si="58"/>
        <v>15847860.538827257</v>
      </c>
      <c r="T631" s="28">
        <f t="shared" si="59"/>
        <v>16640253.56576862</v>
      </c>
      <c r="U631" s="28">
        <f t="shared" si="60"/>
        <v>17432646.592709985</v>
      </c>
      <c r="V631" s="28">
        <f t="shared" si="61"/>
        <v>18225039.619651347</v>
      </c>
      <c r="W631" s="28">
        <f t="shared" si="62"/>
        <v>19017432.64659271</v>
      </c>
    </row>
    <row r="632" spans="1:23" x14ac:dyDescent="0.2">
      <c r="A632" s="28">
        <v>631</v>
      </c>
      <c r="B632" s="28">
        <v>316455.69620253163</v>
      </c>
      <c r="C632" s="28">
        <f t="shared" si="42"/>
        <v>3164556.9620253164</v>
      </c>
      <c r="D632" s="28">
        <f t="shared" si="43"/>
        <v>3955696.2025316455</v>
      </c>
      <c r="E632" s="28">
        <f t="shared" si="44"/>
        <v>4746835.4430379746</v>
      </c>
      <c r="F632" s="28">
        <f t="shared" si="45"/>
        <v>5537974.6835443042</v>
      </c>
      <c r="G632" s="28">
        <f t="shared" si="46"/>
        <v>6329113.9240506329</v>
      </c>
      <c r="H632" s="28">
        <f t="shared" si="47"/>
        <v>7120253.1645569615</v>
      </c>
      <c r="I632" s="28">
        <f t="shared" si="48"/>
        <v>7911392.4050632911</v>
      </c>
      <c r="J632" s="28">
        <f t="shared" si="49"/>
        <v>8702531.6455696207</v>
      </c>
      <c r="K632" s="28">
        <f t="shared" si="50"/>
        <v>9493670.8860759493</v>
      </c>
      <c r="L632" s="28">
        <f t="shared" si="51"/>
        <v>10284810.126582278</v>
      </c>
      <c r="M632" s="28">
        <f t="shared" si="52"/>
        <v>11075949.367088608</v>
      </c>
      <c r="N632" s="28">
        <f t="shared" si="53"/>
        <v>11867088.607594937</v>
      </c>
      <c r="O632" s="28">
        <f t="shared" si="54"/>
        <v>12658227.848101266</v>
      </c>
      <c r="P632" s="28">
        <f t="shared" si="55"/>
        <v>13449367.088607594</v>
      </c>
      <c r="Q632" s="28">
        <f t="shared" si="56"/>
        <v>14240506.329113923</v>
      </c>
      <c r="R632" s="28">
        <f t="shared" si="57"/>
        <v>15031645.569620254</v>
      </c>
      <c r="S632" s="28">
        <f t="shared" si="58"/>
        <v>15822784.810126582</v>
      </c>
      <c r="T632" s="28">
        <f t="shared" si="59"/>
        <v>16613924.050632911</v>
      </c>
      <c r="U632" s="28">
        <f t="shared" si="60"/>
        <v>17405063.291139241</v>
      </c>
      <c r="V632" s="28">
        <f t="shared" si="61"/>
        <v>18196202.53164557</v>
      </c>
      <c r="W632" s="28">
        <f t="shared" si="62"/>
        <v>18987341.772151899</v>
      </c>
    </row>
    <row r="633" spans="1:23" x14ac:dyDescent="0.2">
      <c r="A633" s="28">
        <v>632</v>
      </c>
      <c r="B633" s="28">
        <v>315955.76619273302</v>
      </c>
      <c r="C633" s="28">
        <f t="shared" si="42"/>
        <v>3159557.6619273303</v>
      </c>
      <c r="D633" s="28">
        <f t="shared" si="43"/>
        <v>3949447.0774091631</v>
      </c>
      <c r="E633" s="28">
        <f t="shared" si="44"/>
        <v>4739336.492890995</v>
      </c>
      <c r="F633" s="28">
        <f t="shared" si="45"/>
        <v>5529225.9083728278</v>
      </c>
      <c r="G633" s="28">
        <f t="shared" si="46"/>
        <v>6319115.3238546606</v>
      </c>
      <c r="H633" s="28">
        <f t="shared" si="47"/>
        <v>7109004.7393364934</v>
      </c>
      <c r="I633" s="28">
        <f t="shared" si="48"/>
        <v>7898894.1548183262</v>
      </c>
      <c r="J633" s="28">
        <f t="shared" si="49"/>
        <v>8688783.5703001581</v>
      </c>
      <c r="K633" s="28">
        <f t="shared" si="50"/>
        <v>9478672.98578199</v>
      </c>
      <c r="L633" s="28">
        <f t="shared" si="51"/>
        <v>10268562.401263824</v>
      </c>
      <c r="M633" s="28">
        <f t="shared" si="52"/>
        <v>11058451.816745656</v>
      </c>
      <c r="N633" s="28">
        <f t="shared" si="53"/>
        <v>11848341.232227489</v>
      </c>
      <c r="O633" s="28">
        <f t="shared" si="54"/>
        <v>12638230.647709321</v>
      </c>
      <c r="P633" s="28">
        <f t="shared" si="55"/>
        <v>13428120.063191153</v>
      </c>
      <c r="Q633" s="28">
        <f t="shared" si="56"/>
        <v>14218009.478672987</v>
      </c>
      <c r="R633" s="28">
        <f t="shared" si="57"/>
        <v>15007898.894154819</v>
      </c>
      <c r="S633" s="28">
        <f t="shared" si="58"/>
        <v>15797788.309636652</v>
      </c>
      <c r="T633" s="28">
        <f t="shared" si="59"/>
        <v>16587677.725118484</v>
      </c>
      <c r="U633" s="28">
        <f t="shared" si="60"/>
        <v>17377567.140600316</v>
      </c>
      <c r="V633" s="28">
        <f t="shared" si="61"/>
        <v>18167456.556082148</v>
      </c>
      <c r="W633" s="28">
        <f t="shared" si="62"/>
        <v>18957345.97156398</v>
      </c>
    </row>
    <row r="634" spans="1:23" x14ac:dyDescent="0.2">
      <c r="A634" s="28">
        <v>633</v>
      </c>
      <c r="B634" s="28">
        <v>315457.41324921139</v>
      </c>
      <c r="C634" s="28">
        <f t="shared" si="42"/>
        <v>3154574.1324921139</v>
      </c>
      <c r="D634" s="28">
        <f t="shared" si="43"/>
        <v>3943217.6656151423</v>
      </c>
      <c r="E634" s="28">
        <f t="shared" si="44"/>
        <v>4731861.1987381708</v>
      </c>
      <c r="F634" s="28">
        <f t="shared" si="45"/>
        <v>5520504.7318611993</v>
      </c>
      <c r="G634" s="28">
        <f t="shared" si="46"/>
        <v>6309148.2649842277</v>
      </c>
      <c r="H634" s="28">
        <f t="shared" si="47"/>
        <v>7097791.7981072562</v>
      </c>
      <c r="I634" s="28">
        <f t="shared" si="48"/>
        <v>7886435.3312302846</v>
      </c>
      <c r="J634" s="28">
        <f t="shared" si="49"/>
        <v>8675078.864353314</v>
      </c>
      <c r="K634" s="28">
        <f t="shared" si="50"/>
        <v>9463722.3974763416</v>
      </c>
      <c r="L634" s="28">
        <f t="shared" si="51"/>
        <v>10252365.930599369</v>
      </c>
      <c r="M634" s="28">
        <f t="shared" si="52"/>
        <v>11041009.463722399</v>
      </c>
      <c r="N634" s="28">
        <f t="shared" si="53"/>
        <v>11829652.996845428</v>
      </c>
      <c r="O634" s="28">
        <f t="shared" si="54"/>
        <v>12618296.529968455</v>
      </c>
      <c r="P634" s="28">
        <f t="shared" si="55"/>
        <v>13406940.063091483</v>
      </c>
      <c r="Q634" s="28">
        <f t="shared" si="56"/>
        <v>14195583.596214512</v>
      </c>
      <c r="R634" s="28">
        <f t="shared" si="57"/>
        <v>14984227.129337542</v>
      </c>
      <c r="S634" s="28">
        <f t="shared" si="58"/>
        <v>15772870.662460569</v>
      </c>
      <c r="T634" s="28">
        <f t="shared" si="59"/>
        <v>16561514.195583597</v>
      </c>
      <c r="U634" s="28">
        <f t="shared" si="60"/>
        <v>17350157.728706628</v>
      </c>
      <c r="V634" s="28">
        <f t="shared" si="61"/>
        <v>18138801.261829656</v>
      </c>
      <c r="W634" s="28">
        <f t="shared" si="62"/>
        <v>18927444.794952683</v>
      </c>
    </row>
    <row r="635" spans="1:23" x14ac:dyDescent="0.2">
      <c r="A635" s="28">
        <v>634</v>
      </c>
      <c r="B635" s="28">
        <v>314960.62992125982</v>
      </c>
      <c r="C635" s="28">
        <f t="shared" si="42"/>
        <v>3149606.2992125982</v>
      </c>
      <c r="D635" s="28">
        <f t="shared" si="43"/>
        <v>3937007.8740157476</v>
      </c>
      <c r="E635" s="28">
        <f t="shared" si="44"/>
        <v>4724409.4488188978</v>
      </c>
      <c r="F635" s="28">
        <f t="shared" si="45"/>
        <v>5511811.0236220472</v>
      </c>
      <c r="G635" s="28">
        <f t="shared" si="46"/>
        <v>6299212.5984251965</v>
      </c>
      <c r="H635" s="28">
        <f t="shared" si="47"/>
        <v>7086614.1732283458</v>
      </c>
      <c r="I635" s="28">
        <f t="shared" si="48"/>
        <v>7874015.7480314951</v>
      </c>
      <c r="J635" s="28">
        <f t="shared" si="49"/>
        <v>8661417.3228346445</v>
      </c>
      <c r="K635" s="28">
        <f t="shared" si="50"/>
        <v>9448818.8976377957</v>
      </c>
      <c r="L635" s="28">
        <f t="shared" si="51"/>
        <v>10236220.472440945</v>
      </c>
      <c r="M635" s="28">
        <f t="shared" si="52"/>
        <v>11023622.047244094</v>
      </c>
      <c r="N635" s="28">
        <f t="shared" si="53"/>
        <v>11811023.622047244</v>
      </c>
      <c r="O635" s="28">
        <f t="shared" si="54"/>
        <v>12598425.196850393</v>
      </c>
      <c r="P635" s="28">
        <f t="shared" si="55"/>
        <v>13385826.771653542</v>
      </c>
      <c r="Q635" s="28">
        <f t="shared" si="56"/>
        <v>14173228.346456692</v>
      </c>
      <c r="R635" s="28">
        <f t="shared" si="57"/>
        <v>14960629.921259841</v>
      </c>
      <c r="S635" s="28">
        <f t="shared" si="58"/>
        <v>15748031.49606299</v>
      </c>
      <c r="T635" s="28">
        <f t="shared" si="59"/>
        <v>16535433.070866141</v>
      </c>
      <c r="U635" s="28">
        <f t="shared" si="60"/>
        <v>17322834.645669289</v>
      </c>
      <c r="V635" s="28">
        <f t="shared" si="61"/>
        <v>18110236.22047244</v>
      </c>
      <c r="W635" s="28">
        <f t="shared" si="62"/>
        <v>18897637.795275591</v>
      </c>
    </row>
    <row r="636" spans="1:23" x14ac:dyDescent="0.2">
      <c r="A636" s="28">
        <v>635</v>
      </c>
      <c r="B636" s="28">
        <v>314465.40880503145</v>
      </c>
      <c r="C636" s="28">
        <f t="shared" si="42"/>
        <v>3144654.0880503142</v>
      </c>
      <c r="D636" s="28">
        <f t="shared" si="43"/>
        <v>3930817.6100628925</v>
      </c>
      <c r="E636" s="28">
        <f t="shared" si="44"/>
        <v>4716981.1320754718</v>
      </c>
      <c r="F636" s="28">
        <f t="shared" si="45"/>
        <v>5503144.6540880501</v>
      </c>
      <c r="G636" s="28">
        <f t="shared" si="46"/>
        <v>6289308.1761006285</v>
      </c>
      <c r="H636" s="28">
        <f t="shared" si="47"/>
        <v>7075471.6981132068</v>
      </c>
      <c r="I636" s="28">
        <f t="shared" si="48"/>
        <v>7861635.2201257851</v>
      </c>
      <c r="J636" s="28">
        <f t="shared" si="49"/>
        <v>8647798.7421383634</v>
      </c>
      <c r="K636" s="28">
        <f t="shared" si="50"/>
        <v>9433962.2641509436</v>
      </c>
      <c r="L636" s="28">
        <f t="shared" si="51"/>
        <v>10220125.786163522</v>
      </c>
      <c r="M636" s="28">
        <f t="shared" si="52"/>
        <v>11006289.3081761</v>
      </c>
      <c r="N636" s="28">
        <f t="shared" si="53"/>
        <v>11792452.830188679</v>
      </c>
      <c r="O636" s="28">
        <f t="shared" si="54"/>
        <v>12578616.352201257</v>
      </c>
      <c r="P636" s="28">
        <f t="shared" si="55"/>
        <v>13364779.874213835</v>
      </c>
      <c r="Q636" s="28">
        <f t="shared" si="56"/>
        <v>14150943.396226414</v>
      </c>
      <c r="R636" s="28">
        <f t="shared" si="57"/>
        <v>14937106.918238992</v>
      </c>
      <c r="S636" s="28">
        <f t="shared" si="58"/>
        <v>15723270.44025157</v>
      </c>
      <c r="T636" s="28">
        <f t="shared" si="59"/>
        <v>16509433.96226415</v>
      </c>
      <c r="U636" s="28">
        <f t="shared" si="60"/>
        <v>17295597.484276727</v>
      </c>
      <c r="V636" s="28">
        <f t="shared" si="61"/>
        <v>18081761.006289307</v>
      </c>
      <c r="W636" s="28">
        <f t="shared" si="62"/>
        <v>18867924.528301887</v>
      </c>
    </row>
    <row r="637" spans="1:23" x14ac:dyDescent="0.2">
      <c r="A637" s="28">
        <v>636</v>
      </c>
      <c r="B637" s="28">
        <v>313971.7425431711</v>
      </c>
      <c r="C637" s="28">
        <f t="shared" si="42"/>
        <v>3139717.4254317111</v>
      </c>
      <c r="D637" s="28">
        <f t="shared" si="43"/>
        <v>3924646.781789639</v>
      </c>
      <c r="E637" s="28">
        <f t="shared" si="44"/>
        <v>4709576.1381475665</v>
      </c>
      <c r="F637" s="28">
        <f t="shared" si="45"/>
        <v>5494505.4945054948</v>
      </c>
      <c r="G637" s="28">
        <f t="shared" si="46"/>
        <v>6279434.8508634223</v>
      </c>
      <c r="H637" s="28">
        <f t="shared" si="47"/>
        <v>7064364.2072213497</v>
      </c>
      <c r="I637" s="28">
        <f t="shared" si="48"/>
        <v>7849293.5635792781</v>
      </c>
      <c r="J637" s="28">
        <f t="shared" si="49"/>
        <v>8634222.9199372064</v>
      </c>
      <c r="K637" s="28">
        <f t="shared" si="50"/>
        <v>9419152.2762951329</v>
      </c>
      <c r="L637" s="28">
        <f t="shared" si="51"/>
        <v>10204081.632653061</v>
      </c>
      <c r="M637" s="28">
        <f t="shared" si="52"/>
        <v>10989010.98901099</v>
      </c>
      <c r="N637" s="28">
        <f t="shared" si="53"/>
        <v>11773940.345368916</v>
      </c>
      <c r="O637" s="28">
        <f t="shared" si="54"/>
        <v>12558869.701726845</v>
      </c>
      <c r="P637" s="28">
        <f t="shared" si="55"/>
        <v>13343799.058084773</v>
      </c>
      <c r="Q637" s="28">
        <f t="shared" si="56"/>
        <v>14128728.414442699</v>
      </c>
      <c r="R637" s="28">
        <f t="shared" si="57"/>
        <v>14913657.770800628</v>
      </c>
      <c r="S637" s="28">
        <f t="shared" si="58"/>
        <v>15698587.127158556</v>
      </c>
      <c r="T637" s="28">
        <f t="shared" si="59"/>
        <v>16483516.483516483</v>
      </c>
      <c r="U637" s="28">
        <f t="shared" si="60"/>
        <v>17268445.839874413</v>
      </c>
      <c r="V637" s="28">
        <f t="shared" si="61"/>
        <v>18053375.196232338</v>
      </c>
      <c r="W637" s="28">
        <f t="shared" si="62"/>
        <v>18838304.552590266</v>
      </c>
    </row>
    <row r="638" spans="1:23" x14ac:dyDescent="0.2">
      <c r="A638" s="28">
        <v>637</v>
      </c>
      <c r="B638" s="28">
        <v>313479.62382445141</v>
      </c>
      <c r="C638" s="28">
        <f t="shared" si="42"/>
        <v>3134796.238244514</v>
      </c>
      <c r="D638" s="28">
        <f t="shared" si="43"/>
        <v>3918495.2978056427</v>
      </c>
      <c r="E638" s="28">
        <f t="shared" si="44"/>
        <v>4702194.3573667705</v>
      </c>
      <c r="F638" s="28">
        <f t="shared" si="45"/>
        <v>5485893.4169278992</v>
      </c>
      <c r="G638" s="28">
        <f t="shared" si="46"/>
        <v>6269592.476489028</v>
      </c>
      <c r="H638" s="28">
        <f t="shared" si="47"/>
        <v>7053291.5360501567</v>
      </c>
      <c r="I638" s="28">
        <f t="shared" si="48"/>
        <v>7836990.5956112854</v>
      </c>
      <c r="J638" s="28">
        <f t="shared" si="49"/>
        <v>8620689.6551724132</v>
      </c>
      <c r="K638" s="28">
        <f t="shared" si="50"/>
        <v>9404388.714733541</v>
      </c>
      <c r="L638" s="28">
        <f t="shared" si="51"/>
        <v>10188087.774294671</v>
      </c>
      <c r="M638" s="28">
        <f t="shared" si="52"/>
        <v>10971786.833855798</v>
      </c>
      <c r="N638" s="28">
        <f t="shared" si="53"/>
        <v>11755485.893416928</v>
      </c>
      <c r="O638" s="28">
        <f t="shared" si="54"/>
        <v>12539184.952978056</v>
      </c>
      <c r="P638" s="28">
        <f t="shared" si="55"/>
        <v>13322884.012539184</v>
      </c>
      <c r="Q638" s="28">
        <f t="shared" si="56"/>
        <v>14106583.072100313</v>
      </c>
      <c r="R638" s="28">
        <f t="shared" si="57"/>
        <v>14890282.131661441</v>
      </c>
      <c r="S638" s="28">
        <f t="shared" si="58"/>
        <v>15673981.191222571</v>
      </c>
      <c r="T638" s="28">
        <f t="shared" si="59"/>
        <v>16457680.250783699</v>
      </c>
      <c r="U638" s="28">
        <f t="shared" si="60"/>
        <v>17241379.310344826</v>
      </c>
      <c r="V638" s="28">
        <f t="shared" si="61"/>
        <v>18025078.369905956</v>
      </c>
      <c r="W638" s="28">
        <f t="shared" si="62"/>
        <v>18808777.429467082</v>
      </c>
    </row>
    <row r="639" spans="1:23" x14ac:dyDescent="0.2">
      <c r="A639" s="28">
        <v>638</v>
      </c>
      <c r="B639" s="28">
        <v>312989.04538341158</v>
      </c>
      <c r="C639" s="28">
        <f t="shared" si="42"/>
        <v>3129890.4538341155</v>
      </c>
      <c r="D639" s="28">
        <f t="shared" si="43"/>
        <v>3912363.0672926446</v>
      </c>
      <c r="E639" s="28">
        <f t="shared" si="44"/>
        <v>4694835.6807511728</v>
      </c>
      <c r="F639" s="28">
        <f t="shared" si="45"/>
        <v>5477308.2942097019</v>
      </c>
      <c r="G639" s="28">
        <f t="shared" si="46"/>
        <v>6259780.9076682311</v>
      </c>
      <c r="H639" s="28">
        <f t="shared" si="47"/>
        <v>7042253.5211267602</v>
      </c>
      <c r="I639" s="28">
        <f t="shared" si="48"/>
        <v>7824726.1345852893</v>
      </c>
      <c r="J639" s="28">
        <f t="shared" si="49"/>
        <v>8607198.7480438184</v>
      </c>
      <c r="K639" s="28">
        <f t="shared" si="50"/>
        <v>9389671.3615023457</v>
      </c>
      <c r="L639" s="28">
        <f t="shared" si="51"/>
        <v>10172143.974960875</v>
      </c>
      <c r="M639" s="28">
        <f t="shared" si="52"/>
        <v>10954616.588419404</v>
      </c>
      <c r="N639" s="28">
        <f t="shared" si="53"/>
        <v>11737089.201877933</v>
      </c>
      <c r="O639" s="28">
        <f t="shared" si="54"/>
        <v>12519561.815336462</v>
      </c>
      <c r="P639" s="28">
        <f t="shared" si="55"/>
        <v>13302034.428794991</v>
      </c>
      <c r="Q639" s="28">
        <f t="shared" si="56"/>
        <v>14084507.04225352</v>
      </c>
      <c r="R639" s="28">
        <f t="shared" si="57"/>
        <v>14866979.655712049</v>
      </c>
      <c r="S639" s="28">
        <f t="shared" si="58"/>
        <v>15649452.269170579</v>
      </c>
      <c r="T639" s="28">
        <f t="shared" si="59"/>
        <v>16431924.882629106</v>
      </c>
      <c r="U639" s="28">
        <f t="shared" si="60"/>
        <v>17214397.496087637</v>
      </c>
      <c r="V639" s="28">
        <f t="shared" si="61"/>
        <v>17996870.109546166</v>
      </c>
      <c r="W639" s="28">
        <f t="shared" si="62"/>
        <v>18779342.723004691</v>
      </c>
    </row>
    <row r="640" spans="1:23" x14ac:dyDescent="0.2">
      <c r="A640" s="28">
        <v>639</v>
      </c>
      <c r="B640" s="28">
        <v>312500</v>
      </c>
      <c r="C640" s="28">
        <f t="shared" si="42"/>
        <v>3125000</v>
      </c>
      <c r="D640" s="28">
        <f t="shared" si="43"/>
        <v>3906250</v>
      </c>
      <c r="E640" s="28">
        <f t="shared" si="44"/>
        <v>4687500</v>
      </c>
      <c r="F640" s="28">
        <f t="shared" si="45"/>
        <v>5468750</v>
      </c>
      <c r="G640" s="28">
        <f t="shared" si="46"/>
        <v>6250000</v>
      </c>
      <c r="H640" s="28">
        <f t="shared" si="47"/>
        <v>7031250</v>
      </c>
      <c r="I640" s="28">
        <f t="shared" si="48"/>
        <v>7812500</v>
      </c>
      <c r="J640" s="28">
        <f t="shared" si="49"/>
        <v>8593750</v>
      </c>
      <c r="K640" s="28">
        <f t="shared" si="50"/>
        <v>9375000</v>
      </c>
      <c r="L640" s="28">
        <f t="shared" si="51"/>
        <v>10156250</v>
      </c>
      <c r="M640" s="28">
        <f t="shared" si="52"/>
        <v>10937500</v>
      </c>
      <c r="N640" s="28">
        <f t="shared" si="53"/>
        <v>11718750</v>
      </c>
      <c r="O640" s="28">
        <f t="shared" si="54"/>
        <v>12500000</v>
      </c>
      <c r="P640" s="28">
        <f t="shared" si="55"/>
        <v>13281250</v>
      </c>
      <c r="Q640" s="28">
        <f t="shared" si="56"/>
        <v>14062500</v>
      </c>
      <c r="R640" s="28">
        <f t="shared" si="57"/>
        <v>14843750</v>
      </c>
      <c r="S640" s="28">
        <f t="shared" si="58"/>
        <v>15625000</v>
      </c>
      <c r="T640" s="28">
        <f t="shared" si="59"/>
        <v>16406250</v>
      </c>
      <c r="U640" s="28">
        <f t="shared" si="60"/>
        <v>17187500</v>
      </c>
      <c r="V640" s="28">
        <f t="shared" si="61"/>
        <v>17968750</v>
      </c>
      <c r="W640" s="28">
        <f t="shared" si="62"/>
        <v>18750000</v>
      </c>
    </row>
    <row r="641" spans="1:23" x14ac:dyDescent="0.2">
      <c r="A641" s="28">
        <v>640</v>
      </c>
      <c r="B641" s="28">
        <v>312012.48049921996</v>
      </c>
      <c r="C641" s="28">
        <f t="shared" si="42"/>
        <v>3120124.8049921999</v>
      </c>
      <c r="D641" s="28">
        <f t="shared" si="43"/>
        <v>3900156.0062402496</v>
      </c>
      <c r="E641" s="28">
        <f t="shared" si="44"/>
        <v>4680187.2074883003</v>
      </c>
      <c r="F641" s="28">
        <f t="shared" si="45"/>
        <v>5460218.40873635</v>
      </c>
      <c r="G641" s="28">
        <f t="shared" si="46"/>
        <v>6240249.6099843998</v>
      </c>
      <c r="H641" s="28">
        <f t="shared" si="47"/>
        <v>7020280.8112324495</v>
      </c>
      <c r="I641" s="28">
        <f t="shared" si="48"/>
        <v>7800312.0124804992</v>
      </c>
      <c r="J641" s="28">
        <f t="shared" si="49"/>
        <v>8580343.213728549</v>
      </c>
      <c r="K641" s="28">
        <f t="shared" si="50"/>
        <v>9360374.4149766006</v>
      </c>
      <c r="L641" s="28">
        <f t="shared" si="51"/>
        <v>10140405.61622465</v>
      </c>
      <c r="M641" s="28">
        <f t="shared" si="52"/>
        <v>10920436.8174727</v>
      </c>
      <c r="N641" s="28">
        <f t="shared" si="53"/>
        <v>11700468.01872075</v>
      </c>
      <c r="O641" s="28">
        <f t="shared" si="54"/>
        <v>12480499.2199688</v>
      </c>
      <c r="P641" s="28">
        <f t="shared" si="55"/>
        <v>13260530.421216849</v>
      </c>
      <c r="Q641" s="28">
        <f t="shared" si="56"/>
        <v>14040561.622464899</v>
      </c>
      <c r="R641" s="28">
        <f t="shared" si="57"/>
        <v>14820592.823712949</v>
      </c>
      <c r="S641" s="28">
        <f t="shared" si="58"/>
        <v>15600624.024960998</v>
      </c>
      <c r="T641" s="28">
        <f t="shared" si="59"/>
        <v>16380655.22620905</v>
      </c>
      <c r="U641" s="28">
        <f t="shared" si="60"/>
        <v>17160686.427457098</v>
      </c>
      <c r="V641" s="28">
        <f t="shared" si="61"/>
        <v>17940717.628705148</v>
      </c>
      <c r="W641" s="28">
        <f t="shared" si="62"/>
        <v>18720748.829953201</v>
      </c>
    </row>
    <row r="642" spans="1:23" x14ac:dyDescent="0.2">
      <c r="A642" s="28">
        <v>641</v>
      </c>
      <c r="B642" s="28">
        <v>311526.47975077882</v>
      </c>
      <c r="C642" s="28">
        <f t="shared" si="42"/>
        <v>3115264.7975077881</v>
      </c>
      <c r="D642" s="28">
        <f t="shared" si="43"/>
        <v>3894080.9968847353</v>
      </c>
      <c r="E642" s="28">
        <f t="shared" si="44"/>
        <v>4672897.1962616816</v>
      </c>
      <c r="F642" s="28">
        <f t="shared" si="45"/>
        <v>5451713.3956386289</v>
      </c>
      <c r="G642" s="28">
        <f t="shared" si="46"/>
        <v>6230529.5950155761</v>
      </c>
      <c r="H642" s="28">
        <f t="shared" si="47"/>
        <v>7009345.7943925234</v>
      </c>
      <c r="I642" s="28">
        <f t="shared" si="48"/>
        <v>7788161.9937694706</v>
      </c>
      <c r="J642" s="28">
        <f t="shared" si="49"/>
        <v>8566978.1931464169</v>
      </c>
      <c r="K642" s="28">
        <f t="shared" si="50"/>
        <v>9345794.3925233632</v>
      </c>
      <c r="L642" s="28">
        <f t="shared" si="51"/>
        <v>10124610.591900311</v>
      </c>
      <c r="M642" s="28">
        <f t="shared" si="52"/>
        <v>10903426.791277258</v>
      </c>
      <c r="N642" s="28">
        <f t="shared" si="53"/>
        <v>11682242.990654206</v>
      </c>
      <c r="O642" s="28">
        <f t="shared" si="54"/>
        <v>12461059.190031152</v>
      </c>
      <c r="P642" s="28">
        <f t="shared" si="55"/>
        <v>13239875.389408099</v>
      </c>
      <c r="Q642" s="28">
        <f t="shared" si="56"/>
        <v>14018691.588785047</v>
      </c>
      <c r="R642" s="28">
        <f t="shared" si="57"/>
        <v>14797507.788161993</v>
      </c>
      <c r="S642" s="28">
        <f t="shared" si="58"/>
        <v>15576323.987538941</v>
      </c>
      <c r="T642" s="28">
        <f t="shared" si="59"/>
        <v>16355140.186915888</v>
      </c>
      <c r="U642" s="28">
        <f t="shared" si="60"/>
        <v>17133956.386292834</v>
      </c>
      <c r="V642" s="28">
        <f t="shared" si="61"/>
        <v>17912772.585669782</v>
      </c>
      <c r="W642" s="28">
        <f t="shared" si="62"/>
        <v>18691588.785046726</v>
      </c>
    </row>
    <row r="643" spans="1:23" x14ac:dyDescent="0.2">
      <c r="A643" s="28">
        <v>642</v>
      </c>
      <c r="B643" s="28">
        <v>311041.99066874024</v>
      </c>
      <c r="C643" s="28">
        <f t="shared" si="42"/>
        <v>3110419.9066874022</v>
      </c>
      <c r="D643" s="28">
        <f t="shared" si="43"/>
        <v>3888024.8833592525</v>
      </c>
      <c r="E643" s="28">
        <f t="shared" si="44"/>
        <v>4665629.8600311037</v>
      </c>
      <c r="F643" s="28">
        <f t="shared" si="45"/>
        <v>5443234.836702954</v>
      </c>
      <c r="G643" s="28">
        <f t="shared" si="46"/>
        <v>6220839.8133748043</v>
      </c>
      <c r="H643" s="28">
        <f t="shared" si="47"/>
        <v>6998444.7900466546</v>
      </c>
      <c r="I643" s="28">
        <f t="shared" si="48"/>
        <v>7776049.766718505</v>
      </c>
      <c r="J643" s="28">
        <f t="shared" si="49"/>
        <v>8553654.7433903553</v>
      </c>
      <c r="K643" s="28">
        <f t="shared" si="50"/>
        <v>9331259.7200622074</v>
      </c>
      <c r="L643" s="28">
        <f t="shared" si="51"/>
        <v>10108864.696734058</v>
      </c>
      <c r="M643" s="28">
        <f t="shared" si="52"/>
        <v>10886469.673405908</v>
      </c>
      <c r="N643" s="28">
        <f t="shared" si="53"/>
        <v>11664074.650077758</v>
      </c>
      <c r="O643" s="28">
        <f t="shared" si="54"/>
        <v>12441679.626749609</v>
      </c>
      <c r="P643" s="28">
        <f t="shared" si="55"/>
        <v>13219284.603421459</v>
      </c>
      <c r="Q643" s="28">
        <f t="shared" si="56"/>
        <v>13996889.580093309</v>
      </c>
      <c r="R643" s="28">
        <f t="shared" si="57"/>
        <v>14774494.55676516</v>
      </c>
      <c r="S643" s="28">
        <f t="shared" si="58"/>
        <v>15552099.53343701</v>
      </c>
      <c r="T643" s="28">
        <f t="shared" si="59"/>
        <v>16329704.510108862</v>
      </c>
      <c r="U643" s="28">
        <f t="shared" si="60"/>
        <v>17107309.486780711</v>
      </c>
      <c r="V643" s="28">
        <f t="shared" si="61"/>
        <v>17884914.463452563</v>
      </c>
      <c r="W643" s="28">
        <f t="shared" si="62"/>
        <v>18662519.440124415</v>
      </c>
    </row>
    <row r="644" spans="1:23" x14ac:dyDescent="0.2">
      <c r="A644" s="28">
        <v>643</v>
      </c>
      <c r="B644" s="28">
        <v>310559.00621118012</v>
      </c>
      <c r="C644" s="28">
        <f t="shared" si="42"/>
        <v>3105590.0621118015</v>
      </c>
      <c r="D644" s="28">
        <f t="shared" si="43"/>
        <v>3881987.5776397521</v>
      </c>
      <c r="E644" s="28">
        <f t="shared" si="44"/>
        <v>4658385.0931677017</v>
      </c>
      <c r="F644" s="28">
        <f t="shared" si="45"/>
        <v>5434782.6086956523</v>
      </c>
      <c r="G644" s="28">
        <f t="shared" si="46"/>
        <v>6211180.1242236029</v>
      </c>
      <c r="H644" s="28">
        <f t="shared" si="47"/>
        <v>6987577.6397515535</v>
      </c>
      <c r="I644" s="28">
        <f t="shared" si="48"/>
        <v>7763975.1552795041</v>
      </c>
      <c r="J644" s="28">
        <f t="shared" si="49"/>
        <v>8540372.6708074547</v>
      </c>
      <c r="K644" s="28">
        <f t="shared" si="50"/>
        <v>9316770.1863354035</v>
      </c>
      <c r="L644" s="28">
        <f t="shared" si="51"/>
        <v>10093167.701863354</v>
      </c>
      <c r="M644" s="28">
        <f t="shared" si="52"/>
        <v>10869565.217391305</v>
      </c>
      <c r="N644" s="28">
        <f t="shared" si="53"/>
        <v>11645962.732919255</v>
      </c>
      <c r="O644" s="28">
        <f t="shared" si="54"/>
        <v>12422360.248447206</v>
      </c>
      <c r="P644" s="28">
        <f t="shared" si="55"/>
        <v>13198757.763975156</v>
      </c>
      <c r="Q644" s="28">
        <f t="shared" si="56"/>
        <v>13975155.279503107</v>
      </c>
      <c r="R644" s="28">
        <f t="shared" si="57"/>
        <v>14751552.795031058</v>
      </c>
      <c r="S644" s="28">
        <f t="shared" si="58"/>
        <v>15527950.310559008</v>
      </c>
      <c r="T644" s="28">
        <f t="shared" si="59"/>
        <v>16304347.826086957</v>
      </c>
      <c r="U644" s="28">
        <f t="shared" si="60"/>
        <v>17080745.341614909</v>
      </c>
      <c r="V644" s="28">
        <f t="shared" si="61"/>
        <v>17857142.857142858</v>
      </c>
      <c r="W644" s="28">
        <f t="shared" si="62"/>
        <v>18633540.372670807</v>
      </c>
    </row>
    <row r="645" spans="1:23" x14ac:dyDescent="0.2">
      <c r="A645" s="28">
        <v>644</v>
      </c>
      <c r="B645" s="28">
        <v>310077.51937984495</v>
      </c>
      <c r="C645" s="28">
        <f t="shared" si="42"/>
        <v>3100775.1937984494</v>
      </c>
      <c r="D645" s="28">
        <f t="shared" si="43"/>
        <v>3875968.9922480616</v>
      </c>
      <c r="E645" s="28">
        <f t="shared" si="44"/>
        <v>4651162.7906976743</v>
      </c>
      <c r="F645" s="28">
        <f t="shared" si="45"/>
        <v>5426356.5891472865</v>
      </c>
      <c r="G645" s="28">
        <f t="shared" si="46"/>
        <v>6201550.3875968987</v>
      </c>
      <c r="H645" s="28">
        <f t="shared" si="47"/>
        <v>6976744.1860465109</v>
      </c>
      <c r="I645" s="28">
        <f t="shared" si="48"/>
        <v>7751937.9844961232</v>
      </c>
      <c r="J645" s="28">
        <f t="shared" si="49"/>
        <v>8527131.7829457354</v>
      </c>
      <c r="K645" s="28">
        <f t="shared" si="50"/>
        <v>9302325.5813953485</v>
      </c>
      <c r="L645" s="28">
        <f t="shared" si="51"/>
        <v>10077519.37984496</v>
      </c>
      <c r="M645" s="28">
        <f t="shared" si="52"/>
        <v>10852713.178294573</v>
      </c>
      <c r="N645" s="28">
        <f t="shared" si="53"/>
        <v>11627906.976744184</v>
      </c>
      <c r="O645" s="28">
        <f t="shared" si="54"/>
        <v>12403100.775193797</v>
      </c>
      <c r="P645" s="28">
        <f t="shared" si="55"/>
        <v>13178294.573643411</v>
      </c>
      <c r="Q645" s="28">
        <f t="shared" si="56"/>
        <v>13953488.372093022</v>
      </c>
      <c r="R645" s="28">
        <f t="shared" si="57"/>
        <v>14728682.170542635</v>
      </c>
      <c r="S645" s="28">
        <f t="shared" si="58"/>
        <v>15503875.968992246</v>
      </c>
      <c r="T645" s="28">
        <f t="shared" si="59"/>
        <v>16279069.767441859</v>
      </c>
      <c r="U645" s="28">
        <f t="shared" si="60"/>
        <v>17054263.565891471</v>
      </c>
      <c r="V645" s="28">
        <f t="shared" si="61"/>
        <v>17829457.364341084</v>
      </c>
      <c r="W645" s="28">
        <f t="shared" si="62"/>
        <v>18604651.162790697</v>
      </c>
    </row>
    <row r="646" spans="1:23" x14ac:dyDescent="0.2">
      <c r="A646" s="28">
        <v>645</v>
      </c>
      <c r="B646" s="28">
        <v>309597.52321981423</v>
      </c>
      <c r="C646" s="28">
        <f t="shared" si="42"/>
        <v>3095975.2321981424</v>
      </c>
      <c r="D646" s="28">
        <f t="shared" si="43"/>
        <v>3869969.0402476778</v>
      </c>
      <c r="E646" s="28">
        <f t="shared" si="44"/>
        <v>4643962.8482972141</v>
      </c>
      <c r="F646" s="28">
        <f t="shared" si="45"/>
        <v>5417956.6563467495</v>
      </c>
      <c r="G646" s="28">
        <f t="shared" si="46"/>
        <v>6191950.4643962849</v>
      </c>
      <c r="H646" s="28">
        <f t="shared" si="47"/>
        <v>6965944.2724458203</v>
      </c>
      <c r="I646" s="28">
        <f t="shared" si="48"/>
        <v>7739938.0804953557</v>
      </c>
      <c r="J646" s="28">
        <f t="shared" si="49"/>
        <v>8513931.888544891</v>
      </c>
      <c r="K646" s="28">
        <f t="shared" si="50"/>
        <v>9287925.6965944283</v>
      </c>
      <c r="L646" s="28">
        <f t="shared" si="51"/>
        <v>10061919.504643964</v>
      </c>
      <c r="M646" s="28">
        <f t="shared" si="52"/>
        <v>10835913.312693499</v>
      </c>
      <c r="N646" s="28">
        <f t="shared" si="53"/>
        <v>11609907.120743034</v>
      </c>
      <c r="O646" s="28">
        <f t="shared" si="54"/>
        <v>12383900.92879257</v>
      </c>
      <c r="P646" s="28">
        <f t="shared" si="55"/>
        <v>13157894.736842105</v>
      </c>
      <c r="Q646" s="28">
        <f t="shared" si="56"/>
        <v>13931888.544891641</v>
      </c>
      <c r="R646" s="28">
        <f t="shared" si="57"/>
        <v>14705882.352941176</v>
      </c>
      <c r="S646" s="28">
        <f t="shared" si="58"/>
        <v>15479876.160990711</v>
      </c>
      <c r="T646" s="28">
        <f t="shared" si="59"/>
        <v>16253869.969040249</v>
      </c>
      <c r="U646" s="28">
        <f t="shared" si="60"/>
        <v>17027863.777089782</v>
      </c>
      <c r="V646" s="28">
        <f t="shared" si="61"/>
        <v>17801857.585139319</v>
      </c>
      <c r="W646" s="28">
        <f t="shared" si="62"/>
        <v>18575851.393188857</v>
      </c>
    </row>
    <row r="647" spans="1:23" x14ac:dyDescent="0.2">
      <c r="A647" s="28">
        <v>646</v>
      </c>
      <c r="B647" s="28">
        <v>309119.01081916539</v>
      </c>
      <c r="C647" s="28">
        <f t="shared" si="42"/>
        <v>3091190.1081916541</v>
      </c>
      <c r="D647" s="28">
        <f t="shared" si="43"/>
        <v>3863987.6352395676</v>
      </c>
      <c r="E647" s="28">
        <f t="shared" si="44"/>
        <v>4636785.1622874811</v>
      </c>
      <c r="F647" s="28">
        <f t="shared" si="45"/>
        <v>5409582.6893353947</v>
      </c>
      <c r="G647" s="28">
        <f t="shared" si="46"/>
        <v>6182380.2163833082</v>
      </c>
      <c r="H647" s="28">
        <f t="shared" si="47"/>
        <v>6955177.7434312217</v>
      </c>
      <c r="I647" s="28">
        <f t="shared" si="48"/>
        <v>7727975.2704791352</v>
      </c>
      <c r="J647" s="28">
        <f t="shared" si="49"/>
        <v>8500772.7975270487</v>
      </c>
      <c r="K647" s="28">
        <f t="shared" si="50"/>
        <v>9273570.3245749623</v>
      </c>
      <c r="L647" s="28">
        <f t="shared" si="51"/>
        <v>10046367.851622876</v>
      </c>
      <c r="M647" s="28">
        <f t="shared" si="52"/>
        <v>10819165.378670789</v>
      </c>
      <c r="N647" s="28">
        <f t="shared" si="53"/>
        <v>11591962.905718703</v>
      </c>
      <c r="O647" s="28">
        <f t="shared" si="54"/>
        <v>12364760.432766616</v>
      </c>
      <c r="P647" s="28">
        <f t="shared" si="55"/>
        <v>13137557.95981453</v>
      </c>
      <c r="Q647" s="28">
        <f t="shared" si="56"/>
        <v>13910355.486862443</v>
      </c>
      <c r="R647" s="28">
        <f t="shared" si="57"/>
        <v>14683153.013910357</v>
      </c>
      <c r="S647" s="28">
        <f t="shared" si="58"/>
        <v>15455950.54095827</v>
      </c>
      <c r="T647" s="28">
        <f t="shared" si="59"/>
        <v>16228748.068006184</v>
      </c>
      <c r="U647" s="28">
        <f t="shared" si="60"/>
        <v>17001545.595054097</v>
      </c>
      <c r="V647" s="28">
        <f t="shared" si="61"/>
        <v>17774343.122102011</v>
      </c>
      <c r="W647" s="28">
        <f t="shared" si="62"/>
        <v>18547140.649149925</v>
      </c>
    </row>
    <row r="648" spans="1:23" x14ac:dyDescent="0.2">
      <c r="A648" s="28">
        <v>647</v>
      </c>
      <c r="B648" s="28">
        <v>308641.97530864197</v>
      </c>
      <c r="C648" s="28">
        <f t="shared" si="42"/>
        <v>3086419.7530864198</v>
      </c>
      <c r="D648" s="28">
        <f t="shared" si="43"/>
        <v>3858024.6913580247</v>
      </c>
      <c r="E648" s="28">
        <f t="shared" si="44"/>
        <v>4629629.6296296297</v>
      </c>
      <c r="F648" s="28">
        <f t="shared" si="45"/>
        <v>5401234.5679012351</v>
      </c>
      <c r="G648" s="28">
        <f t="shared" si="46"/>
        <v>6172839.5061728396</v>
      </c>
      <c r="H648" s="28">
        <f t="shared" si="47"/>
        <v>6944444.444444444</v>
      </c>
      <c r="I648" s="28">
        <f t="shared" si="48"/>
        <v>7716049.3827160494</v>
      </c>
      <c r="J648" s="28">
        <f t="shared" si="49"/>
        <v>8487654.3209876548</v>
      </c>
      <c r="K648" s="28">
        <f t="shared" si="50"/>
        <v>9259259.2592592593</v>
      </c>
      <c r="L648" s="28">
        <f t="shared" si="51"/>
        <v>10030864.197530864</v>
      </c>
      <c r="M648" s="28">
        <f t="shared" si="52"/>
        <v>10802469.13580247</v>
      </c>
      <c r="N648" s="28">
        <f t="shared" si="53"/>
        <v>11574074.074074075</v>
      </c>
      <c r="O648" s="28">
        <f t="shared" si="54"/>
        <v>12345679.012345679</v>
      </c>
      <c r="P648" s="28">
        <f t="shared" si="55"/>
        <v>13117283.950617284</v>
      </c>
      <c r="Q648" s="28">
        <f t="shared" si="56"/>
        <v>13888888.888888888</v>
      </c>
      <c r="R648" s="28">
        <f t="shared" si="57"/>
        <v>14660493.827160494</v>
      </c>
      <c r="S648" s="28">
        <f t="shared" si="58"/>
        <v>15432098.765432099</v>
      </c>
      <c r="T648" s="28">
        <f t="shared" si="59"/>
        <v>16203703.703703703</v>
      </c>
      <c r="U648" s="28">
        <f t="shared" si="60"/>
        <v>16975308.64197531</v>
      </c>
      <c r="V648" s="28">
        <f t="shared" si="61"/>
        <v>17746913.580246914</v>
      </c>
      <c r="W648" s="28">
        <f t="shared" si="62"/>
        <v>18518518.518518519</v>
      </c>
    </row>
    <row r="649" spans="1:23" x14ac:dyDescent="0.2">
      <c r="A649" s="28">
        <v>648</v>
      </c>
      <c r="B649" s="28">
        <v>308166.40986132511</v>
      </c>
      <c r="C649" s="28">
        <f t="shared" si="42"/>
        <v>3081664.098613251</v>
      </c>
      <c r="D649" s="28">
        <f t="shared" si="43"/>
        <v>3852080.1232665638</v>
      </c>
      <c r="E649" s="28">
        <f t="shared" si="44"/>
        <v>4622496.1479198765</v>
      </c>
      <c r="F649" s="28">
        <f t="shared" si="45"/>
        <v>5392912.1725731893</v>
      </c>
      <c r="G649" s="28">
        <f t="shared" si="46"/>
        <v>6163328.197226502</v>
      </c>
      <c r="H649" s="28">
        <f t="shared" si="47"/>
        <v>6933744.2218798148</v>
      </c>
      <c r="I649" s="28">
        <f t="shared" si="48"/>
        <v>7704160.2465331275</v>
      </c>
      <c r="J649" s="28">
        <f t="shared" si="49"/>
        <v>8474576.2711864412</v>
      </c>
      <c r="K649" s="28">
        <f t="shared" si="50"/>
        <v>9244992.295839753</v>
      </c>
      <c r="L649" s="28">
        <f t="shared" si="51"/>
        <v>10015408.320493065</v>
      </c>
      <c r="M649" s="28">
        <f t="shared" si="52"/>
        <v>10785824.345146379</v>
      </c>
      <c r="N649" s="28">
        <f t="shared" si="53"/>
        <v>11556240.369799692</v>
      </c>
      <c r="O649" s="28">
        <f t="shared" si="54"/>
        <v>12326656.394453004</v>
      </c>
      <c r="P649" s="28">
        <f t="shared" si="55"/>
        <v>13097072.419106316</v>
      </c>
      <c r="Q649" s="28">
        <f t="shared" si="56"/>
        <v>13867488.44375963</v>
      </c>
      <c r="R649" s="28">
        <f t="shared" si="57"/>
        <v>14637904.468412943</v>
      </c>
      <c r="S649" s="28">
        <f t="shared" si="58"/>
        <v>15408320.493066255</v>
      </c>
      <c r="T649" s="28">
        <f t="shared" si="59"/>
        <v>16178736.517719567</v>
      </c>
      <c r="U649" s="28">
        <f t="shared" si="60"/>
        <v>16949152.542372882</v>
      </c>
      <c r="V649" s="28">
        <f t="shared" si="61"/>
        <v>17719568.567026194</v>
      </c>
      <c r="W649" s="28">
        <f t="shared" si="62"/>
        <v>18489984.591679506</v>
      </c>
    </row>
    <row r="650" spans="1:23" x14ac:dyDescent="0.2">
      <c r="A650" s="28">
        <v>649</v>
      </c>
      <c r="B650" s="28">
        <v>307692.30769230769</v>
      </c>
      <c r="C650" s="28">
        <f t="shared" si="42"/>
        <v>3076923.076923077</v>
      </c>
      <c r="D650" s="28">
        <f t="shared" si="43"/>
        <v>3846153.846153846</v>
      </c>
      <c r="E650" s="28">
        <f t="shared" si="44"/>
        <v>4615384.615384616</v>
      </c>
      <c r="F650" s="28">
        <f t="shared" si="45"/>
        <v>5384615.384615385</v>
      </c>
      <c r="G650" s="28">
        <f t="shared" si="46"/>
        <v>6153846.153846154</v>
      </c>
      <c r="H650" s="28">
        <f t="shared" si="47"/>
        <v>6923076.923076923</v>
      </c>
      <c r="I650" s="28">
        <f t="shared" si="48"/>
        <v>7692307.692307692</v>
      </c>
      <c r="J650" s="28">
        <f t="shared" si="49"/>
        <v>8461538.461538462</v>
      </c>
      <c r="K650" s="28">
        <f t="shared" si="50"/>
        <v>9230769.2307692319</v>
      </c>
      <c r="L650" s="28">
        <f t="shared" si="51"/>
        <v>10000000</v>
      </c>
      <c r="M650" s="28">
        <f t="shared" si="52"/>
        <v>10769230.76923077</v>
      </c>
      <c r="N650" s="28">
        <f t="shared" si="53"/>
        <v>11538461.538461538</v>
      </c>
      <c r="O650" s="28">
        <f t="shared" si="54"/>
        <v>12307692.307692308</v>
      </c>
      <c r="P650" s="28">
        <f t="shared" si="55"/>
        <v>13076923.076923078</v>
      </c>
      <c r="Q650" s="28">
        <f t="shared" si="56"/>
        <v>13846153.846153846</v>
      </c>
      <c r="R650" s="28">
        <f t="shared" si="57"/>
        <v>14615384.615384616</v>
      </c>
      <c r="S650" s="28">
        <f t="shared" si="58"/>
        <v>15384615.384615384</v>
      </c>
      <c r="T650" s="28">
        <f t="shared" si="59"/>
        <v>16153846.153846154</v>
      </c>
      <c r="U650" s="28">
        <f t="shared" si="60"/>
        <v>16923076.923076924</v>
      </c>
      <c r="V650" s="28">
        <f t="shared" si="61"/>
        <v>17692307.692307692</v>
      </c>
      <c r="W650" s="28">
        <f t="shared" si="62"/>
        <v>18461538.461538464</v>
      </c>
    </row>
    <row r="651" spans="1:23" x14ac:dyDescent="0.2">
      <c r="A651" s="28">
        <v>650</v>
      </c>
      <c r="B651" s="28">
        <v>307219.6620583717</v>
      </c>
      <c r="C651" s="28">
        <f t="shared" si="42"/>
        <v>3072196.6205837168</v>
      </c>
      <c r="D651" s="28">
        <f t="shared" si="43"/>
        <v>3840245.775729646</v>
      </c>
      <c r="E651" s="28">
        <f t="shared" si="44"/>
        <v>4608294.9308755752</v>
      </c>
      <c r="F651" s="28">
        <f t="shared" si="45"/>
        <v>5376344.0860215044</v>
      </c>
      <c r="G651" s="28">
        <f t="shared" si="46"/>
        <v>6144393.2411674336</v>
      </c>
      <c r="H651" s="28">
        <f t="shared" si="47"/>
        <v>6912442.3963133628</v>
      </c>
      <c r="I651" s="28">
        <f t="shared" si="48"/>
        <v>7680491.5514592919</v>
      </c>
      <c r="J651" s="28">
        <f t="shared" si="49"/>
        <v>8448540.7066052221</v>
      </c>
      <c r="K651" s="28">
        <f t="shared" si="50"/>
        <v>9216589.8617511503</v>
      </c>
      <c r="L651" s="28">
        <f t="shared" si="51"/>
        <v>9984639.0168970786</v>
      </c>
      <c r="M651" s="28">
        <f t="shared" si="52"/>
        <v>10752688.172043009</v>
      </c>
      <c r="N651" s="28">
        <f t="shared" si="53"/>
        <v>11520737.327188939</v>
      </c>
      <c r="O651" s="28">
        <f t="shared" si="54"/>
        <v>12288786.482334867</v>
      </c>
      <c r="P651" s="28">
        <f t="shared" si="55"/>
        <v>13056835.637480795</v>
      </c>
      <c r="Q651" s="28">
        <f t="shared" si="56"/>
        <v>13824884.792626726</v>
      </c>
      <c r="R651" s="28">
        <f t="shared" si="57"/>
        <v>14592933.947772656</v>
      </c>
      <c r="S651" s="28">
        <f t="shared" si="58"/>
        <v>15360983.102918584</v>
      </c>
      <c r="T651" s="28">
        <f t="shared" si="59"/>
        <v>16129032.258064512</v>
      </c>
      <c r="U651" s="28">
        <f t="shared" si="60"/>
        <v>16897081.413210444</v>
      </c>
      <c r="V651" s="28">
        <f t="shared" si="61"/>
        <v>17665130.568356372</v>
      </c>
      <c r="W651" s="28">
        <f t="shared" si="62"/>
        <v>18433179.723502301</v>
      </c>
    </row>
    <row r="652" spans="1:23" x14ac:dyDescent="0.2">
      <c r="A652" s="28">
        <v>651</v>
      </c>
      <c r="B652" s="28">
        <v>306748.46625766874</v>
      </c>
      <c r="C652" s="28">
        <f t="shared" si="42"/>
        <v>3067484.6625766875</v>
      </c>
      <c r="D652" s="28">
        <f t="shared" si="43"/>
        <v>3834355.8282208592</v>
      </c>
      <c r="E652" s="28">
        <f t="shared" si="44"/>
        <v>4601226.9938650317</v>
      </c>
      <c r="F652" s="28">
        <f t="shared" si="45"/>
        <v>5368098.1595092034</v>
      </c>
      <c r="G652" s="28">
        <f t="shared" si="46"/>
        <v>6134969.325153375</v>
      </c>
      <c r="H652" s="28">
        <f t="shared" si="47"/>
        <v>6901840.4907975467</v>
      </c>
      <c r="I652" s="28">
        <f t="shared" si="48"/>
        <v>7668711.6564417183</v>
      </c>
      <c r="J652" s="28">
        <f t="shared" si="49"/>
        <v>8435582.8220858909</v>
      </c>
      <c r="K652" s="28">
        <f t="shared" si="50"/>
        <v>9202453.9877300635</v>
      </c>
      <c r="L652" s="28">
        <f t="shared" si="51"/>
        <v>9969325.1533742342</v>
      </c>
      <c r="M652" s="28">
        <f t="shared" si="52"/>
        <v>10736196.319018407</v>
      </c>
      <c r="N652" s="28">
        <f t="shared" si="53"/>
        <v>11503067.484662578</v>
      </c>
      <c r="O652" s="28">
        <f t="shared" si="54"/>
        <v>12269938.65030675</v>
      </c>
      <c r="P652" s="28">
        <f t="shared" si="55"/>
        <v>13036809.815950923</v>
      </c>
      <c r="Q652" s="28">
        <f t="shared" si="56"/>
        <v>13803680.981595093</v>
      </c>
      <c r="R652" s="28">
        <f t="shared" si="57"/>
        <v>14570552.147239266</v>
      </c>
      <c r="S652" s="28">
        <f t="shared" si="58"/>
        <v>15337423.312883437</v>
      </c>
      <c r="T652" s="28">
        <f t="shared" si="59"/>
        <v>16104294.478527609</v>
      </c>
      <c r="U652" s="28">
        <f t="shared" si="60"/>
        <v>16871165.644171782</v>
      </c>
      <c r="V652" s="28">
        <f t="shared" si="61"/>
        <v>17638036.809815954</v>
      </c>
      <c r="W652" s="28">
        <f t="shared" si="62"/>
        <v>18404907.975460127</v>
      </c>
    </row>
    <row r="653" spans="1:23" x14ac:dyDescent="0.2">
      <c r="A653" s="28">
        <v>652</v>
      </c>
      <c r="B653" s="28">
        <v>306278.71362940274</v>
      </c>
      <c r="C653" s="28">
        <f t="shared" si="42"/>
        <v>3062787.1362940273</v>
      </c>
      <c r="D653" s="28">
        <f t="shared" si="43"/>
        <v>3828483.9203675343</v>
      </c>
      <c r="E653" s="28">
        <f t="shared" si="44"/>
        <v>4594180.7044410408</v>
      </c>
      <c r="F653" s="28">
        <f t="shared" si="45"/>
        <v>5359877.4885145482</v>
      </c>
      <c r="G653" s="28">
        <f t="shared" si="46"/>
        <v>6125574.2725880546</v>
      </c>
      <c r="H653" s="28">
        <f t="shared" si="47"/>
        <v>6891271.0566615611</v>
      </c>
      <c r="I653" s="28">
        <f t="shared" si="48"/>
        <v>7656967.8407350685</v>
      </c>
      <c r="J653" s="28">
        <f t="shared" si="49"/>
        <v>8422664.624808576</v>
      </c>
      <c r="K653" s="28">
        <f t="shared" si="50"/>
        <v>9188361.4088820815</v>
      </c>
      <c r="L653" s="28">
        <f t="shared" si="51"/>
        <v>9954058.1929555889</v>
      </c>
      <c r="M653" s="28">
        <f t="shared" si="52"/>
        <v>10719754.977029096</v>
      </c>
      <c r="N653" s="28">
        <f t="shared" si="53"/>
        <v>11485451.761102602</v>
      </c>
      <c r="O653" s="28">
        <f t="shared" si="54"/>
        <v>12251148.545176109</v>
      </c>
      <c r="P653" s="28">
        <f t="shared" si="55"/>
        <v>13016845.329249617</v>
      </c>
      <c r="Q653" s="28">
        <f t="shared" si="56"/>
        <v>13782542.113323122</v>
      </c>
      <c r="R653" s="28">
        <f t="shared" si="57"/>
        <v>14548238.89739663</v>
      </c>
      <c r="S653" s="28">
        <f t="shared" si="58"/>
        <v>15313935.681470137</v>
      </c>
      <c r="T653" s="28">
        <f t="shared" si="59"/>
        <v>16079632.465543643</v>
      </c>
      <c r="U653" s="28">
        <f t="shared" si="60"/>
        <v>16845329.249617152</v>
      </c>
      <c r="V653" s="28">
        <f t="shared" si="61"/>
        <v>17611026.033690657</v>
      </c>
      <c r="W653" s="28">
        <f t="shared" si="62"/>
        <v>18376722.817764163</v>
      </c>
    </row>
    <row r="654" spans="1:23" x14ac:dyDescent="0.2">
      <c r="A654" s="28">
        <v>653</v>
      </c>
      <c r="B654" s="28">
        <v>305810.39755351684</v>
      </c>
      <c r="C654" s="28">
        <f t="shared" si="42"/>
        <v>3058103.9755351683</v>
      </c>
      <c r="D654" s="28">
        <f t="shared" si="43"/>
        <v>3822629.9694189606</v>
      </c>
      <c r="E654" s="28">
        <f t="shared" si="44"/>
        <v>4587155.963302752</v>
      </c>
      <c r="F654" s="28">
        <f t="shared" si="45"/>
        <v>5351681.9571865443</v>
      </c>
      <c r="G654" s="28">
        <f t="shared" si="46"/>
        <v>6116207.9510703366</v>
      </c>
      <c r="H654" s="28">
        <f t="shared" si="47"/>
        <v>6880733.9449541289</v>
      </c>
      <c r="I654" s="28">
        <f t="shared" si="48"/>
        <v>7645259.9388379212</v>
      </c>
      <c r="J654" s="28">
        <f t="shared" si="49"/>
        <v>8409785.9327217136</v>
      </c>
      <c r="K654" s="28">
        <f t="shared" si="50"/>
        <v>9174311.926605504</v>
      </c>
      <c r="L654" s="28">
        <f t="shared" si="51"/>
        <v>9938837.9204892963</v>
      </c>
      <c r="M654" s="28">
        <f t="shared" si="52"/>
        <v>10703363.914373089</v>
      </c>
      <c r="N654" s="28">
        <f t="shared" si="53"/>
        <v>11467889.908256881</v>
      </c>
      <c r="O654" s="28">
        <f t="shared" si="54"/>
        <v>12232415.902140673</v>
      </c>
      <c r="P654" s="28">
        <f t="shared" si="55"/>
        <v>12996941.896024466</v>
      </c>
      <c r="Q654" s="28">
        <f t="shared" si="56"/>
        <v>13761467.889908258</v>
      </c>
      <c r="R654" s="28">
        <f t="shared" si="57"/>
        <v>14525993.88379205</v>
      </c>
      <c r="S654" s="28">
        <f t="shared" si="58"/>
        <v>15290519.877675842</v>
      </c>
      <c r="T654" s="28">
        <f t="shared" si="59"/>
        <v>16055045.871559633</v>
      </c>
      <c r="U654" s="28">
        <f t="shared" si="60"/>
        <v>16819571.865443427</v>
      </c>
      <c r="V654" s="28">
        <f t="shared" si="61"/>
        <v>17584097.859327219</v>
      </c>
      <c r="W654" s="28">
        <f t="shared" si="62"/>
        <v>18348623.853211008</v>
      </c>
    </row>
    <row r="655" spans="1:23" x14ac:dyDescent="0.2">
      <c r="A655" s="28">
        <v>654</v>
      </c>
      <c r="B655" s="28">
        <v>305343.51145038166</v>
      </c>
      <c r="C655" s="28">
        <f t="shared" si="42"/>
        <v>3053435.1145038167</v>
      </c>
      <c r="D655" s="28">
        <f t="shared" si="43"/>
        <v>3816793.8931297706</v>
      </c>
      <c r="E655" s="28">
        <f t="shared" si="44"/>
        <v>4580152.6717557255</v>
      </c>
      <c r="F655" s="28">
        <f t="shared" si="45"/>
        <v>5343511.4503816795</v>
      </c>
      <c r="G655" s="28">
        <f t="shared" si="46"/>
        <v>6106870.2290076334</v>
      </c>
      <c r="H655" s="28">
        <f t="shared" si="47"/>
        <v>6870229.0076335873</v>
      </c>
      <c r="I655" s="28">
        <f t="shared" si="48"/>
        <v>7633587.7862595413</v>
      </c>
      <c r="J655" s="28">
        <f t="shared" si="49"/>
        <v>8396946.5648854952</v>
      </c>
      <c r="K655" s="28">
        <f t="shared" si="50"/>
        <v>9160305.343511451</v>
      </c>
      <c r="L655" s="28">
        <f t="shared" si="51"/>
        <v>9923664.122137405</v>
      </c>
      <c r="M655" s="28">
        <f t="shared" si="52"/>
        <v>10687022.900763359</v>
      </c>
      <c r="N655" s="28">
        <f t="shared" si="53"/>
        <v>11450381.679389313</v>
      </c>
      <c r="O655" s="28">
        <f t="shared" si="54"/>
        <v>12213740.458015267</v>
      </c>
      <c r="P655" s="28">
        <f t="shared" si="55"/>
        <v>12977099.236641221</v>
      </c>
      <c r="Q655" s="28">
        <f t="shared" si="56"/>
        <v>13740458.015267175</v>
      </c>
      <c r="R655" s="28">
        <f t="shared" si="57"/>
        <v>14503816.793893129</v>
      </c>
      <c r="S655" s="28">
        <f t="shared" si="58"/>
        <v>15267175.572519083</v>
      </c>
      <c r="T655" s="28">
        <f t="shared" si="59"/>
        <v>16030534.351145038</v>
      </c>
      <c r="U655" s="28">
        <f t="shared" si="60"/>
        <v>16793893.12977099</v>
      </c>
      <c r="V655" s="28">
        <f t="shared" si="61"/>
        <v>17557251.908396944</v>
      </c>
      <c r="W655" s="28">
        <f t="shared" si="62"/>
        <v>18320610.687022902</v>
      </c>
    </row>
    <row r="656" spans="1:23" x14ac:dyDescent="0.2">
      <c r="A656" s="28">
        <v>655</v>
      </c>
      <c r="B656" s="28">
        <v>304878.04878048779</v>
      </c>
      <c r="C656" s="28">
        <f t="shared" si="42"/>
        <v>3048780.487804878</v>
      </c>
      <c r="D656" s="28">
        <f t="shared" si="43"/>
        <v>3810975.6097560977</v>
      </c>
      <c r="E656" s="28">
        <f t="shared" si="44"/>
        <v>4573170.7317073168</v>
      </c>
      <c r="F656" s="28">
        <f t="shared" si="45"/>
        <v>5335365.8536585364</v>
      </c>
      <c r="G656" s="28">
        <f t="shared" si="46"/>
        <v>6097560.9756097561</v>
      </c>
      <c r="H656" s="28">
        <f t="shared" si="47"/>
        <v>6859756.0975609757</v>
      </c>
      <c r="I656" s="28">
        <f t="shared" si="48"/>
        <v>7621951.2195121953</v>
      </c>
      <c r="J656" s="28">
        <f t="shared" si="49"/>
        <v>8384146.341463415</v>
      </c>
      <c r="K656" s="28">
        <f t="shared" si="50"/>
        <v>9146341.4634146336</v>
      </c>
      <c r="L656" s="28">
        <f t="shared" si="51"/>
        <v>9908536.5853658542</v>
      </c>
      <c r="M656" s="28">
        <f t="shared" si="52"/>
        <v>10670731.707317073</v>
      </c>
      <c r="N656" s="28">
        <f t="shared" si="53"/>
        <v>11432926.829268293</v>
      </c>
      <c r="O656" s="28">
        <f t="shared" si="54"/>
        <v>12195121.951219512</v>
      </c>
      <c r="P656" s="28">
        <f t="shared" si="55"/>
        <v>12957317.073170731</v>
      </c>
      <c r="Q656" s="28">
        <f t="shared" si="56"/>
        <v>13719512.195121951</v>
      </c>
      <c r="R656" s="28">
        <f t="shared" si="57"/>
        <v>14481707.31707317</v>
      </c>
      <c r="S656" s="28">
        <f t="shared" si="58"/>
        <v>15243902.439024391</v>
      </c>
      <c r="T656" s="28">
        <f t="shared" si="59"/>
        <v>16006097.560975609</v>
      </c>
      <c r="U656" s="28">
        <f t="shared" si="60"/>
        <v>16768292.68292683</v>
      </c>
      <c r="V656" s="28">
        <f t="shared" si="61"/>
        <v>17530487.804878049</v>
      </c>
      <c r="W656" s="28">
        <f t="shared" si="62"/>
        <v>18292682.926829267</v>
      </c>
    </row>
    <row r="657" spans="1:23" x14ac:dyDescent="0.2">
      <c r="A657" s="28">
        <v>656</v>
      </c>
      <c r="B657" s="28">
        <v>304414.00304414006</v>
      </c>
      <c r="C657" s="28">
        <f t="shared" si="42"/>
        <v>3044140.0304414006</v>
      </c>
      <c r="D657" s="28">
        <f t="shared" si="43"/>
        <v>3805175.0380517505</v>
      </c>
      <c r="E657" s="28">
        <f t="shared" si="44"/>
        <v>4566210.0456621014</v>
      </c>
      <c r="F657" s="28">
        <f t="shared" si="45"/>
        <v>5327245.0532724513</v>
      </c>
      <c r="G657" s="28">
        <f t="shared" si="46"/>
        <v>6088280.0608828012</v>
      </c>
      <c r="H657" s="28">
        <f t="shared" si="47"/>
        <v>6849315.0684931511</v>
      </c>
      <c r="I657" s="28">
        <f t="shared" si="48"/>
        <v>7610350.076103501</v>
      </c>
      <c r="J657" s="28">
        <f t="shared" si="49"/>
        <v>8371385.0837138519</v>
      </c>
      <c r="K657" s="28">
        <f t="shared" si="50"/>
        <v>9132420.0913242027</v>
      </c>
      <c r="L657" s="28">
        <f t="shared" si="51"/>
        <v>9893455.0989345517</v>
      </c>
      <c r="M657" s="28">
        <f t="shared" si="52"/>
        <v>10654490.106544903</v>
      </c>
      <c r="N657" s="28">
        <f t="shared" si="53"/>
        <v>11415525.114155252</v>
      </c>
      <c r="O657" s="28">
        <f t="shared" si="54"/>
        <v>12176560.121765602</v>
      </c>
      <c r="P657" s="28">
        <f t="shared" si="55"/>
        <v>12937595.129375953</v>
      </c>
      <c r="Q657" s="28">
        <f t="shared" si="56"/>
        <v>13698630.136986302</v>
      </c>
      <c r="R657" s="28">
        <f t="shared" si="57"/>
        <v>14459665.144596653</v>
      </c>
      <c r="S657" s="28">
        <f t="shared" si="58"/>
        <v>15220700.152207002</v>
      </c>
      <c r="T657" s="28">
        <f t="shared" si="59"/>
        <v>15981735.159817353</v>
      </c>
      <c r="U657" s="28">
        <f t="shared" si="60"/>
        <v>16742770.167427704</v>
      </c>
      <c r="V657" s="28">
        <f t="shared" si="61"/>
        <v>17503805.175038055</v>
      </c>
      <c r="W657" s="28">
        <f t="shared" si="62"/>
        <v>18264840.182648405</v>
      </c>
    </row>
    <row r="658" spans="1:23" x14ac:dyDescent="0.2">
      <c r="A658" s="28">
        <v>657</v>
      </c>
      <c r="B658" s="28">
        <v>303951.36778115499</v>
      </c>
      <c r="C658" s="28">
        <f t="shared" si="42"/>
        <v>3039513.67781155</v>
      </c>
      <c r="D658" s="28">
        <f t="shared" si="43"/>
        <v>3799392.0972644375</v>
      </c>
      <c r="E658" s="28">
        <f t="shared" si="44"/>
        <v>4559270.516717325</v>
      </c>
      <c r="F658" s="28">
        <f t="shared" si="45"/>
        <v>5319148.9361702129</v>
      </c>
      <c r="G658" s="28">
        <f t="shared" si="46"/>
        <v>6079027.3556231</v>
      </c>
      <c r="H658" s="28">
        <f t="shared" si="47"/>
        <v>6838905.775075987</v>
      </c>
      <c r="I658" s="28">
        <f t="shared" si="48"/>
        <v>7598784.1945288749</v>
      </c>
      <c r="J658" s="28">
        <f t="shared" si="49"/>
        <v>8358662.6139817629</v>
      </c>
      <c r="K658" s="28">
        <f t="shared" si="50"/>
        <v>9118541.0334346499</v>
      </c>
      <c r="L658" s="28">
        <f t="shared" si="51"/>
        <v>9878419.452887537</v>
      </c>
      <c r="M658" s="28">
        <f t="shared" si="52"/>
        <v>10638297.872340426</v>
      </c>
      <c r="N658" s="28">
        <f t="shared" si="53"/>
        <v>11398176.291793313</v>
      </c>
      <c r="O658" s="28">
        <f t="shared" si="54"/>
        <v>12158054.7112462</v>
      </c>
      <c r="P658" s="28">
        <f t="shared" si="55"/>
        <v>12917933.130699087</v>
      </c>
      <c r="Q658" s="28">
        <f t="shared" si="56"/>
        <v>13677811.550151974</v>
      </c>
      <c r="R658" s="28">
        <f t="shared" si="57"/>
        <v>14437689.969604863</v>
      </c>
      <c r="S658" s="28">
        <f t="shared" si="58"/>
        <v>15197568.38905775</v>
      </c>
      <c r="T658" s="28">
        <f t="shared" si="59"/>
        <v>15957446.808510637</v>
      </c>
      <c r="U658" s="28">
        <f t="shared" si="60"/>
        <v>16717325.227963526</v>
      </c>
      <c r="V658" s="28">
        <f t="shared" si="61"/>
        <v>17477203.647416413</v>
      </c>
      <c r="W658" s="28">
        <f t="shared" si="62"/>
        <v>18237082.0668693</v>
      </c>
    </row>
    <row r="659" spans="1:23" x14ac:dyDescent="0.2">
      <c r="A659" s="28">
        <v>658</v>
      </c>
      <c r="B659" s="28">
        <v>303490.13657056144</v>
      </c>
      <c r="C659" s="28">
        <f t="shared" si="42"/>
        <v>3034901.3657056144</v>
      </c>
      <c r="D659" s="28">
        <f t="shared" si="43"/>
        <v>3793626.7071320182</v>
      </c>
      <c r="E659" s="28">
        <f t="shared" si="44"/>
        <v>4552352.0485584214</v>
      </c>
      <c r="F659" s="28">
        <f t="shared" si="45"/>
        <v>5311077.3899848256</v>
      </c>
      <c r="G659" s="28">
        <f t="shared" si="46"/>
        <v>6069802.7314112289</v>
      </c>
      <c r="H659" s="28">
        <f t="shared" si="47"/>
        <v>6828528.0728376321</v>
      </c>
      <c r="I659" s="28">
        <f t="shared" si="48"/>
        <v>7587253.4142640363</v>
      </c>
      <c r="J659" s="28">
        <f t="shared" si="49"/>
        <v>8345978.7556904396</v>
      </c>
      <c r="K659" s="28">
        <f t="shared" si="50"/>
        <v>9104704.0971168429</v>
      </c>
      <c r="L659" s="28">
        <f t="shared" si="51"/>
        <v>9863429.4385432471</v>
      </c>
      <c r="M659" s="28">
        <f t="shared" si="52"/>
        <v>10622154.779969651</v>
      </c>
      <c r="N659" s="28">
        <f t="shared" si="53"/>
        <v>11380880.121396054</v>
      </c>
      <c r="O659" s="28">
        <f t="shared" si="54"/>
        <v>12139605.462822458</v>
      </c>
      <c r="P659" s="28">
        <f t="shared" si="55"/>
        <v>12898330.804248862</v>
      </c>
      <c r="Q659" s="28">
        <f t="shared" si="56"/>
        <v>13657056.145675264</v>
      </c>
      <c r="R659" s="28">
        <f t="shared" si="57"/>
        <v>14415781.487101668</v>
      </c>
      <c r="S659" s="28">
        <f t="shared" si="58"/>
        <v>15174506.828528073</v>
      </c>
      <c r="T659" s="28">
        <f t="shared" si="59"/>
        <v>15933232.169954475</v>
      </c>
      <c r="U659" s="28">
        <f t="shared" si="60"/>
        <v>16691957.511380879</v>
      </c>
      <c r="V659" s="28">
        <f t="shared" si="61"/>
        <v>17450682.852807283</v>
      </c>
      <c r="W659" s="28">
        <f t="shared" si="62"/>
        <v>18209408.194233686</v>
      </c>
    </row>
    <row r="660" spans="1:23" x14ac:dyDescent="0.2">
      <c r="A660" s="28">
        <v>659</v>
      </c>
      <c r="B660" s="28">
        <v>303030.30303030304</v>
      </c>
      <c r="C660" s="28">
        <f t="shared" si="42"/>
        <v>3030303.0303030303</v>
      </c>
      <c r="D660" s="28">
        <f t="shared" si="43"/>
        <v>3787878.7878787881</v>
      </c>
      <c r="E660" s="28">
        <f t="shared" si="44"/>
        <v>4545454.5454545449</v>
      </c>
      <c r="F660" s="28">
        <f t="shared" si="45"/>
        <v>5303030.3030303027</v>
      </c>
      <c r="G660" s="28">
        <f t="shared" si="46"/>
        <v>6060606.0606060605</v>
      </c>
      <c r="H660" s="28">
        <f t="shared" si="47"/>
        <v>6818181.8181818184</v>
      </c>
      <c r="I660" s="28">
        <f t="shared" si="48"/>
        <v>7575757.5757575762</v>
      </c>
      <c r="J660" s="28">
        <f t="shared" si="49"/>
        <v>8333333.333333333</v>
      </c>
      <c r="K660" s="28">
        <f t="shared" si="50"/>
        <v>9090909.0909090899</v>
      </c>
      <c r="L660" s="28">
        <f t="shared" si="51"/>
        <v>9848484.8484848477</v>
      </c>
      <c r="M660" s="28">
        <f t="shared" si="52"/>
        <v>10606060.606060605</v>
      </c>
      <c r="N660" s="28">
        <f t="shared" si="53"/>
        <v>11363636.363636363</v>
      </c>
      <c r="O660" s="28">
        <f t="shared" si="54"/>
        <v>12121212.121212121</v>
      </c>
      <c r="P660" s="28">
        <f t="shared" si="55"/>
        <v>12878787.878787879</v>
      </c>
      <c r="Q660" s="28">
        <f t="shared" si="56"/>
        <v>13636363.636363637</v>
      </c>
      <c r="R660" s="28">
        <f t="shared" si="57"/>
        <v>14393939.393939395</v>
      </c>
      <c r="S660" s="28">
        <f t="shared" si="58"/>
        <v>15151515.151515152</v>
      </c>
      <c r="T660" s="28">
        <f t="shared" si="59"/>
        <v>15909090.909090908</v>
      </c>
      <c r="U660" s="28">
        <f t="shared" si="60"/>
        <v>16666666.666666666</v>
      </c>
      <c r="V660" s="28">
        <f t="shared" si="61"/>
        <v>17424242.424242426</v>
      </c>
      <c r="W660" s="28">
        <f t="shared" si="62"/>
        <v>18181818.18181818</v>
      </c>
    </row>
    <row r="661" spans="1:23" x14ac:dyDescent="0.2">
      <c r="A661" s="28">
        <v>660</v>
      </c>
      <c r="B661" s="28">
        <v>302571.86081694398</v>
      </c>
      <c r="C661" s="28">
        <f t="shared" si="42"/>
        <v>3025718.6081694397</v>
      </c>
      <c r="D661" s="28">
        <f t="shared" si="43"/>
        <v>3782148.2602117998</v>
      </c>
      <c r="E661" s="28">
        <f t="shared" si="44"/>
        <v>4538577.9122541593</v>
      </c>
      <c r="F661" s="28">
        <f t="shared" si="45"/>
        <v>5295007.5642965194</v>
      </c>
      <c r="G661" s="28">
        <f t="shared" si="46"/>
        <v>6051437.2163388794</v>
      </c>
      <c r="H661" s="28">
        <f t="shared" si="47"/>
        <v>6807866.8683812395</v>
      </c>
      <c r="I661" s="28">
        <f t="shared" si="48"/>
        <v>7564296.5204235995</v>
      </c>
      <c r="J661" s="28">
        <f t="shared" si="49"/>
        <v>8320726.1724659596</v>
      </c>
      <c r="K661" s="28">
        <f t="shared" si="50"/>
        <v>9077155.8245083187</v>
      </c>
      <c r="L661" s="28">
        <f t="shared" si="51"/>
        <v>9833585.4765506797</v>
      </c>
      <c r="M661" s="28">
        <f t="shared" si="52"/>
        <v>10590015.128593039</v>
      </c>
      <c r="N661" s="28">
        <f t="shared" si="53"/>
        <v>11346444.7806354</v>
      </c>
      <c r="O661" s="28">
        <f t="shared" si="54"/>
        <v>12102874.432677759</v>
      </c>
      <c r="P661" s="28">
        <f t="shared" si="55"/>
        <v>12859304.084720118</v>
      </c>
      <c r="Q661" s="28">
        <f t="shared" si="56"/>
        <v>13615733.736762479</v>
      </c>
      <c r="R661" s="28">
        <f t="shared" si="57"/>
        <v>14372163.388804838</v>
      </c>
      <c r="S661" s="28">
        <f t="shared" si="58"/>
        <v>15128593.040847199</v>
      </c>
      <c r="T661" s="28">
        <f t="shared" si="59"/>
        <v>15885022.692889558</v>
      </c>
      <c r="U661" s="28">
        <f t="shared" si="60"/>
        <v>16641452.344931919</v>
      </c>
      <c r="V661" s="28">
        <f t="shared" si="61"/>
        <v>17397881.996974278</v>
      </c>
      <c r="W661" s="28">
        <f t="shared" si="62"/>
        <v>18154311.649016637</v>
      </c>
    </row>
    <row r="662" spans="1:23" x14ac:dyDescent="0.2">
      <c r="A662" s="28">
        <v>661</v>
      </c>
      <c r="B662" s="28">
        <v>302114.80362537765</v>
      </c>
      <c r="C662" s="28">
        <f t="shared" si="42"/>
        <v>3021148.0362537764</v>
      </c>
      <c r="D662" s="28">
        <f t="shared" si="43"/>
        <v>3776435.0453172205</v>
      </c>
      <c r="E662" s="28">
        <f t="shared" si="44"/>
        <v>4531722.0543806646</v>
      </c>
      <c r="F662" s="28">
        <f t="shared" si="45"/>
        <v>5287009.0634441087</v>
      </c>
      <c r="G662" s="28">
        <f t="shared" si="46"/>
        <v>6042296.0725075528</v>
      </c>
      <c r="H662" s="28">
        <f t="shared" si="47"/>
        <v>6797583.0815709969</v>
      </c>
      <c r="I662" s="28">
        <f t="shared" si="48"/>
        <v>7552870.090634441</v>
      </c>
      <c r="J662" s="28">
        <f t="shared" si="49"/>
        <v>8308157.0996978851</v>
      </c>
      <c r="K662" s="28">
        <f t="shared" si="50"/>
        <v>9063444.1087613292</v>
      </c>
      <c r="L662" s="28">
        <f t="shared" si="51"/>
        <v>9818731.1178247742</v>
      </c>
      <c r="M662" s="28">
        <f t="shared" si="52"/>
        <v>10574018.126888217</v>
      </c>
      <c r="N662" s="28">
        <f t="shared" si="53"/>
        <v>11329305.135951661</v>
      </c>
      <c r="O662" s="28">
        <f t="shared" si="54"/>
        <v>12084592.145015106</v>
      </c>
      <c r="P662" s="28">
        <f t="shared" si="55"/>
        <v>12839879.154078551</v>
      </c>
      <c r="Q662" s="28">
        <f t="shared" si="56"/>
        <v>13595166.163141994</v>
      </c>
      <c r="R662" s="28">
        <f t="shared" si="57"/>
        <v>14350453.172205437</v>
      </c>
      <c r="S662" s="28">
        <f t="shared" si="58"/>
        <v>15105740.181268882</v>
      </c>
      <c r="T662" s="28">
        <f t="shared" si="59"/>
        <v>15861027.190332327</v>
      </c>
      <c r="U662" s="28">
        <f t="shared" si="60"/>
        <v>16616314.19939577</v>
      </c>
      <c r="V662" s="28">
        <f t="shared" si="61"/>
        <v>17371601.208459213</v>
      </c>
      <c r="W662" s="28">
        <f t="shared" si="62"/>
        <v>18126888.217522658</v>
      </c>
    </row>
    <row r="663" spans="1:23" x14ac:dyDescent="0.2">
      <c r="A663" s="28">
        <v>662</v>
      </c>
      <c r="B663" s="28">
        <v>301659.12518853694</v>
      </c>
      <c r="C663" s="28">
        <f t="shared" si="42"/>
        <v>3016591.2518853694</v>
      </c>
      <c r="D663" s="28">
        <f t="shared" si="43"/>
        <v>3770739.0648567118</v>
      </c>
      <c r="E663" s="28">
        <f t="shared" si="44"/>
        <v>4524886.8778280541</v>
      </c>
      <c r="F663" s="28">
        <f t="shared" si="45"/>
        <v>5279034.6907993965</v>
      </c>
      <c r="G663" s="28">
        <f t="shared" si="46"/>
        <v>6033182.5037707388</v>
      </c>
      <c r="H663" s="28">
        <f t="shared" si="47"/>
        <v>6787330.3167420812</v>
      </c>
      <c r="I663" s="28">
        <f t="shared" si="48"/>
        <v>7541478.1297134236</v>
      </c>
      <c r="J663" s="28">
        <f t="shared" si="49"/>
        <v>8295625.9426847659</v>
      </c>
      <c r="K663" s="28">
        <f t="shared" si="50"/>
        <v>9049773.7556561083</v>
      </c>
      <c r="L663" s="28">
        <f t="shared" si="51"/>
        <v>9803921.5686274506</v>
      </c>
      <c r="M663" s="28">
        <f t="shared" si="52"/>
        <v>10558069.381598793</v>
      </c>
      <c r="N663" s="28">
        <f t="shared" si="53"/>
        <v>11312217.194570135</v>
      </c>
      <c r="O663" s="28">
        <f t="shared" si="54"/>
        <v>12066365.007541478</v>
      </c>
      <c r="P663" s="28">
        <f t="shared" si="55"/>
        <v>12820512.82051282</v>
      </c>
      <c r="Q663" s="28">
        <f t="shared" si="56"/>
        <v>13574660.633484162</v>
      </c>
      <c r="R663" s="28">
        <f t="shared" si="57"/>
        <v>14328808.446455505</v>
      </c>
      <c r="S663" s="28">
        <f t="shared" si="58"/>
        <v>15082956.259426847</v>
      </c>
      <c r="T663" s="28">
        <f t="shared" si="59"/>
        <v>15837104.072398189</v>
      </c>
      <c r="U663" s="28">
        <f t="shared" si="60"/>
        <v>16591251.885369532</v>
      </c>
      <c r="V663" s="28">
        <f t="shared" si="61"/>
        <v>17345399.698340874</v>
      </c>
      <c r="W663" s="28">
        <f t="shared" si="62"/>
        <v>18099547.511312217</v>
      </c>
    </row>
    <row r="664" spans="1:23" x14ac:dyDescent="0.2">
      <c r="A664" s="28">
        <v>663</v>
      </c>
      <c r="B664" s="28">
        <v>301204.81927710841</v>
      </c>
      <c r="C664" s="28">
        <f t="shared" si="42"/>
        <v>3012048.1927710841</v>
      </c>
      <c r="D664" s="28">
        <f t="shared" si="43"/>
        <v>3765060.2409638553</v>
      </c>
      <c r="E664" s="28">
        <f t="shared" si="44"/>
        <v>4518072.289156626</v>
      </c>
      <c r="F664" s="28">
        <f t="shared" si="45"/>
        <v>5271084.3373493971</v>
      </c>
      <c r="G664" s="28">
        <f t="shared" si="46"/>
        <v>6024096.3855421683</v>
      </c>
      <c r="H664" s="28">
        <f t="shared" si="47"/>
        <v>6777108.4337349394</v>
      </c>
      <c r="I664" s="28">
        <f t="shared" si="48"/>
        <v>7530120.4819277106</v>
      </c>
      <c r="J664" s="28">
        <f t="shared" si="49"/>
        <v>8283132.5301204817</v>
      </c>
      <c r="K664" s="28">
        <f t="shared" si="50"/>
        <v>9036144.578313252</v>
      </c>
      <c r="L664" s="28">
        <f t="shared" si="51"/>
        <v>9789156.6265060231</v>
      </c>
      <c r="M664" s="28">
        <f t="shared" si="52"/>
        <v>10542168.674698794</v>
      </c>
      <c r="N664" s="28">
        <f t="shared" si="53"/>
        <v>11295180.722891565</v>
      </c>
      <c r="O664" s="28">
        <f t="shared" si="54"/>
        <v>12048192.771084337</v>
      </c>
      <c r="P664" s="28">
        <f t="shared" si="55"/>
        <v>12801204.819277108</v>
      </c>
      <c r="Q664" s="28">
        <f t="shared" si="56"/>
        <v>13554216.867469879</v>
      </c>
      <c r="R664" s="28">
        <f t="shared" si="57"/>
        <v>14307228.91566265</v>
      </c>
      <c r="S664" s="28">
        <f t="shared" si="58"/>
        <v>15060240.963855421</v>
      </c>
      <c r="T664" s="28">
        <f t="shared" si="59"/>
        <v>15813253.012048192</v>
      </c>
      <c r="U664" s="28">
        <f t="shared" si="60"/>
        <v>16566265.060240963</v>
      </c>
      <c r="V664" s="28">
        <f t="shared" si="61"/>
        <v>17319277.108433735</v>
      </c>
      <c r="W664" s="28">
        <f t="shared" si="62"/>
        <v>18072289.156626504</v>
      </c>
    </row>
    <row r="665" spans="1:23" x14ac:dyDescent="0.2">
      <c r="A665" s="28">
        <v>664</v>
      </c>
      <c r="B665" s="28">
        <v>300751.87969924812</v>
      </c>
      <c r="C665" s="28">
        <f t="shared" si="42"/>
        <v>3007518.7969924812</v>
      </c>
      <c r="D665" s="28">
        <f t="shared" si="43"/>
        <v>3759398.4962406014</v>
      </c>
      <c r="E665" s="28">
        <f t="shared" si="44"/>
        <v>4511278.1954887221</v>
      </c>
      <c r="F665" s="28">
        <f t="shared" si="45"/>
        <v>5263157.8947368423</v>
      </c>
      <c r="G665" s="28">
        <f t="shared" si="46"/>
        <v>6015037.5939849624</v>
      </c>
      <c r="H665" s="28">
        <f t="shared" si="47"/>
        <v>6766917.2932330826</v>
      </c>
      <c r="I665" s="28">
        <f t="shared" si="48"/>
        <v>7518796.9924812028</v>
      </c>
      <c r="J665" s="28">
        <f t="shared" si="49"/>
        <v>8270676.691729323</v>
      </c>
      <c r="K665" s="28">
        <f t="shared" si="50"/>
        <v>9022556.3909774441</v>
      </c>
      <c r="L665" s="28">
        <f t="shared" si="51"/>
        <v>9774436.0902255643</v>
      </c>
      <c r="M665" s="28">
        <f t="shared" si="52"/>
        <v>10526315.789473685</v>
      </c>
      <c r="N665" s="28">
        <f t="shared" si="53"/>
        <v>11278195.488721805</v>
      </c>
      <c r="O665" s="28">
        <f t="shared" si="54"/>
        <v>12030075.187969925</v>
      </c>
      <c r="P665" s="28">
        <f t="shared" si="55"/>
        <v>12781954.887218045</v>
      </c>
      <c r="Q665" s="28">
        <f t="shared" si="56"/>
        <v>13533834.586466165</v>
      </c>
      <c r="R665" s="28">
        <f t="shared" si="57"/>
        <v>14285714.285714285</v>
      </c>
      <c r="S665" s="28">
        <f t="shared" si="58"/>
        <v>15037593.984962406</v>
      </c>
      <c r="T665" s="28">
        <f t="shared" si="59"/>
        <v>15789473.684210526</v>
      </c>
      <c r="U665" s="28">
        <f t="shared" si="60"/>
        <v>16541353.383458646</v>
      </c>
      <c r="V665" s="28">
        <f t="shared" si="61"/>
        <v>17293233.082706768</v>
      </c>
      <c r="W665" s="28">
        <f t="shared" si="62"/>
        <v>18045112.781954888</v>
      </c>
    </row>
    <row r="666" spans="1:23" x14ac:dyDescent="0.2">
      <c r="A666" s="28">
        <v>665</v>
      </c>
      <c r="B666" s="28">
        <v>300300.3003003003</v>
      </c>
      <c r="C666" s="28">
        <f t="shared" si="42"/>
        <v>3003003.0030030031</v>
      </c>
      <c r="D666" s="28">
        <f t="shared" si="43"/>
        <v>3753753.7537537538</v>
      </c>
      <c r="E666" s="28">
        <f t="shared" si="44"/>
        <v>4504504.5045045046</v>
      </c>
      <c r="F666" s="28">
        <f t="shared" si="45"/>
        <v>5255255.2552552558</v>
      </c>
      <c r="G666" s="28">
        <f t="shared" si="46"/>
        <v>6006006.0060060062</v>
      </c>
      <c r="H666" s="28">
        <f t="shared" si="47"/>
        <v>6756756.7567567565</v>
      </c>
      <c r="I666" s="28">
        <f t="shared" si="48"/>
        <v>7507507.5075075077</v>
      </c>
      <c r="J666" s="28">
        <f t="shared" si="49"/>
        <v>8258258.2582582589</v>
      </c>
      <c r="K666" s="28">
        <f t="shared" si="50"/>
        <v>9009009.0090090092</v>
      </c>
      <c r="L666" s="28">
        <f t="shared" si="51"/>
        <v>9759759.7597597595</v>
      </c>
      <c r="M666" s="28">
        <f t="shared" si="52"/>
        <v>10510510.510510512</v>
      </c>
      <c r="N666" s="28">
        <f t="shared" si="53"/>
        <v>11261261.261261262</v>
      </c>
      <c r="O666" s="28">
        <f t="shared" si="54"/>
        <v>12012012.012012012</v>
      </c>
      <c r="P666" s="28">
        <f t="shared" si="55"/>
        <v>12762762.762762763</v>
      </c>
      <c r="Q666" s="28">
        <f t="shared" si="56"/>
        <v>13513513.513513513</v>
      </c>
      <c r="R666" s="28">
        <f t="shared" si="57"/>
        <v>14264264.264264265</v>
      </c>
      <c r="S666" s="28">
        <f t="shared" si="58"/>
        <v>15015015.015015015</v>
      </c>
      <c r="T666" s="28">
        <f t="shared" si="59"/>
        <v>15765765.765765766</v>
      </c>
      <c r="U666" s="28">
        <f t="shared" si="60"/>
        <v>16516516.516516518</v>
      </c>
      <c r="V666" s="28">
        <f t="shared" si="61"/>
        <v>17267267.267267268</v>
      </c>
      <c r="W666" s="28">
        <f t="shared" si="62"/>
        <v>18018018.018018018</v>
      </c>
    </row>
    <row r="667" spans="1:23" x14ac:dyDescent="0.2">
      <c r="A667" s="28">
        <v>666</v>
      </c>
      <c r="B667" s="28">
        <v>299850.07496251876</v>
      </c>
      <c r="C667" s="28">
        <f t="shared" si="42"/>
        <v>2998500.7496251874</v>
      </c>
      <c r="D667" s="28">
        <f t="shared" si="43"/>
        <v>3748125.9370314842</v>
      </c>
      <c r="E667" s="28">
        <f t="shared" si="44"/>
        <v>4497751.1244377811</v>
      </c>
      <c r="F667" s="28">
        <f t="shared" si="45"/>
        <v>5247376.3118440779</v>
      </c>
      <c r="G667" s="28">
        <f t="shared" si="46"/>
        <v>5997001.4992503747</v>
      </c>
      <c r="H667" s="28">
        <f t="shared" si="47"/>
        <v>6746626.6866566716</v>
      </c>
      <c r="I667" s="28">
        <f t="shared" si="48"/>
        <v>7496251.8740629684</v>
      </c>
      <c r="J667" s="28">
        <f t="shared" si="49"/>
        <v>8245877.0614692653</v>
      </c>
      <c r="K667" s="28">
        <f t="shared" si="50"/>
        <v>8995502.2488755621</v>
      </c>
      <c r="L667" s="28">
        <f t="shared" si="51"/>
        <v>9745127.4362818599</v>
      </c>
      <c r="M667" s="28">
        <f t="shared" si="52"/>
        <v>10494752.623688156</v>
      </c>
      <c r="N667" s="28">
        <f t="shared" si="53"/>
        <v>11244377.811094452</v>
      </c>
      <c r="O667" s="28">
        <f t="shared" si="54"/>
        <v>11994002.998500749</v>
      </c>
      <c r="P667" s="28">
        <f t="shared" si="55"/>
        <v>12743628.185907047</v>
      </c>
      <c r="Q667" s="28">
        <f t="shared" si="56"/>
        <v>13493253.373313343</v>
      </c>
      <c r="R667" s="28">
        <f t="shared" si="57"/>
        <v>14242878.560719639</v>
      </c>
      <c r="S667" s="28">
        <f t="shared" si="58"/>
        <v>14992503.748125937</v>
      </c>
      <c r="T667" s="28">
        <f t="shared" si="59"/>
        <v>15742128.935532235</v>
      </c>
      <c r="U667" s="28">
        <f t="shared" si="60"/>
        <v>16491754.122938531</v>
      </c>
      <c r="V667" s="28">
        <f t="shared" si="61"/>
        <v>17241379.310344826</v>
      </c>
      <c r="W667" s="28">
        <f t="shared" si="62"/>
        <v>17991004.497751124</v>
      </c>
    </row>
    <row r="668" spans="1:23" x14ac:dyDescent="0.2">
      <c r="A668" s="28">
        <v>667</v>
      </c>
      <c r="B668" s="28">
        <v>299401.19760479039</v>
      </c>
      <c r="C668" s="28">
        <f t="shared" si="42"/>
        <v>2994011.9760479038</v>
      </c>
      <c r="D668" s="28">
        <f t="shared" si="43"/>
        <v>3742514.9700598796</v>
      </c>
      <c r="E668" s="28">
        <f t="shared" si="44"/>
        <v>4491017.9640718559</v>
      </c>
      <c r="F668" s="28">
        <f t="shared" si="45"/>
        <v>5239520.9580838317</v>
      </c>
      <c r="G668" s="28">
        <f t="shared" si="46"/>
        <v>5988023.9520958075</v>
      </c>
      <c r="H668" s="28">
        <f t="shared" si="47"/>
        <v>6736526.9461077834</v>
      </c>
      <c r="I668" s="28">
        <f t="shared" si="48"/>
        <v>7485029.9401197592</v>
      </c>
      <c r="J668" s="28">
        <f t="shared" si="49"/>
        <v>8233532.934131735</v>
      </c>
      <c r="K668" s="28">
        <f t="shared" si="50"/>
        <v>8982035.9281437118</v>
      </c>
      <c r="L668" s="28">
        <f t="shared" si="51"/>
        <v>9730538.9221556876</v>
      </c>
      <c r="M668" s="28">
        <f t="shared" si="52"/>
        <v>10479041.916167663</v>
      </c>
      <c r="N668" s="28">
        <f t="shared" si="53"/>
        <v>11227544.910179639</v>
      </c>
      <c r="O668" s="28">
        <f t="shared" si="54"/>
        <v>11976047.904191615</v>
      </c>
      <c r="P668" s="28">
        <f t="shared" si="55"/>
        <v>12724550.898203591</v>
      </c>
      <c r="Q668" s="28">
        <f t="shared" si="56"/>
        <v>13473053.892215567</v>
      </c>
      <c r="R668" s="28">
        <f t="shared" si="57"/>
        <v>14221556.886227543</v>
      </c>
      <c r="S668" s="28">
        <f t="shared" si="58"/>
        <v>14970059.880239518</v>
      </c>
      <c r="T668" s="28">
        <f t="shared" si="59"/>
        <v>15718562.874251494</v>
      </c>
      <c r="U668" s="28">
        <f t="shared" si="60"/>
        <v>16467065.86826347</v>
      </c>
      <c r="V668" s="28">
        <f t="shared" si="61"/>
        <v>17215568.862275448</v>
      </c>
      <c r="W668" s="28">
        <f t="shared" si="62"/>
        <v>17964071.856287424</v>
      </c>
    </row>
    <row r="669" spans="1:23" x14ac:dyDescent="0.2">
      <c r="A669" s="28">
        <v>668</v>
      </c>
      <c r="B669" s="28">
        <v>298953.66218236176</v>
      </c>
      <c r="C669" s="28">
        <f t="shared" si="42"/>
        <v>2989536.6218236177</v>
      </c>
      <c r="D669" s="28">
        <f t="shared" si="43"/>
        <v>3736920.7772795223</v>
      </c>
      <c r="E669" s="28">
        <f t="shared" si="44"/>
        <v>4484304.9327354264</v>
      </c>
      <c r="F669" s="28">
        <f t="shared" si="45"/>
        <v>5231689.0881913314</v>
      </c>
      <c r="G669" s="28">
        <f t="shared" si="46"/>
        <v>5979073.2436472354</v>
      </c>
      <c r="H669" s="28">
        <f t="shared" si="47"/>
        <v>6726457.3991031395</v>
      </c>
      <c r="I669" s="28">
        <f t="shared" si="48"/>
        <v>7473841.5545590445</v>
      </c>
      <c r="J669" s="28">
        <f t="shared" si="49"/>
        <v>8221225.7100149486</v>
      </c>
      <c r="K669" s="28">
        <f t="shared" si="50"/>
        <v>8968609.8654708527</v>
      </c>
      <c r="L669" s="28">
        <f t="shared" si="51"/>
        <v>9715994.0209267568</v>
      </c>
      <c r="M669" s="28">
        <f t="shared" si="52"/>
        <v>10463378.176382663</v>
      </c>
      <c r="N669" s="28">
        <f t="shared" si="53"/>
        <v>11210762.331838567</v>
      </c>
      <c r="O669" s="28">
        <f t="shared" si="54"/>
        <v>11958146.487294471</v>
      </c>
      <c r="P669" s="28">
        <f t="shared" si="55"/>
        <v>12705530.642750375</v>
      </c>
      <c r="Q669" s="28">
        <f t="shared" si="56"/>
        <v>13452914.798206279</v>
      </c>
      <c r="R669" s="28">
        <f t="shared" si="57"/>
        <v>14200298.953662185</v>
      </c>
      <c r="S669" s="28">
        <f t="shared" si="58"/>
        <v>14947683.109118089</v>
      </c>
      <c r="T669" s="28">
        <f t="shared" si="59"/>
        <v>15695067.264573993</v>
      </c>
      <c r="U669" s="28">
        <f t="shared" si="60"/>
        <v>16442451.420029897</v>
      </c>
      <c r="V669" s="28">
        <f t="shared" si="61"/>
        <v>17189835.575485803</v>
      </c>
      <c r="W669" s="28">
        <f t="shared" si="62"/>
        <v>17937219.730941705</v>
      </c>
    </row>
    <row r="670" spans="1:23" x14ac:dyDescent="0.2">
      <c r="A670" s="28">
        <v>669</v>
      </c>
      <c r="B670" s="28">
        <v>298507.46268656716</v>
      </c>
      <c r="C670" s="28">
        <f t="shared" si="42"/>
        <v>2985074.6268656715</v>
      </c>
      <c r="D670" s="28">
        <f t="shared" si="43"/>
        <v>3731343.2835820895</v>
      </c>
      <c r="E670" s="28">
        <f t="shared" si="44"/>
        <v>4477611.940298507</v>
      </c>
      <c r="F670" s="28">
        <f t="shared" si="45"/>
        <v>5223880.5970149254</v>
      </c>
      <c r="G670" s="28">
        <f t="shared" si="46"/>
        <v>5970149.253731343</v>
      </c>
      <c r="H670" s="28">
        <f t="shared" si="47"/>
        <v>6716417.9104477605</v>
      </c>
      <c r="I670" s="28">
        <f t="shared" si="48"/>
        <v>7462686.5671641789</v>
      </c>
      <c r="J670" s="28">
        <f t="shared" si="49"/>
        <v>8208955.2238805965</v>
      </c>
      <c r="K670" s="28">
        <f t="shared" si="50"/>
        <v>8955223.880597014</v>
      </c>
      <c r="L670" s="28">
        <f t="shared" si="51"/>
        <v>9701492.5373134315</v>
      </c>
      <c r="M670" s="28">
        <f t="shared" si="52"/>
        <v>10447761.194029851</v>
      </c>
      <c r="N670" s="28">
        <f t="shared" si="53"/>
        <v>11194029.850746268</v>
      </c>
      <c r="O670" s="28">
        <f t="shared" si="54"/>
        <v>11940298.507462686</v>
      </c>
      <c r="P670" s="28">
        <f t="shared" si="55"/>
        <v>12686567.164179103</v>
      </c>
      <c r="Q670" s="28">
        <f t="shared" si="56"/>
        <v>13432835.820895521</v>
      </c>
      <c r="R670" s="28">
        <f t="shared" si="57"/>
        <v>14179104.47761194</v>
      </c>
      <c r="S670" s="28">
        <f t="shared" si="58"/>
        <v>14925373.134328358</v>
      </c>
      <c r="T670" s="28">
        <f t="shared" si="59"/>
        <v>15671641.791044775</v>
      </c>
      <c r="U670" s="28">
        <f t="shared" si="60"/>
        <v>16417910.447761193</v>
      </c>
      <c r="V670" s="28">
        <f t="shared" si="61"/>
        <v>17164179.10447761</v>
      </c>
      <c r="W670" s="28">
        <f t="shared" si="62"/>
        <v>17910447.761194028</v>
      </c>
    </row>
    <row r="671" spans="1:23" x14ac:dyDescent="0.2">
      <c r="A671" s="28">
        <v>670</v>
      </c>
      <c r="B671" s="28">
        <v>298062.59314456035</v>
      </c>
      <c r="C671" s="28">
        <f t="shared" si="42"/>
        <v>2980625.9314456033</v>
      </c>
      <c r="D671" s="28">
        <f t="shared" si="43"/>
        <v>3725782.4143070038</v>
      </c>
      <c r="E671" s="28">
        <f t="shared" si="44"/>
        <v>4470938.8971684054</v>
      </c>
      <c r="F671" s="28">
        <f t="shared" si="45"/>
        <v>5216095.3800298059</v>
      </c>
      <c r="G671" s="28">
        <f t="shared" si="46"/>
        <v>5961251.8628912065</v>
      </c>
      <c r="H671" s="28">
        <f t="shared" si="47"/>
        <v>6706408.3457526071</v>
      </c>
      <c r="I671" s="28">
        <f t="shared" si="48"/>
        <v>7451564.8286140077</v>
      </c>
      <c r="J671" s="28">
        <f t="shared" si="49"/>
        <v>8196721.3114754092</v>
      </c>
      <c r="K671" s="28">
        <f t="shared" si="50"/>
        <v>8941877.7943368107</v>
      </c>
      <c r="L671" s="28">
        <f t="shared" si="51"/>
        <v>9687034.2771982104</v>
      </c>
      <c r="M671" s="28">
        <f t="shared" si="52"/>
        <v>10432190.760059612</v>
      </c>
      <c r="N671" s="28">
        <f t="shared" si="53"/>
        <v>11177347.242921012</v>
      </c>
      <c r="O671" s="28">
        <f t="shared" si="54"/>
        <v>11922503.725782413</v>
      </c>
      <c r="P671" s="28">
        <f t="shared" si="55"/>
        <v>12667660.208643815</v>
      </c>
      <c r="Q671" s="28">
        <f t="shared" si="56"/>
        <v>13412816.691505214</v>
      </c>
      <c r="R671" s="28">
        <f t="shared" si="57"/>
        <v>14157973.174366616</v>
      </c>
      <c r="S671" s="28">
        <f t="shared" si="58"/>
        <v>14903129.657228015</v>
      </c>
      <c r="T671" s="28">
        <f t="shared" si="59"/>
        <v>15648286.140089417</v>
      </c>
      <c r="U671" s="28">
        <f t="shared" si="60"/>
        <v>16393442.622950818</v>
      </c>
      <c r="V671" s="28">
        <f t="shared" si="61"/>
        <v>17138599.105812218</v>
      </c>
      <c r="W671" s="28">
        <f t="shared" si="62"/>
        <v>17883755.588673621</v>
      </c>
    </row>
    <row r="672" spans="1:23" x14ac:dyDescent="0.2">
      <c r="A672" s="28">
        <v>671</v>
      </c>
      <c r="B672" s="28">
        <v>297619.04761904763</v>
      </c>
      <c r="C672" s="28">
        <f t="shared" si="42"/>
        <v>2976190.4761904762</v>
      </c>
      <c r="D672" s="28">
        <f t="shared" si="43"/>
        <v>3720238.0952380951</v>
      </c>
      <c r="E672" s="28">
        <f t="shared" si="44"/>
        <v>4464285.7142857146</v>
      </c>
      <c r="F672" s="28">
        <f t="shared" si="45"/>
        <v>5208333.333333333</v>
      </c>
      <c r="G672" s="28">
        <f t="shared" si="46"/>
        <v>5952380.9523809524</v>
      </c>
      <c r="H672" s="28">
        <f t="shared" si="47"/>
        <v>6696428.5714285718</v>
      </c>
      <c r="I672" s="28">
        <f t="shared" si="48"/>
        <v>7440476.1904761903</v>
      </c>
      <c r="J672" s="28">
        <f t="shared" si="49"/>
        <v>8184523.8095238097</v>
      </c>
      <c r="K672" s="28">
        <f t="shared" si="50"/>
        <v>8928571.4285714291</v>
      </c>
      <c r="L672" s="28">
        <f t="shared" si="51"/>
        <v>9672619.0476190485</v>
      </c>
      <c r="M672" s="28">
        <f t="shared" si="52"/>
        <v>10416666.666666666</v>
      </c>
      <c r="N672" s="28">
        <f t="shared" si="53"/>
        <v>11160714.285714285</v>
      </c>
      <c r="O672" s="28">
        <f t="shared" si="54"/>
        <v>11904761.904761905</v>
      </c>
      <c r="P672" s="28">
        <f t="shared" si="55"/>
        <v>12648809.523809524</v>
      </c>
      <c r="Q672" s="28">
        <f t="shared" si="56"/>
        <v>13392857.142857144</v>
      </c>
      <c r="R672" s="28">
        <f t="shared" si="57"/>
        <v>14136904.761904761</v>
      </c>
      <c r="S672" s="28">
        <f t="shared" si="58"/>
        <v>14880952.380952381</v>
      </c>
      <c r="T672" s="28">
        <f t="shared" si="59"/>
        <v>15625000</v>
      </c>
      <c r="U672" s="28">
        <f t="shared" si="60"/>
        <v>16369047.619047619</v>
      </c>
      <c r="V672" s="28">
        <f t="shared" si="61"/>
        <v>17113095.238095239</v>
      </c>
      <c r="W672" s="28">
        <f t="shared" si="62"/>
        <v>17857142.857142858</v>
      </c>
    </row>
    <row r="673" spans="1:23" x14ac:dyDescent="0.2">
      <c r="A673" s="28">
        <v>672</v>
      </c>
      <c r="B673" s="28">
        <v>297176.82020802377</v>
      </c>
      <c r="C673" s="28">
        <f t="shared" si="42"/>
        <v>2971768.2020802377</v>
      </c>
      <c r="D673" s="28">
        <f t="shared" si="43"/>
        <v>3714710.2526002973</v>
      </c>
      <c r="E673" s="28">
        <f t="shared" si="44"/>
        <v>4457652.3031203561</v>
      </c>
      <c r="F673" s="28">
        <f t="shared" si="45"/>
        <v>5200594.3536404157</v>
      </c>
      <c r="G673" s="28">
        <f t="shared" si="46"/>
        <v>5943536.4041604754</v>
      </c>
      <c r="H673" s="28">
        <f t="shared" si="47"/>
        <v>6686478.454680535</v>
      </c>
      <c r="I673" s="28">
        <f t="shared" si="48"/>
        <v>7429420.5052005947</v>
      </c>
      <c r="J673" s="28">
        <f t="shared" si="49"/>
        <v>8172362.5557206534</v>
      </c>
      <c r="K673" s="28">
        <f t="shared" si="50"/>
        <v>8915304.6062407121</v>
      </c>
      <c r="L673" s="28">
        <f t="shared" si="51"/>
        <v>9658246.6567607727</v>
      </c>
      <c r="M673" s="28">
        <f t="shared" si="52"/>
        <v>10401188.707280831</v>
      </c>
      <c r="N673" s="28">
        <f t="shared" si="53"/>
        <v>11144130.757800892</v>
      </c>
      <c r="O673" s="28">
        <f t="shared" si="54"/>
        <v>11887072.808320951</v>
      </c>
      <c r="P673" s="28">
        <f t="shared" si="55"/>
        <v>12630014.858841009</v>
      </c>
      <c r="Q673" s="28">
        <f t="shared" si="56"/>
        <v>13372956.90936107</v>
      </c>
      <c r="R673" s="28">
        <f t="shared" si="57"/>
        <v>14115898.959881129</v>
      </c>
      <c r="S673" s="28">
        <f t="shared" si="58"/>
        <v>14858841.010401189</v>
      </c>
      <c r="T673" s="28">
        <f t="shared" si="59"/>
        <v>15601783.060921248</v>
      </c>
      <c r="U673" s="28">
        <f t="shared" si="60"/>
        <v>16344725.111441307</v>
      </c>
      <c r="V673" s="28">
        <f t="shared" si="61"/>
        <v>17087667.161961365</v>
      </c>
      <c r="W673" s="28">
        <f t="shared" si="62"/>
        <v>17830609.212481424</v>
      </c>
    </row>
    <row r="674" spans="1:23" x14ac:dyDescent="0.2">
      <c r="A674" s="28">
        <v>673</v>
      </c>
      <c r="B674" s="28">
        <v>296735.90504451038</v>
      </c>
      <c r="C674" s="28">
        <f t="shared" si="42"/>
        <v>2967359.050445104</v>
      </c>
      <c r="D674" s="28">
        <f t="shared" si="43"/>
        <v>3709198.81305638</v>
      </c>
      <c r="E674" s="28">
        <f t="shared" si="44"/>
        <v>4451038.575667656</v>
      </c>
      <c r="F674" s="28">
        <f t="shared" si="45"/>
        <v>5192878.3382789325</v>
      </c>
      <c r="G674" s="28">
        <f t="shared" si="46"/>
        <v>5934718.100890208</v>
      </c>
      <c r="H674" s="28">
        <f t="shared" si="47"/>
        <v>6676557.8635014836</v>
      </c>
      <c r="I674" s="28">
        <f t="shared" si="48"/>
        <v>7418397.62611276</v>
      </c>
      <c r="J674" s="28">
        <f t="shared" si="49"/>
        <v>8160237.3887240365</v>
      </c>
      <c r="K674" s="28">
        <f t="shared" si="50"/>
        <v>8902077.1513353121</v>
      </c>
      <c r="L674" s="28">
        <f t="shared" si="51"/>
        <v>9643916.9139465876</v>
      </c>
      <c r="M674" s="28">
        <f t="shared" si="52"/>
        <v>10385756.676557865</v>
      </c>
      <c r="N674" s="28">
        <f t="shared" si="53"/>
        <v>11127596.439169141</v>
      </c>
      <c r="O674" s="28">
        <f t="shared" si="54"/>
        <v>11869436.201780416</v>
      </c>
      <c r="P674" s="28">
        <f t="shared" si="55"/>
        <v>12611275.964391692</v>
      </c>
      <c r="Q674" s="28">
        <f t="shared" si="56"/>
        <v>13353115.727002967</v>
      </c>
      <c r="R674" s="28">
        <f t="shared" si="57"/>
        <v>14094955.489614245</v>
      </c>
      <c r="S674" s="28">
        <f t="shared" si="58"/>
        <v>14836795.25222552</v>
      </c>
      <c r="T674" s="28">
        <f t="shared" si="59"/>
        <v>15578635.014836796</v>
      </c>
      <c r="U674" s="28">
        <f t="shared" si="60"/>
        <v>16320474.777448073</v>
      </c>
      <c r="V674" s="28">
        <f t="shared" si="61"/>
        <v>17062314.540059347</v>
      </c>
      <c r="W674" s="28">
        <f t="shared" si="62"/>
        <v>17804154.302670624</v>
      </c>
    </row>
    <row r="675" spans="1:23" x14ac:dyDescent="0.2">
      <c r="A675" s="28">
        <v>674</v>
      </c>
      <c r="B675" s="28">
        <v>296296.29629629629</v>
      </c>
      <c r="C675" s="28">
        <f t="shared" si="42"/>
        <v>2962962.9629629627</v>
      </c>
      <c r="D675" s="28">
        <f t="shared" si="43"/>
        <v>3703703.7037037034</v>
      </c>
      <c r="E675" s="28">
        <f t="shared" si="44"/>
        <v>4444444.444444444</v>
      </c>
      <c r="F675" s="28">
        <f t="shared" si="45"/>
        <v>5185185.1851851847</v>
      </c>
      <c r="G675" s="28">
        <f t="shared" si="46"/>
        <v>5925925.9259259254</v>
      </c>
      <c r="H675" s="28">
        <f t="shared" si="47"/>
        <v>6666666.666666666</v>
      </c>
      <c r="I675" s="28">
        <f t="shared" si="48"/>
        <v>7407407.4074074067</v>
      </c>
      <c r="J675" s="28">
        <f t="shared" si="49"/>
        <v>8148148.1481481474</v>
      </c>
      <c r="K675" s="28">
        <f t="shared" si="50"/>
        <v>8888888.8888888881</v>
      </c>
      <c r="L675" s="28">
        <f t="shared" si="51"/>
        <v>9629629.6296296287</v>
      </c>
      <c r="M675" s="28">
        <f t="shared" si="52"/>
        <v>10370370.370370369</v>
      </c>
      <c r="N675" s="28">
        <f t="shared" si="53"/>
        <v>11111111.11111111</v>
      </c>
      <c r="O675" s="28">
        <f t="shared" si="54"/>
        <v>11851851.851851851</v>
      </c>
      <c r="P675" s="28">
        <f t="shared" si="55"/>
        <v>12592592.592592591</v>
      </c>
      <c r="Q675" s="28">
        <f t="shared" si="56"/>
        <v>13333333.333333332</v>
      </c>
      <c r="R675" s="28">
        <f t="shared" si="57"/>
        <v>14074074.074074073</v>
      </c>
      <c r="S675" s="28">
        <f t="shared" si="58"/>
        <v>14814814.814814813</v>
      </c>
      <c r="T675" s="28">
        <f t="shared" si="59"/>
        <v>15555555.555555554</v>
      </c>
      <c r="U675" s="28">
        <f t="shared" si="60"/>
        <v>16296296.296296295</v>
      </c>
      <c r="V675" s="28">
        <f t="shared" si="61"/>
        <v>17037037.037037037</v>
      </c>
      <c r="W675" s="28">
        <f t="shared" si="62"/>
        <v>17777777.777777776</v>
      </c>
    </row>
    <row r="676" spans="1:23" x14ac:dyDescent="0.2">
      <c r="A676" s="28">
        <v>675</v>
      </c>
      <c r="B676" s="28">
        <v>295857.98816568044</v>
      </c>
      <c r="C676" s="28">
        <f t="shared" si="42"/>
        <v>2958579.8816568041</v>
      </c>
      <c r="D676" s="28">
        <f t="shared" si="43"/>
        <v>3698224.8520710049</v>
      </c>
      <c r="E676" s="28">
        <f t="shared" si="44"/>
        <v>4437869.8224852066</v>
      </c>
      <c r="F676" s="28">
        <f t="shared" si="45"/>
        <v>5177514.7928994074</v>
      </c>
      <c r="G676" s="28">
        <f t="shared" si="46"/>
        <v>5917159.7633136082</v>
      </c>
      <c r="H676" s="28">
        <f t="shared" si="47"/>
        <v>6656804.733727809</v>
      </c>
      <c r="I676" s="28">
        <f t="shared" si="48"/>
        <v>7396449.7041420098</v>
      </c>
      <c r="J676" s="28">
        <f t="shared" si="49"/>
        <v>8136094.6745562116</v>
      </c>
      <c r="K676" s="28">
        <f t="shared" si="50"/>
        <v>8875739.6449704133</v>
      </c>
      <c r="L676" s="28">
        <f t="shared" si="51"/>
        <v>9615384.6153846141</v>
      </c>
      <c r="M676" s="28">
        <f t="shared" si="52"/>
        <v>10355029.585798815</v>
      </c>
      <c r="N676" s="28">
        <f t="shared" si="53"/>
        <v>11094674.556213016</v>
      </c>
      <c r="O676" s="28">
        <f t="shared" si="54"/>
        <v>11834319.526627216</v>
      </c>
      <c r="P676" s="28">
        <f t="shared" si="55"/>
        <v>12573964.497041417</v>
      </c>
      <c r="Q676" s="28">
        <f t="shared" si="56"/>
        <v>13313609.467455618</v>
      </c>
      <c r="R676" s="28">
        <f t="shared" si="57"/>
        <v>14053254.437869819</v>
      </c>
      <c r="S676" s="28">
        <f t="shared" si="58"/>
        <v>14792899.40828402</v>
      </c>
      <c r="T676" s="28">
        <f t="shared" si="59"/>
        <v>15532544.378698222</v>
      </c>
      <c r="U676" s="28">
        <f t="shared" si="60"/>
        <v>16272189.349112423</v>
      </c>
      <c r="V676" s="28">
        <f t="shared" si="61"/>
        <v>17011834.319526624</v>
      </c>
      <c r="W676" s="28">
        <f t="shared" si="62"/>
        <v>17751479.289940827</v>
      </c>
    </row>
    <row r="677" spans="1:23" x14ac:dyDescent="0.2">
      <c r="A677" s="28">
        <v>676</v>
      </c>
      <c r="B677" s="28">
        <v>295420.97488921718</v>
      </c>
      <c r="C677" s="28">
        <f t="shared" si="42"/>
        <v>2954209.7488921718</v>
      </c>
      <c r="D677" s="28">
        <f t="shared" si="43"/>
        <v>3692762.1861152146</v>
      </c>
      <c r="E677" s="28">
        <f t="shared" si="44"/>
        <v>4431314.6233382579</v>
      </c>
      <c r="F677" s="28">
        <f t="shared" si="45"/>
        <v>5169867.0605613003</v>
      </c>
      <c r="G677" s="28">
        <f t="shared" si="46"/>
        <v>5908419.4977843435</v>
      </c>
      <c r="H677" s="28">
        <f t="shared" si="47"/>
        <v>6646971.9350073868</v>
      </c>
      <c r="I677" s="28">
        <f t="shared" si="48"/>
        <v>7385524.3722304292</v>
      </c>
      <c r="J677" s="28">
        <f t="shared" si="49"/>
        <v>8124076.8094534725</v>
      </c>
      <c r="K677" s="28">
        <f t="shared" si="50"/>
        <v>8862629.2466765158</v>
      </c>
      <c r="L677" s="28">
        <f t="shared" si="51"/>
        <v>9601181.6838995591</v>
      </c>
      <c r="M677" s="28">
        <f t="shared" si="52"/>
        <v>10339734.121122601</v>
      </c>
      <c r="N677" s="28">
        <f t="shared" si="53"/>
        <v>11078286.558345644</v>
      </c>
      <c r="O677" s="28">
        <f t="shared" si="54"/>
        <v>11816838.995568687</v>
      </c>
      <c r="P677" s="28">
        <f t="shared" si="55"/>
        <v>12555391.43279173</v>
      </c>
      <c r="Q677" s="28">
        <f t="shared" si="56"/>
        <v>13293943.870014774</v>
      </c>
      <c r="R677" s="28">
        <f t="shared" si="57"/>
        <v>14032496.307237815</v>
      </c>
      <c r="S677" s="28">
        <f t="shared" si="58"/>
        <v>14771048.744460858</v>
      </c>
      <c r="T677" s="28">
        <f t="shared" si="59"/>
        <v>15509601.181683902</v>
      </c>
      <c r="U677" s="28">
        <f t="shared" si="60"/>
        <v>16248153.618906945</v>
      </c>
      <c r="V677" s="28">
        <f t="shared" si="61"/>
        <v>16986706.056129988</v>
      </c>
      <c r="W677" s="28">
        <f t="shared" si="62"/>
        <v>17725258.493353032</v>
      </c>
    </row>
    <row r="678" spans="1:23" x14ac:dyDescent="0.2">
      <c r="A678" s="28">
        <v>677</v>
      </c>
      <c r="B678" s="28">
        <v>294985.25073746312</v>
      </c>
      <c r="C678" s="28">
        <f t="shared" si="42"/>
        <v>2949852.5073746312</v>
      </c>
      <c r="D678" s="28">
        <f t="shared" si="43"/>
        <v>3687315.6342182891</v>
      </c>
      <c r="E678" s="28">
        <f t="shared" si="44"/>
        <v>4424778.7610619469</v>
      </c>
      <c r="F678" s="28">
        <f t="shared" si="45"/>
        <v>5162241.8879056051</v>
      </c>
      <c r="G678" s="28">
        <f t="shared" si="46"/>
        <v>5899705.0147492625</v>
      </c>
      <c r="H678" s="28">
        <f t="shared" si="47"/>
        <v>6637168.1415929198</v>
      </c>
      <c r="I678" s="28">
        <f t="shared" si="48"/>
        <v>7374631.2684365781</v>
      </c>
      <c r="J678" s="28">
        <f t="shared" si="49"/>
        <v>8112094.3952802364</v>
      </c>
      <c r="K678" s="28">
        <f t="shared" si="50"/>
        <v>8849557.5221238937</v>
      </c>
      <c r="L678" s="28">
        <f t="shared" si="51"/>
        <v>9587020.6489675511</v>
      </c>
      <c r="M678" s="28">
        <f t="shared" si="52"/>
        <v>10324483.77581121</v>
      </c>
      <c r="N678" s="28">
        <f t="shared" si="53"/>
        <v>11061946.902654868</v>
      </c>
      <c r="O678" s="28">
        <f t="shared" si="54"/>
        <v>11799410.029498525</v>
      </c>
      <c r="P678" s="28">
        <f t="shared" si="55"/>
        <v>12536873.156342182</v>
      </c>
      <c r="Q678" s="28">
        <f t="shared" si="56"/>
        <v>13274336.28318584</v>
      </c>
      <c r="R678" s="28">
        <f t="shared" si="57"/>
        <v>14011799.410029499</v>
      </c>
      <c r="S678" s="28">
        <f t="shared" si="58"/>
        <v>14749262.536873156</v>
      </c>
      <c r="T678" s="28">
        <f t="shared" si="59"/>
        <v>15486725.663716814</v>
      </c>
      <c r="U678" s="28">
        <f t="shared" si="60"/>
        <v>16224188.790560473</v>
      </c>
      <c r="V678" s="28">
        <f t="shared" si="61"/>
        <v>16961651.91740413</v>
      </c>
      <c r="W678" s="28">
        <f t="shared" si="62"/>
        <v>17699115.044247787</v>
      </c>
    </row>
    <row r="679" spans="1:23" x14ac:dyDescent="0.2">
      <c r="A679" s="28">
        <v>678</v>
      </c>
      <c r="B679" s="28">
        <v>294550.81001472753</v>
      </c>
      <c r="C679" s="28">
        <f t="shared" si="42"/>
        <v>2945508.1001472753</v>
      </c>
      <c r="D679" s="28">
        <f t="shared" si="43"/>
        <v>3681885.1251840941</v>
      </c>
      <c r="E679" s="28">
        <f t="shared" si="44"/>
        <v>4418262.1502209129</v>
      </c>
      <c r="F679" s="28">
        <f t="shared" si="45"/>
        <v>5154639.1752577312</v>
      </c>
      <c r="G679" s="28">
        <f t="shared" si="46"/>
        <v>5891016.2002945505</v>
      </c>
      <c r="H679" s="28">
        <f t="shared" si="47"/>
        <v>6627393.2253313698</v>
      </c>
      <c r="I679" s="28">
        <f t="shared" si="48"/>
        <v>7363770.2503681881</v>
      </c>
      <c r="J679" s="28">
        <f t="shared" si="49"/>
        <v>8100147.2754050065</v>
      </c>
      <c r="K679" s="28">
        <f t="shared" si="50"/>
        <v>8836524.3004418258</v>
      </c>
      <c r="L679" s="28">
        <f t="shared" si="51"/>
        <v>9572901.325478645</v>
      </c>
      <c r="M679" s="28">
        <f t="shared" si="52"/>
        <v>10309278.350515462</v>
      </c>
      <c r="N679" s="28">
        <f t="shared" si="53"/>
        <v>11045655.375552282</v>
      </c>
      <c r="O679" s="28">
        <f t="shared" si="54"/>
        <v>11782032.400589101</v>
      </c>
      <c r="P679" s="28">
        <f t="shared" si="55"/>
        <v>12518409.42562592</v>
      </c>
      <c r="Q679" s="28">
        <f t="shared" si="56"/>
        <v>13254786.45066274</v>
      </c>
      <c r="R679" s="28">
        <f t="shared" si="57"/>
        <v>13991163.475699557</v>
      </c>
      <c r="S679" s="28">
        <f t="shared" si="58"/>
        <v>14727540.500736376</v>
      </c>
      <c r="T679" s="28">
        <f t="shared" si="59"/>
        <v>15463917.525773196</v>
      </c>
      <c r="U679" s="28">
        <f t="shared" si="60"/>
        <v>16200294.550810013</v>
      </c>
      <c r="V679" s="28">
        <f t="shared" si="61"/>
        <v>16936671.575846832</v>
      </c>
      <c r="W679" s="28">
        <f t="shared" si="62"/>
        <v>17673048.600883652</v>
      </c>
    </row>
    <row r="680" spans="1:23" x14ac:dyDescent="0.2">
      <c r="A680" s="28">
        <v>679</v>
      </c>
      <c r="B680" s="28">
        <v>294117.64705882355</v>
      </c>
      <c r="C680" s="28">
        <f t="shared" si="42"/>
        <v>2941176.4705882357</v>
      </c>
      <c r="D680" s="28">
        <f t="shared" si="43"/>
        <v>3676470.5882352944</v>
      </c>
      <c r="E680" s="28">
        <f t="shared" si="44"/>
        <v>4411764.7058823537</v>
      </c>
      <c r="F680" s="28">
        <f t="shared" si="45"/>
        <v>5147058.823529412</v>
      </c>
      <c r="G680" s="28">
        <f t="shared" si="46"/>
        <v>5882352.9411764713</v>
      </c>
      <c r="H680" s="28">
        <f t="shared" si="47"/>
        <v>6617647.0588235306</v>
      </c>
      <c r="I680" s="28">
        <f t="shared" si="48"/>
        <v>7352941.1764705889</v>
      </c>
      <c r="J680" s="28">
        <f t="shared" si="49"/>
        <v>8088235.2941176482</v>
      </c>
      <c r="K680" s="28">
        <f t="shared" si="50"/>
        <v>8823529.4117647074</v>
      </c>
      <c r="L680" s="28">
        <f t="shared" si="51"/>
        <v>9558823.5294117667</v>
      </c>
      <c r="M680" s="28">
        <f t="shared" si="52"/>
        <v>10294117.647058824</v>
      </c>
      <c r="N680" s="28">
        <f t="shared" si="53"/>
        <v>11029411.764705883</v>
      </c>
      <c r="O680" s="28">
        <f t="shared" si="54"/>
        <v>11764705.882352943</v>
      </c>
      <c r="P680" s="28">
        <f t="shared" si="55"/>
        <v>12500000.000000002</v>
      </c>
      <c r="Q680" s="28">
        <f t="shared" si="56"/>
        <v>13235294.117647061</v>
      </c>
      <c r="R680" s="28">
        <f t="shared" si="57"/>
        <v>13970588.235294119</v>
      </c>
      <c r="S680" s="28">
        <f t="shared" si="58"/>
        <v>14705882.352941178</v>
      </c>
      <c r="T680" s="28">
        <f t="shared" si="59"/>
        <v>15441176.470588237</v>
      </c>
      <c r="U680" s="28">
        <f t="shared" si="60"/>
        <v>16176470.588235296</v>
      </c>
      <c r="V680" s="28">
        <f t="shared" si="61"/>
        <v>16911764.705882356</v>
      </c>
      <c r="W680" s="28">
        <f t="shared" si="62"/>
        <v>17647058.823529415</v>
      </c>
    </row>
    <row r="681" spans="1:23" x14ac:dyDescent="0.2">
      <c r="A681" s="28">
        <v>680</v>
      </c>
      <c r="B681" s="28">
        <v>293685.75624082232</v>
      </c>
      <c r="C681" s="28">
        <f t="shared" si="42"/>
        <v>2936857.5624082233</v>
      </c>
      <c r="D681" s="28">
        <f t="shared" si="43"/>
        <v>3671071.9530102792</v>
      </c>
      <c r="E681" s="28">
        <f t="shared" si="44"/>
        <v>4405286.3436123347</v>
      </c>
      <c r="F681" s="28">
        <f t="shared" si="45"/>
        <v>5139500.7342143906</v>
      </c>
      <c r="G681" s="28">
        <f t="shared" si="46"/>
        <v>5873715.1248164466</v>
      </c>
      <c r="H681" s="28">
        <f t="shared" si="47"/>
        <v>6607929.5154185025</v>
      </c>
      <c r="I681" s="28">
        <f t="shared" si="48"/>
        <v>7342143.9060205584</v>
      </c>
      <c r="J681" s="28">
        <f t="shared" si="49"/>
        <v>8076358.2966226144</v>
      </c>
      <c r="K681" s="28">
        <f t="shared" si="50"/>
        <v>8810572.6872246694</v>
      </c>
      <c r="L681" s="28">
        <f t="shared" si="51"/>
        <v>9544787.0778267253</v>
      </c>
      <c r="M681" s="28">
        <f t="shared" si="52"/>
        <v>10279001.468428781</v>
      </c>
      <c r="N681" s="28">
        <f t="shared" si="53"/>
        <v>11013215.859030837</v>
      </c>
      <c r="O681" s="28">
        <f t="shared" si="54"/>
        <v>11747430.249632893</v>
      </c>
      <c r="P681" s="28">
        <f t="shared" si="55"/>
        <v>12481644.640234949</v>
      </c>
      <c r="Q681" s="28">
        <f t="shared" si="56"/>
        <v>13215859.030837005</v>
      </c>
      <c r="R681" s="28">
        <f t="shared" si="57"/>
        <v>13950073.421439061</v>
      </c>
      <c r="S681" s="28">
        <f t="shared" si="58"/>
        <v>14684287.812041117</v>
      </c>
      <c r="T681" s="28">
        <f t="shared" si="59"/>
        <v>15418502.202643173</v>
      </c>
      <c r="U681" s="28">
        <f t="shared" si="60"/>
        <v>16152716.593245229</v>
      </c>
      <c r="V681" s="28">
        <f t="shared" si="61"/>
        <v>16886930.983847283</v>
      </c>
      <c r="W681" s="28">
        <f t="shared" si="62"/>
        <v>17621145.374449339</v>
      </c>
    </row>
    <row r="682" spans="1:23" x14ac:dyDescent="0.2">
      <c r="A682" s="28">
        <v>681</v>
      </c>
      <c r="B682" s="28">
        <v>293255.13196480938</v>
      </c>
      <c r="C682" s="28">
        <f t="shared" si="42"/>
        <v>2932551.3196480935</v>
      </c>
      <c r="D682" s="28">
        <f t="shared" si="43"/>
        <v>3665689.1495601172</v>
      </c>
      <c r="E682" s="28">
        <f t="shared" si="44"/>
        <v>4398826.9794721399</v>
      </c>
      <c r="F682" s="28">
        <f t="shared" si="45"/>
        <v>5131964.8093841635</v>
      </c>
      <c r="G682" s="28">
        <f t="shared" si="46"/>
        <v>5865102.6392961871</v>
      </c>
      <c r="H682" s="28">
        <f t="shared" si="47"/>
        <v>6598240.4692082107</v>
      </c>
      <c r="I682" s="28">
        <f t="shared" si="48"/>
        <v>7331378.2991202343</v>
      </c>
      <c r="J682" s="28">
        <f t="shared" si="49"/>
        <v>8064516.129032257</v>
      </c>
      <c r="K682" s="28">
        <f t="shared" si="50"/>
        <v>8797653.9589442797</v>
      </c>
      <c r="L682" s="28">
        <f t="shared" si="51"/>
        <v>9530791.7888563033</v>
      </c>
      <c r="M682" s="28">
        <f t="shared" si="52"/>
        <v>10263929.618768327</v>
      </c>
      <c r="N682" s="28">
        <f t="shared" si="53"/>
        <v>10997067.448680351</v>
      </c>
      <c r="O682" s="28">
        <f t="shared" si="54"/>
        <v>11730205.278592374</v>
      </c>
      <c r="P682" s="28">
        <f t="shared" si="55"/>
        <v>12463343.108504398</v>
      </c>
      <c r="Q682" s="28">
        <f t="shared" si="56"/>
        <v>13196480.938416421</v>
      </c>
      <c r="R682" s="28">
        <f t="shared" si="57"/>
        <v>13929618.768328445</v>
      </c>
      <c r="S682" s="28">
        <f t="shared" si="58"/>
        <v>14662756.598240469</v>
      </c>
      <c r="T682" s="28">
        <f t="shared" si="59"/>
        <v>15395894.42815249</v>
      </c>
      <c r="U682" s="28">
        <f t="shared" si="60"/>
        <v>16129032.258064514</v>
      </c>
      <c r="V682" s="28">
        <f t="shared" si="61"/>
        <v>16862170.087976538</v>
      </c>
      <c r="W682" s="28">
        <f t="shared" si="62"/>
        <v>17595307.917888559</v>
      </c>
    </row>
    <row r="683" spans="1:23" x14ac:dyDescent="0.2">
      <c r="A683" s="28">
        <v>682</v>
      </c>
      <c r="B683" s="28">
        <v>292825.76866764273</v>
      </c>
      <c r="C683" s="28">
        <f t="shared" si="42"/>
        <v>2928257.6866764273</v>
      </c>
      <c r="D683" s="28">
        <f t="shared" si="43"/>
        <v>3660322.1083455342</v>
      </c>
      <c r="E683" s="28">
        <f t="shared" si="44"/>
        <v>4392386.5300146407</v>
      </c>
      <c r="F683" s="28">
        <f t="shared" si="45"/>
        <v>5124450.9516837476</v>
      </c>
      <c r="G683" s="28">
        <f t="shared" si="46"/>
        <v>5856515.3733528545</v>
      </c>
      <c r="H683" s="28">
        <f t="shared" si="47"/>
        <v>6588579.7950219614</v>
      </c>
      <c r="I683" s="28">
        <f t="shared" si="48"/>
        <v>7320644.2166910684</v>
      </c>
      <c r="J683" s="28">
        <f t="shared" si="49"/>
        <v>8052708.6383601753</v>
      </c>
      <c r="K683" s="28">
        <f t="shared" si="50"/>
        <v>8784773.0600292813</v>
      </c>
      <c r="L683" s="28">
        <f t="shared" si="51"/>
        <v>9516837.4816983882</v>
      </c>
      <c r="M683" s="28">
        <f t="shared" si="52"/>
        <v>10248901.903367495</v>
      </c>
      <c r="N683" s="28">
        <f t="shared" si="53"/>
        <v>10980966.325036602</v>
      </c>
      <c r="O683" s="28">
        <f t="shared" si="54"/>
        <v>11713030.746705709</v>
      </c>
      <c r="P683" s="28">
        <f t="shared" si="55"/>
        <v>12445095.168374816</v>
      </c>
      <c r="Q683" s="28">
        <f t="shared" si="56"/>
        <v>13177159.590043923</v>
      </c>
      <c r="R683" s="28">
        <f t="shared" si="57"/>
        <v>13909224.01171303</v>
      </c>
      <c r="S683" s="28">
        <f t="shared" si="58"/>
        <v>14641288.433382137</v>
      </c>
      <c r="T683" s="28">
        <f t="shared" si="59"/>
        <v>15373352.855051244</v>
      </c>
      <c r="U683" s="28">
        <f t="shared" si="60"/>
        <v>16105417.276720351</v>
      </c>
      <c r="V683" s="28">
        <f t="shared" si="61"/>
        <v>16837481.698389456</v>
      </c>
      <c r="W683" s="28">
        <f t="shared" si="62"/>
        <v>17569546.120058563</v>
      </c>
    </row>
    <row r="684" spans="1:23" x14ac:dyDescent="0.2">
      <c r="A684" s="28">
        <v>683</v>
      </c>
      <c r="B684" s="28">
        <v>292397.66081871343</v>
      </c>
      <c r="C684" s="28">
        <f t="shared" si="42"/>
        <v>2923976.6081871344</v>
      </c>
      <c r="D684" s="28">
        <f t="shared" si="43"/>
        <v>3654970.7602339182</v>
      </c>
      <c r="E684" s="28">
        <f t="shared" si="44"/>
        <v>4385964.9122807011</v>
      </c>
      <c r="F684" s="28">
        <f t="shared" si="45"/>
        <v>5116959.0643274849</v>
      </c>
      <c r="G684" s="28">
        <f t="shared" si="46"/>
        <v>5847953.2163742688</v>
      </c>
      <c r="H684" s="28">
        <f t="shared" si="47"/>
        <v>6578947.3684210526</v>
      </c>
      <c r="I684" s="28">
        <f t="shared" si="48"/>
        <v>7309941.5204678364</v>
      </c>
      <c r="J684" s="28">
        <f t="shared" si="49"/>
        <v>8040935.6725146193</v>
      </c>
      <c r="K684" s="28">
        <f t="shared" si="50"/>
        <v>8771929.8245614022</v>
      </c>
      <c r="L684" s="28">
        <f t="shared" si="51"/>
        <v>9502923.976608187</v>
      </c>
      <c r="M684" s="28">
        <f t="shared" si="52"/>
        <v>10233918.12865497</v>
      </c>
      <c r="N684" s="28">
        <f t="shared" si="53"/>
        <v>10964912.280701755</v>
      </c>
      <c r="O684" s="28">
        <f t="shared" si="54"/>
        <v>11695906.432748538</v>
      </c>
      <c r="P684" s="28">
        <f t="shared" si="55"/>
        <v>12426900.58479532</v>
      </c>
      <c r="Q684" s="28">
        <f t="shared" si="56"/>
        <v>13157894.736842105</v>
      </c>
      <c r="R684" s="28">
        <f t="shared" si="57"/>
        <v>13888888.888888888</v>
      </c>
      <c r="S684" s="28">
        <f t="shared" si="58"/>
        <v>14619883.040935673</v>
      </c>
      <c r="T684" s="28">
        <f t="shared" si="59"/>
        <v>15350877.192982456</v>
      </c>
      <c r="U684" s="28">
        <f t="shared" si="60"/>
        <v>16081871.345029239</v>
      </c>
      <c r="V684" s="28">
        <f t="shared" si="61"/>
        <v>16812865.497076023</v>
      </c>
      <c r="W684" s="28">
        <f t="shared" si="62"/>
        <v>17543859.649122804</v>
      </c>
    </row>
    <row r="685" spans="1:23" x14ac:dyDescent="0.2">
      <c r="A685" s="28">
        <v>684</v>
      </c>
      <c r="B685" s="28">
        <v>291970.80291970802</v>
      </c>
      <c r="C685" s="28">
        <f t="shared" si="42"/>
        <v>2919708.0291970801</v>
      </c>
      <c r="D685" s="28">
        <f t="shared" si="43"/>
        <v>3649635.0364963501</v>
      </c>
      <c r="E685" s="28">
        <f t="shared" si="44"/>
        <v>4379562.0437956201</v>
      </c>
      <c r="F685" s="28">
        <f t="shared" si="45"/>
        <v>5109489.0510948896</v>
      </c>
      <c r="G685" s="28">
        <f t="shared" si="46"/>
        <v>5839416.0583941601</v>
      </c>
      <c r="H685" s="28">
        <f t="shared" si="47"/>
        <v>6569343.0656934306</v>
      </c>
      <c r="I685" s="28">
        <f t="shared" si="48"/>
        <v>7299270.0729927002</v>
      </c>
      <c r="J685" s="28">
        <f t="shared" si="49"/>
        <v>8029197.0802919697</v>
      </c>
      <c r="K685" s="28">
        <f t="shared" si="50"/>
        <v>8759124.0875912402</v>
      </c>
      <c r="L685" s="28">
        <f t="shared" si="51"/>
        <v>9489051.0948905107</v>
      </c>
      <c r="M685" s="28">
        <f t="shared" si="52"/>
        <v>10218978.102189779</v>
      </c>
      <c r="N685" s="28">
        <f t="shared" si="53"/>
        <v>10948905.10948905</v>
      </c>
      <c r="O685" s="28">
        <f t="shared" si="54"/>
        <v>11678832.11678832</v>
      </c>
      <c r="P685" s="28">
        <f t="shared" si="55"/>
        <v>12408759.124087591</v>
      </c>
      <c r="Q685" s="28">
        <f t="shared" si="56"/>
        <v>13138686.131386861</v>
      </c>
      <c r="R685" s="28">
        <f t="shared" si="57"/>
        <v>13868613.13868613</v>
      </c>
      <c r="S685" s="28">
        <f t="shared" si="58"/>
        <v>14598540.1459854</v>
      </c>
      <c r="T685" s="28">
        <f t="shared" si="59"/>
        <v>15328467.153284671</v>
      </c>
      <c r="U685" s="28">
        <f t="shared" si="60"/>
        <v>16058394.160583939</v>
      </c>
      <c r="V685" s="28">
        <f t="shared" si="61"/>
        <v>16788321.16788321</v>
      </c>
      <c r="W685" s="28">
        <f t="shared" si="62"/>
        <v>17518248.17518248</v>
      </c>
    </row>
    <row r="686" spans="1:23" x14ac:dyDescent="0.2">
      <c r="A686" s="28">
        <v>685</v>
      </c>
      <c r="B686" s="28">
        <v>291545.18950437318</v>
      </c>
      <c r="C686" s="28">
        <f t="shared" si="42"/>
        <v>2915451.8950437317</v>
      </c>
      <c r="D686" s="28">
        <f t="shared" si="43"/>
        <v>3644314.8688046644</v>
      </c>
      <c r="E686" s="28">
        <f t="shared" si="44"/>
        <v>4373177.842565598</v>
      </c>
      <c r="F686" s="28">
        <f t="shared" si="45"/>
        <v>5102040.8163265307</v>
      </c>
      <c r="G686" s="28">
        <f t="shared" si="46"/>
        <v>5830903.7900874633</v>
      </c>
      <c r="H686" s="28">
        <f t="shared" si="47"/>
        <v>6559766.763848396</v>
      </c>
      <c r="I686" s="28">
        <f t="shared" si="48"/>
        <v>7288629.7376093287</v>
      </c>
      <c r="J686" s="28">
        <f t="shared" si="49"/>
        <v>8017492.7113702623</v>
      </c>
      <c r="K686" s="28">
        <f t="shared" si="50"/>
        <v>8746355.6851311959</v>
      </c>
      <c r="L686" s="28">
        <f t="shared" si="51"/>
        <v>9475218.6588921286</v>
      </c>
      <c r="M686" s="28">
        <f t="shared" si="52"/>
        <v>10204081.632653061</v>
      </c>
      <c r="N686" s="28">
        <f t="shared" si="53"/>
        <v>10932944.606413994</v>
      </c>
      <c r="O686" s="28">
        <f t="shared" si="54"/>
        <v>11661807.580174927</v>
      </c>
      <c r="P686" s="28">
        <f t="shared" si="55"/>
        <v>12390670.553935859</v>
      </c>
      <c r="Q686" s="28">
        <f t="shared" si="56"/>
        <v>13119533.527696792</v>
      </c>
      <c r="R686" s="28">
        <f t="shared" si="57"/>
        <v>13848396.501457725</v>
      </c>
      <c r="S686" s="28">
        <f t="shared" si="58"/>
        <v>14577259.475218657</v>
      </c>
      <c r="T686" s="28">
        <f t="shared" si="59"/>
        <v>15306122.448979592</v>
      </c>
      <c r="U686" s="28">
        <f t="shared" si="60"/>
        <v>16034985.422740525</v>
      </c>
      <c r="V686" s="28">
        <f t="shared" si="61"/>
        <v>16763848.396501457</v>
      </c>
      <c r="W686" s="28">
        <f t="shared" si="62"/>
        <v>17492711.370262392</v>
      </c>
    </row>
    <row r="687" spans="1:23" x14ac:dyDescent="0.2">
      <c r="A687" s="28">
        <v>686</v>
      </c>
      <c r="B687" s="28">
        <v>291120.81513828237</v>
      </c>
      <c r="C687" s="28">
        <f t="shared" si="42"/>
        <v>2911208.1513828235</v>
      </c>
      <c r="D687" s="28">
        <f t="shared" si="43"/>
        <v>3639010.1892285291</v>
      </c>
      <c r="E687" s="28">
        <f t="shared" si="44"/>
        <v>4366812.2270742357</v>
      </c>
      <c r="F687" s="28">
        <f t="shared" si="45"/>
        <v>5094614.2649199413</v>
      </c>
      <c r="G687" s="28">
        <f t="shared" si="46"/>
        <v>5822416.3027656469</v>
      </c>
      <c r="H687" s="28">
        <f t="shared" si="47"/>
        <v>6550218.3406113526</v>
      </c>
      <c r="I687" s="28">
        <f t="shared" si="48"/>
        <v>7278020.3784570582</v>
      </c>
      <c r="J687" s="28">
        <f t="shared" si="49"/>
        <v>8005822.4163027648</v>
      </c>
      <c r="K687" s="28">
        <f t="shared" si="50"/>
        <v>8733624.4541484714</v>
      </c>
      <c r="L687" s="28">
        <f t="shared" si="51"/>
        <v>9461426.4919941761</v>
      </c>
      <c r="M687" s="28">
        <f t="shared" si="52"/>
        <v>10189228.529839883</v>
      </c>
      <c r="N687" s="28">
        <f t="shared" si="53"/>
        <v>10917030.567685587</v>
      </c>
      <c r="O687" s="28">
        <f t="shared" si="54"/>
        <v>11644832.605531294</v>
      </c>
      <c r="P687" s="28">
        <f t="shared" si="55"/>
        <v>12372634.643377</v>
      </c>
      <c r="Q687" s="28">
        <f t="shared" si="56"/>
        <v>13100436.681222705</v>
      </c>
      <c r="R687" s="28">
        <f t="shared" si="57"/>
        <v>13828238.719068412</v>
      </c>
      <c r="S687" s="28">
        <f t="shared" si="58"/>
        <v>14556040.756914116</v>
      </c>
      <c r="T687" s="28">
        <f t="shared" si="59"/>
        <v>15283842.794759823</v>
      </c>
      <c r="U687" s="28">
        <f t="shared" si="60"/>
        <v>16011644.83260553</v>
      </c>
      <c r="V687" s="28">
        <f t="shared" si="61"/>
        <v>16739446.870451234</v>
      </c>
      <c r="W687" s="28">
        <f t="shared" si="62"/>
        <v>17467248.908296943</v>
      </c>
    </row>
    <row r="688" spans="1:23" x14ac:dyDescent="0.2">
      <c r="A688" s="28">
        <v>687</v>
      </c>
      <c r="B688" s="28">
        <v>290697.67441860464</v>
      </c>
      <c r="C688" s="28">
        <f t="shared" si="42"/>
        <v>2906976.7441860465</v>
      </c>
      <c r="D688" s="28">
        <f t="shared" si="43"/>
        <v>3633720.9302325584</v>
      </c>
      <c r="E688" s="28">
        <f t="shared" si="44"/>
        <v>4360465.1162790693</v>
      </c>
      <c r="F688" s="28">
        <f t="shared" si="45"/>
        <v>5087209.3023255812</v>
      </c>
      <c r="G688" s="28">
        <f t="shared" si="46"/>
        <v>5813953.4883720931</v>
      </c>
      <c r="H688" s="28">
        <f t="shared" si="47"/>
        <v>6540697.6744186049</v>
      </c>
      <c r="I688" s="28">
        <f t="shared" si="48"/>
        <v>7267441.8604651168</v>
      </c>
      <c r="J688" s="28">
        <f t="shared" si="49"/>
        <v>7994186.0465116277</v>
      </c>
      <c r="K688" s="28">
        <f t="shared" si="50"/>
        <v>8720930.2325581387</v>
      </c>
      <c r="L688" s="28">
        <f t="shared" si="51"/>
        <v>9447674.4186046515</v>
      </c>
      <c r="M688" s="28">
        <f t="shared" si="52"/>
        <v>10174418.604651162</v>
      </c>
      <c r="N688" s="28">
        <f t="shared" si="53"/>
        <v>10901162.790697675</v>
      </c>
      <c r="O688" s="28">
        <f t="shared" si="54"/>
        <v>11627906.976744186</v>
      </c>
      <c r="P688" s="28">
        <f t="shared" si="55"/>
        <v>12354651.162790697</v>
      </c>
      <c r="Q688" s="28">
        <f t="shared" si="56"/>
        <v>13081395.34883721</v>
      </c>
      <c r="R688" s="28">
        <f t="shared" si="57"/>
        <v>13808139.534883721</v>
      </c>
      <c r="S688" s="28">
        <f t="shared" si="58"/>
        <v>14534883.720930234</v>
      </c>
      <c r="T688" s="28">
        <f t="shared" si="59"/>
        <v>15261627.906976745</v>
      </c>
      <c r="U688" s="28">
        <f t="shared" si="60"/>
        <v>15988372.093023255</v>
      </c>
      <c r="V688" s="28">
        <f t="shared" si="61"/>
        <v>16715116.279069768</v>
      </c>
      <c r="W688" s="28">
        <f t="shared" si="62"/>
        <v>17441860.465116277</v>
      </c>
    </row>
    <row r="689" spans="1:23" x14ac:dyDescent="0.2">
      <c r="A689" s="28">
        <v>688</v>
      </c>
      <c r="B689" s="28">
        <v>290275.76197387517</v>
      </c>
      <c r="C689" s="28">
        <f t="shared" si="42"/>
        <v>2902757.6197387516</v>
      </c>
      <c r="D689" s="28">
        <f t="shared" si="43"/>
        <v>3628447.0246734396</v>
      </c>
      <c r="E689" s="28">
        <f t="shared" si="44"/>
        <v>4354136.4296081271</v>
      </c>
      <c r="F689" s="28">
        <f t="shared" si="45"/>
        <v>5079825.8345428156</v>
      </c>
      <c r="G689" s="28">
        <f t="shared" si="46"/>
        <v>5805515.2394775031</v>
      </c>
      <c r="H689" s="28">
        <f t="shared" si="47"/>
        <v>6531204.6444121907</v>
      </c>
      <c r="I689" s="28">
        <f t="shared" si="48"/>
        <v>7256894.0493468791</v>
      </c>
      <c r="J689" s="28">
        <f t="shared" si="49"/>
        <v>7982583.4542815667</v>
      </c>
      <c r="K689" s="28">
        <f t="shared" si="50"/>
        <v>8708272.8592162542</v>
      </c>
      <c r="L689" s="28">
        <f t="shared" si="51"/>
        <v>9433962.2641509417</v>
      </c>
      <c r="M689" s="28">
        <f t="shared" si="52"/>
        <v>10159651.669085631</v>
      </c>
      <c r="N689" s="28">
        <f t="shared" si="53"/>
        <v>10885341.074020319</v>
      </c>
      <c r="O689" s="28">
        <f t="shared" si="54"/>
        <v>11611030.478955006</v>
      </c>
      <c r="P689" s="28">
        <f t="shared" si="55"/>
        <v>12336719.883889694</v>
      </c>
      <c r="Q689" s="28">
        <f t="shared" si="56"/>
        <v>13062409.288824381</v>
      </c>
      <c r="R689" s="28">
        <f t="shared" si="57"/>
        <v>13788098.693759071</v>
      </c>
      <c r="S689" s="28">
        <f t="shared" si="58"/>
        <v>14513788.098693758</v>
      </c>
      <c r="T689" s="28">
        <f t="shared" si="59"/>
        <v>15239477.503628446</v>
      </c>
      <c r="U689" s="28">
        <f t="shared" si="60"/>
        <v>15965166.908563133</v>
      </c>
      <c r="V689" s="28">
        <f t="shared" si="61"/>
        <v>16690856.313497821</v>
      </c>
      <c r="W689" s="28">
        <f t="shared" si="62"/>
        <v>17416545.718432508</v>
      </c>
    </row>
    <row r="690" spans="1:23" x14ac:dyDescent="0.2">
      <c r="A690" s="28">
        <v>689</v>
      </c>
      <c r="B690" s="28">
        <v>289855.07246376813</v>
      </c>
      <c r="C690" s="28">
        <f t="shared" si="42"/>
        <v>2898550.7246376812</v>
      </c>
      <c r="D690" s="28">
        <f t="shared" si="43"/>
        <v>3623188.4057971016</v>
      </c>
      <c r="E690" s="28">
        <f t="shared" si="44"/>
        <v>4347826.0869565215</v>
      </c>
      <c r="F690" s="28">
        <f t="shared" si="45"/>
        <v>5072463.7681159424</v>
      </c>
      <c r="G690" s="28">
        <f t="shared" si="46"/>
        <v>5797101.4492753623</v>
      </c>
      <c r="H690" s="28">
        <f t="shared" si="47"/>
        <v>6521739.1304347822</v>
      </c>
      <c r="I690" s="28">
        <f t="shared" si="48"/>
        <v>7246376.8115942031</v>
      </c>
      <c r="J690" s="28">
        <f t="shared" si="49"/>
        <v>7971014.4927536231</v>
      </c>
      <c r="K690" s="28">
        <f t="shared" si="50"/>
        <v>8695652.173913043</v>
      </c>
      <c r="L690" s="28">
        <f t="shared" si="51"/>
        <v>9420289.8550724629</v>
      </c>
      <c r="M690" s="28">
        <f t="shared" si="52"/>
        <v>10144927.536231885</v>
      </c>
      <c r="N690" s="28">
        <f t="shared" si="53"/>
        <v>10869565.217391305</v>
      </c>
      <c r="O690" s="28">
        <f t="shared" si="54"/>
        <v>11594202.898550725</v>
      </c>
      <c r="P690" s="28">
        <f t="shared" si="55"/>
        <v>12318840.579710145</v>
      </c>
      <c r="Q690" s="28">
        <f t="shared" si="56"/>
        <v>13043478.260869564</v>
      </c>
      <c r="R690" s="28">
        <f t="shared" si="57"/>
        <v>13768115.942028986</v>
      </c>
      <c r="S690" s="28">
        <f t="shared" si="58"/>
        <v>14492753.623188406</v>
      </c>
      <c r="T690" s="28">
        <f t="shared" si="59"/>
        <v>15217391.304347826</v>
      </c>
      <c r="U690" s="28">
        <f t="shared" si="60"/>
        <v>15942028.985507246</v>
      </c>
      <c r="V690" s="28">
        <f t="shared" si="61"/>
        <v>16666666.666666666</v>
      </c>
      <c r="W690" s="28">
        <f t="shared" si="62"/>
        <v>17391304.347826086</v>
      </c>
    </row>
    <row r="691" spans="1:23" x14ac:dyDescent="0.2">
      <c r="A691" s="28">
        <v>690</v>
      </c>
      <c r="B691" s="28">
        <v>289435.60057887121</v>
      </c>
      <c r="C691" s="28">
        <f t="shared" si="42"/>
        <v>2894356.0057887118</v>
      </c>
      <c r="D691" s="28">
        <f t="shared" si="43"/>
        <v>3617945.0072358898</v>
      </c>
      <c r="E691" s="28">
        <f t="shared" si="44"/>
        <v>4341534.0086830677</v>
      </c>
      <c r="F691" s="28">
        <f t="shared" si="45"/>
        <v>5065123.0101302452</v>
      </c>
      <c r="G691" s="28">
        <f t="shared" si="46"/>
        <v>5788712.0115774237</v>
      </c>
      <c r="H691" s="28">
        <f t="shared" si="47"/>
        <v>6512301.0130246021</v>
      </c>
      <c r="I691" s="28">
        <f t="shared" si="48"/>
        <v>7235890.0144717796</v>
      </c>
      <c r="J691" s="28">
        <f t="shared" si="49"/>
        <v>7959479.0159189571</v>
      </c>
      <c r="K691" s="28">
        <f t="shared" si="50"/>
        <v>8683068.0173661355</v>
      </c>
      <c r="L691" s="28">
        <f t="shared" si="51"/>
        <v>9406657.0188133139</v>
      </c>
      <c r="M691" s="28">
        <f t="shared" si="52"/>
        <v>10130246.02026049</v>
      </c>
      <c r="N691" s="28">
        <f t="shared" si="53"/>
        <v>10853835.021707669</v>
      </c>
      <c r="O691" s="28">
        <f t="shared" si="54"/>
        <v>11577424.023154847</v>
      </c>
      <c r="P691" s="28">
        <f t="shared" si="55"/>
        <v>12301013.024602026</v>
      </c>
      <c r="Q691" s="28">
        <f t="shared" si="56"/>
        <v>13024602.026049204</v>
      </c>
      <c r="R691" s="28">
        <f t="shared" si="57"/>
        <v>13748191.027496381</v>
      </c>
      <c r="S691" s="28">
        <f t="shared" si="58"/>
        <v>14471780.028943559</v>
      </c>
      <c r="T691" s="28">
        <f t="shared" si="59"/>
        <v>15195369.030390738</v>
      </c>
      <c r="U691" s="28">
        <f t="shared" si="60"/>
        <v>15918958.031837914</v>
      </c>
      <c r="V691" s="28">
        <f t="shared" si="61"/>
        <v>16642547.033285093</v>
      </c>
      <c r="W691" s="28">
        <f t="shared" si="62"/>
        <v>17366136.034732271</v>
      </c>
    </row>
    <row r="692" spans="1:23" x14ac:dyDescent="0.2">
      <c r="A692" s="28">
        <v>691</v>
      </c>
      <c r="B692" s="28">
        <v>289017.34104046243</v>
      </c>
      <c r="C692" s="28">
        <f t="shared" si="42"/>
        <v>2890173.4104046244</v>
      </c>
      <c r="D692" s="28">
        <f t="shared" si="43"/>
        <v>3612716.7630057805</v>
      </c>
      <c r="E692" s="28">
        <f t="shared" si="44"/>
        <v>4335260.1156069366</v>
      </c>
      <c r="F692" s="28">
        <f t="shared" si="45"/>
        <v>5057803.4682080932</v>
      </c>
      <c r="G692" s="28">
        <f t="shared" si="46"/>
        <v>5780346.8208092488</v>
      </c>
      <c r="H692" s="28">
        <f t="shared" si="47"/>
        <v>6502890.1734104045</v>
      </c>
      <c r="I692" s="28">
        <f t="shared" si="48"/>
        <v>7225433.526011561</v>
      </c>
      <c r="J692" s="28">
        <f t="shared" si="49"/>
        <v>7947976.8786127176</v>
      </c>
      <c r="K692" s="28">
        <f t="shared" si="50"/>
        <v>8670520.2312138733</v>
      </c>
      <c r="L692" s="28">
        <f t="shared" si="51"/>
        <v>9393063.5838150289</v>
      </c>
      <c r="M692" s="28">
        <f t="shared" si="52"/>
        <v>10115606.936416186</v>
      </c>
      <c r="N692" s="28">
        <f t="shared" si="53"/>
        <v>10838150.289017342</v>
      </c>
      <c r="O692" s="28">
        <f t="shared" si="54"/>
        <v>11560693.641618498</v>
      </c>
      <c r="P692" s="28">
        <f t="shared" si="55"/>
        <v>12283236.994219653</v>
      </c>
      <c r="Q692" s="28">
        <f t="shared" si="56"/>
        <v>13005780.346820809</v>
      </c>
      <c r="R692" s="28">
        <f t="shared" si="57"/>
        <v>13728323.699421966</v>
      </c>
      <c r="S692" s="28">
        <f t="shared" si="58"/>
        <v>14450867.052023122</v>
      </c>
      <c r="T692" s="28">
        <f t="shared" si="59"/>
        <v>15173410.404624278</v>
      </c>
      <c r="U692" s="28">
        <f t="shared" si="60"/>
        <v>15895953.757225435</v>
      </c>
      <c r="V692" s="28">
        <f t="shared" si="61"/>
        <v>16618497.109826591</v>
      </c>
      <c r="W692" s="28">
        <f t="shared" si="62"/>
        <v>17341040.462427747</v>
      </c>
    </row>
    <row r="693" spans="1:23" x14ac:dyDescent="0.2">
      <c r="A693" s="28">
        <v>692</v>
      </c>
      <c r="B693" s="28">
        <v>288600.28860028862</v>
      </c>
      <c r="C693" s="28">
        <f t="shared" si="42"/>
        <v>2886002.8860028861</v>
      </c>
      <c r="D693" s="28">
        <f t="shared" si="43"/>
        <v>3607503.6075036079</v>
      </c>
      <c r="E693" s="28">
        <f t="shared" si="44"/>
        <v>4329004.3290043287</v>
      </c>
      <c r="F693" s="28">
        <f t="shared" si="45"/>
        <v>5050505.0505050505</v>
      </c>
      <c r="G693" s="28">
        <f t="shared" si="46"/>
        <v>5772005.7720057722</v>
      </c>
      <c r="H693" s="28">
        <f t="shared" si="47"/>
        <v>6493506.493506494</v>
      </c>
      <c r="I693" s="28">
        <f t="shared" si="48"/>
        <v>7215007.2150072157</v>
      </c>
      <c r="J693" s="28">
        <f t="shared" si="49"/>
        <v>7936507.9365079366</v>
      </c>
      <c r="K693" s="28">
        <f t="shared" si="50"/>
        <v>8658008.6580086574</v>
      </c>
      <c r="L693" s="28">
        <f t="shared" si="51"/>
        <v>9379509.3795093801</v>
      </c>
      <c r="M693" s="28">
        <f t="shared" si="52"/>
        <v>10101010.101010101</v>
      </c>
      <c r="N693" s="28">
        <f t="shared" si="53"/>
        <v>10822510.822510824</v>
      </c>
      <c r="O693" s="28">
        <f t="shared" si="54"/>
        <v>11544011.544011544</v>
      </c>
      <c r="P693" s="28">
        <f t="shared" si="55"/>
        <v>12265512.265512265</v>
      </c>
      <c r="Q693" s="28">
        <f t="shared" si="56"/>
        <v>12987012.987012988</v>
      </c>
      <c r="R693" s="28">
        <f t="shared" si="57"/>
        <v>13708513.708513709</v>
      </c>
      <c r="S693" s="28">
        <f t="shared" si="58"/>
        <v>14430014.430014431</v>
      </c>
      <c r="T693" s="28">
        <f t="shared" si="59"/>
        <v>15151515.151515152</v>
      </c>
      <c r="U693" s="28">
        <f t="shared" si="60"/>
        <v>15873015.873015873</v>
      </c>
      <c r="V693" s="28">
        <f t="shared" si="61"/>
        <v>16594516.594516596</v>
      </c>
      <c r="W693" s="28">
        <f t="shared" si="62"/>
        <v>17316017.316017315</v>
      </c>
    </row>
    <row r="694" spans="1:23" x14ac:dyDescent="0.2">
      <c r="A694" s="28">
        <v>693</v>
      </c>
      <c r="B694" s="28">
        <v>288184.43804034579</v>
      </c>
      <c r="C694" s="28">
        <f t="shared" si="42"/>
        <v>2881844.3804034581</v>
      </c>
      <c r="D694" s="28">
        <f t="shared" si="43"/>
        <v>3602305.4755043229</v>
      </c>
      <c r="E694" s="28">
        <f t="shared" si="44"/>
        <v>4322766.5706051867</v>
      </c>
      <c r="F694" s="28">
        <f t="shared" si="45"/>
        <v>5043227.6657060515</v>
      </c>
      <c r="G694" s="28">
        <f t="shared" si="46"/>
        <v>5763688.7608069163</v>
      </c>
      <c r="H694" s="28">
        <f t="shared" si="47"/>
        <v>6484149.855907781</v>
      </c>
      <c r="I694" s="28">
        <f t="shared" si="48"/>
        <v>7204610.9510086458</v>
      </c>
      <c r="J694" s="28">
        <f t="shared" si="49"/>
        <v>7925072.0461095097</v>
      </c>
      <c r="K694" s="28">
        <f t="shared" si="50"/>
        <v>8645533.1412103735</v>
      </c>
      <c r="L694" s="28">
        <f t="shared" si="51"/>
        <v>9365994.2363112383</v>
      </c>
      <c r="M694" s="28">
        <f t="shared" si="52"/>
        <v>10086455.331412103</v>
      </c>
      <c r="N694" s="28">
        <f t="shared" si="53"/>
        <v>10806916.426512968</v>
      </c>
      <c r="O694" s="28">
        <f t="shared" si="54"/>
        <v>11527377.521613833</v>
      </c>
      <c r="P694" s="28">
        <f t="shared" si="55"/>
        <v>12247838.616714697</v>
      </c>
      <c r="Q694" s="28">
        <f t="shared" si="56"/>
        <v>12968299.711815562</v>
      </c>
      <c r="R694" s="28">
        <f t="shared" si="57"/>
        <v>13688760.806916427</v>
      </c>
      <c r="S694" s="28">
        <f t="shared" si="58"/>
        <v>14409221.902017292</v>
      </c>
      <c r="T694" s="28">
        <f t="shared" si="59"/>
        <v>15129682.997118155</v>
      </c>
      <c r="U694" s="28">
        <f t="shared" si="60"/>
        <v>15850144.092219019</v>
      </c>
      <c r="V694" s="28">
        <f t="shared" si="61"/>
        <v>16570605.187319884</v>
      </c>
      <c r="W694" s="28">
        <f t="shared" si="62"/>
        <v>17291066.282420747</v>
      </c>
    </row>
    <row r="695" spans="1:23" x14ac:dyDescent="0.2">
      <c r="A695" s="28">
        <v>694</v>
      </c>
      <c r="B695" s="28">
        <v>287769.78417266189</v>
      </c>
      <c r="C695" s="28">
        <f t="shared" si="42"/>
        <v>2877697.8417266188</v>
      </c>
      <c r="D695" s="28">
        <f t="shared" si="43"/>
        <v>3597122.3021582738</v>
      </c>
      <c r="E695" s="28">
        <f t="shared" si="44"/>
        <v>4316546.7625899278</v>
      </c>
      <c r="F695" s="28">
        <f t="shared" si="45"/>
        <v>5035971.2230215827</v>
      </c>
      <c r="G695" s="28">
        <f t="shared" si="46"/>
        <v>5755395.6834532376</v>
      </c>
      <c r="H695" s="28">
        <f t="shared" si="47"/>
        <v>6474820.1438848926</v>
      </c>
      <c r="I695" s="28">
        <f t="shared" si="48"/>
        <v>7194244.6043165475</v>
      </c>
      <c r="J695" s="28">
        <f t="shared" si="49"/>
        <v>7913669.0647482015</v>
      </c>
      <c r="K695" s="28">
        <f t="shared" si="50"/>
        <v>8633093.5251798555</v>
      </c>
      <c r="L695" s="28">
        <f t="shared" si="51"/>
        <v>9352517.9856115114</v>
      </c>
      <c r="M695" s="28">
        <f t="shared" si="52"/>
        <v>10071942.446043165</v>
      </c>
      <c r="N695" s="28">
        <f t="shared" si="53"/>
        <v>10791366.906474821</v>
      </c>
      <c r="O695" s="28">
        <f t="shared" si="54"/>
        <v>11510791.366906475</v>
      </c>
      <c r="P695" s="28">
        <f t="shared" si="55"/>
        <v>12230215.827338129</v>
      </c>
      <c r="Q695" s="28">
        <f t="shared" si="56"/>
        <v>12949640.287769785</v>
      </c>
      <c r="R695" s="28">
        <f t="shared" si="57"/>
        <v>13669064.748201439</v>
      </c>
      <c r="S695" s="28">
        <f t="shared" si="58"/>
        <v>14388489.208633095</v>
      </c>
      <c r="T695" s="28">
        <f t="shared" si="59"/>
        <v>15107913.669064749</v>
      </c>
      <c r="U695" s="28">
        <f t="shared" si="60"/>
        <v>15827338.129496403</v>
      </c>
      <c r="V695" s="28">
        <f t="shared" si="61"/>
        <v>16546762.589928059</v>
      </c>
      <c r="W695" s="28">
        <f t="shared" si="62"/>
        <v>17266187.050359711</v>
      </c>
    </row>
    <row r="696" spans="1:23" x14ac:dyDescent="0.2">
      <c r="A696" s="28">
        <v>695</v>
      </c>
      <c r="B696" s="28">
        <v>287356.32183908048</v>
      </c>
      <c r="C696" s="28">
        <f t="shared" si="42"/>
        <v>2873563.2183908047</v>
      </c>
      <c r="D696" s="28">
        <f t="shared" si="43"/>
        <v>3591954.0229885057</v>
      </c>
      <c r="E696" s="28">
        <f t="shared" si="44"/>
        <v>4310344.8275862075</v>
      </c>
      <c r="F696" s="28">
        <f t="shared" si="45"/>
        <v>5028735.6321839085</v>
      </c>
      <c r="G696" s="28">
        <f t="shared" si="46"/>
        <v>5747126.4367816094</v>
      </c>
      <c r="H696" s="28">
        <f t="shared" si="47"/>
        <v>6465517.2413793104</v>
      </c>
      <c r="I696" s="28">
        <f t="shared" si="48"/>
        <v>7183908.0459770113</v>
      </c>
      <c r="J696" s="28">
        <f t="shared" si="49"/>
        <v>7902298.8505747132</v>
      </c>
      <c r="K696" s="28">
        <f t="shared" si="50"/>
        <v>8620689.6551724151</v>
      </c>
      <c r="L696" s="28">
        <f t="shared" si="51"/>
        <v>9339080.4597701151</v>
      </c>
      <c r="M696" s="28">
        <f t="shared" si="52"/>
        <v>10057471.264367817</v>
      </c>
      <c r="N696" s="28">
        <f t="shared" si="53"/>
        <v>10775862.068965517</v>
      </c>
      <c r="O696" s="28">
        <f t="shared" si="54"/>
        <v>11494252.873563219</v>
      </c>
      <c r="P696" s="28">
        <f t="shared" si="55"/>
        <v>12212643.678160921</v>
      </c>
      <c r="Q696" s="28">
        <f t="shared" si="56"/>
        <v>12931034.482758621</v>
      </c>
      <c r="R696" s="28">
        <f t="shared" si="57"/>
        <v>13649425.287356323</v>
      </c>
      <c r="S696" s="28">
        <f t="shared" si="58"/>
        <v>14367816.091954023</v>
      </c>
      <c r="T696" s="28">
        <f t="shared" si="59"/>
        <v>15086206.896551725</v>
      </c>
      <c r="U696" s="28">
        <f t="shared" si="60"/>
        <v>15804597.701149426</v>
      </c>
      <c r="V696" s="28">
        <f t="shared" si="61"/>
        <v>16522988.505747126</v>
      </c>
      <c r="W696" s="28">
        <f t="shared" si="62"/>
        <v>17241379.31034483</v>
      </c>
    </row>
    <row r="697" spans="1:23" x14ac:dyDescent="0.2">
      <c r="A697" s="28">
        <v>696</v>
      </c>
      <c r="B697" s="28">
        <v>286944.04591104732</v>
      </c>
      <c r="C697" s="28">
        <f t="shared" si="42"/>
        <v>2869440.4591104733</v>
      </c>
      <c r="D697" s="28">
        <f t="shared" si="43"/>
        <v>3586800.5738880914</v>
      </c>
      <c r="E697" s="28">
        <f t="shared" si="44"/>
        <v>4304160.6886657104</v>
      </c>
      <c r="F697" s="28">
        <f t="shared" si="45"/>
        <v>5021520.8034433285</v>
      </c>
      <c r="G697" s="28">
        <f t="shared" si="46"/>
        <v>5738880.9182209466</v>
      </c>
      <c r="H697" s="28">
        <f t="shared" si="47"/>
        <v>6456241.0329985647</v>
      </c>
      <c r="I697" s="28">
        <f t="shared" si="48"/>
        <v>7173601.1477761827</v>
      </c>
      <c r="J697" s="28">
        <f t="shared" si="49"/>
        <v>7890961.2625538018</v>
      </c>
      <c r="K697" s="28">
        <f t="shared" si="50"/>
        <v>8608321.3773314208</v>
      </c>
      <c r="L697" s="28">
        <f t="shared" si="51"/>
        <v>9325681.4921090379</v>
      </c>
      <c r="M697" s="28">
        <f t="shared" si="52"/>
        <v>10043041.606886657</v>
      </c>
      <c r="N697" s="28">
        <f t="shared" si="53"/>
        <v>10760401.721664274</v>
      </c>
      <c r="O697" s="28">
        <f t="shared" si="54"/>
        <v>11477761.836441893</v>
      </c>
      <c r="P697" s="28">
        <f t="shared" si="55"/>
        <v>12195121.951219512</v>
      </c>
      <c r="Q697" s="28">
        <f t="shared" si="56"/>
        <v>12912482.065997129</v>
      </c>
      <c r="R697" s="28">
        <f t="shared" si="57"/>
        <v>13629842.180774748</v>
      </c>
      <c r="S697" s="28">
        <f t="shared" si="58"/>
        <v>14347202.295552365</v>
      </c>
      <c r="T697" s="28">
        <f t="shared" si="59"/>
        <v>15064562.410329985</v>
      </c>
      <c r="U697" s="28">
        <f t="shared" si="60"/>
        <v>15781922.525107604</v>
      </c>
      <c r="V697" s="28">
        <f t="shared" si="61"/>
        <v>16499282.639885221</v>
      </c>
      <c r="W697" s="28">
        <f t="shared" si="62"/>
        <v>17216642.754662842</v>
      </c>
    </row>
    <row r="698" spans="1:23" x14ac:dyDescent="0.2">
      <c r="A698" s="28">
        <v>697</v>
      </c>
      <c r="B698" s="28">
        <v>286532.9512893983</v>
      </c>
      <c r="C698" s="28">
        <f t="shared" si="42"/>
        <v>2865329.5128939832</v>
      </c>
      <c r="D698" s="28">
        <f t="shared" si="43"/>
        <v>3581661.8911174787</v>
      </c>
      <c r="E698" s="28">
        <f t="shared" si="44"/>
        <v>4297994.2693409752</v>
      </c>
      <c r="F698" s="28">
        <f t="shared" si="45"/>
        <v>5014326.6475644708</v>
      </c>
      <c r="G698" s="28">
        <f t="shared" si="46"/>
        <v>5730659.0257879663</v>
      </c>
      <c r="H698" s="28">
        <f t="shared" si="47"/>
        <v>6446991.4040114619</v>
      </c>
      <c r="I698" s="28">
        <f t="shared" si="48"/>
        <v>7163323.7822349574</v>
      </c>
      <c r="J698" s="28">
        <f t="shared" si="49"/>
        <v>7879656.1604584539</v>
      </c>
      <c r="K698" s="28">
        <f t="shared" si="50"/>
        <v>8595988.5386819504</v>
      </c>
      <c r="L698" s="28">
        <f t="shared" si="51"/>
        <v>9312320.916905446</v>
      </c>
      <c r="M698" s="28">
        <f t="shared" si="52"/>
        <v>10028653.295128942</v>
      </c>
      <c r="N698" s="28">
        <f t="shared" si="53"/>
        <v>10744985.673352437</v>
      </c>
      <c r="O698" s="28">
        <f t="shared" si="54"/>
        <v>11461318.051575933</v>
      </c>
      <c r="P698" s="28">
        <f t="shared" si="55"/>
        <v>12177650.429799428</v>
      </c>
      <c r="Q698" s="28">
        <f t="shared" si="56"/>
        <v>12893982.808022924</v>
      </c>
      <c r="R698" s="28">
        <f t="shared" si="57"/>
        <v>13610315.186246419</v>
      </c>
      <c r="S698" s="28">
        <f t="shared" si="58"/>
        <v>14326647.564469915</v>
      </c>
      <c r="T698" s="28">
        <f t="shared" si="59"/>
        <v>15042979.942693412</v>
      </c>
      <c r="U698" s="28">
        <f t="shared" si="60"/>
        <v>15759312.320916908</v>
      </c>
      <c r="V698" s="28">
        <f t="shared" si="61"/>
        <v>16475644.699140403</v>
      </c>
      <c r="W698" s="28">
        <f t="shared" si="62"/>
        <v>17191977.077363901</v>
      </c>
    </row>
    <row r="699" spans="1:23" x14ac:dyDescent="0.2">
      <c r="A699" s="28">
        <v>698</v>
      </c>
      <c r="B699" s="28">
        <v>286123.0329041488</v>
      </c>
      <c r="C699" s="28">
        <f t="shared" si="42"/>
        <v>2861230.329041488</v>
      </c>
      <c r="D699" s="28">
        <f t="shared" si="43"/>
        <v>3576537.9113018601</v>
      </c>
      <c r="E699" s="28">
        <f t="shared" si="44"/>
        <v>4291845.4935622318</v>
      </c>
      <c r="F699" s="28">
        <f t="shared" si="45"/>
        <v>5007153.0758226039</v>
      </c>
      <c r="G699" s="28">
        <f t="shared" si="46"/>
        <v>5722460.658082976</v>
      </c>
      <c r="H699" s="28">
        <f t="shared" si="47"/>
        <v>6437768.2403433481</v>
      </c>
      <c r="I699" s="28">
        <f t="shared" si="48"/>
        <v>7153075.8226037202</v>
      </c>
      <c r="J699" s="28">
        <f t="shared" si="49"/>
        <v>7868383.4048640924</v>
      </c>
      <c r="K699" s="28">
        <f t="shared" si="50"/>
        <v>8583690.9871244635</v>
      </c>
      <c r="L699" s="28">
        <f t="shared" si="51"/>
        <v>9298998.5693848357</v>
      </c>
      <c r="M699" s="28">
        <f t="shared" si="52"/>
        <v>10014306.151645208</v>
      </c>
      <c r="N699" s="28">
        <f t="shared" si="53"/>
        <v>10729613.73390558</v>
      </c>
      <c r="O699" s="28">
        <f t="shared" si="54"/>
        <v>11444921.316165952</v>
      </c>
      <c r="P699" s="28">
        <f t="shared" si="55"/>
        <v>12160228.898426324</v>
      </c>
      <c r="Q699" s="28">
        <f t="shared" si="56"/>
        <v>12875536.480686696</v>
      </c>
      <c r="R699" s="28">
        <f t="shared" si="57"/>
        <v>13590844.062947068</v>
      </c>
      <c r="S699" s="28">
        <f t="shared" si="58"/>
        <v>14306151.64520744</v>
      </c>
      <c r="T699" s="28">
        <f t="shared" si="59"/>
        <v>15021459.227467813</v>
      </c>
      <c r="U699" s="28">
        <f t="shared" si="60"/>
        <v>15736766.809728185</v>
      </c>
      <c r="V699" s="28">
        <f t="shared" si="61"/>
        <v>16452074.391988557</v>
      </c>
      <c r="W699" s="28">
        <f t="shared" si="62"/>
        <v>17167381.974248927</v>
      </c>
    </row>
    <row r="700" spans="1:23" x14ac:dyDescent="0.2">
      <c r="A700" s="28">
        <v>699</v>
      </c>
      <c r="B700" s="28">
        <v>285714.28571428568</v>
      </c>
      <c r="C700" s="28">
        <f t="shared" si="42"/>
        <v>2857142.8571428568</v>
      </c>
      <c r="D700" s="28">
        <f t="shared" si="43"/>
        <v>3571428.5714285709</v>
      </c>
      <c r="E700" s="28">
        <f t="shared" si="44"/>
        <v>4285714.2857142854</v>
      </c>
      <c r="F700" s="28">
        <f t="shared" si="45"/>
        <v>4999999.9999999991</v>
      </c>
      <c r="G700" s="28">
        <f t="shared" si="46"/>
        <v>5714285.7142857136</v>
      </c>
      <c r="H700" s="28">
        <f t="shared" si="47"/>
        <v>6428571.4285714282</v>
      </c>
      <c r="I700" s="28">
        <f t="shared" si="48"/>
        <v>7142857.1428571418</v>
      </c>
      <c r="J700" s="28">
        <f t="shared" si="49"/>
        <v>7857142.8571428563</v>
      </c>
      <c r="K700" s="28">
        <f t="shared" si="50"/>
        <v>8571428.5714285709</v>
      </c>
      <c r="L700" s="28">
        <f t="shared" si="51"/>
        <v>9285714.2857142854</v>
      </c>
      <c r="M700" s="28">
        <f t="shared" si="52"/>
        <v>9999999.9999999981</v>
      </c>
      <c r="N700" s="28">
        <f t="shared" si="53"/>
        <v>10714285.714285713</v>
      </c>
      <c r="O700" s="28">
        <f t="shared" si="54"/>
        <v>11428571.428571427</v>
      </c>
      <c r="P700" s="28">
        <f t="shared" si="55"/>
        <v>12142857.142857142</v>
      </c>
      <c r="Q700" s="28">
        <f t="shared" si="56"/>
        <v>12857142.857142856</v>
      </c>
      <c r="R700" s="28">
        <f t="shared" si="57"/>
        <v>13571428.571428569</v>
      </c>
      <c r="S700" s="28">
        <f t="shared" si="58"/>
        <v>14285714.285714284</v>
      </c>
      <c r="T700" s="28">
        <f t="shared" si="59"/>
        <v>14999999.999999998</v>
      </c>
      <c r="U700" s="28">
        <f t="shared" si="60"/>
        <v>15714285.714285713</v>
      </c>
      <c r="V700" s="28">
        <f t="shared" si="61"/>
        <v>16428571.428571427</v>
      </c>
      <c r="W700" s="28">
        <f t="shared" si="62"/>
        <v>17142857.142857142</v>
      </c>
    </row>
    <row r="701" spans="1:23" x14ac:dyDescent="0.2">
      <c r="A701" s="28">
        <v>700</v>
      </c>
      <c r="B701" s="28">
        <v>285306.70470756065</v>
      </c>
      <c r="C701" s="28">
        <f t="shared" si="42"/>
        <v>2853067.0470756064</v>
      </c>
      <c r="D701" s="28">
        <f t="shared" si="43"/>
        <v>3566333.8088445081</v>
      </c>
      <c r="E701" s="28">
        <f t="shared" si="44"/>
        <v>4279600.5706134094</v>
      </c>
      <c r="F701" s="28">
        <f t="shared" si="45"/>
        <v>4992867.3323823111</v>
      </c>
      <c r="G701" s="28">
        <f t="shared" si="46"/>
        <v>5706134.0941512128</v>
      </c>
      <c r="H701" s="28">
        <f t="shared" si="47"/>
        <v>6419400.8559201146</v>
      </c>
      <c r="I701" s="28">
        <f t="shared" si="48"/>
        <v>7132667.6176890163</v>
      </c>
      <c r="J701" s="28">
        <f t="shared" si="49"/>
        <v>7845934.379457918</v>
      </c>
      <c r="K701" s="28">
        <f t="shared" si="50"/>
        <v>8559201.1412268188</v>
      </c>
      <c r="L701" s="28">
        <f t="shared" si="51"/>
        <v>9272467.9029957205</v>
      </c>
      <c r="M701" s="28">
        <f t="shared" si="52"/>
        <v>9985734.6647646222</v>
      </c>
      <c r="N701" s="28">
        <f t="shared" si="53"/>
        <v>10699001.426533524</v>
      </c>
      <c r="O701" s="28">
        <f t="shared" si="54"/>
        <v>11412268.188302426</v>
      </c>
      <c r="P701" s="28">
        <f t="shared" si="55"/>
        <v>12125534.950071327</v>
      </c>
      <c r="Q701" s="28">
        <f t="shared" si="56"/>
        <v>12838801.711840229</v>
      </c>
      <c r="R701" s="28">
        <f t="shared" si="57"/>
        <v>13552068.473609131</v>
      </c>
      <c r="S701" s="28">
        <f t="shared" si="58"/>
        <v>14265335.235378033</v>
      </c>
      <c r="T701" s="28">
        <f t="shared" si="59"/>
        <v>14978601.997146934</v>
      </c>
      <c r="U701" s="28">
        <f t="shared" si="60"/>
        <v>15691868.758915836</v>
      </c>
      <c r="V701" s="28">
        <f t="shared" si="61"/>
        <v>16405135.520684738</v>
      </c>
      <c r="W701" s="28">
        <f t="shared" si="62"/>
        <v>17118402.282453638</v>
      </c>
    </row>
    <row r="702" spans="1:23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DungeonsDataBase</vt:lpstr>
      <vt:lpstr>PowerCalc</vt:lpstr>
      <vt:lpstr>Wanted + hydres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Groß</dc:creator>
  <cp:lastModifiedBy>Tim Groß</cp:lastModifiedBy>
  <dcterms:created xsi:type="dcterms:W3CDTF">2023-01-17T20:33:48Z</dcterms:created>
  <dcterms:modified xsi:type="dcterms:W3CDTF">2023-01-24T19:03:43Z</dcterms:modified>
</cp:coreProperties>
</file>